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OCB\datavault-model\reverse\result\xlsx\"/>
    </mc:Choice>
  </mc:AlternateContent>
  <xr:revisionPtr revIDLastSave="0" documentId="8_{D543F7DB-3C00-4A15-ADE6-3D9D48CC2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Script SQL" sheetId="2" r:id="rId2"/>
    <sheet name="FACT_ACCT_ENTRY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3" l="1"/>
</calcChain>
</file>

<file path=xl/sharedStrings.xml><?xml version="1.0" encoding="utf-8"?>
<sst xmlns="http://schemas.openxmlformats.org/spreadsheetml/2006/main" count="370" uniqueCount="235">
  <si>
    <t>LINEAGE HỢP NHẤT — FACT_ACCT_ENTRY  (L0-L2: datamart · L3: Silver Data Vault)</t>
  </si>
  <si>
    <t>Layer 0
WORKBOOK</t>
  </si>
  <si>
    <t>Layer 1
Main Table (TCIMPORT)</t>
  </si>
  <si>
    <t>Layer 2
Gold Zone C</t>
  </si>
  <si>
    <t>Layer 3
Silver Data Vault (3 stream UNION ALL)</t>
  </si>
  <si>
    <t>IGEN_REPORT (DM_IGEN)
node IGEN4</t>
  </si>
  <si>
    <t>➜</t>
  </si>
  <si>
    <t>TCIMPORT.FACT_ACCT_ENTRY (Table)</t>
  </si>
  <si>
    <t>FACT_ACCT_ENTRY</t>
  </si>
  <si>
    <t>hub_line_movement_toanhang, sat_line_movement_toanhang (DRIVER — dòng GL, lọc t_xref_nxt_version)</t>
  </si>
  <si>
    <t>STMT: hub_stmt_entry, sat_stmt_entry_information/_classification/_audit, link_stmt_entry_branch/_customer, link_line_movement_toanhang_stmt_entry</t>
  </si>
  <si>
    <t>CATEG: hub_categ_entry, sat_categ_entry_information/_classification/_audit, link_categ_entry_branch/_customer, link_line_movement_toanhang_categ_entry</t>
  </si>
  <si>
    <t>SPEC: hub_re_consol_spec_entry, sat_re_consol_spec_entry_information/_classification/_audit, link_re_consol_spec_entry_branch/_customer, link_line_movement_toanhang_re_consol_spec_entry</t>
  </si>
  <si>
    <t>hub_branch, sts_hub_branch, sat_branch_comp_level_group (BRANCH_CODE / BRANCH_PARENT_CODE)</t>
  </si>
  <si>
    <t>hub_customer, sts_hub_customer, sat_customer_classification (CUSTOMER_ID / CUSTGROUP)</t>
  </si>
  <si>
    <t>ref_t24_re_stat_rep_line (GL_NUMBER); hub_teller, link_teller_customer1 (CUSTOMER_ID_TBL — chỉ STMT)</t>
  </si>
  <si>
    <t>LEGEND</t>
  </si>
  <si>
    <t>View/Table Layer 1</t>
  </si>
  <si>
    <t>View Layer 2+</t>
  </si>
  <si>
    <t>UPL/thủ công</t>
  </si>
  <si>
    <t>Table (Gold - Databricks)</t>
  </si>
  <si>
    <t>Table (Silver - Databricks)</t>
  </si>
  <si>
    <t>Type</t>
  </si>
  <si>
    <t>View / Table</t>
  </si>
  <si>
    <t>Script SQL</t>
  </si>
  <si>
    <t>Code cũ</t>
  </si>
  <si>
    <t>IBM_FACT_ACCT_ENTRY (IBM DataStage)</t>
  </si>
  <si>
    <t xml:space="preserve">-- =============================================================================
-- IBM_FACT_ACCT_ENTRY  —  TAI DUNG TU IBM DataStage (ocbdw1.dsx)
-- Job: FACT_ACCT_ENTRY__DelIns (\OCBDW\GOVERNANCE_NEW\Fact\FACT_ACCT_ENTRY) — SQL single-SELECT (dsx :2558879-:2559020)
--
-- CO CHE bang dich #DMT_DBSCHEMA#.FACT_ACCT_ENTRY (publish TCIMPORT.FACT_ACCT_ENTRY, TABLE):
--   WriteMode=6 (BulkLoad), TableAction=0 (Append) + BeforeSQL:
--     DELETE FROM FACT_ACCT_ENTRY WHERE DATE_COB = DATE(TO_DATE('#DYNAMICPARM.DATADT#','YYYYMMDD'))
--   =&gt; TRUNCATE-INSERT THEO NGAY (fact giao dich, 1 partition/ngay theo DATE_COB). KHONG upsert / append-delta.
--
-- DRIVER: PST_ENTR_X_AU U (dong but toan da no theo GL line) -&gt; header PST_ENTR R.
--   Phan biet nguon qua RIGHT(PST_ENTR_REF,1): 'A'=STMT, 'P'=CATEG, 'R'=SPEC.
-- Tham so: #STATICPARM.SFDB2_DBSCHEMA# = SOR OCBDW2 ; #DYNAMICPARM.DATADT# = ngay chay.
-- =============================================================================
SELECT
    U.PST_ENTR_ID                                                       AS PST_ENTR_ID,
    U.DATA_DT                                                           AS DATE_COB,
    SUBSTRING(U.PST_ENTR_REF, 1, INSTR(U.PST_ENTR_REF,'-',1) - 1)       AS ID,
    R.PST_ENTR_AMT_FCY                                                  AS AMOUNT_FCY,
    R.PST_ENTR_AMT                                                      AS AMOUNT_LCY,
    CASE WHEN R.PST_ENTR_AMT &lt; 0 THEN R.PST_ENTR_AMT ELSE NULL END      AS DR_AMT_LCY,
    CASE WHEN R.PST_ENTR_AMT &gt; 0 THEN R.PST_ENTR_AMT ELSE NULL END      AS CR_AMT_LCY,
    IP2.UNQ_ID_SRC_STM                                                  AS BRANCH_PARENT_CODE,
    OU.BR_NO                                                            AS BRANCH_CODE,
    R.PST_ENTR_BOOK_DT                                                  AS T_BOOKING_DATE,
    R.PST_ENTR_VAL_DT                                                   AS T_VALUE_DATE,
    R.DVC_ID                                                            AS INPUTTER_NAME,
    R.ENTR_APRV                                                         AS T_AUTHORISER,
    R.PST_ENTR_CONSOL_KEY                                               AS T_CONSOL_KEY,
    R.RVRS_MK                                                           AS REVERSAL_MARKER,
    CASE WHEN (R.RVRS_MK IS NULL     AND R.PST_ENTR_AMT &lt; 0)
              OR (R.RVRS_MK IS NOT NULL AND R.PST_ENTR_AMT &gt; 0) THEN 'DEBIT'
         WHEN (R.RVRS_MK IS NULL     AND R.PST_ENTR_AMT &gt; 0)
              OR (R.RVRS_MK IS NOT NULL AND R.PST_ENTR_AMT &lt; 0) THEN 'CREDIT'
         ELSE NULL END                                                 AS CRF_TP,
    R.UOM_ID                                                            AS CURRENCY,
    IP1.UNQ_ID_SRC_STM                                                  AS CUSTOMER_ID,
    CL3.DSC_VIET                                                        AS CUSTGROUP,
    R.TXN_REF                                                           AS TRANSACTION_NO,
    CL2.SRC_CL_ID                                                       AS TRANSACTION_TYPE_ID,
    CASE WHEN RIGHT(R.UNQ_ID_SRC_STM,1) = 'A' THEN AR.UNQ_ID_SRC_STM
         ELSE R.PST_ENTR_CONSOL_KEY END                                 AS AC_KEY,
    R.PST_ENTR_DT_TM                                                    AS T_DATE_TIME,
    R.DESCRIPTIONS                                                      AS DESCRIPTIONS,
    R.TXN_REF                                                           AS T_OUR_REFERENCE,
    R.PL_CGY_ID                                                         AS CATEGORY_CODE,
    R.PD_CGY                                                            AS PRODUCT_CATEGORY,
    R.STMT_NBR                                                          AS T_STMT_NO,
    R.UNQ_ID_SRC_STM                                                    AS UNQ_ID_SRC_STM,
    CASE RIGHT(U.PST_ENTR_REF,1) WHEN 'A' THEN 'STMT' WHEN 'P' THEN 'CATEG' WHEN 'R' THEN 'SPEC' END AS SOURCE_TYPE,
    CASE WHEN RIGHT(U.PST_ENTR_REF,1) = 'A' THEN AR.UNQ_ID_SRC_STM
         WHEN RIGHT(U.PST_ENTR_REF,1) = 'P' THEN LEFT(AR.UNQ_ID_SRC_STM,8)
         ELSE AR.UNQ_ID_SRC_STM END                                    AS ARRENGEMENT_ID,
    R.PST_ENTR_CONSOL_KEY || '.' ||
        CASE WHEN (R.RVRS_MK IS NULL     AND R.PST_ENTR_AMT &lt; 0)
                  OR (R.RVRS_MK IS NOT NULL AND R.PST_ENTR_AMT &gt; 0) THEN 'DEBIT'
             WHEN (R.RVRS_MK IS NULL     AND R.PST_ENTR_AMT &gt; 0)
                  OR (R.RVRS_MK IS NOT NULL AND R.PST_ENTR_AMT &lt; 0) THEN 'CREDIT'
             ELSE '' END || '.' || R.PST_ENTR_BOOK_DT                   AS ENTR_KEY_ID,
    U.PST_ENTR_REF_LINE                                                 AS LINE_ID,
    U.GL                                                                AS LINE_NUMBER,
    U.PPN_TM                                                            AS PPN_TM,
    L.FO_TXN_NO                                                         AS ORDER_FO,
    CASE WHEN R.PST_ENTR_TP_ID IN (201200629, 201200630) AND LEFT(R.TXN_REF,2) &lt;&gt; 'RV'
         THEN 'KETCHUYEN' ELSE NULL END                                 AS EOY_TYPE,
    U.PST_DT                                                            AS PST_DT,
    ASI.GL_AC_NBR                                                       AS GL_NUMBER,
    IP11.UNQ_ID_SRC_STM                                                 AS CUSTOMER_ID_TBL
FROM #STATICPARM.SFDB2_DBSCHEMA#.PST_ENTR_X_AU U
LEFT JOIN #STATICPARM.SFDB2_DBSCHEMA#.PST_ENTR R
       ON R.PST_ENTR_ID = U.PST_ENTR_ID
      AND R.DATA_DT &gt;= TO_DATE(#DYNAMICPARM.DATADT#,'yyyyMMdd') - 3   -- cua so batch
LEFT JOIN #STATICPARM.SFDB2_DBSCHEMA#.AR AR       ON AR.AR_ID = R.PST_ENTR_AR_ID
LEFT JOIN #STATICPARM.SFDB2_DBSCHEMA#.TXN L
       ON R.TXN_ID = L.TXN_ID
      AND L.DATA_DT BETWEEN TO_DATE(#DYNAMICPARM.DATADT#,'yyyyMMdd') - 3 AND TO_DATE(#DYNAMICPARM.DATADT#,'yyyyMMdd') + 3
LEFT JOIN #STATICPARM.SFDB2_DBSCHEMA#.ACG_STC_ITM ASI
       ON U.GL = ASI.ACG_STC_ITM_ID
      AND U.DATA_DT BETWEEN ASI.EFF_DT AND ASI.END_DT
LEFT JOIN #STATICPARM.SFDB2_DBSCHEMA#.IP IP1      ON R.PRIM_CST_ID = IP1.IP_ID
LEFT JOIN #STATICPARM.SFDB2_DBSCHEMA#.IP IP11
       ON CASE WHEN L.UNQ_ID_SRC_STM LIKE 'TT%' THEN NVL(L.PRIM_CST_ID, R.PRIM_CST_ID) ELSE R.PRIM_CST_ID END = IP11.IP_ID
LEFT JOIN #STATICPARM.SFDB2_DBSCHEMA#.OU OU       ON OU.OU_IP_ID = R.OU_ID
LEFT JOIN #STATICPARM.SFDB2_DBSCHEMA#.IP IP2
       ON CASE WHEN OU.PRN_OU_IP_ID IS NULL THEN OU.OU_IP_ID ELSE OU.PRN_OU_IP_ID END = IP2.IP_ID
LEFT JOIN #STATICPARM.SFDB2_DBSCHEMA#.CV CL2      ON R.PST_ENTR_TP_ID = CL2.CL_ID AND CL2.CLS_SRC_NM = 'Transaction'
LEFT JOIN #STATICPARM.SFDB2_DBSCHEMA#.IP_X_GRP GR
       ON GR.IP_ID = R.PRIM_CST_ID AND GR.DATA_DT = IP1.DATA_DT AND GR.IP_X_GRP_TP_ID = 103100001 /*CUSTGROUP*/
LEFT JOIN #STATICPARM.SFDB2_DBSCHEMA#.CV CL3      ON CL3.CL_ID = GR.GRP_ID
WHERE U.DATA_DT = TO_DATE(#DYNAMICPARM.DATADT#,'yyyyMMdd')   -- partition ngay (khop DELETE by DATE_COB)
;
</t>
  </si>
  <si>
    <t>Code mới</t>
  </si>
  <si>
    <t>FACT_ACCT_ENTRY (Gold VIEW)</t>
  </si>
  <si>
    <t xml:space="preserve">USE CATALOG IDENTIFIER(:curated);
USE SCHEMA tcimport;
CREATE OR REPLACE VIEW FACT_ACCT_ENTRY AS
WITH
-- ===== STS anti-join =====
br_del AS (
    SELECT branch_hashkey FROM IDENTIFIER(:cleaned || '.raw_vault.sts_hub_branch')
    WHERE source_event_date &lt;= TO_DATE(:DATADT,'yyyyMMdd')
    GROUP BY branch_hashkey HAVING max_by(cdc_status, source_event_date) = 'D'
),
cust_del AS (
    SELECT customer_hashkey FROM IDENTIFIER(:cleaned || '.raw_vault.sts_hub_customer')
    WHERE source_event_date &lt;= TO_DATE(:DATADT,'yyyyMMdd')
    GROUP BY customer_hashkey HAVING max_by(cdc_status, source_event_date) = 'D'
),
-- ===== Dim dung chung (master -&gt; &lt;= :DATADT) =====
branch_dim AS (
    SELECT h.branch_hashkey, h.business_key AS branch_code
    FROM IDENTIFIER(:cleaned || '.raw_vault.hub_branch') h
    LEFT JOIN br_del d ON d.branch_hashkey = h.branch_hashkey
    WHERE d.branch_hashkey IS NULL
      AND h.source_event_date &lt;= TO_DATE(:DATADT,'yyyyMMdd')
      AND h.record_source = 't24__t24_company'
    GROUP BY h.branch_hashkey, h.business_key
),
branch_parent AS (
    SELECT branch_hashkey, max_by(t_lead_company, source_event_date) AS parent_code
    FROM IDENTIFIER(:cleaned || '.raw_vault.sat_branch_comp_level_group')
    WHERE source_event_date &lt;= TO_DATE(:DATADT,'yyyyMMdd')
    GROUP BY branch_hashkey
),
cust_dim AS (
    SELECT h.customer_hashkey, h.business_key AS customer_id
    FROM IDENTIFIER(:cleaned || '.raw_vault.hub_customer') h
    LEFT JOIN cust_del d ON d.customer_hashkey = h.customer_hashkey
    WHERE d.customer_hashkey IS NULL
      AND h.source_event_date &lt;= TO_DATE(:DATADT,'yyyyMMdd')
      AND h.record_source = 't24__t24_customer'
    GROUP BY h.customer_hashkey, h.business_key
),
custgrp AS (
    SELECT customer_hashkey,
        max_by(CASE WHEN classification = 'DN lon' THEN 'LC'
                    WHEN classification = 'DN vua' THEN 'CB'
                    WHEN classification = 'DN nho' THEN 'BB'
                    ELSE classification END, source_event_date) AS custgroup
    FROM IDENTIFIER(:cleaned || '.raw_vault.sat_customer_classification')
    WHERE source_event_date &lt;= TO_DATE(:DATADT,'yyyyMMdd')
    GROUP BY customer_hashkey
),
ref_line AS (
    SELECT ref_code, max_by(SPLIT(ref_description, '::')[0], source_event_date) AS t_desc
    FROM IDENTIFIER(:cleaned || '.raw_vault.ref_t24_re_stat_rep_line')
    WHERE ref_type = 're_stat_rep_line' AND source_event_date &lt;= TO_DATE(:DATADT,'yyyyMMdd')
    GROUP BY ref_code
),
-- Teller -&gt; khach hang giao dich (CUSTOMER_ID_TBL, chi STMT). hub_teller khong co sts khop teller_hashkey.
teller_ct AS (
    SELECT customer_hashkey, max_by(teller_hashkey, source_event_date) AS teller_hashkey
    FROM IDENTIFIER(:cleaned || '.raw_vault.link_teller_customer1')
    WHERE source_event_date &lt;= TO_DATE(:DATADT,'yyyyMMdd')
    GROUP BY customer_hashkey
),
teller_map AS (
    SELECT ht.business_key AS teller_id,
           max_by(cd.customer_id, ht.source_event_date) AS trans_cus_business_key
    FROM IDENTIFIER(:cleaned || '.raw_vault.hub_teller') ht
    JOIN teller_ct l ON l.teller_hashkey = ht.teller_hashkey
    JOIN cust_dim  cd ON cd.customer_hashkey = l.customer_hashkey
    WHERE ht.source_event_date &lt;= TO_DATE(:DATADT,'yyyyMMdd')
      AND ht.business_key LIKE 'TT%'
    GROUP BY ht.business_key
),
-- Line movement hub dung chung (business_key = t_line_id). Transaction -&gt; = :DATADT.
lm_hub AS (
    SELECT line_movement_toanhang_hashkey AS lm_hk, business_key AS t_line_id
    FROM IDENTIFIER(:cleaned || '.raw_vault.hub_line_movement_toanhang')
    WHERE source_event_date = TO_DATE(:DATADT,'yyyyMMdd')
    GROUP BY line_movement_toanhang_hashkey, business_key
),
-- sat_line_movement_toanhang: doc 1 LAN (2.12), phan loai nguon qua t_xref o WHERE lop ngoai moi stream
lm_xref AS (
    SELECT line_movement_toanhang_hashkey AS lm_hk,
           max_by(t_xref_nxt_version, source_event_date) AS t_xref
    FROM IDENTIFIER(:cleaned || '.raw_vault.sat_line_movement_toanhang')
    WHERE source_event_date = TO_DATE(:DATADT,'yyyyMMdd')
    GROUP BY line_movement_toanhang_hashkey
),
-- ===== STREAM 1: STMT =====
lm_lnk_stmt AS (
    SELECT line_movement_toanhang_hashkey AS lm_hk,
           max_by(stmt_entry_hashkey, source_event_date) AS entry_hk
    FROM IDENTIFIER(:cleaned || '.raw_vault.link_line_movement_toanhang_stmt_entry')
    WHERE source_event_date = TO_DATE(:DATADT,'yyyyMMdd')
    GROUP BY line_movement_toanhang_hashkey
),
hub_stmt AS (
    SELECT stmt_entry_hashkey AS entry_hk, business_key
    FROM IDENTIFIER(:cleaned || '.raw_vault.hub_stmt_entry')
    WHERE source_event_date = TO_DATE(:DATADT,'yyyyMMdd') AND record_source = 't24__t24_stmt_entry'
    GROUP BY stmt_entry_hashkey, business_key
),
si_stmt AS (
    SELECT stmt_entry_hashkey AS entry_hk,
        max_by(t_amount_lcy, source_event_date) AS t_amount_lcy,
        max_by(t_amount_fcy, source_event_date) AS t_amount_fcy,
        max_by(t_currency, source_event_date) AS t_currency,
        max_by(t_value_date, source_event_date) AS t_value_date,
        max_by(t_narrative, source_event_date) AS t_narrative,
        max_by(t_our_reference, source_event_date) AS t_our_reference,
        max_by(t_trans_reference, source_event_date) AS t_trans_reference,
        max_by(t_their_reference, source_event_date) AS t_their_reference,
        max_by(t_stmt_no, source_event_date) AS t_stmt_no,
        max_by(t_account_number, source_event_date) AS t_account_number
    FROM IDENTIFIER(:cleaned || '.raw_vault.sat_stmt_entry_information')
    WHERE source_event_date = TO_DATE(:DATADT,'yyyyMMdd')
    GROUP BY stmt_entry_hashkey
),
sc_stmt AS (
    SELECT stmt_entry_hashkey AS entry_hk,
        max_by(t_pl_category, source_event_date) AS t_pl_category,
        max_by(t_product_category, source_event_date) AS t_product_category,
        max_by(t_transaction_code, source_event_date) AS t_transaction_code,
        max_by(t_consol_key, source_event_date) AS t_consol_key
    FROM IDENTIFIER(:cleaned || '.raw_vault.sat_stmt_entry_classification')
    WHERE source_event_date = TO_DATE(:DATADT,'yyyyMMdd')
    GROUP BY stmt_entry_hashkey
),
sa_stmt AS (
    SELECT stmt_entry_hashkey AS entry_hk,
        max_by(t_booking_date, source_event_date) AS t_booking_date,
        max_by(t_inputter, source_event_date) AS t_inputter,
        max_by(t_authoriser, source_event_date) AS t_authoriser,
        max_by(t_date_time, source_event_date) AS t_date_time,
        max_by(t_reversal_marker, source_event_date) AS t_reversal_marker
    FROM IDENTIFIER(:cleaned || '.raw_vault.sat_stmt_entry_audit')
    WHERE source_event_date = TO_DATE(:DATADT,'yyyyMMdd')
    GROUP BY stmt_entry_hashkey
),
lb_stmt AS (
    SELECT stmt_entry_hashkey AS entry_hk, max_by(branch_hashkey, source_event_date) AS branch_hashkey
    FROM IDENTIFIER(:cleaned || '.raw_vault.link_stmt_entry_branch')
    WHERE source_event_date = TO_DATE(:DATADT,'yyyyMMdd')
    GROUP BY stmt_entry_hashkey
),
lc_stmt AS (
    SELECT stmt_entry_hashkey AS entry_hk, max_by(customer_hashkey, source_event_date) AS customer_hashkey
    FROM IDENTIFIER(:cleaned || '.raw_vault.link_stmt_entry_customer')
    WHERE source_event_date = TO_DATE(:DATADT,'yyyyMMdd')
    GROUP BY stmt_entry_hashkey
),
-- ===== STREAM 2: CATEG =====
lm_lnk_categ AS (
    SELECT line_movement_toanhang_hashkey AS lm_hk,
           max_by(categ_entry_hashkey, source_event_date) AS entry_hk
    FROM IDENTIFIER(:cleaned || '.raw_vault.link_line_movement_toanhang_categ_entry')
    WHERE source_event_date = TO_DATE(:DATADT,'yyyyMMdd')
    GROUP BY line_movement_toanhang_hashkey
),
hub_categ AS (
    SELECT categ_entry_hashkey AS entry_hk, business_key
    FROM IDENTIFIER(:cleaned || '.raw_vault.hub_categ_entry')
    WHERE source_event_date = TO_DATE(:DATADT,'yyyyMMdd') AND record_source = 't24__t24_categ_entry'
    GROUP BY categ_entry_hashkey, business_key
),
si_categ AS (
    SELECT categ_entry_hashkey AS entry_hk,
        max_by(t_amount_lcy, source_event_date) AS t_amount_lcy,
        max_by(t_amount_fcy, source_event_date) AS t_amount_fcy,
        max_by(t_currency, source_event_date) AS t_currency,
        max_by(t_value_date, source_event_date) AS t_value_date,
        max_by(t_narrative, source_event_date) AS t_narrative,
        max_by(t_our_reference, source_event_date) AS t_our_reference,
        max_by(t_stmt_no, source_event_date) AS t_stmt_no
    FROM IDENTIFIER(:cleaned || '.raw_vault.sat_categ_entry_information')
    WHERE source_event_date = TO_DATE(:DATADT,'yyyyMMdd')
    GROUP BY categ_entry_hashkey
),
sc_categ AS (
    SELECT categ_entry_hashkey AS entry_hk,
        max_by(t_pl_category, source_event_date) AS t_pl_category,
        max_by(t_product_category, source_event_date) AS t_product_category,
        max_by(t_transaction_code, source_event_date) AS t_transaction_code,
        max_by(t_consol_key, source_event_date) AS t_consol_key
    FROM IDENTIFIER(:cleaned || '.raw_vault.sat_categ_entry_classification')
    WHERE source_event_date = TO_DATE(:DATADT,'yyyyMMdd')
    GROUP BY categ_entry_hashkey
),
sa_categ AS (
    SELECT categ_entry_hashkey AS entry_hk,
        max_by(t_booking_date, source_event_date) AS t_booking_date,
        max_by(t_inputter, source_event_date) AS t_inputter,
        max_by(t_authoriser, source_event_date) AS t_authoriser,
        max_by(t_date_time, source_event_date) AS t_date_time,
        max_by(t_reversal_marker, source_event_date) AS t_reversal_marker
    FROM IDENTIFIER(:cleaned || '.raw_vault.sat_categ_entry_audit')
    WHERE source_event_date = TO_DATE(:DATADT,'yyyyMMdd')
    GROUP BY categ_entry_hashkey
),
lb_categ AS (
    SELECT categ_entry_hashkey AS entry_hk, max_by(branch_hashkey, source_event_date) AS branch_hashkey
    FROM IDENTIFIER(:cleaned || '.raw_vault.link_categ_entry_branch')
    WHERE source_event_date = TO_DATE(:DATADT,'yyyyMMdd')
    GROUP BY categ_entry_hashkey
),
lc_categ AS (
    SELECT categ_entry_hashkey AS entry_hk, max_by(customer_hashkey, source_event_date) AS customer_hashkey
    FROM IDENTIFIER(:cleaned || '.raw_vault.link_categ_entry_customer')
    WHERE source_event_date = TO_DATE(:DATADT,'yyyyMMdd')
    GROUP BY categ_entry_hashkey
),
-- ===== STREAM 3: SPEC =====
lm_lnk_spec AS (
    SELECT line_movement_toanhang_hashkey AS lm_hk,
           max_by(re_consol_spec_entry_hashkey, source_event_date) AS entry_hk
    FROM IDENTIFIER(:cleaned || '.raw_vault.link_line_movement_toanhang_re_consol_spec_entry')
    WHERE source_event_date = TO_DATE(:DATADT,'yyyyMMdd')
    GROUP BY line_movement_toanhang_hashkey
),
hub_spec AS (
    SELECT re_consol_spec_entry_hashkey AS entry_hk, business_key
    FROM IDENTIFIER(:cleaned || '.raw_vault.hub_re_consol_spec_entry')
    WHERE source_event_date = TO_DATE(:DATADT,'yyyyMMdd') AND record_source = 't24__t24_re_consol_spec_entry'
    GROUP BY re_consol_spec_entry_hashkey, business_key
),
si_spec AS (
    SELECT re_consol_spec_entry_hashkey AS entry_hk,
        max_by(t_amount_lcy, source_event_date) AS t_amount_lcy,
        max_by(t_amount_fcy, source_event_date) AS t_amount_fcy,
        max_by(t_currency, source_event_date) AS t_currency,
        max_by(t_value_date, source_event_date) AS t_value_date,
        max_by(t_narrative, source_event_date) AS t_narrative,
        max_by(t_our_reference, source_event_date) AS t_our_reference,
        max_by(t_stmt_no, source_event_date) AS t_stmt_no,
        max_by(t_booking_date, source_event_date) AS t_booking_date
    FROM IDENTIFIER(:cleaned || '.raw_vault.sat_re_consol_spec_entry_information')
    WHERE source_event_date = TO_DATE(:DATADT,'yyyyMMdd')
    GROUP BY re_consol_spec_entry_hashkey
),
sc_spec AS (
    SELECT re_consol_spec_entry_hashkey AS entry_hk,
        max_by(t_pl_category, source_event_date) AS t_pl_category,
        max_by(t_product_category, source_event_date) AS t_product_category,
        max_by(t_transaction_code, source_event_date) AS t_transaction_code,
        max_by(t_consol_key_type, source_event_date) AS t_consol_key_type,
        max_by(t_system_id, source_event_date) AS t_system_id
    FROM IDENTIFIER(:cleaned || '.raw_vault.sat_re_consol_spec_entry_classification')
    WHERE source_event_date = TO_DATE(:DATADT,'yyyyMMdd')
    GROUP BY re_consol_spec_entry_hashkey
),
sa_spec AS (
    SELECT re_consol_spec_entry_hashkey AS entry_hk,
        max_by(t_inputter, source_event_date) AS t_inputter,
        max_by(t_authoriser, source_event_date) AS t_authoriser,
        max_by(t_date_time, source_event_date) AS t_date_time,
        max_by(t_reversal_marker, source_event_date) AS t_reversal_marker
    FROM IDENTIFIER(:cleaned || '.raw_vault.sat_re_consol_spec_entry_audit')
    WHERE source_event_date = TO_DATE(:DATADT,'yyyyMMdd')
    GROUP BY re_consol_spec_entry_hashkey
),
lb_spec AS (
    SELECT re_consol_spec_entry_hashkey AS entry_hk, max_by(branch_hashkey, source_event_date) AS branch_hashkey
    FROM IDENTIFIER(:cleaned || '.raw_vault.link_re_consol_spec_entry_branch')
    WHERE source_event_date = TO_DATE(:DATADT,'yyyyMMdd')
    GROUP BY re_consol_spec_entry_hashkey
),
lc_spec AS (
    SELECT re_consol_spec_entry_hashkey AS entry_hk, max_by(customer_hashkey, source_event_date) AS customer_hashkey
    FROM IDENTIFIER(:cleaned || '.raw_vault.link_re_consol_spec_entry_customer')
    WHERE source_event_date = TO_DATE(:DATADT,'yyyyMMdd')
    GROUP BY re_consol_spec_entry_hashkey
)
-- ===== STREAM 1 output (STMT) =====
SELECT
    hub.entry_hk                                                       AS PST_ENTR_ID,
    TO_DATE(:DATADT,'yyyyMMdd')                                        AS DATE_COB,
    CAST(hub.business_key AS STRING)                                   AS ID,
    CAST(si.t_amount_fcy AS DECIMAL(20,4))                            AS AMOUNT_FCY,
    CAST(si.t_amount_lcy AS DECIMAL(20,4))                            AS AMOUNT_LCY,
    CASE WHEN CAST(si.t_amount_lcy AS DECIMAL(20,4)) &lt; 0 THEN CAST(si.t_amount_lcy AS DECIMAL(20,4)) ELSE NULL END AS DR_AMT_LCY,
    CASE WHEN CAST(si.t_amount_lcy AS DECIMAL(20,4)) &gt; 0 THEN CAST(si.t_amount_lcy AS DECIMAL(20,4)) ELSE NULL END AS CR_AMT_LCY,
    CAST(bp.parent_code AS STRING)                                    AS BRANCH_PARENT_CODE,
    CAST(bd.branch_code AS STRING)                                    AS BRANCH_CODE,
    TO_DATE(sa.t_booking_date,'yyyyMMdd')                             AS T_BOOKING_DATE,
    TO_DATE(si.t_value_date,'yyyyMMdd')                               AS T_VALUE_DATE,
    CAST(CASE WHEN COALESCE(SPLIT_PART(sa.t_inputter,'_',2),'')&lt;&gt;'' THEN SPLIT_PART(sa.t_inputter,'_',2) ELSE sa.t_inputter END AS STRING) AS INPUTTER_NAME,
    CAST(CASE WHEN COALESCE(SPLIT_PART(sa.t_authoriser,'_',2),'')&lt;&gt;'' THEN SPLIT_PART(sa.t_authoriser,'_',2) ELSE sa.t_authoriser END AS STRING) AS T_AUTHORISER,
    CAST(sc.t_consol_key AS STRING)                                   AS T_CONSOL_KEY,
    CAST(sa.t_reversal_marker AS STRING)                              AS REVERSAL_MARKER,
    CAST(CASE WHEN (sa.t_reversal_marker IS NULL AND CAST(si.t_amount_lcy AS DECIMAL(20,4))&lt;0)
                OR (sa.t_reversal_marker IS NOT NULL AND CAST(si.t_amount_lcy AS DECIMAL(20,4))&gt;0) THEN 'DEBIT'
              WHEN (sa.t_reversal_marker IS NULL AND CAST(si.t_amount_lcy AS DECIMAL(20,4))&gt;0)
                OR (sa.t_reversal_marker IS NOT NULL AND CAST(si.t_amount_lcy AS DECIMAL(20,4))&lt;0) THEN 'CREDIT'
              ELSE NULL END AS STRING)                                AS CRF_TP,
    CAST(si.t_currency AS STRING)                                     AS CURRENCY,
    CAST(hc.customer_id AS INTEGER)                                   AS CUSTOMER_ID,
    CAST(cg.custgroup AS STRING)                                      AS CUSTGROUP,
    CAST(CASE WHEN LEFT(si.t_our_reference,2) IN ('FT','TT','DC') THEN si.t_our_reference
              WHEN LEFT(si.t_our_reference,4) IN ('FXPL','FXVA') THEN si.t_our_reference
              ELSE si.t_trans_reference END AS STRING)                AS TRANSACTION_NO,
    CAST(sc.t_transaction_code AS STRING)                             AS TRANSACTION_TYPE_ID,
    CAST(si.t_account_number AS STRING)                               AS AC_KEY,
    CASE WHEN COALESCE(sa.t_date_time,'')&lt;&gt;'' THEN TO_TIMESTAMP('20'||sa.t_date_time,'yyyyMMddHHmm') ELSE NULL END AS T_DATE_TIME,
    CAST(COALESCE(NULLIF(si.t_narrative,''), si.t_their_reference) AS STRING) AS DESCRIPTIONS,
    CAST(CASE WHEN LEFT(si.t_our_reference,2) IN ('FT','TT','DC') THEN si.t_our_reference
              WHEN LEFT(si.t_our_reference,4) IN ('FXPL','FXVA') THEN si.t_our_reference
              ELSE si.t_trans_reference END AS STRING)                AS T_OUR_REFERENCE,
    CAST(sc.t_pl_category AS INTEGER)                                 AS CATEGORY_CODE,
    CAST(sc.t_product_category AS INTEGER)                            AS PRODUCT_CATEGORY,
    CAST(si.t_stmt_no AS STRING)                                      AS T_STMT_NO,
    CAST(hub.business_key || ':A' AS STRING)                          AS UNQ_ID_SRC_STM,
    'STMT'                                                            AS SOURCE_TYPE,
    CAST(si.t_account_number AS STRING)                               AS ARRENGEMENT_ID,
    CAST(sc.t_consol_key || '.' ||
         CASE WHEN (sa.t_reversal_marker IS NULL AND CAST(si.t_amount_lcy AS DECIMAL(20,4))&lt;0)
                OR (sa.t_reversal_marker IS NOT NULL AND CAST(si.t_amount_lcy AS DECIMAL(20,4))&gt;0) THEN 'DEBIT'
              WHEN (sa.t_reversal_marker IS NULL AND CAST(si.t_amount_lcy AS DECIMAL(20,4))&gt;0)
                OR (sa.t_reversal_marker IS NOT NULL AND CAST(si.t_amount_lcy AS DECIMAL(20,4))&lt;0) THEN 'CREDIT'
              ELSE '' END || '.' || sa.t_booking_date AS STRING)      AS ENTR_KEY_ID,
    CAST(lm.t_line_id AS STRING)                                      AS LINE_ID,
    TRY_CAST(SPLIT_PART(lm.t_line_id,'-',2) AS INTEGER)               AS LINE_NUMBER,
    CURRENT_TIMESTAMP                                                 AS PPN_TM,
    CAST(NULL AS STRING)                                              AS ORDER_FO,
    CAST(CASE WHEN TRY_CAST(sc.t_transaction_code AS INTEGER) IN (201200629,201200630)
                   AND LEFT(si.t_our_reference,2)&lt;&gt;'RV' THEN 'KETCHUYEN' ELSE NULL END AS STRING) AS EOY_TYPE,
    TO_DATE(:DATADT,'yyyyMMdd')                                       AS PST_DT,
    TRY_CAST(CASE WHEN LEFT(lm.t_line_id,5)='VMBGL' THEN SPLIT_PART(SPLIT_PART(rl.t_desc,'::',1),'!!',1) ELSE NULL END AS INTEGER) AS GL_NUMBER,
    CAST(tm.trans_cus_business_key AS STRING)                         AS CUSTOMER_ID_TBL
FROM lm_hub lm
JOIN lm_xref xf ON xf.lm_hk = lm.lm_hk
JOIN lm_lnk_stmt ln ON ln.lm_hk = lm.lm_hk
JOIN hub_stmt   hub ON hub.entry_hk = ln.entry_hk
LEFT JOIN si_stmt si ON si.entry_hk = hub.entry_hk
LEFT JOIN sc_stmt sc ON sc.entry_hk = hub.entry_hk
LEFT JOIN sa_stmt sa ON sa.entry_hk = hub.entry_hk
LEFT JOIN lb_stmt lb ON lb.entry_hk = hub.entry_hk
LEFT JOIN branch_dim    bd ON bd.branch_hashkey = lb.branch_hashkey
LEFT JOIN branch_parent bp ON bp.branch_hashkey = lb.branch_hashkey
LEFT JOIN lc_stmt lc ON lc.entry_hk = hub.entry_hk
LEFT JOIN cust_dim hc ON hc.customer_hashkey = lc.customer_hashkey
LEFT JOIN custgrp  cg ON cg.customer_hashkey = lc.customer_hashkey
LEFT JOIN ref_line rl ON rl.ref_code = lm.t_line_id
LEFT JOIN teller_map tm ON tm.teller_id = si.t_trans_reference
WHERE hub.business_key NOT LIKE 'F%'
  AND xf.t_xref LIKE 'STMT.ENTRY%'
UNION ALL
-- ===== STREAM 2 output (CATEG) =====
SELECT
    hub.entry_hk                                                      AS PST_ENTR_ID,
    TO_DATE(:DATADT,'yyyyMMdd')                                       AS DATE_COB,
    CAST(hub.business_key AS STRING)                                  AS ID,
    CAST(si.t_amount_fcy AS DECIMAL(20,4))                           AS AMOUNT_FCY,
    CAST(si.t_amount_lcy AS DECIMAL(20,4))                           AS AMOUNT_LCY,
    CASE WHEN CAST(si.t_amount_lcy AS DECIMAL(20,4)) &lt; 0 THEN CAST(si.t_amount_lcy AS DECIMAL(20,4)) ELSE NULL END AS DR_AMT_LCY,
    CASE WHEN CAST(si.t_amount_lcy AS DECIMAL(20,4)) &gt; 0 THEN CAST(si.t_amount_lcy AS DECIMAL(20,4)) ELSE NULL END AS CR_AMT_LCY,
    CAST(bp.parent_code AS STRING)                                   AS BRANCH_PARENT_CODE,
    CAST(bd.branch_code AS STRING)                                   AS BRANCH_CODE,
    TO_DATE(sa.t_booking_date,'yyyyMMdd')                            AS T_BOOKING_DATE,
    TO_DATE(si.t_value_date,'yyyyMMdd')                              AS T_VALUE_DATE,
    CAST(CASE WHEN COALESCE(SPLIT_PART(sa.t_inputter,'_',2),'')&lt;&gt;'' THEN SPLIT_PART(sa.t_inputter,'_',2) ELSE sa.t_inputter END AS STRING) AS INPUTTER_NAME,
    CAST(CASE WHEN COALESCE(SPLIT_PART(sa.t_authoriser,'_',2),'')&lt;&gt;'' THEN SPLIT_PART(sa.t_authoriser,'_',2) ELSE sa.t_authoriser END AS STRING) AS T_AUTHORISER,
    CAST(sc.t_consol_key AS STRING)                                  AS T_CONSOL_KEY,
    CAST(sa.t_reversal_marker AS STRING)                             AS REVERSAL_MARKER,
    CAST(CASE WHEN (sa.t_reversal_marker IS NULL AND CAST(si.t_amount_lcy AS DECIMAL(20,4))&lt;0)
                OR (sa.t_reversal_marker IS NOT NULL AND CAST(si.t_amount_lcy AS DECIMAL(20,4))&gt;0) THEN 'DEBIT'
              WHEN (sa.t_reversal_marker IS NULL AND CAST(si.t_amount_lcy AS DECIMAL(20,4))&gt;0)
                OR (sa.t_reversal_marker IS NOT NULL AND CAST(si.t_amount_lcy AS DECIMAL(20,4))&lt;0) THEN 'CREDIT'
              ELSE NULL END AS STRING)                               AS CRF_TP,
    CAST(si.t_currency AS STRING)                                    AS CURRENCY,
    CAST(hc.customer_id AS INTEGER)                                  AS CUSTOMER_ID,
    CAST(cg.custgroup AS STRING)                                     AS CUSTGROUP,
    CAST(si.t_our_reference AS STRING)                               AS TRANSACTION_NO,
    CAST(sc.t_transaction_code AS STRING)                            AS TRANSACTION_TYPE_ID,
    CAST(sc.t_consol_key AS STRING)                                  AS AC_KEY,
    CASE WHEN COALESCE(sa.t_date_time,'')&lt;&gt;'' THEN TO_TIMESTAMP('20'||sa.t_date_time,'yyyyMMddHHmm') ELSE NULL END AS T_DATE_TIME,
    CAST(si.t_narrative AS STRING)                                   AS DESCRIPTIONS,
    CAST(si.t_our_reference AS STRING)                               AS T_OUR_REFERENCE,
    CAST(sc.t_pl_category AS INTEGER)                                AS CATEGORY_CODE,
    CAST(sc.t_product_category AS INTEGER)                           AS PRODUCT_CATEGORY,
    CAST(si.t_stmt_no AS STRING)                                     AS T_STMT_NO,
    CAST(hub.business_key || ':P' AS STRING)                         AS UNQ_ID_SRC_STM,
    'CATEG'                                                          AS SOURCE_TYPE,
    CAST('PL' || sc.t_pl_category AS STRING)                         AS ARRENGEMENT_ID,
    CAST(sc.t_consol_key || '.' ||
         CASE WHEN (sa.t_reversal_marker IS NULL AND CAST(si.t_amount_lcy AS DECIMAL(20,4))&lt;0)
                OR (sa.t_reversal_marker IS NOT NULL AND CAST(si.t_amount_lcy AS DECIMAL(20,4))&gt;0) THEN 'DEBIT'
              WHEN (sa.t_reversal_marker IS NULL AND CAST(si.t_amount_lcy AS DECIMAL(20,4))&gt;0)
                OR (sa.t_reversal_marker IS NOT NULL AND CAST(si.t_amount_lcy AS DECIMAL(20,4))&lt;0) THEN 'CREDIT'
              ELSE '' END || '.' || sa.t_booking_date AS STRING)     AS ENTR_KEY_ID,
    CAST(lm.t_line_id AS STRING)                                     AS LINE_ID,
    TRY_CAST(SPLIT_PART(lm.t_line_id,'-',2) AS INTEGER)              AS LINE_NUMBER,
    CURRENT_TIMESTAMP                                                AS PPN_TM,
    CAST(NULL AS STRING)                                             AS ORDER_FO,
    CAST(CASE WHEN TRY_CAST(sc.t_transaction_code AS INTEGER) IN (201200629,201200630)
                   AND LEFT(si.t_our_reference,2)&lt;&gt;'RV' THEN 'KETCHUYEN' ELSE NULL END AS STRING) AS EOY_TYPE,
    TO_DATE(:DATADT,'yyyyMMdd')                                      AS PST_DT,
    TRY_CAST(CASE WHEN LEFT(lm.t_line_id,5)='VMBGL' THEN SPLIT_PART(SPLIT_PART(rl.t_desc,'::',1),'!!',1) ELSE NULL END AS INTEGER) AS GL_NUMBER,
    CAST(NULL AS STRING)                                            AS CUSTOMER_ID_TBL
FROM lm_hub lm
JOIN lm_xref xf ON xf.lm_hk = lm.lm_hk
JOIN lm_lnk_categ ln ON ln.lm_hk = lm.lm_hk
JOIN hub_categ   hub ON hub.entry_hk = ln.entry_hk
LEFT JOIN si_categ si ON si.entry_hk = hub.entry_hk
LEFT JOIN sc_categ sc ON sc.entry_hk = hub.entry_hk
LEFT JOIN sa_categ sa ON sa.entry_hk = hub.entry_hk
LEFT JOIN lb_categ lb ON lb.entry_hk = hub.entry_hk
LEFT JOIN branch_dim    bd ON bd.branch_hashkey = lb.branch_hashkey
LEFT JOIN branch_parent bp ON bp.branch_hashkey = lb.branch_hashkey
LEFT JOIN lc_categ lc ON lc.entry_hk = hub.entry_hk
LEFT JOIN cust_dim hc ON hc.customer_hashkey = lc.customer_hashkey
LEFT JOIN custgrp  cg ON cg.customer_hashkey = lc.customer_hashkey
LEFT JOIN ref_line rl ON rl.ref_code = lm.t_line_id
WHERE hub.business_key NOT LIKE 'F%'
  AND xf.t_xref = 'CATEG.ENTRY'
UNION ALL
-- ===== STREAM 3 output (SPEC) =====
SELECT
    hub.entry_hk                                                     AS PST_ENTR_ID,
    TO_DATE(:DATADT,'yyyyMMdd')                                      AS DATE_COB,
    CAST(hub.business_key AS STRING)                                 AS ID,
    CAST(si.t_amount_fcy AS DECIMAL(20,4))                          AS AMOUNT_FCY,
    CAST(si.t_amount_lcy AS DECIMAL(20,4))                          AS AMOUNT_LCY,
    CASE WHEN CAST(si.t_amount_lcy AS DECIMAL(20,4)) &lt; 0 THEN CAST(si.t_amount_lcy AS DECIMAL(20,4)) ELSE NULL END AS DR_AMT_LCY,
    CASE WHEN CAST(si.t_amount_lcy AS DECIMAL(20,4)) &gt; 0 THEN CAST(si.t_amount_lcy AS DECIMAL(20,4)) ELSE NULL END AS CR_AMT_LCY,
    CAST(bp.parent_code AS STRING)                                  AS BRANCH_PARENT_CODE,
    CAST(bd.branch_code AS STRING)                                  AS BRANCH_CODE,
    TO_DATE(si.t_booking_date,'yyyyMMdd')                           AS T_BOOKING_DATE,
    TO_DATE(si.t_value_date,'yyyyMMdd')                             AS T_VALUE_DATE,
    CAST(CASE WHEN COALESCE(SPLIT_PART(sa.t_inputter,'_',2),'')&lt;&gt;'' THEN SPLIT_PART(sa.t_inputter,'_',2) ELSE sa.t_inputter END AS STRING) AS INPUTTER_NAME,
    CAST(CASE WHEN COALESCE(SPLIT_PART(sa.t_authoriser,'_',2),'')&lt;&gt;'' THEN SPLIT_PART(sa.t_authoriser,'_',2) ELSE sa.t_authoriser END AS STRING) AS T_AUTHORISER,
    CAST(sc.t_consol_key_type AS STRING)                            AS T_CONSOL_KEY,
    CAST(sa.t_reversal_marker AS STRING)                            AS REVERSAL_MARKER,
    CAST(CASE WHEN (sa.t_reversal_marker IS NULL AND CAST(si.t_amount_lcy AS DECIMAL(20,4))&lt;0)
                OR (sa.t_reversal_marker IS NOT NULL AND CAST(si.t_amount_lcy AS DECIMAL(20,4))&gt;0) THEN 'DEBIT'
              WHEN (sa.t_reversal_marker IS NULL AND CAST(si.t_amount_lcy AS DECIMAL(20,4))&gt;0)
                OR (sa.t_reversal_marker IS NOT NULL AND CAST(si.t_amount_lcy AS DECIMAL(20,4))&lt;0) THEN 'CREDIT'
              ELSE NULL END AS STRING)                              AS CRF_TP,
    CAST(si.t_currency AS STRING)                                   AS CURRENCY,
    CAST(hc.customer_id AS INTEGER)                                 AS CUSTOMER_ID,
    CAST(cg.custgroup AS STRING)                                    AS CUSTGROUP,
    CAST(si.t_our_reference AS STRING)                              AS TRANSACTION_NO,
    CAST(sc.t_transaction_code AS STRING)                           AS TRANSACTION_TYPE_ID,
    CAST(sc.t_consol_key_type AS STRING)                            AS AC_KEY,
    CASE WHEN COALESCE(sa.t_date_time,'')&lt;&gt;'' THEN TO_TIMESTAMP('20'||sa.t_date_time,'yyyyMMddHHmm') ELSE NULL END AS T_DATE_TIME,
    CAST(si.t_narrative AS STRING)                                  AS DESCRIPTIONS,
    CAST(si.t_our_reference AS STRING)                              AS T_OUR_REFERENCE,
    CAST(sc.t_pl_category AS INTEGER)                               AS CATEGORY_CODE,
    CAST(sc.t_product_category AS INTEGER)                          AS PRODUCT_CATEGORY,
    CAST(si.t_stmt_no AS STRING)                                    AS T_STMT_NO,
    CAST(hub.business_key || ':R' AS STRING)                        AS UNQ_ID_SRC_STM,
    'SPEC'                                                          AS SOURCE_TYPE,
    CAST(CASE WHEN sc.t_system_id='AC' AND LEFT(si.t_our_reference,2)='AZ' THEN SUBSTR(si.t_our_reference,4,16)
              WHEN sc.t_system_id IN ('LD','PD') AND LOCATE('LD',si.t_our_reference)&gt;0 THEN SUBSTR(si.t_our_reference,LOCATE('LD',si.t_our_reference),12)
              WHEN LEFT(si.t_our_reference,2)='TF' THEN LEFT(si.t_our_reference,12)
              ELSE si.t_our_reference END AS STRING)                AS ARRENGEMENT_ID,
    CAST(sc.t_consol_key_type || '.' ||
         CASE WHEN (sa.t_reversal_marker IS NULL AND CAST(si.t_amount_lcy AS DECIMAL(20,4))&lt;0)
                OR (sa.t_reversal_marker IS NOT NULL AND CAST(si.t_amount_lcy AS DECIMAL(20,4))&gt;0) THEN 'DEBIT'
              WHEN (sa.t_reversal_marker IS NULL AND CAST(si.t_amount_lcy AS DECIMAL(20,4))&gt;0)
                OR (sa.t_reversal_marker IS NOT NULL AND CAST(si.t_amount_lcy AS DECIMAL(20,4))&lt;0) THEN 'CREDIT'
              ELSE '' END || '.' || si.t_booking_date AS STRING)    AS ENTR_KEY_ID,
    CAST(lm.t_line_id AS STRING)                                    AS LINE_ID,
    TRY_CAST(SPLIT_PART(lm.t_line_id,'-',2) AS INTEGER)             AS LINE_NUMBER,
    CURRENT_TIMESTAMP                                               AS PPN_TM,
    CAST(NULL AS STRING)                                            AS ORDER_FO,
    CAST(CASE WHEN TRY_CAST(sc.t_transaction_code AS INTEGER) IN (201200629,201200630)
                   AND LEFT(si.t_our_reference,2)&lt;&gt;'RV' THEN 'KETCHUYEN' ELSE NULL END AS STRING) AS EOY_TYPE,
    TO_DATE(:DATADT,'yyyyMMdd')                                     AS PST_DT,
    TRY_CAST(CASE WHEN LEFT(lm.t_line_id,5)='VMBGL' THEN SPLIT_PART(SPLIT_PART(rl.t_desc,'::',1),'!!',1) ELSE NULL END AS INTEGER) AS GL_NUMBER,
    CAST(NULL AS STRING)                                           AS CUSTOMER_ID_TBL
FROM lm_hub lm
JOIN lm_xref xf ON xf.lm_hk = lm.lm_hk
JOIN lm_lnk_spec ln ON ln.lm_hk = lm.lm_hk
JOIN hub_spec   hub ON hub.entry_hk = ln.entry_hk
LEFT JOIN si_spec si ON si.entry_hk = hub.entry_hk
LEFT JOIN sc_spec sc ON sc.entry_hk = hub.entry_hk
LEFT JOIN sa_spec sa ON sa.entry_hk = hub.entry_hk
LEFT JOIN lb_spec lb ON lb.entry_hk = hub.entry_hk
LEFT JOIN branch_dim    bd ON bd.branch_hashkey = lb.branch_hashkey
LEFT JOIN branch_parent bp ON bp.branch_hashkey = lb.branch_hashkey
LEFT JOIN lc_spec lc ON lc.entry_hk = hub.entry_hk
LEFT JOIN cust_dim hc ON hc.customer_hashkey = lc.customer_hashkey
LEFT JOIN custgrp  cg ON cg.customer_hashkey = lc.customer_hashkey
LEFT JOIN ref_line rl ON rl.ref_code = lm.t_line_id
WHERE hub.business_key NOT LIKE 'F%'
  AND xf.t_xref = 'RE.CONSOL.SPEC.ENTRY'
;
</t>
  </si>
  <si>
    <t>LV0 — VIEW đích (FACT_ACCT_ENTRY) — GOLD ZONE C / Databricks (gốc TCIMPORT.FACT_ACCT_ENTRY truncate-insert theo ngày)</t>
  </si>
  <si>
    <t>JOIN SCHEMA — FACT_ACCT_ENTRY (3 stream UNION ALL: STMT/CATEG/SPEC; alias theo STREAM STMT)</t>
  </si>
  <si>
    <t>#</t>
  </si>
  <si>
    <t>Table / View</t>
  </si>
  <si>
    <t>Alias</t>
  </si>
  <si>
    <t>JOIN Type</t>
  </si>
  <si>
    <t>ON / WHERE Condition</t>
  </si>
  <si>
    <t>Note</t>
  </si>
  <si>
    <t>1</t>
  </si>
  <si>
    <t>hub_line_movement_toanhang</t>
  </si>
  <si>
    <t>lm</t>
  </si>
  <si>
    <t>BASE</t>
  </si>
  <si>
    <t>DRIVER (dòng GL). Grain fact</t>
  </si>
  <si>
    <t>2</t>
  </si>
  <si>
    <t>sat_line_movement_toanhang</t>
  </si>
  <si>
    <t>xf</t>
  </si>
  <si>
    <t>JOIN</t>
  </si>
  <si>
    <t>xf.lm_hk=lm.lm_hk; HAVING max_by(t_xref_nxt_version) khớp STMT/CATEG/SPEC</t>
  </si>
  <si>
    <t>lọc nguồn theo stream</t>
  </si>
  <si>
    <t>3</t>
  </si>
  <si>
    <t>link_line_movement_toanhang_&lt;entry&gt;</t>
  </si>
  <si>
    <t>ln</t>
  </si>
  <si>
    <t>ln.lm_hk=lm.lm_hk; = :DATADT</t>
  </si>
  <si>
    <t>line → entry_hashkey</t>
  </si>
  <si>
    <t>4</t>
  </si>
  <si>
    <t>hub_&lt;entry&gt; (stmt/categ/re_consol_spec)</t>
  </si>
  <si>
    <t>hub</t>
  </si>
  <si>
    <t>hub.entry_hk=ln.entry_hk; = :DATADT; record_source theo entry</t>
  </si>
  <si>
    <t>ID/UNQ_ID; WHERE business_key NOT LIKE 'F%'</t>
  </si>
  <si>
    <t>5</t>
  </si>
  <si>
    <t>sat_&lt;entry&gt;_information</t>
  </si>
  <si>
    <t>si</t>
  </si>
  <si>
    <t>LEFT</t>
  </si>
  <si>
    <t>si.entry_hk=hub.entry_hk; = :DATADT</t>
  </si>
  <si>
    <t>amount/currency/value_date/ref/narrative/stmt_no (+account STMT)</t>
  </si>
  <si>
    <t>6</t>
  </si>
  <si>
    <t>sat_&lt;entry&gt;_classification</t>
  </si>
  <si>
    <t>sc</t>
  </si>
  <si>
    <t>sc.entry_hk=hub.entry_hk; = :DATADT</t>
  </si>
  <si>
    <t>pl/product_category, transaction_code, consol_key(_type)/system_id</t>
  </si>
  <si>
    <t>7</t>
  </si>
  <si>
    <t>sat_&lt;entry&gt;_audit</t>
  </si>
  <si>
    <t>sa</t>
  </si>
  <si>
    <t>sa.entry_hk=hub.entry_hk; = :DATADT</t>
  </si>
  <si>
    <t>booking_date/inputter/authoriser/date_time/reversal_marker (SPEC cũng có audit)</t>
  </si>
  <si>
    <t>8</t>
  </si>
  <si>
    <t>link_&lt;entry&gt;_branch → hub_branch</t>
  </si>
  <si>
    <t>lb/bd</t>
  </si>
  <si>
    <t>lb.entry_hk=hub...; bd.branch_hashkey=lb.branch_hashkey; anti-join sts_hub_branch</t>
  </si>
  <si>
    <t>BRANCH_CODE</t>
  </si>
  <si>
    <t>9</t>
  </si>
  <si>
    <t>sat_branch_comp_level_group</t>
  </si>
  <si>
    <t>bp</t>
  </si>
  <si>
    <t>bp.branch_hashkey=lb.branch_hashkey; &lt;= :DATADT</t>
  </si>
  <si>
    <t>BRANCH_PARENT_CODE (t_lead_company)</t>
  </si>
  <si>
    <t>10</t>
  </si>
  <si>
    <t>link_&lt;entry&gt;_customer → hub_customer</t>
  </si>
  <si>
    <t>lc/hc</t>
  </si>
  <si>
    <t>lc.entry_hk=hub...; hc.customer_hashkey=lc...; anti-join sts_hub_customer</t>
  </si>
  <si>
    <t>CUSTOMER_ID</t>
  </si>
  <si>
    <t>11</t>
  </si>
  <si>
    <t>sat_customer_classification</t>
  </si>
  <si>
    <t>cg</t>
  </si>
  <si>
    <t>cg.customer_hashkey=lc.customer_hashkey; &lt;= :DATADT</t>
  </si>
  <si>
    <t>CUSTGROUP (CASE DN lớn→LC…)</t>
  </si>
  <si>
    <t>12</t>
  </si>
  <si>
    <t>ref_t24_re_stat_rep_line</t>
  </si>
  <si>
    <t>rl</t>
  </si>
  <si>
    <t>rl.ref_code=lm.t_line_id; ref_type='re_stat_rep_line'; &lt;= :DATADT</t>
  </si>
  <si>
    <t>GL_NUMBER (parse VMBGL)</t>
  </si>
  <si>
    <t>13</t>
  </si>
  <si>
    <t>hub_teller + link_teller_customer1 + hub_customer</t>
  </si>
  <si>
    <t>tm</t>
  </si>
  <si>
    <t>tm.teller_id=si.t_trans_reference (chỉ STMT)</t>
  </si>
  <si>
    <t>CUSTOMER_ID_TBL</t>
  </si>
  <si>
    <t>FIELD MAPPING — FACT_ACCT_ENTRY (40 cột, target order theo dsx; giá trị minh hoạ STREAM STMT)</t>
  </si>
  <si>
    <t>View/Table</t>
  </si>
  <si>
    <t>Field</t>
  </si>
  <si>
    <t>Data Type</t>
  </si>
  <si>
    <t>Transform Type</t>
  </si>
  <si>
    <t>Transform Logic (Gold raw_vault)</t>
  </si>
  <si>
    <t>SOURCE / Note (SOR | he nguon)</t>
  </si>
  <si>
    <t>PST_ENTR_ID</t>
  </si>
  <si>
    <t>varchar</t>
  </si>
  <si>
    <t>1:1</t>
  </si>
  <si>
    <t>hub_&lt;entry&gt;.&lt;entry&gt;_hashkey</t>
  </si>
  <si>
    <t>U.PST_ENTR_ID</t>
  </si>
  <si>
    <t>DATE_COB</t>
  </si>
  <si>
    <t>date</t>
  </si>
  <si>
    <t>TO_DATE(:DATADT) — partition</t>
  </si>
  <si>
    <t>U.DATA_DT</t>
  </si>
  <si>
    <t>ID</t>
  </si>
  <si>
    <t>hub_&lt;entry&gt;.business_key</t>
  </si>
  <si>
    <t>SUBSTRING(PST_ENTR_REF trước '-')</t>
  </si>
  <si>
    <t>AMOUNT_FCY</t>
  </si>
  <si>
    <t>decimal(20,4)</t>
  </si>
  <si>
    <t>sat_&lt;entry&gt;_information.t_amount_fcy</t>
  </si>
  <si>
    <t>R.PST_ENTR_AMT_FCY</t>
  </si>
  <si>
    <t>AMOUNT_LCY</t>
  </si>
  <si>
    <t>sat_&lt;entry&gt;_information.t_amount_lcy</t>
  </si>
  <si>
    <t>R.PST_ENTR_AMT</t>
  </si>
  <si>
    <t>DR_AMT_LCY</t>
  </si>
  <si>
    <t>Transform</t>
  </si>
  <si>
    <t>CASE amount_lcy&lt;0</t>
  </si>
  <si>
    <t>-</t>
  </si>
  <si>
    <t>CR_AMT_LCY</t>
  </si>
  <si>
    <t>CASE amount_lcy&gt;0</t>
  </si>
  <si>
    <t>BRANCH_PARENT_CODE</t>
  </si>
  <si>
    <t>sat_branch_comp_level_group.t_lead_company</t>
  </si>
  <si>
    <t>IP2.UNQ_ID_SRC_STM</t>
  </si>
  <si>
    <t>hub_branch.business_key (link_&lt;entry&gt;_branch)</t>
  </si>
  <si>
    <t>OU.BR_NO</t>
  </si>
  <si>
    <t>T_BOOKING_DATE</t>
  </si>
  <si>
    <t>sat_&lt;entry&gt;_audit.t_booking_date (SPEC: info)</t>
  </si>
  <si>
    <t>R.PST_ENTR_BOOK_DT</t>
  </si>
  <si>
    <t>T_VALUE_DATE</t>
  </si>
  <si>
    <t>sat_&lt;entry&gt;_information.t_value_date</t>
  </si>
  <si>
    <t>R.PST_ENTR_VAL_DT</t>
  </si>
  <si>
    <t>INPUTTER_NAME</t>
  </si>
  <si>
    <t>SPLIT_PART(sat_audit.t_inputter,'_',2)</t>
  </si>
  <si>
    <t>R.DVC_ID</t>
  </si>
  <si>
    <t>T_AUTHORISER</t>
  </si>
  <si>
    <t>SPLIT_PART(sat_audit.t_authoriser,'_',2)</t>
  </si>
  <si>
    <t>R.ENTR_APRV</t>
  </si>
  <si>
    <t>T_CONSOL_KEY</t>
  </si>
  <si>
    <t>sat_class.t_consol_key (SPEC: t_consol_key_type)</t>
  </si>
  <si>
    <t>R.PST_ENTR_CONSOL_KEY</t>
  </si>
  <si>
    <t>REVERSAL_MARKER</t>
  </si>
  <si>
    <t>sat_audit.t_reversal_marker</t>
  </si>
  <si>
    <t>R.RVRS_MK</t>
  </si>
  <si>
    <t>CRF_TP</t>
  </si>
  <si>
    <t>CASE reversal_marker + dấu amount → DEBIT/CREDIT</t>
  </si>
  <si>
    <t>dsx CASE RVRS_MK</t>
  </si>
  <si>
    <t>CURRENCY</t>
  </si>
  <si>
    <t>sat_&lt;entry&gt;_information.t_currency</t>
  </si>
  <si>
    <t>R.UOM_ID</t>
  </si>
  <si>
    <t>integer</t>
  </si>
  <si>
    <t>hub_customer.business_key (link_&lt;entry&gt;_customer)</t>
  </si>
  <si>
    <t>IP1.UNQ_ID_SRC_STM</t>
  </si>
  <si>
    <t>CUSTGROUP</t>
  </si>
  <si>
    <t>sat_customer_classification.classification (CASE)</t>
  </si>
  <si>
    <t>CL3.DSC_VIET (IP_X_GRP 103100001)</t>
  </si>
  <si>
    <t>TRANSACTION_NO</t>
  </si>
  <si>
    <t>STMT: our_ref (FT/TT/DC/FXPL/FXVA) else trans_ref; CATEG/SPEC: our_ref</t>
  </si>
  <si>
    <t>R.TXN_REF</t>
  </si>
  <si>
    <t>TRANSACTION_TYPE_ID</t>
  </si>
  <si>
    <t>sat_class.t_transaction_code</t>
  </si>
  <si>
    <t>CL2.SRC_CL_ID (CV Transaction)</t>
  </si>
  <si>
    <t>AC_KEY</t>
  </si>
  <si>
    <t>STMT: t_account_number; CATEG: consol_key; SPEC: consol_key_type</t>
  </si>
  <si>
    <t>dsx CASE RIGHT(UNQ,1)</t>
  </si>
  <si>
    <t>T_DATE_TIME</t>
  </si>
  <si>
    <t>timestamp</t>
  </si>
  <si>
    <t>TO_TIMESTAMP('20'||sat_audit.t_date_time)</t>
  </si>
  <si>
    <t>R.PST_ENTR_DT_TM</t>
  </si>
  <si>
    <t>DESCRIPTIONS</t>
  </si>
  <si>
    <t>STMT: COALESCE(narrative,their_ref); CATEG/SPEC: narrative</t>
  </si>
  <si>
    <t>R.DESCRIPTIONS</t>
  </si>
  <si>
    <t>T_OUR_REFERENCE</t>
  </si>
  <si>
    <t>CATEGORY_CODE</t>
  </si>
  <si>
    <t>sat_class.t_pl_category</t>
  </si>
  <si>
    <t>R.PL_CGY_ID</t>
  </si>
  <si>
    <t>PRODUCT_CATEGORY</t>
  </si>
  <si>
    <t>sat_class.t_product_category</t>
  </si>
  <si>
    <t>R.PD_CGY</t>
  </si>
  <si>
    <t>T_STMT_NO</t>
  </si>
  <si>
    <t>sat_&lt;entry&gt;_information.t_stmt_no</t>
  </si>
  <si>
    <t>R.STMT_NBR</t>
  </si>
  <si>
    <t>UNQ_ID_SRC_STM</t>
  </si>
  <si>
    <t>business_key || ':A'/':P'/':R'</t>
  </si>
  <si>
    <t>R.UNQ_ID_SRC_STM</t>
  </si>
  <si>
    <t>SOURCE_TYPE</t>
  </si>
  <si>
    <t>'STMT'/'CATEG'/'SPEC' theo stream</t>
  </si>
  <si>
    <t>CASE RIGHT(PST_ENTR_REF,1)</t>
  </si>
  <si>
    <t>ARRENGEMENT_ID</t>
  </si>
  <si>
    <t>STMT: account_number; CATEG: 'PL'||pl_cat; SPEC: parse AZ/LD/TF</t>
  </si>
  <si>
    <t>CASE + AR.UNQ_ID_SRC_STM</t>
  </si>
  <si>
    <t>ENTR_KEY_ID</t>
  </si>
  <si>
    <t>consol_key || '.' || CRF_TP || '.' || booking_date</t>
  </si>
  <si>
    <t>dsx concat</t>
  </si>
  <si>
    <t>LINE_ID</t>
  </si>
  <si>
    <t>hub_line_movement_toanhang.business_key</t>
  </si>
  <si>
    <t>U.PST_ENTR_REF_LINE</t>
  </si>
  <si>
    <t>LINE_NUMBER</t>
  </si>
  <si>
    <t>SPLIT_PART(t_line_id,'-',2)</t>
  </si>
  <si>
    <t>U.GL</t>
  </si>
  <si>
    <t>PPN_TM</t>
  </si>
  <si>
    <t>CURRENT_TIMESTAMP</t>
  </si>
  <si>
    <t>U.PPN_TM</t>
  </si>
  <si>
    <t>ORDER_FO</t>
  </si>
  <si>
    <t>NULL</t>
  </si>
  <si>
    <t>NULL — DV không có bảng TXN + link entry→transaction; ứng viên gián tiếp funds_transfer.t_online_ref_id (TODO DA)</t>
  </si>
  <si>
    <t>L.FO_TXN_NO (TXN ODS)</t>
  </si>
  <si>
    <t>EOY_TYPE</t>
  </si>
  <si>
    <t>CASE transaction_code IN (201200629,630) &amp; our_ref không 'RV' → KETCHUYEN</t>
  </si>
  <si>
    <t>dsx CASE</t>
  </si>
  <si>
    <t>PST_DT</t>
  </si>
  <si>
    <t>TO_DATE(:DATADT)</t>
  </si>
  <si>
    <t>U.PST_DT</t>
  </si>
  <si>
    <t>GL_NUMBER</t>
  </si>
  <si>
    <t>parse ref_t24_re_stat_rep_line.ref_description (VMBGL)</t>
  </si>
  <si>
    <t>ASI.GL_AC_NBR</t>
  </si>
  <si>
    <t>teller → hub_customer.business_key (chỉ STMT; CATEG/SPEC NULL)</t>
  </si>
  <si>
    <t>IP11.UNQ_ID_SRC_STM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</si>
</sst>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b/>
      <sz val="9"/>
      <color rgb="FFFFFFFF"/>
      <name val="Arial"/>
    </font>
    <font>
      <sz val="12"/>
      <color rgb="FF808080"/>
      <name val="Calibri"/>
    </font>
    <font>
      <sz val="8"/>
      <color rgb="FFFFFFFF"/>
      <name val="Arial"/>
    </font>
    <font>
      <b/>
      <sz val="10"/>
      <color rgb="FF000080"/>
      <name val="Arial"/>
    </font>
    <font>
      <sz val="9"/>
      <name val="Arial"/>
    </font>
    <font>
      <i/>
      <sz val="9"/>
      <name val="Arial"/>
    </font>
    <font>
      <sz val="8"/>
      <name val="Consolas"/>
    </font>
    <font>
      <b/>
      <sz val="12"/>
      <color rgb="FFFFFFFF"/>
      <name val="Arial"/>
    </font>
    <font>
      <b/>
      <sz val="10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</patternFill>
    </fill>
    <fill>
      <patternFill patternType="solid">
        <fgColor rgb="FFF0F0F0"/>
      </patternFill>
    </fill>
    <fill>
      <patternFill patternType="solid">
        <fgColor rgb="FF00B050"/>
      </patternFill>
    </fill>
    <fill>
      <patternFill patternType="solid">
        <fgColor rgb="FFA5A5A5"/>
      </patternFill>
    </fill>
    <fill>
      <patternFill patternType="solid">
        <fgColor rgb="FF4D93D9"/>
      </patternFill>
    </fill>
    <fill>
      <patternFill patternType="solid">
        <fgColor rgb="FFE67E2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top" wrapText="1"/>
    </xf>
    <xf numFmtId="0" fontId="4" fillId="4" borderId="0" xfId="0" applyFont="1" applyFill="1" applyAlignment="1">
      <alignment horizontal="center" vertical="top"/>
    </xf>
    <xf numFmtId="0" fontId="5" fillId="6" borderId="0" xfId="0" applyFont="1" applyFill="1" applyAlignment="1">
      <alignment horizontal="left" vertical="top" wrapText="1"/>
    </xf>
    <xf numFmtId="0" fontId="6" fillId="0" borderId="0" xfId="0" applyFont="1"/>
    <xf numFmtId="0" fontId="0" fillId="3" borderId="0" xfId="0" applyFill="1"/>
    <xf numFmtId="0" fontId="7" fillId="0" borderId="0" xfId="0" applyFont="1"/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9" fillId="0" borderId="0" xfId="0" applyFont="1" applyAlignment="1">
      <alignment vertical="top"/>
    </xf>
    <xf numFmtId="0" fontId="11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top"/>
    </xf>
    <xf numFmtId="0" fontId="6" fillId="9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GridLines="0" tabSelected="1" workbookViewId="0">
      <selection activeCell="E3" sqref="E3:E9"/>
    </sheetView>
  </sheetViews>
  <sheetFormatPr defaultRowHeight="14.4" x14ac:dyDescent="0.3"/>
  <cols>
    <col min="1" max="1" width="24" customWidth="1"/>
    <col min="2" max="2" width="3" customWidth="1"/>
    <col min="3" max="3" width="26" customWidth="1"/>
    <col min="4" max="4" width="3" customWidth="1"/>
    <col min="5" max="5" width="24" customWidth="1"/>
    <col min="6" max="6" width="3" customWidth="1"/>
    <col min="7" max="7" width="108" customWidth="1"/>
  </cols>
  <sheetData>
    <row r="1" spans="1:7" x14ac:dyDescent="0.3">
      <c r="A1" s="16" t="s">
        <v>0</v>
      </c>
      <c r="B1" s="17"/>
      <c r="C1" s="17"/>
      <c r="D1" s="17"/>
      <c r="E1" s="17"/>
      <c r="F1" s="17"/>
      <c r="G1" s="17"/>
    </row>
    <row r="2" spans="1:7" ht="24" x14ac:dyDescent="0.3">
      <c r="A2" s="1" t="s">
        <v>1</v>
      </c>
      <c r="C2" s="1" t="s">
        <v>2</v>
      </c>
      <c r="E2" s="1" t="s">
        <v>3</v>
      </c>
      <c r="G2" s="1" t="s">
        <v>4</v>
      </c>
    </row>
    <row r="3" spans="1:7" ht="30" customHeight="1" x14ac:dyDescent="0.3">
      <c r="A3" s="19" t="s">
        <v>5</v>
      </c>
      <c r="B3" s="21" t="s">
        <v>6</v>
      </c>
      <c r="C3" s="19" t="s">
        <v>7</v>
      </c>
      <c r="D3" s="21" t="s">
        <v>6</v>
      </c>
      <c r="E3" s="20" t="s">
        <v>8</v>
      </c>
      <c r="F3" s="2" t="s">
        <v>6</v>
      </c>
      <c r="G3" s="3" t="s">
        <v>9</v>
      </c>
    </row>
    <row r="4" spans="1:7" ht="30" customHeight="1" x14ac:dyDescent="0.3">
      <c r="A4" s="17"/>
      <c r="B4" s="17"/>
      <c r="C4" s="17"/>
      <c r="D4" s="17"/>
      <c r="E4" s="17"/>
      <c r="F4" s="2" t="s">
        <v>6</v>
      </c>
      <c r="G4" s="3" t="s">
        <v>10</v>
      </c>
    </row>
    <row r="5" spans="1:7" ht="30" customHeight="1" x14ac:dyDescent="0.3">
      <c r="A5" s="17"/>
      <c r="B5" s="17"/>
      <c r="C5" s="17"/>
      <c r="D5" s="17"/>
      <c r="E5" s="17"/>
      <c r="F5" s="2" t="s">
        <v>6</v>
      </c>
      <c r="G5" s="3" t="s">
        <v>11</v>
      </c>
    </row>
    <row r="6" spans="1:7" ht="30" customHeight="1" x14ac:dyDescent="0.3">
      <c r="A6" s="17"/>
      <c r="B6" s="17"/>
      <c r="C6" s="17"/>
      <c r="D6" s="17"/>
      <c r="E6" s="17"/>
      <c r="F6" s="2" t="s">
        <v>6</v>
      </c>
      <c r="G6" s="3" t="s">
        <v>12</v>
      </c>
    </row>
    <row r="7" spans="1:7" ht="30" customHeight="1" x14ac:dyDescent="0.3">
      <c r="A7" s="17"/>
      <c r="B7" s="17"/>
      <c r="C7" s="17"/>
      <c r="D7" s="17"/>
      <c r="E7" s="17"/>
      <c r="F7" s="2" t="s">
        <v>6</v>
      </c>
      <c r="G7" s="3" t="s">
        <v>13</v>
      </c>
    </row>
    <row r="8" spans="1:7" ht="30" customHeight="1" x14ac:dyDescent="0.3">
      <c r="A8" s="17"/>
      <c r="B8" s="17"/>
      <c r="C8" s="17"/>
      <c r="D8" s="17"/>
      <c r="E8" s="17"/>
      <c r="F8" s="2" t="s">
        <v>6</v>
      </c>
      <c r="G8" s="3" t="s">
        <v>14</v>
      </c>
    </row>
    <row r="9" spans="1:7" ht="30" customHeight="1" x14ac:dyDescent="0.3">
      <c r="A9" s="17"/>
      <c r="B9" s="17"/>
      <c r="C9" s="17"/>
      <c r="D9" s="17"/>
      <c r="E9" s="17"/>
      <c r="F9" s="2" t="s">
        <v>6</v>
      </c>
      <c r="G9" s="3" t="s">
        <v>15</v>
      </c>
    </row>
    <row r="11" spans="1:7" x14ac:dyDescent="0.3">
      <c r="A11" s="4" t="s">
        <v>16</v>
      </c>
    </row>
    <row r="12" spans="1:7" x14ac:dyDescent="0.3">
      <c r="A12" s="5"/>
      <c r="C12" s="6" t="s">
        <v>17</v>
      </c>
    </row>
    <row r="13" spans="1:7" x14ac:dyDescent="0.3">
      <c r="A13" s="7"/>
      <c r="C13" s="6" t="s">
        <v>18</v>
      </c>
    </row>
    <row r="14" spans="1:7" x14ac:dyDescent="0.3">
      <c r="A14" s="8"/>
      <c r="C14" s="6" t="s">
        <v>19</v>
      </c>
    </row>
    <row r="15" spans="1:7" x14ac:dyDescent="0.3">
      <c r="A15" s="9"/>
      <c r="C15" s="6" t="s">
        <v>20</v>
      </c>
    </row>
    <row r="16" spans="1:7" x14ac:dyDescent="0.3">
      <c r="A16" s="10"/>
      <c r="C16" s="6" t="s">
        <v>21</v>
      </c>
    </row>
    <row r="18" spans="1:7" x14ac:dyDescent="0.3">
      <c r="A18" s="18"/>
      <c r="B18" s="17"/>
      <c r="C18" s="17"/>
      <c r="D18" s="17"/>
      <c r="E18" s="17"/>
      <c r="F18" s="17"/>
      <c r="G18" s="17"/>
    </row>
  </sheetData>
  <mergeCells count="7">
    <mergeCell ref="A1:G1"/>
    <mergeCell ref="A18:G18"/>
    <mergeCell ref="C3:C9"/>
    <mergeCell ref="A3:A9"/>
    <mergeCell ref="E3:E9"/>
    <mergeCell ref="D3:D9"/>
    <mergeCell ref="B3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GridLines="0" workbookViewId="0"/>
  </sheetViews>
  <sheetFormatPr defaultRowHeight="14.4" x14ac:dyDescent="0.3"/>
  <cols>
    <col min="1" max="1" width="14" customWidth="1"/>
    <col min="2" max="2" width="30" customWidth="1"/>
    <col min="3" max="3" width="120" customWidth="1"/>
  </cols>
  <sheetData>
    <row r="1" spans="1:3" x14ac:dyDescent="0.3">
      <c r="A1" s="11" t="s">
        <v>22</v>
      </c>
      <c r="B1" s="11" t="s">
        <v>23</v>
      </c>
      <c r="C1" s="11" t="s">
        <v>24</v>
      </c>
    </row>
    <row r="2" spans="1:3" ht="409.6" customHeight="1" x14ac:dyDescent="0.3">
      <c r="A2" s="12" t="s">
        <v>25</v>
      </c>
      <c r="B2" s="6" t="s">
        <v>26</v>
      </c>
      <c r="C2" s="13" t="s">
        <v>27</v>
      </c>
    </row>
    <row r="3" spans="1:3" ht="409.6" customHeight="1" x14ac:dyDescent="0.3">
      <c r="A3" s="12" t="s">
        <v>28</v>
      </c>
      <c r="B3" s="6" t="s">
        <v>29</v>
      </c>
      <c r="C3" s="13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showGridLines="0" workbookViewId="0">
      <selection sqref="A1:F1"/>
    </sheetView>
  </sheetViews>
  <sheetFormatPr defaultRowHeight="14.4" x14ac:dyDescent="0.3"/>
  <cols>
    <col min="1" max="1" width="6" customWidth="1"/>
    <col min="2" max="2" width="44" customWidth="1"/>
    <col min="3" max="4" width="13" customWidth="1"/>
    <col min="5" max="5" width="54" customWidth="1"/>
    <col min="6" max="6" width="42" customWidth="1"/>
  </cols>
  <sheetData>
    <row r="1" spans="1:6" x14ac:dyDescent="0.3">
      <c r="A1" s="23" t="s">
        <v>31</v>
      </c>
      <c r="B1" s="17"/>
      <c r="C1" s="17"/>
      <c r="D1" s="17"/>
      <c r="E1" s="17"/>
      <c r="F1" s="17"/>
    </row>
    <row r="3" spans="1:6" x14ac:dyDescent="0.3">
      <c r="A3" s="22" t="s">
        <v>32</v>
      </c>
      <c r="B3" s="17"/>
      <c r="C3" s="17"/>
      <c r="D3" s="17"/>
      <c r="E3" s="17"/>
      <c r="F3" s="17"/>
    </row>
    <row r="4" spans="1:6" x14ac:dyDescent="0.3">
      <c r="A4" s="14" t="s">
        <v>33</v>
      </c>
      <c r="B4" s="14" t="s">
        <v>34</v>
      </c>
      <c r="C4" s="14" t="s">
        <v>35</v>
      </c>
      <c r="D4" s="14" t="s">
        <v>36</v>
      </c>
      <c r="E4" s="14" t="s">
        <v>37</v>
      </c>
      <c r="F4" s="14" t="s">
        <v>38</v>
      </c>
    </row>
    <row r="5" spans="1:6" x14ac:dyDescent="0.3">
      <c r="A5" s="15" t="s">
        <v>39</v>
      </c>
      <c r="B5" s="15" t="s">
        <v>40</v>
      </c>
      <c r="C5" s="15" t="s">
        <v>41</v>
      </c>
      <c r="D5" s="15" t="s">
        <v>42</v>
      </c>
      <c r="E5" s="15"/>
      <c r="F5" s="15" t="s">
        <v>43</v>
      </c>
    </row>
    <row r="6" spans="1:6" ht="22.8" x14ac:dyDescent="0.3">
      <c r="A6" s="15" t="s">
        <v>44</v>
      </c>
      <c r="B6" s="15" t="s">
        <v>45</v>
      </c>
      <c r="C6" s="15" t="s">
        <v>46</v>
      </c>
      <c r="D6" s="15" t="s">
        <v>47</v>
      </c>
      <c r="E6" s="15" t="s">
        <v>48</v>
      </c>
      <c r="F6" s="15" t="s">
        <v>49</v>
      </c>
    </row>
    <row r="7" spans="1:6" x14ac:dyDescent="0.3">
      <c r="A7" s="15" t="s">
        <v>50</v>
      </c>
      <c r="B7" s="15" t="s">
        <v>51</v>
      </c>
      <c r="C7" s="15" t="s">
        <v>52</v>
      </c>
      <c r="D7" s="15" t="s">
        <v>47</v>
      </c>
      <c r="E7" s="15" t="s">
        <v>53</v>
      </c>
      <c r="F7" s="15" t="s">
        <v>54</v>
      </c>
    </row>
    <row r="8" spans="1:6" x14ac:dyDescent="0.3">
      <c r="A8" s="15" t="s">
        <v>55</v>
      </c>
      <c r="B8" s="15" t="s">
        <v>56</v>
      </c>
      <c r="C8" s="15" t="s">
        <v>57</v>
      </c>
      <c r="D8" s="15" t="s">
        <v>47</v>
      </c>
      <c r="E8" s="15" t="s">
        <v>58</v>
      </c>
      <c r="F8" s="15" t="s">
        <v>59</v>
      </c>
    </row>
    <row r="9" spans="1:6" ht="22.8" x14ac:dyDescent="0.3">
      <c r="A9" s="15" t="s">
        <v>60</v>
      </c>
      <c r="B9" s="15" t="s">
        <v>61</v>
      </c>
      <c r="C9" s="15" t="s">
        <v>62</v>
      </c>
      <c r="D9" s="15" t="s">
        <v>63</v>
      </c>
      <c r="E9" s="15" t="s">
        <v>64</v>
      </c>
      <c r="F9" s="15" t="s">
        <v>65</v>
      </c>
    </row>
    <row r="10" spans="1:6" ht="22.8" x14ac:dyDescent="0.3">
      <c r="A10" s="15" t="s">
        <v>66</v>
      </c>
      <c r="B10" s="15" t="s">
        <v>67</v>
      </c>
      <c r="C10" s="15" t="s">
        <v>68</v>
      </c>
      <c r="D10" s="15" t="s">
        <v>63</v>
      </c>
      <c r="E10" s="15" t="s">
        <v>69</v>
      </c>
      <c r="F10" s="15" t="s">
        <v>70</v>
      </c>
    </row>
    <row r="11" spans="1:6" ht="22.8" x14ac:dyDescent="0.3">
      <c r="A11" s="15" t="s">
        <v>71</v>
      </c>
      <c r="B11" s="15" t="s">
        <v>72</v>
      </c>
      <c r="C11" s="15" t="s">
        <v>73</v>
      </c>
      <c r="D11" s="15" t="s">
        <v>63</v>
      </c>
      <c r="E11" s="15" t="s">
        <v>74</v>
      </c>
      <c r="F11" s="15" t="s">
        <v>75</v>
      </c>
    </row>
    <row r="12" spans="1:6" ht="22.8" x14ac:dyDescent="0.3">
      <c r="A12" s="15" t="s">
        <v>76</v>
      </c>
      <c r="B12" s="15" t="s">
        <v>77</v>
      </c>
      <c r="C12" s="15" t="s">
        <v>78</v>
      </c>
      <c r="D12" s="15" t="s">
        <v>63</v>
      </c>
      <c r="E12" s="15" t="s">
        <v>79</v>
      </c>
      <c r="F12" s="15" t="s">
        <v>80</v>
      </c>
    </row>
    <row r="13" spans="1:6" x14ac:dyDescent="0.3">
      <c r="A13" s="15" t="s">
        <v>81</v>
      </c>
      <c r="B13" s="15" t="s">
        <v>82</v>
      </c>
      <c r="C13" s="15" t="s">
        <v>83</v>
      </c>
      <c r="D13" s="15" t="s">
        <v>63</v>
      </c>
      <c r="E13" s="15" t="s">
        <v>84</v>
      </c>
      <c r="F13" s="15" t="s">
        <v>85</v>
      </c>
    </row>
    <row r="14" spans="1:6" ht="22.8" x14ac:dyDescent="0.3">
      <c r="A14" s="15" t="s">
        <v>86</v>
      </c>
      <c r="B14" s="15" t="s">
        <v>87</v>
      </c>
      <c r="C14" s="15" t="s">
        <v>88</v>
      </c>
      <c r="D14" s="15" t="s">
        <v>63</v>
      </c>
      <c r="E14" s="15" t="s">
        <v>89</v>
      </c>
      <c r="F14" s="15" t="s">
        <v>90</v>
      </c>
    </row>
    <row r="15" spans="1:6" x14ac:dyDescent="0.3">
      <c r="A15" s="15" t="s">
        <v>91</v>
      </c>
      <c r="B15" s="15" t="s">
        <v>92</v>
      </c>
      <c r="C15" s="15" t="s">
        <v>93</v>
      </c>
      <c r="D15" s="15" t="s">
        <v>63</v>
      </c>
      <c r="E15" s="15" t="s">
        <v>94</v>
      </c>
      <c r="F15" s="15" t="s">
        <v>95</v>
      </c>
    </row>
    <row r="16" spans="1:6" x14ac:dyDescent="0.3">
      <c r="A16" s="15" t="s">
        <v>96</v>
      </c>
      <c r="B16" s="15" t="s">
        <v>97</v>
      </c>
      <c r="C16" s="15" t="s">
        <v>98</v>
      </c>
      <c r="D16" s="15" t="s">
        <v>63</v>
      </c>
      <c r="E16" s="15" t="s">
        <v>99</v>
      </c>
      <c r="F16" s="15" t="s">
        <v>100</v>
      </c>
    </row>
    <row r="17" spans="1:6" x14ac:dyDescent="0.3">
      <c r="A17" s="15" t="s">
        <v>101</v>
      </c>
      <c r="B17" s="15" t="s">
        <v>102</v>
      </c>
      <c r="C17" s="15" t="s">
        <v>103</v>
      </c>
      <c r="D17" s="15" t="s">
        <v>63</v>
      </c>
      <c r="E17" s="15" t="s">
        <v>104</v>
      </c>
      <c r="F17" s="15" t="s">
        <v>105</v>
      </c>
    </row>
    <row r="19" spans="1:6" x14ac:dyDescent="0.3">
      <c r="A19" s="22" t="s">
        <v>106</v>
      </c>
      <c r="B19" s="17"/>
      <c r="C19" s="17"/>
      <c r="D19" s="17"/>
      <c r="E19" s="17"/>
      <c r="F19" s="17"/>
    </row>
    <row r="20" spans="1:6" ht="26.4" x14ac:dyDescent="0.3">
      <c r="A20" s="14" t="s">
        <v>107</v>
      </c>
      <c r="B20" s="14" t="s">
        <v>108</v>
      </c>
      <c r="C20" s="14" t="s">
        <v>109</v>
      </c>
      <c r="D20" s="14" t="s">
        <v>110</v>
      </c>
      <c r="E20" s="14" t="s">
        <v>111</v>
      </c>
      <c r="F20" s="14" t="s">
        <v>112</v>
      </c>
    </row>
    <row r="21" spans="1:6" ht="45.6" x14ac:dyDescent="0.3">
      <c r="A21" s="15" t="s">
        <v>8</v>
      </c>
      <c r="B21" s="15" t="s">
        <v>113</v>
      </c>
      <c r="C21" s="15" t="s">
        <v>114</v>
      </c>
      <c r="D21" s="15" t="s">
        <v>115</v>
      </c>
      <c r="E21" s="15" t="s">
        <v>116</v>
      </c>
      <c r="F21" s="15" t="s">
        <v>117</v>
      </c>
    </row>
    <row r="22" spans="1:6" ht="45.6" x14ac:dyDescent="0.3">
      <c r="A22" s="15" t="s">
        <v>8</v>
      </c>
      <c r="B22" s="15" t="s">
        <v>118</v>
      </c>
      <c r="C22" s="15" t="s">
        <v>119</v>
      </c>
      <c r="D22" s="15" t="s">
        <v>115</v>
      </c>
      <c r="E22" s="15" t="s">
        <v>120</v>
      </c>
      <c r="F22" s="15" t="s">
        <v>121</v>
      </c>
    </row>
    <row r="23" spans="1:6" ht="45.6" x14ac:dyDescent="0.3">
      <c r="A23" s="15" t="s">
        <v>8</v>
      </c>
      <c r="B23" s="15" t="s">
        <v>122</v>
      </c>
      <c r="C23" s="15" t="s">
        <v>114</v>
      </c>
      <c r="D23" s="15" t="s">
        <v>115</v>
      </c>
      <c r="E23" s="15" t="s">
        <v>123</v>
      </c>
      <c r="F23" s="15" t="s">
        <v>124</v>
      </c>
    </row>
    <row r="24" spans="1:6" ht="45.6" x14ac:dyDescent="0.3">
      <c r="A24" s="15" t="s">
        <v>8</v>
      </c>
      <c r="B24" s="15" t="s">
        <v>125</v>
      </c>
      <c r="C24" s="15" t="s">
        <v>126</v>
      </c>
      <c r="D24" s="15" t="s">
        <v>115</v>
      </c>
      <c r="E24" s="15" t="s">
        <v>127</v>
      </c>
      <c r="F24" s="15" t="s">
        <v>128</v>
      </c>
    </row>
    <row r="25" spans="1:6" ht="45.6" x14ac:dyDescent="0.3">
      <c r="A25" s="15" t="s">
        <v>8</v>
      </c>
      <c r="B25" s="15" t="s">
        <v>129</v>
      </c>
      <c r="C25" s="15" t="s">
        <v>126</v>
      </c>
      <c r="D25" s="15" t="s">
        <v>115</v>
      </c>
      <c r="E25" s="15" t="s">
        <v>130</v>
      </c>
      <c r="F25" s="15" t="s">
        <v>131</v>
      </c>
    </row>
    <row r="26" spans="1:6" ht="45.6" x14ac:dyDescent="0.3">
      <c r="A26" s="15" t="s">
        <v>8</v>
      </c>
      <c r="B26" s="15" t="s">
        <v>132</v>
      </c>
      <c r="C26" s="15" t="s">
        <v>126</v>
      </c>
      <c r="D26" s="15" t="s">
        <v>133</v>
      </c>
      <c r="E26" s="15" t="s">
        <v>134</v>
      </c>
      <c r="F26" s="15" t="s">
        <v>135</v>
      </c>
    </row>
    <row r="27" spans="1:6" ht="45.6" x14ac:dyDescent="0.3">
      <c r="A27" s="15" t="s">
        <v>8</v>
      </c>
      <c r="B27" s="15" t="s">
        <v>136</v>
      </c>
      <c r="C27" s="15" t="s">
        <v>126</v>
      </c>
      <c r="D27" s="15" t="s">
        <v>133</v>
      </c>
      <c r="E27" s="15" t="s">
        <v>137</v>
      </c>
      <c r="F27" s="15" t="s">
        <v>135</v>
      </c>
    </row>
    <row r="28" spans="1:6" ht="45.6" x14ac:dyDescent="0.3">
      <c r="A28" s="15" t="s">
        <v>8</v>
      </c>
      <c r="B28" s="15" t="s">
        <v>138</v>
      </c>
      <c r="C28" s="15" t="s">
        <v>114</v>
      </c>
      <c r="D28" s="15" t="s">
        <v>133</v>
      </c>
      <c r="E28" s="15" t="s">
        <v>139</v>
      </c>
      <c r="F28" s="15" t="s">
        <v>140</v>
      </c>
    </row>
    <row r="29" spans="1:6" ht="45.6" x14ac:dyDescent="0.3">
      <c r="A29" s="15" t="s">
        <v>8</v>
      </c>
      <c r="B29" s="15" t="s">
        <v>80</v>
      </c>
      <c r="C29" s="15" t="s">
        <v>114</v>
      </c>
      <c r="D29" s="15" t="s">
        <v>115</v>
      </c>
      <c r="E29" s="15" t="s">
        <v>141</v>
      </c>
      <c r="F29" s="15" t="s">
        <v>142</v>
      </c>
    </row>
    <row r="30" spans="1:6" ht="45.6" x14ac:dyDescent="0.3">
      <c r="A30" s="15" t="s">
        <v>8</v>
      </c>
      <c r="B30" s="15" t="s">
        <v>143</v>
      </c>
      <c r="C30" s="15" t="s">
        <v>119</v>
      </c>
      <c r="D30" s="15" t="s">
        <v>115</v>
      </c>
      <c r="E30" s="15" t="s">
        <v>144</v>
      </c>
      <c r="F30" s="15" t="s">
        <v>145</v>
      </c>
    </row>
    <row r="31" spans="1:6" ht="45.6" x14ac:dyDescent="0.3">
      <c r="A31" s="15" t="s">
        <v>8</v>
      </c>
      <c r="B31" s="15" t="s">
        <v>146</v>
      </c>
      <c r="C31" s="15" t="s">
        <v>119</v>
      </c>
      <c r="D31" s="15" t="s">
        <v>115</v>
      </c>
      <c r="E31" s="15" t="s">
        <v>147</v>
      </c>
      <c r="F31" s="15" t="s">
        <v>148</v>
      </c>
    </row>
    <row r="32" spans="1:6" ht="45.6" x14ac:dyDescent="0.3">
      <c r="A32" s="15" t="s">
        <v>8</v>
      </c>
      <c r="B32" s="15" t="s">
        <v>149</v>
      </c>
      <c r="C32" s="15" t="s">
        <v>114</v>
      </c>
      <c r="D32" s="15" t="s">
        <v>133</v>
      </c>
      <c r="E32" s="15" t="s">
        <v>150</v>
      </c>
      <c r="F32" s="15" t="s">
        <v>151</v>
      </c>
    </row>
    <row r="33" spans="1:6" ht="45.6" x14ac:dyDescent="0.3">
      <c r="A33" s="15" t="s">
        <v>8</v>
      </c>
      <c r="B33" s="15" t="s">
        <v>152</v>
      </c>
      <c r="C33" s="15" t="s">
        <v>114</v>
      </c>
      <c r="D33" s="15" t="s">
        <v>133</v>
      </c>
      <c r="E33" s="15" t="s">
        <v>153</v>
      </c>
      <c r="F33" s="15" t="s">
        <v>154</v>
      </c>
    </row>
    <row r="34" spans="1:6" ht="45.6" x14ac:dyDescent="0.3">
      <c r="A34" s="15" t="s">
        <v>8</v>
      </c>
      <c r="B34" s="15" t="s">
        <v>155</v>
      </c>
      <c r="C34" s="15" t="s">
        <v>114</v>
      </c>
      <c r="D34" s="15" t="s">
        <v>115</v>
      </c>
      <c r="E34" s="15" t="s">
        <v>156</v>
      </c>
      <c r="F34" s="15" t="s">
        <v>157</v>
      </c>
    </row>
    <row r="35" spans="1:6" ht="45.6" x14ac:dyDescent="0.3">
      <c r="A35" s="15" t="s">
        <v>8</v>
      </c>
      <c r="B35" s="15" t="s">
        <v>158</v>
      </c>
      <c r="C35" s="15" t="s">
        <v>114</v>
      </c>
      <c r="D35" s="15" t="s">
        <v>115</v>
      </c>
      <c r="E35" s="15" t="s">
        <v>159</v>
      </c>
      <c r="F35" s="15" t="s">
        <v>160</v>
      </c>
    </row>
    <row r="36" spans="1:6" ht="45.6" x14ac:dyDescent="0.3">
      <c r="A36" s="15" t="s">
        <v>8</v>
      </c>
      <c r="B36" s="15" t="s">
        <v>161</v>
      </c>
      <c r="C36" s="15" t="s">
        <v>114</v>
      </c>
      <c r="D36" s="15" t="s">
        <v>133</v>
      </c>
      <c r="E36" s="15" t="s">
        <v>162</v>
      </c>
      <c r="F36" s="15" t="s">
        <v>163</v>
      </c>
    </row>
    <row r="37" spans="1:6" ht="45.6" x14ac:dyDescent="0.3">
      <c r="A37" s="15" t="s">
        <v>8</v>
      </c>
      <c r="B37" s="15" t="s">
        <v>164</v>
      </c>
      <c r="C37" s="15" t="s">
        <v>114</v>
      </c>
      <c r="D37" s="15" t="s">
        <v>115</v>
      </c>
      <c r="E37" s="15" t="s">
        <v>165</v>
      </c>
      <c r="F37" s="15" t="s">
        <v>166</v>
      </c>
    </row>
    <row r="38" spans="1:6" ht="45.6" x14ac:dyDescent="0.3">
      <c r="A38" s="15" t="s">
        <v>8</v>
      </c>
      <c r="B38" s="15" t="s">
        <v>90</v>
      </c>
      <c r="C38" s="15" t="s">
        <v>167</v>
      </c>
      <c r="D38" s="15" t="s">
        <v>115</v>
      </c>
      <c r="E38" s="15" t="s">
        <v>168</v>
      </c>
      <c r="F38" s="15" t="s">
        <v>169</v>
      </c>
    </row>
    <row r="39" spans="1:6" ht="45.6" x14ac:dyDescent="0.3">
      <c r="A39" s="15" t="s">
        <v>8</v>
      </c>
      <c r="B39" s="15" t="s">
        <v>170</v>
      </c>
      <c r="C39" s="15" t="s">
        <v>114</v>
      </c>
      <c r="D39" s="15" t="s">
        <v>133</v>
      </c>
      <c r="E39" s="15" t="s">
        <v>171</v>
      </c>
      <c r="F39" s="15" t="s">
        <v>172</v>
      </c>
    </row>
    <row r="40" spans="1:6" ht="45.6" x14ac:dyDescent="0.3">
      <c r="A40" s="15" t="s">
        <v>8</v>
      </c>
      <c r="B40" s="15" t="s">
        <v>173</v>
      </c>
      <c r="C40" s="15" t="s">
        <v>114</v>
      </c>
      <c r="D40" s="15" t="s">
        <v>133</v>
      </c>
      <c r="E40" s="15" t="s">
        <v>174</v>
      </c>
      <c r="F40" s="15" t="s">
        <v>175</v>
      </c>
    </row>
    <row r="41" spans="1:6" ht="45.6" x14ac:dyDescent="0.3">
      <c r="A41" s="15" t="s">
        <v>8</v>
      </c>
      <c r="B41" s="15" t="s">
        <v>176</v>
      </c>
      <c r="C41" s="15" t="s">
        <v>114</v>
      </c>
      <c r="D41" s="15" t="s">
        <v>115</v>
      </c>
      <c r="E41" s="15" t="s">
        <v>177</v>
      </c>
      <c r="F41" s="15" t="s">
        <v>178</v>
      </c>
    </row>
    <row r="42" spans="1:6" ht="45.6" x14ac:dyDescent="0.3">
      <c r="A42" s="15" t="s">
        <v>8</v>
      </c>
      <c r="B42" s="15" t="s">
        <v>179</v>
      </c>
      <c r="C42" s="15" t="s">
        <v>114</v>
      </c>
      <c r="D42" s="15" t="s">
        <v>133</v>
      </c>
      <c r="E42" s="15" t="s">
        <v>180</v>
      </c>
      <c r="F42" s="15" t="s">
        <v>181</v>
      </c>
    </row>
    <row r="43" spans="1:6" ht="45.6" x14ac:dyDescent="0.3">
      <c r="A43" s="15" t="s">
        <v>8</v>
      </c>
      <c r="B43" s="15" t="s">
        <v>182</v>
      </c>
      <c r="C43" s="15" t="s">
        <v>183</v>
      </c>
      <c r="D43" s="15" t="s">
        <v>133</v>
      </c>
      <c r="E43" s="15" t="s">
        <v>184</v>
      </c>
      <c r="F43" s="15" t="s">
        <v>185</v>
      </c>
    </row>
    <row r="44" spans="1:6" ht="45.6" x14ac:dyDescent="0.3">
      <c r="A44" s="15" t="s">
        <v>8</v>
      </c>
      <c r="B44" s="15" t="s">
        <v>186</v>
      </c>
      <c r="C44" s="15" t="s">
        <v>114</v>
      </c>
      <c r="D44" s="15" t="s">
        <v>133</v>
      </c>
      <c r="E44" s="15" t="s">
        <v>187</v>
      </c>
      <c r="F44" s="15" t="s">
        <v>188</v>
      </c>
    </row>
    <row r="45" spans="1:6" ht="45.6" x14ac:dyDescent="0.3">
      <c r="A45" s="15" t="s">
        <v>8</v>
      </c>
      <c r="B45" s="15" t="s">
        <v>189</v>
      </c>
      <c r="C45" s="15" t="s">
        <v>114</v>
      </c>
      <c r="D45" s="15" t="s">
        <v>133</v>
      </c>
      <c r="E45" s="15" t="e">
        <f>TRANSACTION_NO (STMT) / our_ref</f>
        <v>#NAME?</v>
      </c>
      <c r="F45" s="15" t="s">
        <v>175</v>
      </c>
    </row>
    <row r="46" spans="1:6" ht="45.6" x14ac:dyDescent="0.3">
      <c r="A46" s="15" t="s">
        <v>8</v>
      </c>
      <c r="B46" s="15" t="s">
        <v>190</v>
      </c>
      <c r="C46" s="15" t="s">
        <v>167</v>
      </c>
      <c r="D46" s="15" t="s">
        <v>115</v>
      </c>
      <c r="E46" s="15" t="s">
        <v>191</v>
      </c>
      <c r="F46" s="15" t="s">
        <v>192</v>
      </c>
    </row>
    <row r="47" spans="1:6" ht="45.6" x14ac:dyDescent="0.3">
      <c r="A47" s="15" t="s">
        <v>8</v>
      </c>
      <c r="B47" s="15" t="s">
        <v>193</v>
      </c>
      <c r="C47" s="15" t="s">
        <v>167</v>
      </c>
      <c r="D47" s="15" t="s">
        <v>115</v>
      </c>
      <c r="E47" s="15" t="s">
        <v>194</v>
      </c>
      <c r="F47" s="15" t="s">
        <v>195</v>
      </c>
    </row>
    <row r="48" spans="1:6" ht="45.6" x14ac:dyDescent="0.3">
      <c r="A48" s="15" t="s">
        <v>8</v>
      </c>
      <c r="B48" s="15" t="s">
        <v>196</v>
      </c>
      <c r="C48" s="15" t="s">
        <v>114</v>
      </c>
      <c r="D48" s="15" t="s">
        <v>115</v>
      </c>
      <c r="E48" s="15" t="s">
        <v>197</v>
      </c>
      <c r="F48" s="15" t="s">
        <v>198</v>
      </c>
    </row>
    <row r="49" spans="1:6" ht="45.6" x14ac:dyDescent="0.3">
      <c r="A49" s="15" t="s">
        <v>8</v>
      </c>
      <c r="B49" s="15" t="s">
        <v>199</v>
      </c>
      <c r="C49" s="15" t="s">
        <v>114</v>
      </c>
      <c r="D49" s="15" t="s">
        <v>133</v>
      </c>
      <c r="E49" s="15" t="s">
        <v>200</v>
      </c>
      <c r="F49" s="15" t="s">
        <v>201</v>
      </c>
    </row>
    <row r="50" spans="1:6" ht="45.6" x14ac:dyDescent="0.3">
      <c r="A50" s="15" t="s">
        <v>8</v>
      </c>
      <c r="B50" s="15" t="s">
        <v>202</v>
      </c>
      <c r="C50" s="15" t="s">
        <v>114</v>
      </c>
      <c r="D50" s="15" t="s">
        <v>133</v>
      </c>
      <c r="E50" s="15" t="s">
        <v>203</v>
      </c>
      <c r="F50" s="15" t="s">
        <v>204</v>
      </c>
    </row>
    <row r="51" spans="1:6" ht="45.6" x14ac:dyDescent="0.3">
      <c r="A51" s="15" t="s">
        <v>8</v>
      </c>
      <c r="B51" s="15" t="s">
        <v>205</v>
      </c>
      <c r="C51" s="15" t="s">
        <v>114</v>
      </c>
      <c r="D51" s="15" t="s">
        <v>133</v>
      </c>
      <c r="E51" s="15" t="s">
        <v>206</v>
      </c>
      <c r="F51" s="15" t="s">
        <v>207</v>
      </c>
    </row>
    <row r="52" spans="1:6" ht="45.6" x14ac:dyDescent="0.3">
      <c r="A52" s="15" t="s">
        <v>8</v>
      </c>
      <c r="B52" s="15" t="s">
        <v>208</v>
      </c>
      <c r="C52" s="15" t="s">
        <v>114</v>
      </c>
      <c r="D52" s="15" t="s">
        <v>133</v>
      </c>
      <c r="E52" s="15" t="s">
        <v>209</v>
      </c>
      <c r="F52" s="15" t="s">
        <v>210</v>
      </c>
    </row>
    <row r="53" spans="1:6" ht="45.6" x14ac:dyDescent="0.3">
      <c r="A53" s="15" t="s">
        <v>8</v>
      </c>
      <c r="B53" s="15" t="s">
        <v>211</v>
      </c>
      <c r="C53" s="15" t="s">
        <v>114</v>
      </c>
      <c r="D53" s="15" t="s">
        <v>115</v>
      </c>
      <c r="E53" s="15" t="s">
        <v>212</v>
      </c>
      <c r="F53" s="15" t="s">
        <v>213</v>
      </c>
    </row>
    <row r="54" spans="1:6" ht="45.6" x14ac:dyDescent="0.3">
      <c r="A54" s="15" t="s">
        <v>8</v>
      </c>
      <c r="B54" s="15" t="s">
        <v>214</v>
      </c>
      <c r="C54" s="15" t="s">
        <v>167</v>
      </c>
      <c r="D54" s="15" t="s">
        <v>133</v>
      </c>
      <c r="E54" s="15" t="s">
        <v>215</v>
      </c>
      <c r="F54" s="15" t="s">
        <v>216</v>
      </c>
    </row>
    <row r="55" spans="1:6" ht="45.6" x14ac:dyDescent="0.3">
      <c r="A55" s="15" t="s">
        <v>8</v>
      </c>
      <c r="B55" s="15" t="s">
        <v>217</v>
      </c>
      <c r="C55" s="15" t="s">
        <v>183</v>
      </c>
      <c r="D55" s="15" t="s">
        <v>115</v>
      </c>
      <c r="E55" s="15" t="s">
        <v>218</v>
      </c>
      <c r="F55" s="15" t="s">
        <v>219</v>
      </c>
    </row>
    <row r="56" spans="1:6" ht="45.6" x14ac:dyDescent="0.3">
      <c r="A56" s="15" t="s">
        <v>8</v>
      </c>
      <c r="B56" s="15" t="s">
        <v>220</v>
      </c>
      <c r="C56" s="15" t="s">
        <v>114</v>
      </c>
      <c r="D56" s="15" t="s">
        <v>221</v>
      </c>
      <c r="E56" s="15" t="s">
        <v>222</v>
      </c>
      <c r="F56" s="15" t="s">
        <v>223</v>
      </c>
    </row>
    <row r="57" spans="1:6" ht="45.6" x14ac:dyDescent="0.3">
      <c r="A57" s="15" t="s">
        <v>8</v>
      </c>
      <c r="B57" s="15" t="s">
        <v>224</v>
      </c>
      <c r="C57" s="15" t="s">
        <v>114</v>
      </c>
      <c r="D57" s="15" t="s">
        <v>133</v>
      </c>
      <c r="E57" s="15" t="s">
        <v>225</v>
      </c>
      <c r="F57" s="15" t="s">
        <v>226</v>
      </c>
    </row>
    <row r="58" spans="1:6" ht="45.6" x14ac:dyDescent="0.3">
      <c r="A58" s="15" t="s">
        <v>8</v>
      </c>
      <c r="B58" s="15" t="s">
        <v>227</v>
      </c>
      <c r="C58" s="15" t="s">
        <v>119</v>
      </c>
      <c r="D58" s="15" t="s">
        <v>115</v>
      </c>
      <c r="E58" s="15" t="s">
        <v>228</v>
      </c>
      <c r="F58" s="15" t="s">
        <v>229</v>
      </c>
    </row>
    <row r="59" spans="1:6" ht="45.6" x14ac:dyDescent="0.3">
      <c r="A59" s="15" t="s">
        <v>8</v>
      </c>
      <c r="B59" s="15" t="s">
        <v>230</v>
      </c>
      <c r="C59" s="15" t="s">
        <v>167</v>
      </c>
      <c r="D59" s="15" t="s">
        <v>133</v>
      </c>
      <c r="E59" s="15" t="s">
        <v>231</v>
      </c>
      <c r="F59" s="15" t="s">
        <v>232</v>
      </c>
    </row>
    <row r="60" spans="1:6" ht="45.6" x14ac:dyDescent="0.3">
      <c r="A60" s="15" t="s">
        <v>8</v>
      </c>
      <c r="B60" s="15" t="s">
        <v>105</v>
      </c>
      <c r="C60" s="15" t="s">
        <v>114</v>
      </c>
      <c r="D60" s="15" t="s">
        <v>133</v>
      </c>
      <c r="E60" s="15" t="s">
        <v>233</v>
      </c>
      <c r="F60" s="15" t="s">
        <v>234</v>
      </c>
    </row>
  </sheetData>
  <mergeCells count="3">
    <mergeCell ref="A3:F3"/>
    <mergeCell ref="A19:F19"/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86A80-510C-4FDA-841D-02F5C134AD8D}"/>
</file>

<file path=customXml/itemProps2.xml><?xml version="1.0" encoding="utf-8"?>
<ds:datastoreItem xmlns:ds="http://schemas.openxmlformats.org/officeDocument/2006/customXml" ds:itemID="{FE76EE12-158D-4A9A-BF37-974D68C545C8}"/>
</file>

<file path=customXml/itemProps3.xml><?xml version="1.0" encoding="utf-8"?>
<ds:datastoreItem xmlns:ds="http://schemas.openxmlformats.org/officeDocument/2006/customXml" ds:itemID="{E4496DCC-ADF6-4861-8FEA-6B8407FE3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Script SQL</vt:lpstr>
      <vt:lpstr>FACT_ACCT_ENTRY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Gia Le (RAFFLES)</cp:lastModifiedBy>
  <dcterms:created xsi:type="dcterms:W3CDTF">2026-08-10T16:55:45Z</dcterms:created>
  <dcterms:modified xsi:type="dcterms:W3CDTF">2026-08-10T16:58:17Z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</Properties>
</file>