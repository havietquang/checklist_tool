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D:\work\OCB\datavault-model\reverse\result\xlsx\"/>
    </mc:Choice>
  </mc:AlternateContent>
  <xr:revisionPtr revIDLastSave="0" documentId="13_ncr:1_{97DE6AEB-AE5A-4767-9FF3-08F6ACC86D2C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mmary" sheetId="1" r:id="rId1"/>
    <sheet name="Script SQL" sheetId="2" r:id="rId2"/>
    <sheet name="DIM_DEPOSI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</calcChain>
</file>

<file path=xl/sharedStrings.xml><?xml version="1.0" encoding="utf-8"?>
<sst xmlns="http://schemas.openxmlformats.org/spreadsheetml/2006/main" count="321" uniqueCount="202">
  <si>
    <t>LINEAGE HỢP NHẤT — DIM_DEPOSIT  (L0-L2: datamart · L3: Silver Data Vault)</t>
  </si>
  <si>
    <t>Layer 0
WORKBOOK</t>
  </si>
  <si>
    <t>Layer 1
Main Table (TCIMPORT)</t>
  </si>
  <si>
    <t>Layer 2
Gold Zone C</t>
  </si>
  <si>
    <t>Layer 3
Silver Data Vault (hub/sts/sat/link)</t>
  </si>
  <si>
    <t>PHT_QD283.01_REPORT
(IGEN, DM_NHOM1_2)</t>
  </si>
  <si>
    <t>➜</t>
  </si>
  <si>
    <t xml:space="preserve">DIM_DEPOSIT </t>
  </si>
  <si>
    <t>DIM_DEPOSIT</t>
  </si>
  <si>
    <t>hub_crb, sts_hub_crb; link_crb_customer, link_crb_branch</t>
  </si>
  <si>
    <t>hub_account, sat_account_information/_classification/_system, link_account_dept_acct_officer</t>
  </si>
  <si>
    <t>hub_deposits(+sts), sat_deposits_information/_classification, ref_t24_az_product_parameter</t>
  </si>
  <si>
    <t>hub_loans, sat_loans_classification, link_loans_dept_acct_officer_nvgt</t>
  </si>
  <si>
    <t>hub_customer(+sts), hub_branch(+sts), hub_acct_officer, ref_t24_category</t>
  </si>
  <si>
    <t>hub_account_locked_events(+sts), link_account_locked_events_account</t>
  </si>
  <si>
    <t>LEGEND</t>
  </si>
  <si>
    <t>View/Table Layer 1</t>
  </si>
  <si>
    <t>View Layer 2+</t>
  </si>
  <si>
    <t>UPL/thủ công</t>
  </si>
  <si>
    <t>Table (Gold - Databricks)</t>
  </si>
  <si>
    <t>Table (Silver - Databricks)</t>
  </si>
  <si>
    <t>Type</t>
  </si>
  <si>
    <t>View / Table</t>
  </si>
  <si>
    <t>Script SQL</t>
  </si>
  <si>
    <t>Code cũ</t>
  </si>
  <si>
    <t>IBM_DIM_DEPOSIT (IBM DataStage)</t>
  </si>
  <si>
    <t xml:space="preserve">-- =============================================================================
-- IBM_DIM_DEPOSIT  —  Tai dung tu IBM DataStage (ocbdw.dsx)
-- Job goc: DIM_DEPOSIT__TWT__TruncIns (stage lnk_SOR_to_TWT) -&gt; DMT.TWT_DIM_DEPOSIT -&gt; DIM_DEPOSIT
-- Schema nguon: #STATICPARM.SFDB2_DBSCHEMA# (SOR OCBDW2). Tham so: #DYNAMICPARM.DATADT#
--
-- NGHIEP VU: Chieu tai khoan tien gui/tiet kiem (GL 42/43/44, SRC_STM 103900029).
--   Thong tin: san pham, chi nhanh, khach hang (CIF), ky han/dao han, can bo, nhom KH,
--   co so tinh lai, nguoi tao (HDTG Da Nang), tai khoan bi phong toa.
--
-- Lich su thay doi (giu tu job goc):
--   20220414 longnguyen: tao
--   20221130 longnq: add USR_CRT, IS_HDTG_DANANG
--   20230114 longnq: fix CIF lay tu AR_X_IP mqh 100800020 AC_X_CIF
--   20230203 longnq: fix CIF/CUSTGROUP cho LD (cst2/gr2 theo ar.PRIM_CST_ID)
--   20230414 trucnqn: them thong tin tai khoan/tiet kiem bi phong toa (BLOCKED_ACCOUNT)
-- =============================================================================
SELECT
     1                                                                       AS DIMENSION_KEY,
     CAST(NULL AS DATE)                                                      AS EFF_FROM_DATE,
     CAST(NULL AS DATE)                                                      AS EFF_TO_DATE,
     CASE WHEN LEFT(aru.AR_CRB_ID, 2) = 'LD'
          THEN REPLACE(ldmdm.UNQ_ID_SRC_STM, 'ACOFFICER')::VARCHAR(20)
          ELSE REPLACE(acmdm.UNQ_ID_SRC_STM, 'ACOFFICER')::VARCHAR(20)
     END                                                                     AS AC_MIDDLEMAN_LD,
     pd.PD_CGY_ID::VARCHAR(20)                                               AS DEPO_PROD_CODE,
     pd.DSC::VARCHAR(500)                                                    AS DEPO_PROD_NAME,
     ar.EFF_DT                                                               AS START_DATE,
     aru.AR_CRB_ID::VARCHAR(30)                                              AS ACCOUNT_NO,
     ou.BR_NO::VARCHAR(9)                                                    AS BRANCH_CODE,
     -- CIF: LD lay theo ar.PRIM_CST_ID (cst2), con lai lay tu AR_X_IP AC_X_CIF (cst) -- lnq_fix 20230203
     (CASE WHEN ar.UNQ_ID_SRC_STM LIKE 'LD%' THEN cst2.UNQ_ID_SRC_STM
           ELSE cst.UNQ_ID_SRC_STM END)::INTEGER                             AS CUSTOMER_ID,
     aft.VAL_DT                                                              AS ROLLOVER_DATE,
     aft.NTNL_MAT_DT                                                         AS MATURITY_DATE,
     REPLACE(aco.UNQ_ID_SRC_STM, 'ACOFFICER')::VARCHAR(10)                   AS ACCOUNT_OFFICER_ID,
     NULL::VARCHAR(100)                                                      AS FTP_TYPE_BOND,
     NULL::VARCHAR(100)                                                      AS ACCOUNT_STATUS,
     NULL::VARCHAR(100)                                                      AS FTP_RIGHT,
     NULL::DATE                                                              AS NEXT_RIGHTS_DATE,
     NULL::VARCHAR(100)                                                      AS FTP_TERM_RIGHT,
     NULL::VARCHAR(100)                                                      AS INTEREST_TYPE,
     NULL::VARCHAR(100)                                                      AS MATURITY_TREATMENT,
     (CASE WHEN ar.UNQ_ID_SRC_STM LIKE 'LD%' THEN gr2.SRC_CL_ID::VARCHAR(20)
           ELSE gr.SRC_CL_ID::VARCHAR(20) END)                              AS CUSTGROUP_AR,
     ib.SRC_CL_ID::VARCHAR(40)                                               AS INTEREST_BASIS,
     CURRENT_TIMESTAMP                                                       AS CRT_TM,
     CURRENT_TIMESTAMP                                                       AS PPN_TM,
     aru.AR_ID                                                               AS AR_ID,
     CAST(usr.UNQ_ID_SRC_STM AS VARCHAR(50))                                 AS USER_CREATED,
     CASE WHEN usr.UNQ_ID_SRC_STM IS NOT NULL THEN 'Y' ELSE 'N' END          AS IS_HDTG_DANANG,
     -- Tai khoan/tiet kiem bi phong toa (AR_X_AR AC_LOCK_X_AC) -- trucnqn 20230414
     CASE WHEN EXISTS (
              SELECT 'AC_LOCK_X_AC'
              FROM #STATICPARM.SFDB2_DBSCHEMA#.AR_X_AR axal
              WHERE axal.AR_X_AR_TP_ID = 100700025 /* AC_LOCK_X_AC */
                AND axal.DATA_DT = TO_DATE('#DYNAMICPARM.DATADT#', 'yyyyMMdd')::DATE
                AND axal.OBJ_AR_ID = aru.AR_ID
          ) THEN 'Y' ELSE 'N' END                                           AS BLOCKED_ACCOUNT
FROM #STATICPARM.SFDB2_DBSCHEMA#.AR_X_AU aru
LEFT JOIN #STATICPARM.SFDB2_DBSCHEMA#.AR ar          ON ar.AR_ID = aru.AR_ID
-- Can bo quan ly TK (AR_X_IP 100800002) -- lnq_fix 20230203 (thay ar.AR_OFCR)
LEFT JOIN #STATICPARM.SFDB2_DBSCHEMA#.AR_X_IP aco1   ON aco1.AR_ID = ar.AR_ID
     AND aco1.AR_X_IP_TP_ID = 100800002
     AND aco1.DATA_DT = TO_DATE('#DYNAMICPARM.DATADT#', 'yyyyMMdd')::DATE
LEFT JOIN #STATICPARM.SFDB2_DBSCHEMA#.IP aco         ON aco.IP_ID = aco1.IP_ID
LEFT JOIN #STATICPARM.SFDB2_DBSCHEMA#.PD pd          ON pd.PD_ID = ar.PD_ID
LEFT JOIN #STATICPARM.SFDB2_DBSCHEMA#.OU ou          ON ou.OU_IP_ID = aru.OU_ID
-- CIF tu AR_X_IP AC_X_CIF (100800020) -- longnq 20230114
LEFT JOIN #STATICPARM.SFDB2_DBSCHEMA#.AR_X_IP newcif ON newcif.AR_ID = aru.AR_ID
     AND newcif.AR_X_IP_TP_ID = 100800020
     AND newcif.DATA_DT = TO_DATE('#DYNAMICPARM.DATADT#', 'yyyyMMdd')::DATE
LEFT JOIN #STATICPARM.SFDB2_DBSCHEMA#.IP cst         ON cst.IP_ID = newcif.IP_ID
-- Trung gian (MIDMAN 103000002)
LEFT JOIN #STATICPARM.SFDB2_DBSCHEMA#.IP_X_IP ixi    ON ixi.SBJ_IP_ID = newcif.IP_ID
     AND ixi.IP_X_IP_TP_ID = '103000002'
     AND ixi.DATA_DT = TO_DATE('#DYNAMICPARM.DATADT#', 'yyyyMMdd')::DATE
LEFT JOIN #STATICPARM.SFDB2_DBSCHEMA#.IP mid         ON mid.IP_ID = ixi.OBJ_IP_ID
-- Ky han co dinh (dao han/rollover)
LEFT JOIN #STATICPARM.SFDB2_DBSCHEMA#.AR_FIX_TERM aft ON aft.AR_FIX_TERM_ID = aru.AR_ID
     AND aft.DATA_DT = TO_DATE('#DYNAMICPARM.DATADT#', 'yyyyMMdd')::DATE
LEFT JOIN #STATICPARM.SFDB2_DBSCHEMA#.CV cv          ON cv.CL_ID = ar.CST_GRP_ID
-- Nhom KH (CUSTGROUP 103100001) theo CIF
LEFT JOIN #STATICPARM.SFDB2_DBSCHEMA#.IP_X_GRP ixg   ON ixg.IP_ID = newcif.IP_ID
     AND ixg.IP_X_GRP_TP_ID = '103100001'
     AND ixg.DATA_DT = TO_DATE('#DYNAMICPARM.DATADT#', 'yyyyMMdd')::DATE
LEFT JOIN #STATICPARM.SFDB2_DBSCHEMA#.CV gr          ON gr.CL_ID = ixg.GRP_ID
-- Co so tinh lai (DEP_X_INT_BSS 107500004)
LEFT JOIN #STATICPARM.SFDB2_DBSCHEMA#.AR_X_CL axc    ON axc.AR_ID = aru.AR_ID
     AND axc.AR_X_CL_RLTNP_TP_ID = '107500004'
     AND axc.DATA_DT = TO_DATE('#DYNAMICPARM.DATADT#', 'yyyyMMdd')::DATE
LEFT JOIN #STATICPARM.SFDB2_DBSCHEMA#.CV ib          ON ib.CL_ID = axc.CL_ID
-- Can bo gioi thieu TK (AC_X_REF_OFCR 100800019)
LEFT JOIN #STATICPARM.SFDB2_DBSCHEMA#.AR_X_IP acxmdm ON acxmdm.AR_ID = aru.AR_ID
     AND acxmdm.AR_X_IP_TP_ID = '100800019'
     AND acxmdm.DATA_DT = TO_DATE('#DYNAMICPARM.DATADT#', 'yyyyMMdd')::DATE
LEFT JOIN #STATICPARM.SFDB2_DBSCHEMA#.IP acmdm       ON acmdm.IP_ID = acxmdm.IP_ID
-- Can bo gioi thieu LD (LD_X_INTRDC_OFCR 100800004)
LEFT JOIN #STATICPARM.SFDB2_DBSCHEMA#.AR_X_IP ldxmdm ON ldxmdm.AR_ID = aru.AR_ID
     AND ldxmdm.AR_X_IP_TP_ID = '100800004'
     AND ldxmdm.DATA_DT = TO_DATE('#DYNAMICPARM.DATADT#', 'yyyyMMdd')::DATE
LEFT JOIN #STATICPARM.SFDB2_DBSCHEMA#.IP ldmdm       ON ldmdm.IP_ID = ldxmdm.IP_ID
-- Nguoi tao TK (AC_X_USR_CRT 100800024) -&gt; HDTG Da Nang
LEFT JOIN #STATICPARM.SFDB2_DBSCHEMA#.AR_X_IP hdtg   ON hdtg.AR_ID = aru.AR_ID
     AND hdtg.AR_X_IP_TP_ID = 100800024
     AND hdtg.DATA_DT = TO_DATE('#DYNAMICPARM.DATADT#', 'yyyyMMdd')::DATE
LEFT JOIN #STATICPARM.SFDB2_DBSCHEMA#.IP usr         ON usr.IP_ID = hdtg.IP_ID
-- CIF/CUSTGROUP cho LD theo ar.PRIM_CST_ID -- longnq 20230203
LEFT JOIN #STATICPARM.SFDB2_DBSCHEMA#.IP cst2        ON cst2.IP_ID = ar.PRIM_CST_ID
LEFT JOIN #STATICPARM.SFDB2_DBSCHEMA#.IP_X_GRP ixg2  ON ixg2.IP_ID = ar.PRIM_CST_ID
     AND ixg2.IP_X_GRP_TP_ID = '103100001'
     AND ixg2.DATA_DT = TO_DATE('#DYNAMICPARM.DATADT#', 'yyyyMMdd')::DATE
LEFT JOIN #STATICPARM.SFDB2_DBSCHEMA#.CV gr2         ON gr2.CL_ID = ixg2.GRP_ID
WHERE SUBSTR(aru.GL_AC_NBR, 1, 2) IN ('42', '43', '44')
  AND aru.DATA_DT = TO_DATE('#DYNAMICPARM.DATADT#', 'yyyyMMdd')::DATE
  AND aru.AR_CRB_ID &lt;&gt; 'ROUNDING.ADJUSTMENT'
  AND aru.SRC_STM_ID IN ('103900029')
  AND aru.AR_X_AU_TP_ID = 103800001
;
</t>
  </si>
  <si>
    <t>Code mới</t>
  </si>
  <si>
    <t>DIM_DEPOSIT (Gold VIEW)</t>
  </si>
  <si>
    <t xml:space="preserve">USE CATALOG IDENTIFIER(:curated);
USE SCHEMA tcimport;
CREATE OR REPLACE VIEW DIM_DEPOSIT AS
WITH
-- Driver: hub_crb (TK tien gui) hieu luc
crb_del AS (
    SELECT crb_hashkey FROM IDENTIFIER(:cleaned || '.raw_vault.sts_hub_crb')
    WHERE source_event_date &lt;= TO_DATE(:DATADT,'yyyyMMdd')
    GROUP BY crb_hashkey HAVING max_by(cdc_status, source_event_date) = 'D'
),
crb_active AS (
    SELECT h.crb_hashkey, h.tieukhoan AS account_no
    FROM IDENTIFIER(:cleaned || '.raw_vault.hub_crb') h
    LEFT JOIN crb_del d ON d.crb_hashkey = h.crb_hashkey
    WHERE d.crb_hashkey IS NULL
      AND h.source_event_date &lt;= TO_DATE(:DATADT,'yyyyMMdd')
      AND h.record_source = 't24__t24_crb'
      AND LEFT(h.gl, 2) IN ('42','43','44')   -- KHOP IBM: GL tien gui (hub_crb phoi cot gl)
    GROUP BY h.crb_hashkey, h.tieukhoan
),
-- Bridge account (non-LD) / loans (LD) theo so TK
acct_hub AS (
    SELECT business_key AS account_no, max_by(account_hashkey, source_event_date) AS account_hashkey
    FROM IDENTIFIER(:cleaned || '.raw_vault.hub_account')
    WHERE source_event_date &lt;= TO_DATE(:DATADT,'yyyyMMdd') AND record_source = 't24__t24_account'
    GROUP BY business_key
),
loans_hub AS (
    SELECT business_key AS account_no, max_by(loans_hashkey, source_event_date) AS loans_hashkey
    FROM IDENTIFIER(:cleaned || '.raw_vault.hub_loans')
    WHERE source_event_date &lt;= TO_DATE(:DATADT,'yyyyMMdd') AND record_source = 't24__t24_loans_and_deposits'
    GROUP BY business_key
),
acct_info AS (
    SELECT account_hashkey,
        max_by(t_opening_date, source_event_date) AS t_opening_date,
        max_by(t_create_date,  source_event_date) AS t_create_date,
        max_by(t_mature_date,  source_event_date) AS t_mature_date
    FROM IDENTIFIER(:cleaned || '.raw_vault.sat_account_information')
    WHERE source_event_date &lt;= TO_DATE(:DATADT,'yyyyMMdd')
    GROUP BY account_hashkey
),
acct_class AS (
    SELECT account_hashkey,
        max_by(t_category,   source_event_date) AS t_category,
        max_by(t_cust_group, source_event_date) AS t_cust_group
    FROM IDENTIFIER(:cleaned || '.raw_vault.sat_account_classification')
    WHERE source_event_date &lt;= TO_DATE(:DATADT,'yyyyMMdd')
    GROUP BY account_hashkey
),
acct_sys AS (
    SELECT account_hashkey, max_by(t_inputter, source_event_date) AS t_inputter
    FROM IDENTIFIER(:cleaned || '.raw_vault.sat_account_system')
    WHERE source_event_date &lt;= TO_DATE(:DATADT,'yyyyMMdd')
    GROUP BY account_hashkey
),
loans_class AS (
    SELECT loans_hashkey,
        max_by(t_category,      source_event_date) AS t_category,
        max_by(t_ld_cust_group, source_event_date) AS t_ld_cust_group
    FROM IDENTIFIER(:cleaned || '.raw_vault.sat_loans_classification')
    WHERE source_event_date &lt;= TO_DATE(:DATADT,'yyyyMMdd')
    GROUP BY loans_hashkey
),
-- Deposit AZ (hub_deposits) — dates chinh xac + INTEREST_BASIS (SUY LUAN THEM)
dep_del AS (
    SELECT deposit_hashkey FROM IDENTIFIER(:cleaned || '.raw_vault.sts_hub_deposits')
    WHERE source_event_date &lt;= TO_DATE(:DATADT,'yyyyMMdd')
    GROUP BY deposit_hashkey HAVING max_by(cdc_status, source_event_date) = 'D'
),
dep_hub AS (
    SELECT h.business_key AS account_no, max_by(h.deposit_hashkey, h.source_event_date) AS deposit_hashkey
    FROM IDENTIFIER(:cleaned || '.raw_vault.hub_deposits') h
    LEFT JOIN dep_del d ON d.deposit_hashkey = h.deposit_hashkey
    WHERE d.deposit_hashkey IS NULL
      AND h.source_event_date &lt;= TO_DATE(:DATADT,'yyyyMMdd') AND h.record_source = 't24__t24_az_account'
    GROUP BY h.business_key
),
dep_info AS (
    SELECT deposit_hashkey,
        max_by(t_value_date,    source_event_date) AS t_value_date,
        max_by(t_rollover_date, source_event_date) AS t_rollover_date,
        max_by(t_maturity_date, source_event_date) AS t_maturity_date
    FROM IDENTIFIER(:cleaned || '.raw_vault.sat_deposits_information')
    WHERE source_event_date &lt;= TO_DATE(:DATADT,'yyyyMMdd')
    GROUP BY deposit_hashkey
),
dep_class AS (
    SELECT deposit_hashkey,
        max_by(t_all_in_one_product, source_event_date) AS t_all_in_one_product,
        max_by(t_category,           source_event_date) AS t_category
    FROM IDENTIFIER(:cleaned || '.raw_vault.sat_deposits_classification')
    WHERE source_event_date &lt;= TO_DATE(:DATADT,'yyyyMMdd')
    GROUP BY deposit_hashkey
),
ref_azpp AS (
    SELECT ref_code, max_by(t_int_basis, source_event_date) AS t_int_basis
    FROM IDENTIFIER(:cleaned || '.raw_vault.ref_t24_az_product_parameter')
    WHERE ref_type = 'az_product_parameter' AND source_event_date &lt;= TO_DATE(:DATADT,'yyyyMMdd')
    GROUP BY ref_code
),
-- Khach hang (link_crb_customer)
crb_cust AS (
    SELECT crb_hashkey, max_by(customer_hashkey, source_event_date) AS customer_hashkey
    FROM IDENTIFIER(:cleaned || '.raw_vault.link_crb_customer')
    WHERE source_event_date &lt;= TO_DATE(:DATADT,'yyyyMMdd')
    GROUP BY crb_hashkey
),
cust_del AS (
    SELECT customer_hashkey FROM IDENTIFIER(:cleaned || '.raw_vault.sts_hub_customer')
    WHERE source_event_date &lt;= TO_DATE(:DATADT,'yyyyMMdd')
    GROUP BY customer_hashkey HAVING max_by(cdc_status, source_event_date) = 'D'
),
cust_active AS (
    SELECT h.customer_hashkey, h.business_key AS customer_id
    FROM IDENTIFIER(:cleaned || '.raw_vault.hub_customer') h
    LEFT JOIN cust_del d ON d.customer_hashkey = h.customer_hashkey
    WHERE d.customer_hashkey IS NULL
      AND h.source_event_date &lt;= TO_DATE(:DATADT,'yyyyMMdd') AND h.record_source = 't24__t24_customer'
    GROUP BY h.customer_hashkey, h.business_key
),
-- Chi nhanh (link_crb_branch) -- SUY LUAN THEM (mapping de NULL)
crb_branch AS (
    SELECT crb_hashkey, max_by(branch_hashkey, source_event_date) AS branch_hashkey
    FROM IDENTIFIER(:cleaned || '.raw_vault.link_crb_branch')
    WHERE source_event_date &lt;= TO_DATE(:DATADT,'yyyyMMdd')
    GROUP BY crb_hashkey
),
branch_del AS (
    SELECT branch_hashkey FROM IDENTIFIER(:cleaned || '.raw_vault.sts_hub_branch')
    WHERE source_event_date &lt;= TO_DATE(:DATADT,'yyyyMMdd')
    GROUP BY branch_hashkey HAVING max_by(cdc_status, source_event_date) = 'D'
),
branch_active AS (
    SELECT h.branch_hashkey, h.business_key AS branch_code
    FROM IDENTIFIER(:cleaned || '.raw_vault.hub_branch') h
    LEFT JOIN branch_del d ON d.branch_hashkey = h.branch_hashkey
    WHERE d.branch_hashkey IS NULL
      AND h.source_event_date &lt;= TO_DATE(:DATADT,'yyyyMMdd') AND h.record_source = 't24__t24_company'
    GROUP BY h.branch_hashkey, h.business_key
),
-- Can bo (account officer + LD middleman) -&gt; hub_acct_officer dung lai 2 vai tro
acct_off_lnk AS (
    SELECT account_hashkey, max_by(dept_acct_officer_hashkey, source_event_date) AS dept_acct_officer_hashkey
    FROM IDENTIFIER(:cleaned || '.raw_vault.link_account_dept_acct_officer')
    WHERE source_event_date &lt;= TO_DATE(:DATADT,'yyyyMMdd')
    GROUP BY account_hashkey
),
loans_mid_lnk AS (
    SELECT loans_hashkey, max_by(dept_acct_officer_hashkey, source_event_date) AS dept_acct_officer_hashkey
    FROM IDENTIFIER(:cleaned || '.raw_vault.link_loans_dept_acct_officer_nvgt')
    WHERE source_event_date &lt;= TO_DATE(:DATADT,'yyyyMMdd')
    GROUP BY loans_hashkey
),
officer_hub AS (
    SELECT dept_acct_officer_hashkey, max_by(business_key, source_event_date) AS officer_code
    FROM IDENTIFIER(:cleaned || '.raw_vault.hub_acct_officer')
    WHERE source_event_date &lt;= TO_DATE(:DATADT,'yyyyMMdd')
    GROUP BY dept_acct_officer_hashkey
),
-- TK bi phong toa: account co locked event (loai da xoa)
locked_del AS (
    SELECT ac_locked_events_hashkey FROM IDENTIFIER(:cleaned || '.raw_vault.sts_hub_account_locked_events')
    WHERE source_event_date &lt;= TO_DATE(:DATADT,'yyyyMMdd')
    GROUP BY ac_locked_events_hashkey HAVING max_by(cdc_status, source_event_date) = 'D'
),
locked_acct AS (
    SELECT DISTINCT l.account_hashkey
    FROM IDENTIFIER(:cleaned || '.raw_vault.link_account_locked_events_account') l
    LEFT JOIN locked_del d ON d.ac_locked_events_hashkey = l.ac_locked_events_hashkey
    WHERE d.ac_locked_events_hashkey IS NULL
      AND l.source_event_date &lt;= TO_DATE(:DATADT,'yyyyMMdd')
),
ref_cat AS (
    SELECT ref_code, max_by(ref_description, source_event_date) AS product_name
    FROM IDENTIFIER(:cleaned || '.raw_vault.ref_t24_category')
    WHERE ref_type = 'category' AND source_event_date &lt;= TO_DATE(:DATADT,'yyyyMMdd')
    GROUP BY ref_code
)
SELECT
    c.crb_hashkey                               AS DIMENSION_KEY,       -- surrogate on dinh DV (dsx = SCD2 SEQ)
    CAST(NULL AS DATE)                          AS EFF_FROM_DATE,
    CAST(NULL AS DATE)                          AS EFF_TO_DATE,
    CAST(CASE WHEN c.account_no LIKE 'LD%' THEN REPLACE(mid.officer_code,'ACOFFICER','') ELSE NULL END AS STRING) AS AC_MIDDLEMAN_LD,  -- TODO(DA) non-LD = T_REF_OFFICER
    CAST(CASE WHEN c.account_no LIKE 'LD%' THEN lcl.t_category ELSE COALESCE(dcl.t_category, acl.t_category) END AS STRING) AS DEPO_PROD_CODE,
    CAST(rc.product_name AS STRING)             AS DEPO_PROD_NAME,
    COALESCE(di.t_value_date, ai.t_opening_date) AS START_DATE,         -- AZ deposit value_date uu tien
    CAST(c.account_no AS STRING)                AS ACCOUNT_NO,
    CAST(bd.branch_code AS STRING)              AS BRANCH_CODE,         -- SUY LUAN THEM: link_crb_branch
    CAST(cu.customer_id AS STRING)              AS CUSTOMER_ID,
    COALESCE(di.t_rollover_date, ai.t_create_date) AS ROLLOVER_DATE,
    COALESCE(di.t_maturity_date, ai.t_mature_date) AS MATURITY_DATE,
    CAST(REPLACE(aof.officer_code,'ACOFFICER','') AS STRING) AS ACCOUNT_OFFICER_ID,
    CAST(NULL AS STRING)                        AS FTP_TYPE_BOND,       -- IBM hard NULL
    CAST(NULL AS STRING)                        AS ACCOUNT_STATUS,      -- IBM hard NULL
    CAST(NULL AS STRING)                        AS FTP_RIGHT,           -- IBM hard NULL
    CAST(NULL AS DATE)                          AS NEXT_RIGHTS_DATE,    -- IBM hard NULL
    CAST(NULL AS STRING)                        AS FTP_TERM_RIGHT,      -- IBM hard NULL
    CAST(NULL AS STRING)                        AS INTEREST_TYPE,       -- IBM hard NULL
    CAST(NULL AS STRING)                        AS MATURITY_TREATMENT,  -- IBM hard NULL
    CAST(CASE WHEN c.account_no LIKE 'LD%' THEN lcl.t_ld_cust_group ELSE acl.t_cust_group END AS STRING) AS CUSTGROUP_AR,
    CAST(raz.t_int_basis AS STRING)             AS INTEREST_BASIS,      -- SUY LUAN THEM: ref_t24_az_product_parameter qua t_all_in_one_product
    CURRENT_TIMESTAMP                           AS CRT_TM,
    CURRENT_TIMESTAMP                           AS PPN_TM,
    CAST(c.account_no AS STRING)                AS AR_ID,               -- KHOP mapping = hub_crb.business_key
    CAST(ELEMENT_AT(SPLIT(asys.t_inputter,'_'),2) AS STRING) AS USER_CREATED,
    'N'                                         AS IS_HDTG_DANANG,      -- TODO(DA): IBM tu AC_X_USR_CRT, DV chua co quan he
    CASE WHEN lk.account_hashkey IS NOT NULL THEN 'Y' ELSE 'N' END AS BLOCKED_ACCOUNT
FROM crb_active c
LEFT JOIN acct_hub  ah  ON ah.account_no = c.account_no
LEFT JOIN loans_hub lh  ON lh.account_no = c.account_no AND c.account_no LIKE 'LD%'
LEFT JOIN dep_hub   dh  ON dh.account_no = c.account_no
LEFT JOIN acct_info  ai  ON ai.account_hashkey  = ah.account_hashkey
LEFT JOIN acct_class acl ON acl.account_hashkey = ah.account_hashkey
LEFT JOIN acct_sys   asys ON asys.account_hashkey = ah.account_hashkey
LEFT JOIN loans_class lcl ON lcl.loans_hashkey  = lh.loans_hashkey
LEFT JOIN dep_info   di  ON di.deposit_hashkey = dh.deposit_hashkey
LEFT JOIN dep_class  dcl ON dcl.deposit_hashkey = dh.deposit_hashkey
LEFT JOIN ref_azpp   raz ON raz.ref_code = dcl.t_all_in_one_product
LEFT JOIN ref_cat    rc  ON rc.ref_code = CAST(CASE WHEN c.account_no LIKE 'LD%' THEN lcl.t_category ELSE COALESCE(dcl.t_category, acl.t_category) END AS STRING)
LEFT JOIN crb_cust   cc  ON cc.crb_hashkey = c.crb_hashkey
LEFT JOIN cust_active cu ON cu.customer_hashkey = cc.customer_hashkey
LEFT JOIN crb_branch  cb ON cb.crb_hashkey = c.crb_hashkey
LEFT JOIN branch_active bd ON bd.branch_hashkey = cb.branch_hashkey
LEFT JOIN acct_off_lnk aol ON aol.account_hashkey = ah.account_hashkey
LEFT JOIN officer_hub  aof ON aof.dept_acct_officer_hashkey = aol.dept_acct_officer_hashkey
LEFT JOIN loans_mid_lnk lml ON lml.loans_hashkey = lh.loans_hashkey
LEFT JOIN officer_hub  mid ON mid.dept_acct_officer_hashkey = lml.dept_acct_officer_hashkey
LEFT JOIN locked_acct  lk  ON lk.account_hashkey = ah.account_hashkey
;
</t>
  </si>
  <si>
    <t>LV0 — VIEW đích (DIM_DEPOSIT) — GOLD ZONE C / Databricks (gốc TCIMPORT.DIM_DEPOSIT SCD2)</t>
  </si>
  <si>
    <t>JOIN SCHEMA — DIM_DEPOSIT (nguồn Data Vault)</t>
  </si>
  <si>
    <t>#</t>
  </si>
  <si>
    <t>Table / View</t>
  </si>
  <si>
    <t>Alias</t>
  </si>
  <si>
    <t>JOIN Type</t>
  </si>
  <si>
    <t>ON / WHERE Condition</t>
  </si>
  <si>
    <t>Note</t>
  </si>
  <si>
    <t>1</t>
  </si>
  <si>
    <t>hub_crb</t>
  </si>
  <si>
    <t>c</t>
  </si>
  <si>
    <t>BASE</t>
  </si>
  <si>
    <t>&lt;= :DATADT; record_source t24__t24_crb; anti-join sts_hub_crb</t>
  </si>
  <si>
    <t>DRIVER — số TK (ACCOUNT_NO). TODO lọc GL 42/43/44</t>
  </si>
  <si>
    <t>2</t>
  </si>
  <si>
    <t>hub_account (non-LD)</t>
  </si>
  <si>
    <t>ah</t>
  </si>
  <si>
    <t>LEFT</t>
  </si>
  <si>
    <t>ah.business_key=c.account_no</t>
  </si>
  <si>
    <t>bridge account theo số TK</t>
  </si>
  <si>
    <t>3</t>
  </si>
  <si>
    <t>hub_loans (LD)</t>
  </si>
  <si>
    <t>lh</t>
  </si>
  <si>
    <t>lh.business_key=c.account_no AND account_no LIKE 'LD%'</t>
  </si>
  <si>
    <t>bridge loans (LD)</t>
  </si>
  <si>
    <t>4</t>
  </si>
  <si>
    <t>sat_account_information</t>
  </si>
  <si>
    <t>ai</t>
  </si>
  <si>
    <t>ai.account_hashkey=ah.account_hashkey</t>
  </si>
  <si>
    <t>START/ROLLOVER/MATURITY_DATE</t>
  </si>
  <si>
    <t>5</t>
  </si>
  <si>
    <t>sat_account_classification</t>
  </si>
  <si>
    <t>acl</t>
  </si>
  <si>
    <t>acl.account_hashkey=ah...</t>
  </si>
  <si>
    <t>DEPO_PROD_CODE/CUSTGROUP (non-LD)</t>
  </si>
  <si>
    <t>6</t>
  </si>
  <si>
    <t>sat_account_system</t>
  </si>
  <si>
    <t>asys</t>
  </si>
  <si>
    <t>asys.account_hashkey=ah...</t>
  </si>
  <si>
    <t>USER_CREATED (t_inputter)</t>
  </si>
  <si>
    <t>7</t>
  </si>
  <si>
    <t>sat_loans_classification</t>
  </si>
  <si>
    <t>lcl</t>
  </si>
  <si>
    <t>lcl.loans_hashkey=lh...</t>
  </si>
  <si>
    <t>DEPO_PROD_CODE/CUSTGROUP (LD)</t>
  </si>
  <si>
    <t>7b</t>
  </si>
  <si>
    <t>hub_deposits(+sts) AZ</t>
  </si>
  <si>
    <t>dh</t>
  </si>
  <si>
    <t>dh.business_key=c.account_no; anti-join sts_hub_deposits</t>
  </si>
  <si>
    <t>bridge AZ deposit</t>
  </si>
  <si>
    <t>7c</t>
  </si>
  <si>
    <t>sat_deposits_information</t>
  </si>
  <si>
    <t>di</t>
  </si>
  <si>
    <t>di.deposit_hashkey=dh...</t>
  </si>
  <si>
    <t>START/ROLLOVER/MATURITY_DATE (ưu tiên AZ)</t>
  </si>
  <si>
    <t>7d</t>
  </si>
  <si>
    <t>sat_deposits_classification</t>
  </si>
  <si>
    <t>dcl</t>
  </si>
  <si>
    <t>dcl.deposit_hashkey=dh...</t>
  </si>
  <si>
    <t>t_all_in_one_product, t_category</t>
  </si>
  <si>
    <t>7e</t>
  </si>
  <si>
    <t>ref_t24_az_product_parameter</t>
  </si>
  <si>
    <t>raz</t>
  </si>
  <si>
    <t>raz.ref_code=dcl.t_all_in_one_product; ref_type='az_product_parameter'</t>
  </si>
  <si>
    <t>INTEREST_BASIS (t_int_basis)</t>
  </si>
  <si>
    <t>8</t>
  </si>
  <si>
    <t>ref_t24_category</t>
  </si>
  <si>
    <t>rc</t>
  </si>
  <si>
    <t>rc.ref_code=DEPO_PROD_CODE; ref_type='category'</t>
  </si>
  <si>
    <t>DEPO_PROD_NAME</t>
  </si>
  <si>
    <t>9</t>
  </si>
  <si>
    <t>link_crb_customer → hub_customer</t>
  </si>
  <si>
    <t>cc/cu</t>
  </si>
  <si>
    <t>cu.customer_hashkey=cc.customer_hashkey; anti-join sts</t>
  </si>
  <si>
    <t>CUSTOMER_ID</t>
  </si>
  <si>
    <t>10</t>
  </si>
  <si>
    <t>link_crb_branch → hub_branch</t>
  </si>
  <si>
    <t>cb/bd</t>
  </si>
  <si>
    <t>bd.branch_hashkey=cb.branch_hashkey; anti-join sts</t>
  </si>
  <si>
    <t>BRANCH_CODE (suy thêm)</t>
  </si>
  <si>
    <t>11</t>
  </si>
  <si>
    <t>link_account_dept_acct_officer → hub_acct_officer</t>
  </si>
  <si>
    <t>aol/aof</t>
  </si>
  <si>
    <t>aof.dept_acct_officer_hashkey=aol...</t>
  </si>
  <si>
    <t>ACCOUNT_OFFICER_ID</t>
  </si>
  <si>
    <t>12</t>
  </si>
  <si>
    <t>link_loans_dept_acct_officer_nvgt → hub_acct_officer</t>
  </si>
  <si>
    <t>lml/mid</t>
  </si>
  <si>
    <t>mid.dept_acct_officer_hashkey=lml...</t>
  </si>
  <si>
    <t>AC_MIDDLEMAN_LD (LD)</t>
  </si>
  <si>
    <t>13</t>
  </si>
  <si>
    <t>link_account_locked_events_account</t>
  </si>
  <si>
    <t>lk</t>
  </si>
  <si>
    <t>lk.account_hashkey=ah...; anti-join sts_hub_account_locked_events</t>
  </si>
  <si>
    <t>BLOCKED_ACCOUNT (Y/N)</t>
  </si>
  <si>
    <t>FIELD MAPPING — DIM_DEPOSIT (28 cột, target order theo IBM/dsx TCIMPORT)</t>
  </si>
  <si>
    <t>View/Table</t>
  </si>
  <si>
    <t>Field</t>
  </si>
  <si>
    <t>Data Type</t>
  </si>
  <si>
    <t>Transform Type</t>
  </si>
  <si>
    <t>Transform Logic (Gold raw_vault)</t>
  </si>
  <si>
    <t>SOURCE / Note (SOR | he nguon)</t>
  </si>
  <si>
    <t>DIMENSION_KEY</t>
  </si>
  <si>
    <t>-</t>
  </si>
  <si>
    <t>Transform</t>
  </si>
  <si>
    <t>hub_crb.crb_hashkey (surrogate DV)</t>
  </si>
  <si>
    <t>dsx = SCD2 SEQ</t>
  </si>
  <si>
    <t>EFF_FROM_DATE</t>
  </si>
  <si>
    <t>date</t>
  </si>
  <si>
    <t>NULL</t>
  </si>
  <si>
    <t>CAST(NULL AS DATE)</t>
  </si>
  <si>
    <t>EFF_TO_DATE</t>
  </si>
  <si>
    <t>current = NULL</t>
  </si>
  <si>
    <t>AC_MIDDLEMAN_LD</t>
  </si>
  <si>
    <t>varchar</t>
  </si>
  <si>
    <t>CASE LD→REPLACE(hub_acct_officer.business_key,'ACOFFICER') (link_loans nvgt); non-LD NULL</t>
  </si>
  <si>
    <t>ldmdm/acmdm; TODO non-LD T_REF_OFFICER</t>
  </si>
  <si>
    <t>DEPO_PROD_CODE</t>
  </si>
  <si>
    <t>CASE LD→sat_loans_classification.t_category else COALESCE(sat_deposits_classification.t_category, sat_account_classification.t_category)</t>
  </si>
  <si>
    <t>pd.PD_CGY_ID | T_CATEGORY</t>
  </si>
  <si>
    <t>ref_t24_category.ref_description</t>
  </si>
  <si>
    <t>pd.DSC | T24_CATEGORY</t>
  </si>
  <si>
    <t>START_DATE</t>
  </si>
  <si>
    <t>COALESCE(sat_deposits_information.t_value_date, sat_account_information.t_opening_date)</t>
  </si>
  <si>
    <t>ar.EFF_DT | T_VALUE_DATE/T_OPENING_DATE</t>
  </si>
  <si>
    <t>ACCOUNT_NO</t>
  </si>
  <si>
    <t>1:1</t>
  </si>
  <si>
    <t>hub_crb.business_key</t>
  </si>
  <si>
    <t>aru.AR_CRB_ID | T24_CRB.TIEUKHOAN</t>
  </si>
  <si>
    <t>BRANCH_CODE</t>
  </si>
  <si>
    <t>hub_branch.business_key (link_crb_branch) — SUY LUẬN THÊM</t>
  </si>
  <si>
    <t>ou.BR_NO</t>
  </si>
  <si>
    <t>hub_customer.business_key (link_crb_customer)</t>
  </si>
  <si>
    <t>cst/cst2.UNQ_ID_SRC_STM</t>
  </si>
  <si>
    <t>ROLLOVER_DATE</t>
  </si>
  <si>
    <t>COALESCE(sat_deposits_information.t_rollover_date, sat_account_information.t_create_date)</t>
  </si>
  <si>
    <t>aft.VAL_DT</t>
  </si>
  <si>
    <t>MATURITY_DATE</t>
  </si>
  <si>
    <t>COALESCE(sat_deposits_information.t_maturity_date, sat_account_information.t_mature_date)</t>
  </si>
  <si>
    <t>aft.NTNL_MAT_DT</t>
  </si>
  <si>
    <t>REPLACE(hub_acct_officer.business_key,'ACOFFICER') (link_account_dept_acct_officer)</t>
  </si>
  <si>
    <t>aco.UNQ_ID_SRC_STM</t>
  </si>
  <si>
    <t>FTP_TYPE_BOND</t>
  </si>
  <si>
    <t>IBM hard NULL</t>
  </si>
  <si>
    <t>ACCOUNT_STATUS</t>
  </si>
  <si>
    <t>FTP_RIGHT</t>
  </si>
  <si>
    <t>NEXT_RIGHTS_DATE</t>
  </si>
  <si>
    <t>FTP_TERM_RIGHT</t>
  </si>
  <si>
    <t>INTEREST_TYPE</t>
  </si>
  <si>
    <t>MATURITY_TREATMENT</t>
  </si>
  <si>
    <t>CUSTGROUP_AR</t>
  </si>
  <si>
    <t>CASE LD→sat_loans_classification.t_ld_cust_group else sat_account_classification.t_cust_group</t>
  </si>
  <si>
    <t>cv gr/gr2.SRC_CL_ID</t>
  </si>
  <si>
    <t>INTEREST_BASIS</t>
  </si>
  <si>
    <t>ref_t24_az_product_parameter.t_int_basis (join sat_deposits_classification.t_all_in_one_product)</t>
  </si>
  <si>
    <t>cv ib.SRC_CL_ID</t>
  </si>
  <si>
    <t>CRT_TM</t>
  </si>
  <si>
    <t>timestamp</t>
  </si>
  <si>
    <t>CURRENT_TIMESTAMP</t>
  </si>
  <si>
    <t>system</t>
  </si>
  <si>
    <t>PPN_TM</t>
  </si>
  <si>
    <t>AR_ID</t>
  </si>
  <si>
    <t>aru.AR_ID | TIEUKHOAN</t>
  </si>
  <si>
    <t>USER_CREATED</t>
  </si>
  <si>
    <t>ELEMENT_AT(SPLIT(sat_account_system.t_inputter,'_'),2)</t>
  </si>
  <si>
    <t>usr.UNQ_ID_SRC_STM</t>
  </si>
  <si>
    <t>IS_HDTG_DANANG</t>
  </si>
  <si>
    <t>'N' — TODO(DA) IBM từ AC_X_USR_CRT, DV chưa có quan hệ</t>
  </si>
  <si>
    <t>CASE usr NOT NULL</t>
  </si>
  <si>
    <t>BLOCKED_ACCOUNT</t>
  </si>
  <si>
    <t>CASE account có trong link_account_locked_events_account → 'Y' else 'N'</t>
  </si>
  <si>
    <t>AR_X_AR AC_LOCK_X_AC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</si>
</sst>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12"/>
      <color rgb="FF808080"/>
      <name val="Calibri"/>
    </font>
    <font>
      <b/>
      <sz val="10"/>
      <color rgb="FF000080"/>
      <name val="Arial"/>
    </font>
    <font>
      <sz val="9"/>
      <name val="Arial"/>
    </font>
    <font>
      <i/>
      <sz val="9"/>
      <name val="Arial"/>
    </font>
    <font>
      <sz val="8"/>
      <name val="Consolas"/>
    </font>
    <font>
      <b/>
      <sz val="12"/>
      <color rgb="FFFFFFFF"/>
      <name val="Arial"/>
    </font>
    <font>
      <b/>
      <sz val="10"/>
      <color rgb="FFFFFFFF"/>
      <name val="Arial"/>
    </font>
    <font>
      <sz val="12"/>
      <color rgb="FFFFFFFF"/>
      <name val="Arial"/>
      <family val="2"/>
    </font>
    <font>
      <b/>
      <sz val="9"/>
      <color rgb="FFFFFFFF"/>
      <name val="Arial"/>
      <family val="2"/>
    </font>
    <font>
      <sz val="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4D93D9"/>
      </patternFill>
    </fill>
    <fill>
      <patternFill patternType="solid">
        <fgColor rgb="FFE67E2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5" fillId="0" borderId="0" xfId="0" applyFont="1"/>
    <xf numFmtId="0" fontId="0" fillId="3" borderId="0" xfId="0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vertical="top"/>
    </xf>
    <xf numFmtId="0" fontId="10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1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workbookViewId="0">
      <selection activeCell="E34" sqref="E34"/>
    </sheetView>
  </sheetViews>
  <sheetFormatPr defaultRowHeight="15"/>
  <cols>
    <col min="1" max="1" width="24" customWidth="1"/>
    <col min="2" max="2" width="3" customWidth="1"/>
    <col min="3" max="3" width="26" customWidth="1"/>
    <col min="4" max="4" width="3" customWidth="1"/>
    <col min="5" max="5" width="24" customWidth="1"/>
    <col min="6" max="6" width="3" customWidth="1"/>
    <col min="7" max="7" width="104" customWidth="1"/>
  </cols>
  <sheetData>
    <row r="1" spans="1:7">
      <c r="A1" s="17" t="s">
        <v>0</v>
      </c>
      <c r="B1" s="25"/>
      <c r="C1" s="25"/>
      <c r="D1" s="25"/>
      <c r="E1" s="25"/>
      <c r="F1" s="25"/>
      <c r="G1" s="25"/>
    </row>
    <row r="2" spans="1:7" ht="24">
      <c r="A2" s="1" t="s">
        <v>1</v>
      </c>
      <c r="C2" s="1" t="s">
        <v>2</v>
      </c>
      <c r="E2" s="1" t="s">
        <v>3</v>
      </c>
      <c r="G2" s="1" t="s">
        <v>4</v>
      </c>
    </row>
    <row r="3" spans="1:7" ht="30" customHeight="1">
      <c r="A3" s="20" t="s">
        <v>5</v>
      </c>
      <c r="B3" s="21" t="s">
        <v>6</v>
      </c>
      <c r="C3" s="19" t="s">
        <v>7</v>
      </c>
      <c r="D3" s="21" t="s">
        <v>6</v>
      </c>
      <c r="E3" s="22" t="s">
        <v>8</v>
      </c>
      <c r="F3" s="2" t="s">
        <v>6</v>
      </c>
      <c r="G3" s="15" t="s">
        <v>9</v>
      </c>
    </row>
    <row r="4" spans="1:7" ht="30" customHeight="1">
      <c r="A4" s="25"/>
      <c r="B4" s="25"/>
      <c r="C4" s="25"/>
      <c r="D4" s="25"/>
      <c r="E4" s="25"/>
      <c r="F4" s="2" t="s">
        <v>6</v>
      </c>
      <c r="G4" s="15" t="s">
        <v>10</v>
      </c>
    </row>
    <row r="5" spans="1:7" ht="30" customHeight="1">
      <c r="A5" s="25"/>
      <c r="B5" s="25"/>
      <c r="C5" s="25"/>
      <c r="D5" s="25"/>
      <c r="E5" s="25"/>
      <c r="F5" s="2" t="s">
        <v>6</v>
      </c>
      <c r="G5" s="15" t="s">
        <v>11</v>
      </c>
    </row>
    <row r="6" spans="1:7" ht="30" customHeight="1">
      <c r="A6" s="25"/>
      <c r="B6" s="25"/>
      <c r="C6" s="25"/>
      <c r="D6" s="25"/>
      <c r="E6" s="25"/>
      <c r="F6" s="2" t="s">
        <v>6</v>
      </c>
      <c r="G6" s="15" t="s">
        <v>12</v>
      </c>
    </row>
    <row r="7" spans="1:7" ht="30" customHeight="1">
      <c r="A7" s="25"/>
      <c r="B7" s="25"/>
      <c r="C7" s="25"/>
      <c r="D7" s="25"/>
      <c r="E7" s="25"/>
      <c r="F7" s="2" t="s">
        <v>6</v>
      </c>
      <c r="G7" s="15" t="s">
        <v>13</v>
      </c>
    </row>
    <row r="8" spans="1:7" ht="30" customHeight="1">
      <c r="A8" s="25"/>
      <c r="B8" s="25"/>
      <c r="C8" s="25"/>
      <c r="D8" s="25"/>
      <c r="E8" s="25"/>
      <c r="F8" s="2" t="s">
        <v>6</v>
      </c>
      <c r="G8" s="15" t="s">
        <v>14</v>
      </c>
    </row>
    <row r="10" spans="1:7">
      <c r="A10" s="3" t="s">
        <v>15</v>
      </c>
    </row>
    <row r="11" spans="1:7">
      <c r="A11" s="4"/>
      <c r="C11" s="5" t="s">
        <v>16</v>
      </c>
    </row>
    <row r="12" spans="1:7">
      <c r="A12" s="6"/>
      <c r="C12" s="5" t="s">
        <v>17</v>
      </c>
    </row>
    <row r="13" spans="1:7">
      <c r="A13" s="7"/>
      <c r="C13" s="5" t="s">
        <v>18</v>
      </c>
    </row>
    <row r="14" spans="1:7">
      <c r="A14" s="8"/>
      <c r="C14" s="5" t="s">
        <v>19</v>
      </c>
    </row>
    <row r="15" spans="1:7">
      <c r="A15" s="9"/>
      <c r="C15" s="5" t="s">
        <v>20</v>
      </c>
    </row>
    <row r="17" spans="1:7">
      <c r="A17" s="18"/>
      <c r="B17" s="25"/>
      <c r="C17" s="25"/>
      <c r="D17" s="25"/>
      <c r="E17" s="25"/>
      <c r="F17" s="25"/>
      <c r="G17" s="25"/>
    </row>
  </sheetData>
  <mergeCells count="7">
    <mergeCell ref="A1:G1"/>
    <mergeCell ref="A17:G17"/>
    <mergeCell ref="C3:C8"/>
    <mergeCell ref="A3:A8"/>
    <mergeCell ref="B3:B8"/>
    <mergeCell ref="E3:E8"/>
    <mergeCell ref="D3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tabSelected="1" topLeftCell="A2" workbookViewId="0">
      <selection activeCell="G3" sqref="G3"/>
    </sheetView>
  </sheetViews>
  <sheetFormatPr defaultRowHeight="15"/>
  <cols>
    <col min="1" max="1" width="14" customWidth="1"/>
    <col min="2" max="2" width="30" customWidth="1"/>
    <col min="3" max="3" width="120" customWidth="1"/>
  </cols>
  <sheetData>
    <row r="1" spans="1:3">
      <c r="A1" s="10" t="s">
        <v>21</v>
      </c>
      <c r="B1" s="10" t="s">
        <v>22</v>
      </c>
      <c r="C1" s="10" t="s">
        <v>23</v>
      </c>
    </row>
    <row r="2" spans="1:3" ht="409.6" customHeight="1">
      <c r="A2" s="11" t="s">
        <v>24</v>
      </c>
      <c r="B2" s="5" t="s">
        <v>25</v>
      </c>
      <c r="C2" s="12" t="s">
        <v>26</v>
      </c>
    </row>
    <row r="3" spans="1:3" ht="409.6" customHeight="1">
      <c r="A3" s="11" t="s">
        <v>27</v>
      </c>
      <c r="B3" s="5" t="s">
        <v>28</v>
      </c>
      <c r="C3" s="1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showGridLines="0" workbookViewId="0">
      <selection sqref="A1:F1"/>
    </sheetView>
  </sheetViews>
  <sheetFormatPr defaultRowHeight="15"/>
  <cols>
    <col min="1" max="1" width="6" customWidth="1"/>
    <col min="2" max="2" width="42" customWidth="1"/>
    <col min="3" max="4" width="13" customWidth="1"/>
    <col min="5" max="5" width="56" customWidth="1"/>
    <col min="6" max="6" width="42" customWidth="1"/>
  </cols>
  <sheetData>
    <row r="1" spans="1:6">
      <c r="A1" s="24" t="s">
        <v>30</v>
      </c>
      <c r="B1" s="25"/>
      <c r="C1" s="25"/>
      <c r="D1" s="25"/>
      <c r="E1" s="25"/>
      <c r="F1" s="25"/>
    </row>
    <row r="3" spans="1:6">
      <c r="A3" s="23" t="s">
        <v>31</v>
      </c>
      <c r="B3" s="25"/>
      <c r="C3" s="25"/>
      <c r="D3" s="25"/>
      <c r="E3" s="25"/>
      <c r="F3" s="25"/>
    </row>
    <row r="4" spans="1:6">
      <c r="A4" s="13" t="s">
        <v>32</v>
      </c>
      <c r="B4" s="13" t="s">
        <v>33</v>
      </c>
      <c r="C4" s="13" t="s">
        <v>34</v>
      </c>
      <c r="D4" s="13" t="s">
        <v>35</v>
      </c>
      <c r="E4" s="13" t="s">
        <v>36</v>
      </c>
      <c r="F4" s="13" t="s">
        <v>37</v>
      </c>
    </row>
    <row r="5" spans="1:6" ht="24">
      <c r="A5" s="14" t="s">
        <v>38</v>
      </c>
      <c r="B5" s="14" t="s">
        <v>39</v>
      </c>
      <c r="C5" s="14" t="s">
        <v>40</v>
      </c>
      <c r="D5" s="14" t="s">
        <v>41</v>
      </c>
      <c r="E5" s="14" t="s">
        <v>42</v>
      </c>
      <c r="F5" s="14" t="s">
        <v>43</v>
      </c>
    </row>
    <row r="6" spans="1:6">
      <c r="A6" s="14" t="s">
        <v>44</v>
      </c>
      <c r="B6" s="14" t="s">
        <v>45</v>
      </c>
      <c r="C6" s="14" t="s">
        <v>46</v>
      </c>
      <c r="D6" s="14" t="s">
        <v>47</v>
      </c>
      <c r="E6" s="14" t="s">
        <v>48</v>
      </c>
      <c r="F6" s="14" t="s">
        <v>49</v>
      </c>
    </row>
    <row r="7" spans="1:6">
      <c r="A7" s="14" t="s">
        <v>50</v>
      </c>
      <c r="B7" s="14" t="s">
        <v>51</v>
      </c>
      <c r="C7" s="14" t="s">
        <v>52</v>
      </c>
      <c r="D7" s="14" t="s">
        <v>47</v>
      </c>
      <c r="E7" s="14" t="s">
        <v>53</v>
      </c>
      <c r="F7" s="14" t="s">
        <v>54</v>
      </c>
    </row>
    <row r="8" spans="1:6">
      <c r="A8" s="14" t="s">
        <v>55</v>
      </c>
      <c r="B8" s="14" t="s">
        <v>56</v>
      </c>
      <c r="C8" s="14" t="s">
        <v>57</v>
      </c>
      <c r="D8" s="14" t="s">
        <v>47</v>
      </c>
      <c r="E8" s="14" t="s">
        <v>58</v>
      </c>
      <c r="F8" s="14" t="s">
        <v>59</v>
      </c>
    </row>
    <row r="9" spans="1:6">
      <c r="A9" s="14" t="s">
        <v>60</v>
      </c>
      <c r="B9" s="14" t="s">
        <v>61</v>
      </c>
      <c r="C9" s="14" t="s">
        <v>62</v>
      </c>
      <c r="D9" s="14" t="s">
        <v>47</v>
      </c>
      <c r="E9" s="14" t="s">
        <v>63</v>
      </c>
      <c r="F9" s="14" t="s">
        <v>64</v>
      </c>
    </row>
    <row r="10" spans="1:6">
      <c r="A10" s="14" t="s">
        <v>65</v>
      </c>
      <c r="B10" s="14" t="s">
        <v>66</v>
      </c>
      <c r="C10" s="14" t="s">
        <v>67</v>
      </c>
      <c r="D10" s="14" t="s">
        <v>47</v>
      </c>
      <c r="E10" s="14" t="s">
        <v>68</v>
      </c>
      <c r="F10" s="14" t="s">
        <v>69</v>
      </c>
    </row>
    <row r="11" spans="1:6">
      <c r="A11" s="14" t="s">
        <v>70</v>
      </c>
      <c r="B11" s="14" t="s">
        <v>71</v>
      </c>
      <c r="C11" s="14" t="s">
        <v>72</v>
      </c>
      <c r="D11" s="14" t="s">
        <v>47</v>
      </c>
      <c r="E11" s="14" t="s">
        <v>73</v>
      </c>
      <c r="F11" s="14" t="s">
        <v>74</v>
      </c>
    </row>
    <row r="12" spans="1:6">
      <c r="A12" s="14" t="s">
        <v>75</v>
      </c>
      <c r="B12" s="14" t="s">
        <v>76</v>
      </c>
      <c r="C12" s="14" t="s">
        <v>77</v>
      </c>
      <c r="D12" s="14" t="s">
        <v>47</v>
      </c>
      <c r="E12" s="14" t="s">
        <v>78</v>
      </c>
      <c r="F12" s="14" t="s">
        <v>79</v>
      </c>
    </row>
    <row r="13" spans="1:6">
      <c r="A13" s="14" t="s">
        <v>80</v>
      </c>
      <c r="B13" s="14" t="s">
        <v>81</v>
      </c>
      <c r="C13" s="14" t="s">
        <v>82</v>
      </c>
      <c r="D13" s="14" t="s">
        <v>47</v>
      </c>
      <c r="E13" s="14" t="s">
        <v>83</v>
      </c>
      <c r="F13" s="14" t="s">
        <v>84</v>
      </c>
    </row>
    <row r="14" spans="1:6">
      <c r="A14" s="14" t="s">
        <v>85</v>
      </c>
      <c r="B14" s="14" t="s">
        <v>86</v>
      </c>
      <c r="C14" s="14" t="s">
        <v>87</v>
      </c>
      <c r="D14" s="14" t="s">
        <v>47</v>
      </c>
      <c r="E14" s="14" t="s">
        <v>88</v>
      </c>
      <c r="F14" s="14" t="s">
        <v>89</v>
      </c>
    </row>
    <row r="15" spans="1:6" ht="24">
      <c r="A15" s="14" t="s">
        <v>90</v>
      </c>
      <c r="B15" s="14" t="s">
        <v>91</v>
      </c>
      <c r="C15" s="14" t="s">
        <v>92</v>
      </c>
      <c r="D15" s="14" t="s">
        <v>47</v>
      </c>
      <c r="E15" s="14" t="s">
        <v>93</v>
      </c>
      <c r="F15" s="14" t="s">
        <v>94</v>
      </c>
    </row>
    <row r="16" spans="1:6">
      <c r="A16" s="14" t="s">
        <v>95</v>
      </c>
      <c r="B16" s="14" t="s">
        <v>96</v>
      </c>
      <c r="C16" s="14" t="s">
        <v>97</v>
      </c>
      <c r="D16" s="14" t="s">
        <v>47</v>
      </c>
      <c r="E16" s="14" t="s">
        <v>98</v>
      </c>
      <c r="F16" s="14" t="s">
        <v>99</v>
      </c>
    </row>
    <row r="17" spans="1:6">
      <c r="A17" s="14" t="s">
        <v>100</v>
      </c>
      <c r="B17" s="14" t="s">
        <v>101</v>
      </c>
      <c r="C17" s="14" t="s">
        <v>102</v>
      </c>
      <c r="D17" s="14" t="s">
        <v>47</v>
      </c>
      <c r="E17" s="14" t="s">
        <v>103</v>
      </c>
      <c r="F17" s="14" t="s">
        <v>104</v>
      </c>
    </row>
    <row r="18" spans="1:6">
      <c r="A18" s="14" t="s">
        <v>105</v>
      </c>
      <c r="B18" s="14" t="s">
        <v>106</v>
      </c>
      <c r="C18" s="14" t="s">
        <v>107</v>
      </c>
      <c r="D18" s="14" t="s">
        <v>47</v>
      </c>
      <c r="E18" s="14" t="s">
        <v>108</v>
      </c>
      <c r="F18" s="14" t="s">
        <v>109</v>
      </c>
    </row>
    <row r="19" spans="1:6">
      <c r="A19" s="14" t="s">
        <v>110</v>
      </c>
      <c r="B19" s="14" t="s">
        <v>111</v>
      </c>
      <c r="C19" s="14" t="s">
        <v>112</v>
      </c>
      <c r="D19" s="14" t="s">
        <v>47</v>
      </c>
      <c r="E19" s="14" t="s">
        <v>113</v>
      </c>
      <c r="F19" s="14" t="s">
        <v>114</v>
      </c>
    </row>
    <row r="20" spans="1:6" ht="24">
      <c r="A20" s="14" t="s">
        <v>115</v>
      </c>
      <c r="B20" s="14" t="s">
        <v>116</v>
      </c>
      <c r="C20" s="14" t="s">
        <v>117</v>
      </c>
      <c r="D20" s="14" t="s">
        <v>47</v>
      </c>
      <c r="E20" s="14" t="s">
        <v>118</v>
      </c>
      <c r="F20" s="14" t="s">
        <v>119</v>
      </c>
    </row>
    <row r="21" spans="1:6">
      <c r="A21" s="14" t="s">
        <v>120</v>
      </c>
      <c r="B21" s="14" t="s">
        <v>121</v>
      </c>
      <c r="C21" s="14" t="s">
        <v>122</v>
      </c>
      <c r="D21" s="14" t="s">
        <v>47</v>
      </c>
      <c r="E21" s="14" t="s">
        <v>123</v>
      </c>
      <c r="F21" s="14" t="s">
        <v>124</v>
      </c>
    </row>
    <row r="23" spans="1:6">
      <c r="A23" s="23" t="s">
        <v>125</v>
      </c>
      <c r="B23" s="25"/>
      <c r="C23" s="25"/>
      <c r="D23" s="25"/>
      <c r="E23" s="25"/>
      <c r="F23" s="25"/>
    </row>
    <row r="24" spans="1:6" ht="38.25">
      <c r="A24" s="13" t="s">
        <v>126</v>
      </c>
      <c r="B24" s="13" t="s">
        <v>127</v>
      </c>
      <c r="C24" s="13" t="s">
        <v>128</v>
      </c>
      <c r="D24" s="13" t="s">
        <v>129</v>
      </c>
      <c r="E24" s="13" t="s">
        <v>130</v>
      </c>
      <c r="F24" s="13" t="s">
        <v>131</v>
      </c>
    </row>
    <row r="25" spans="1:6" ht="36">
      <c r="A25" s="14" t="s">
        <v>8</v>
      </c>
      <c r="B25" s="14" t="s">
        <v>132</v>
      </c>
      <c r="C25" s="14" t="s">
        <v>133</v>
      </c>
      <c r="D25" s="14" t="s">
        <v>134</v>
      </c>
      <c r="E25" s="14" t="s">
        <v>135</v>
      </c>
      <c r="F25" s="14" t="s">
        <v>136</v>
      </c>
    </row>
    <row r="26" spans="1:6" ht="36">
      <c r="A26" s="14" t="s">
        <v>8</v>
      </c>
      <c r="B26" s="14" t="s">
        <v>137</v>
      </c>
      <c r="C26" s="14" t="s">
        <v>138</v>
      </c>
      <c r="D26" s="14" t="s">
        <v>139</v>
      </c>
      <c r="E26" s="14" t="s">
        <v>140</v>
      </c>
      <c r="F26" s="14" t="e">
        <f ca="1">DATADT ở SCD2</f>
        <v>#NAME?</v>
      </c>
    </row>
    <row r="27" spans="1:6" ht="36">
      <c r="A27" s="14" t="s">
        <v>8</v>
      </c>
      <c r="B27" s="14" t="s">
        <v>141</v>
      </c>
      <c r="C27" s="14" t="s">
        <v>138</v>
      </c>
      <c r="D27" s="14" t="s">
        <v>139</v>
      </c>
      <c r="E27" s="14" t="s">
        <v>140</v>
      </c>
      <c r="F27" s="14" t="s">
        <v>142</v>
      </c>
    </row>
    <row r="28" spans="1:6" ht="36">
      <c r="A28" s="14" t="s">
        <v>8</v>
      </c>
      <c r="B28" s="14" t="s">
        <v>143</v>
      </c>
      <c r="C28" s="14" t="s">
        <v>144</v>
      </c>
      <c r="D28" s="14" t="s">
        <v>134</v>
      </c>
      <c r="E28" s="14" t="s">
        <v>145</v>
      </c>
      <c r="F28" s="14" t="s">
        <v>146</v>
      </c>
    </row>
    <row r="29" spans="1:6" ht="36">
      <c r="A29" s="14" t="s">
        <v>8</v>
      </c>
      <c r="B29" s="14" t="s">
        <v>147</v>
      </c>
      <c r="C29" s="14" t="s">
        <v>144</v>
      </c>
      <c r="D29" s="14" t="s">
        <v>134</v>
      </c>
      <c r="E29" s="14" t="s">
        <v>148</v>
      </c>
      <c r="F29" s="14" t="s">
        <v>149</v>
      </c>
    </row>
    <row r="30" spans="1:6" ht="36">
      <c r="A30" s="14" t="s">
        <v>8</v>
      </c>
      <c r="B30" s="14" t="s">
        <v>99</v>
      </c>
      <c r="C30" s="14" t="s">
        <v>144</v>
      </c>
      <c r="D30" s="14" t="s">
        <v>134</v>
      </c>
      <c r="E30" s="14" t="s">
        <v>150</v>
      </c>
      <c r="F30" s="14" t="s">
        <v>151</v>
      </c>
    </row>
    <row r="31" spans="1:6" ht="36">
      <c r="A31" s="14" t="s">
        <v>8</v>
      </c>
      <c r="B31" s="14" t="s">
        <v>152</v>
      </c>
      <c r="C31" s="14" t="s">
        <v>138</v>
      </c>
      <c r="D31" s="14" t="s">
        <v>134</v>
      </c>
      <c r="E31" s="14" t="s">
        <v>153</v>
      </c>
      <c r="F31" s="14" t="s">
        <v>154</v>
      </c>
    </row>
    <row r="32" spans="1:6" ht="36">
      <c r="A32" s="14" t="s">
        <v>8</v>
      </c>
      <c r="B32" s="14" t="s">
        <v>155</v>
      </c>
      <c r="C32" s="14" t="s">
        <v>144</v>
      </c>
      <c r="D32" s="14" t="s">
        <v>156</v>
      </c>
      <c r="E32" s="14" t="s">
        <v>157</v>
      </c>
      <c r="F32" s="14" t="s">
        <v>158</v>
      </c>
    </row>
    <row r="33" spans="1:6" ht="36">
      <c r="A33" s="14" t="s">
        <v>8</v>
      </c>
      <c r="B33" s="14" t="s">
        <v>159</v>
      </c>
      <c r="C33" s="14" t="s">
        <v>144</v>
      </c>
      <c r="D33" s="14" t="s">
        <v>156</v>
      </c>
      <c r="E33" s="14" t="s">
        <v>160</v>
      </c>
      <c r="F33" s="14" t="s">
        <v>161</v>
      </c>
    </row>
    <row r="34" spans="1:6" ht="36">
      <c r="A34" s="14" t="s">
        <v>8</v>
      </c>
      <c r="B34" s="14" t="s">
        <v>104</v>
      </c>
      <c r="C34" s="14" t="s">
        <v>144</v>
      </c>
      <c r="D34" s="14" t="s">
        <v>156</v>
      </c>
      <c r="E34" s="14" t="s">
        <v>162</v>
      </c>
      <c r="F34" s="14" t="s">
        <v>163</v>
      </c>
    </row>
    <row r="35" spans="1:6" ht="36">
      <c r="A35" s="14" t="s">
        <v>8</v>
      </c>
      <c r="B35" s="14" t="s">
        <v>164</v>
      </c>
      <c r="C35" s="14" t="s">
        <v>138</v>
      </c>
      <c r="D35" s="14" t="s">
        <v>134</v>
      </c>
      <c r="E35" s="14" t="s">
        <v>165</v>
      </c>
      <c r="F35" s="14" t="s">
        <v>166</v>
      </c>
    </row>
    <row r="36" spans="1:6" ht="36">
      <c r="A36" s="14" t="s">
        <v>8</v>
      </c>
      <c r="B36" s="14" t="s">
        <v>167</v>
      </c>
      <c r="C36" s="14" t="s">
        <v>138</v>
      </c>
      <c r="D36" s="14" t="s">
        <v>134</v>
      </c>
      <c r="E36" s="14" t="s">
        <v>168</v>
      </c>
      <c r="F36" s="14" t="s">
        <v>169</v>
      </c>
    </row>
    <row r="37" spans="1:6" ht="36">
      <c r="A37" s="14" t="s">
        <v>8</v>
      </c>
      <c r="B37" s="14" t="s">
        <v>114</v>
      </c>
      <c r="C37" s="14" t="s">
        <v>144</v>
      </c>
      <c r="D37" s="14" t="s">
        <v>134</v>
      </c>
      <c r="E37" s="14" t="s">
        <v>170</v>
      </c>
      <c r="F37" s="14" t="s">
        <v>171</v>
      </c>
    </row>
    <row r="38" spans="1:6" ht="36">
      <c r="A38" s="14" t="s">
        <v>8</v>
      </c>
      <c r="B38" s="14" t="s">
        <v>172</v>
      </c>
      <c r="C38" s="14" t="s">
        <v>144</v>
      </c>
      <c r="D38" s="14" t="s">
        <v>139</v>
      </c>
      <c r="E38" s="14" t="s">
        <v>139</v>
      </c>
      <c r="F38" s="14" t="s">
        <v>173</v>
      </c>
    </row>
    <row r="39" spans="1:6" ht="36">
      <c r="A39" s="14" t="s">
        <v>8</v>
      </c>
      <c r="B39" s="14" t="s">
        <v>174</v>
      </c>
      <c r="C39" s="14" t="s">
        <v>144</v>
      </c>
      <c r="D39" s="14" t="s">
        <v>139</v>
      </c>
      <c r="E39" s="14" t="s">
        <v>139</v>
      </c>
      <c r="F39" s="14" t="s">
        <v>173</v>
      </c>
    </row>
    <row r="40" spans="1:6" ht="36">
      <c r="A40" s="14" t="s">
        <v>8</v>
      </c>
      <c r="B40" s="14" t="s">
        <v>175</v>
      </c>
      <c r="C40" s="14" t="s">
        <v>144</v>
      </c>
      <c r="D40" s="14" t="s">
        <v>139</v>
      </c>
      <c r="E40" s="14" t="s">
        <v>139</v>
      </c>
      <c r="F40" s="14" t="s">
        <v>173</v>
      </c>
    </row>
    <row r="41" spans="1:6" ht="36">
      <c r="A41" s="14" t="s">
        <v>8</v>
      </c>
      <c r="B41" s="14" t="s">
        <v>176</v>
      </c>
      <c r="C41" s="14" t="s">
        <v>138</v>
      </c>
      <c r="D41" s="14" t="s">
        <v>139</v>
      </c>
      <c r="E41" s="14" t="s">
        <v>139</v>
      </c>
      <c r="F41" s="14" t="s">
        <v>173</v>
      </c>
    </row>
    <row r="42" spans="1:6" ht="36">
      <c r="A42" s="14" t="s">
        <v>8</v>
      </c>
      <c r="B42" s="14" t="s">
        <v>177</v>
      </c>
      <c r="C42" s="14" t="s">
        <v>144</v>
      </c>
      <c r="D42" s="14" t="s">
        <v>139</v>
      </c>
      <c r="E42" s="14" t="s">
        <v>139</v>
      </c>
      <c r="F42" s="14" t="s">
        <v>173</v>
      </c>
    </row>
    <row r="43" spans="1:6" ht="36">
      <c r="A43" s="14" t="s">
        <v>8</v>
      </c>
      <c r="B43" s="14" t="s">
        <v>178</v>
      </c>
      <c r="C43" s="14" t="s">
        <v>144</v>
      </c>
      <c r="D43" s="14" t="s">
        <v>139</v>
      </c>
      <c r="E43" s="14" t="s">
        <v>139</v>
      </c>
      <c r="F43" s="14" t="s">
        <v>173</v>
      </c>
    </row>
    <row r="44" spans="1:6" ht="36">
      <c r="A44" s="14" t="s">
        <v>8</v>
      </c>
      <c r="B44" s="14" t="s">
        <v>179</v>
      </c>
      <c r="C44" s="14" t="s">
        <v>144</v>
      </c>
      <c r="D44" s="14" t="s">
        <v>139</v>
      </c>
      <c r="E44" s="14" t="s">
        <v>139</v>
      </c>
      <c r="F44" s="14" t="s">
        <v>173</v>
      </c>
    </row>
    <row r="45" spans="1:6" ht="36">
      <c r="A45" s="14" t="s">
        <v>8</v>
      </c>
      <c r="B45" s="14" t="s">
        <v>180</v>
      </c>
      <c r="C45" s="14" t="s">
        <v>144</v>
      </c>
      <c r="D45" s="14" t="s">
        <v>134</v>
      </c>
      <c r="E45" s="14" t="s">
        <v>181</v>
      </c>
      <c r="F45" s="14" t="s">
        <v>182</v>
      </c>
    </row>
    <row r="46" spans="1:6" ht="36">
      <c r="A46" s="14" t="s">
        <v>8</v>
      </c>
      <c r="B46" s="14" t="s">
        <v>183</v>
      </c>
      <c r="C46" s="14" t="s">
        <v>144</v>
      </c>
      <c r="D46" s="14" t="s">
        <v>134</v>
      </c>
      <c r="E46" s="14" t="s">
        <v>184</v>
      </c>
      <c r="F46" s="14" t="s">
        <v>185</v>
      </c>
    </row>
    <row r="47" spans="1:6" ht="36">
      <c r="A47" s="14" t="s">
        <v>8</v>
      </c>
      <c r="B47" s="14" t="s">
        <v>186</v>
      </c>
      <c r="C47" s="14" t="s">
        <v>187</v>
      </c>
      <c r="D47" s="14" t="s">
        <v>156</v>
      </c>
      <c r="E47" s="14" t="s">
        <v>188</v>
      </c>
      <c r="F47" s="14" t="s">
        <v>189</v>
      </c>
    </row>
    <row r="48" spans="1:6" ht="36">
      <c r="A48" s="14" t="s">
        <v>8</v>
      </c>
      <c r="B48" s="14" t="s">
        <v>190</v>
      </c>
      <c r="C48" s="14" t="s">
        <v>187</v>
      </c>
      <c r="D48" s="14" t="s">
        <v>156</v>
      </c>
      <c r="E48" s="14" t="s">
        <v>188</v>
      </c>
      <c r="F48" s="14" t="s">
        <v>189</v>
      </c>
    </row>
    <row r="49" spans="1:6" ht="36">
      <c r="A49" s="14" t="s">
        <v>8</v>
      </c>
      <c r="B49" s="14" t="s">
        <v>191</v>
      </c>
      <c r="C49" s="14" t="s">
        <v>144</v>
      </c>
      <c r="D49" s="14" t="s">
        <v>156</v>
      </c>
      <c r="E49" s="14" t="s">
        <v>157</v>
      </c>
      <c r="F49" s="14" t="s">
        <v>192</v>
      </c>
    </row>
    <row r="50" spans="1:6" ht="36">
      <c r="A50" s="14" t="s">
        <v>8</v>
      </c>
      <c r="B50" s="14" t="s">
        <v>193</v>
      </c>
      <c r="C50" s="14" t="s">
        <v>144</v>
      </c>
      <c r="D50" s="14" t="s">
        <v>134</v>
      </c>
      <c r="E50" s="14" t="s">
        <v>194</v>
      </c>
      <c r="F50" s="14" t="s">
        <v>195</v>
      </c>
    </row>
    <row r="51" spans="1:6" ht="36">
      <c r="A51" s="14" t="s">
        <v>8</v>
      </c>
      <c r="B51" s="14" t="s">
        <v>196</v>
      </c>
      <c r="C51" s="14" t="s">
        <v>144</v>
      </c>
      <c r="D51" s="14" t="s">
        <v>134</v>
      </c>
      <c r="E51" s="14" t="s">
        <v>197</v>
      </c>
      <c r="F51" s="14" t="s">
        <v>198</v>
      </c>
    </row>
    <row r="52" spans="1:6" ht="36">
      <c r="A52" s="14" t="s">
        <v>8</v>
      </c>
      <c r="B52" s="14" t="s">
        <v>199</v>
      </c>
      <c r="C52" s="14" t="s">
        <v>144</v>
      </c>
      <c r="D52" s="14" t="s">
        <v>134</v>
      </c>
      <c r="E52" s="14" t="s">
        <v>200</v>
      </c>
      <c r="F52" s="14" t="s">
        <v>201</v>
      </c>
    </row>
  </sheetData>
  <mergeCells count="3">
    <mergeCell ref="A3:F3"/>
    <mergeCell ref="A1:F1"/>
    <mergeCell ref="A23:F2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7614A4-FA71-4B20-9C82-5F415C7C3907}"/>
</file>

<file path=customXml/itemProps2.xml><?xml version="1.0" encoding="utf-8"?>
<ds:datastoreItem xmlns:ds="http://schemas.openxmlformats.org/officeDocument/2006/customXml" ds:itemID="{C18FE9AD-96C1-4DBA-938C-8556C65B7430}"/>
</file>

<file path=customXml/itemProps3.xml><?xml version="1.0" encoding="utf-8"?>
<ds:datastoreItem xmlns:ds="http://schemas.openxmlformats.org/officeDocument/2006/customXml" ds:itemID="{BF91F718-5FC0-49B6-ACA8-A2BE878624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Gia Le (RAFFLES)</cp:lastModifiedBy>
  <cp:revision/>
  <dcterms:created xsi:type="dcterms:W3CDTF">2026-08-11T03:22:34Z</dcterms:created>
  <dcterms:modified xsi:type="dcterms:W3CDTF">2026-08-11T03:43:23Z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