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0"/>
  <workbookPr/>
  <mc:AlternateContent xmlns:mc="http://schemas.openxmlformats.org/markup-compatibility/2006">
    <mc:Choice Requires="x15">
      <x15ac:absPath xmlns:x15ac="http://schemas.microsoft.com/office/spreadsheetml/2010/11/ac" url="D:\work\OCB\datavault-model\reverse\result\xlsx\"/>
    </mc:Choice>
  </mc:AlternateContent>
  <xr:revisionPtr revIDLastSave="6" documentId="13_ncr:1_{6C4811FB-7A9C-4821-8F3E-342EEE6BE8BE}" xr6:coauthVersionLast="47" xr6:coauthVersionMax="47" xr10:uidLastSave="{072536B6-E2E5-4B07-A26E-89EBF6E3AD6B}"/>
  <bookViews>
    <workbookView xWindow="-120" yWindow="-120" windowWidth="29040" windowHeight="15720" xr2:uid="{00000000-000D-0000-FFFF-FFFF00000000}"/>
  </bookViews>
  <sheets>
    <sheet name="Summary" sheetId="1" r:id="rId1"/>
    <sheet name="Script SQL" sheetId="2" r:id="rId2"/>
    <sheet name="DIM_BRANCH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" i="3" l="1"/>
  <c r="F15" i="3"/>
</calcChain>
</file>

<file path=xl/sharedStrings.xml><?xml version="1.0" encoding="utf-8"?>
<sst xmlns="http://schemas.openxmlformats.org/spreadsheetml/2006/main" count="120" uniqueCount="96">
  <si>
    <t>LINEAGE HỢP NHẤT — DIM_BRANCH  (L0-L2: datamart · L3: Silver Data Vault)</t>
  </si>
  <si>
    <t>Layer 0
WORKBOOK</t>
  </si>
  <si>
    <t>Layer 1
Main Table (TCIMPORT)</t>
  </si>
  <si>
    <t>Layer 2
Gold Zone C</t>
  </si>
  <si>
    <t>Layer 3
Silver Data Vault (hub/sts/sat)</t>
  </si>
  <si>
    <t>IGEN_REPORT (DM_IGEN)
+ PHT_QD283.01_REPORT</t>
  </si>
  <si>
    <t>DIM_BRANCH</t>
  </si>
  <si>
    <t>hub_branch, sts_hub_branch, sat_branch_information, sat_branch_comp_level_group</t>
  </si>
  <si>
    <t>➜</t>
  </si>
  <si>
    <t>LEGEND</t>
  </si>
  <si>
    <t>View/Table Layer 1</t>
  </si>
  <si>
    <t>View Layer 2+</t>
  </si>
  <si>
    <t>UPL/thủ công</t>
  </si>
  <si>
    <t>Table (Gold - Databricks)</t>
  </si>
  <si>
    <t>Table (Silver - Databricks)</t>
  </si>
  <si>
    <t>Type</t>
  </si>
  <si>
    <t>View / Table</t>
  </si>
  <si>
    <t>Script SQL</t>
  </si>
  <si>
    <t>Code cũ</t>
  </si>
  <si>
    <t>IBM_DIM_BRANCH (IBM DataStage SCD2)</t>
  </si>
  <si>
    <t xml:space="preserve">-- =============================================================================
-- IBM_DIM_BRANCH  —  TAI DUNG TU IBM DataStage (ocbdw1.dsx)
-- Job: DIM_BRANCH__Coll (\OCBDW\...\Dimension) : TWT (TruncIns) -&gt; DelIns (SCD2) -&gt; ORA
--   Nguon dung bang: DIM_BRANCH__TWT__TruncIns (SelectStatement dsx :2032549-:2032572).
--
-- CO CHE bang dich TCIMPORT.DIM_BRANCH = TABLE SCD2 (Type 2):
--   - Job __DelIns funnel 3 nhanh NEW/OLD/EXP: surrogate = SEQ_DIM_BRANCH.nextval;
--     validity EFF_DT/END_DT (current = END_DT high-date); khong CURRENT_FLAG; Delete-then-Insert theo surrogate.
--   - TWT staging = truncate-insert. Change-detect theo BRANCH_NAME/PARENT/REGION (NVL '@#%').
--
-- LUU Y 2 BANG trong dsx:
--   (a) DIM_BR (category IRB_KHDN): 8 cot co REGION_CODE/REGION_NAME (= OU.RGON_NM) + BRANCH_DIM_ID.
--   (b) TCIMPORT.DIM_BRANCH (IGEN_REPORT) = BAN NAY: 7 cot theo mapping, BO region, doi ten cot,
--       them BRANCH_PARENT_NAME (ippr.IP_FULL_NM). Tai dung theo (b).
--
-- Tham so: #STATICPARM.SFDB2_DBSCHEMA# = SOR OCBDW2.
-- =============================================================================
SELECT
    i.IP_ID                                     AS OU_ID,               -- khoa (SCD2 sinh surrogate BRANCH_DIM_ID o DelIns)
    CAST(NULL AS DATE)                          AS EFF_FROM_DATE,       -- = DATADT o buoc SCD2 NEW
    CAST(NULL AS DATE)                          AS EFF_TO_DATE,         -- = high-date o buoc SCD2 NEW
    i.UNQ_ID_SRC_STM                            AS BRANCH_CODE,         -- ma chi nhanh (T24_COMPANY.ID)
    i.IP_FULL_NM                                AS BRANCH_NAME,
    ippr.UNQ_ID_SRC_STM                         AS BRANCH_PARENT_CODE,  -- CN cha (qua OU.PRN_OU_IP_ID)
    ippr.IP_FULL_NM                             AS BRANCH_PARENT_NAME
FROM #STATICPARM.SFDB2_DBSCHEMA#.IP i
JOIN #STATICPARM.SFDB2_DBSCHEMA#.OU ou
      ON i.IP_ID = ou.OU_IP_ID
LEFT JOIN #STATICPARM.SFDB2_DBSCHEMA#.IP ippr
      ON ippr.IP_ID = ou.PRN_OU_IP_ID
     AND ippr.IP_TP_ID = 104500004
     AND UPPER(ippr.IP_FULL_NM) &lt;&gt; 'NOT USED'
WHERE i.IP_TP_ID = 104500004                    -- loai org-unit / chi nhanh
  AND UPPER(i.IP_FULL_NM) &lt;&gt; 'NOT USED'         -- loai don vi placeholder
  AND i.UNQ_ID_SRC_STM NOT LIKE 'BPM%'          -- loai don vi BPM
;
</t>
  </si>
  <si>
    <t>Code mới</t>
  </si>
  <si>
    <t>DIM_BRANCH (Gold VIEW)</t>
  </si>
  <si>
    <t xml:space="preserve">-- =============================================================================
-- DIM_BRANCH  —  GOLD ZONE C (Databricks / Silver raw_vault)
-- Chuan: Technical Document ZoneC v1.1 + Checklist Review Code Gold ZoneC v1
-- Pattern DIM theo DIM_CUSTOMER. Tham so: :curated, :cleaned, :DATADT (yyyyMMdd)
--
-- NGHIEP VU: Chieu chi nhanh (Org Unit) — ma/ten chi nhanh + chi nhanh cha (lead company). 7 cot.
--
-- CO CHE bang goc TCIMPORT.DIM_BRANCH (dsx DIM_BRANCH__Coll -&gt; DelIns SCD2):
--   TABLE SCD2 (Type 2): surrogate SEQ, validity EFF_DT/END_DT (current = END_DT high-date), khong CURRENT_FLAG;
--   funnel NEW/OLD/EXP + TWT truncate-insert. Population IP_TP_ID=104500004 (org-unit), loai 'NOT USED' + 'BPM%'.
--   -&gt; Ban nay la VIEW ban HIEN HANH (1 dong/chi nhanh active) doc Silver DV. Muon luu lich su SCD2 -&gt; APPLY CHANGES.
--
-- CAU NOI NGUON: SOR OCBDW2 &lt;- he nguon -&gt; Data Vault dbx:
--   IP (org unit)  &lt;- T24_COMPANY          -&gt; hub_branch (business_key = ma CN) + sts_hub_branch
--   IP.IP_FULL_NM  &lt;- T24_COMPANY          -&gt; sat_branch_information.t_company_name
--   OU.PRN_OU_IP_ID (CN cha) &lt;- comp level -&gt; sat_branch_comp_level_group.t_lead_company (ma CN cha)
--   CN cha (ten)   &lt;- tu noi hub_branch (business_key = t_lead_company) + sat_branch_information
--
-- TODO(OCB/DA):
--   - REGION_CODE/REGION_NAME: dsx (ban DIM_BR/IRB) co = OU.RGON_NM; ban TCIMPORT + mapping BO, DV chua co nguon region -&gt; khong xuat.
--   - EFF_FROM_DATE/EFF_TO_DATE de NULL theo mapping (khac DIM_CUSTOMER dat 99991231).
--   - Chi nhanh cha DV = sat_branch_comp_level_group.t_lead_company — xac nhan tuong duong OU.PRN_OU_IP_ID (pha he org-unit).
--   - Filter business_key='VN0010001' theo mapping (loai CN he thong) — xac nhan.
--   - Checklist 2.6: DIM SCD2 chuan dung APPLY CHANGES INTO ... STORED AS SCD TYPE 2 neu can luu lich su.
--
-- DOI CHIEU CHECKLIST: 1.1 IDENTIFIER; 2.1/2.2 sts anti-join max_by; 2.4 &lt;= :DATADT (master);
--   2.7 CASE du ELSE; 2.12 moi bang Silver 1 CTE (branch_active/branch_info dung lai cho CN cha); 3.1 khong SELECT*.
-- =============================================================================
USE CATALOG IDENTIFIER(:curated);
USE SCHEMA tcimport;
CREATE OR REPLACE VIEW DIM_BRANCH AS
WITH
-- STS hub: khoa branch trang thai moi nhat = 'D' (da xoa)
branch_del AS (
    SELECT branch_hashkey
    FROM IDENTIFIER(:cleaned || '.raw_vault.sts_hub_branch')
    WHERE source_event_date &lt;= TO_DATE(:DATADT, 'yyyyMMdd')
    GROUP BY branch_hashkey
    HAVING max_by(cdc_status, source_event_date) = 'D'
),
-- Hub chi nhanh hieu luc (anti-join sts) — dung lai cho ca CN con lan CN cha
branch_active AS (
    SELECT h.branch_hashkey, h.business_key AS branch_code
    FROM IDENTIFIER(:cleaned || '.raw_vault.hub_branch') h
    LEFT JOIN branch_del d ON d.branch_hashkey = h.branch_hashkey
    WHERE d.branch_hashkey IS NULL
      AND h.source_event_date &lt;= TO_DATE(:DATADT, 'yyyyMMdd')
      AND h.record_source = 't24__t24_company'
      AND h.business_key &lt;&gt; 'VN0010001'          -- KHOP mapping: loai CN he thong
    GROUP BY h.branch_hashkey, h.business_key
),
-- SAT ten chi nhanh — dung lai cho ca CN con lan CN cha
branch_info AS (
    SELECT branch_hashkey, max_by(t_company_name, source_event_date) AS branch_name
    FROM IDENTIFIER(:cleaned || '.raw_vault.sat_branch_information')
    WHERE source_event_date &lt;= TO_DATE(:DATADT, 'yyyyMMdd')
    GROUP BY branch_hashkey
),
-- SAT nhom chi nhanh -&gt; ma CN cha (t_lead_company)
branch_group AS (
    SELECT branch_hashkey, max_by(t_lead_company, source_event_date) AS parent_code
    FROM IDENTIFIER(:cleaned || '.raw_vault.sat_branch_comp_level_group')
    WHERE source_event_date &lt;= TO_DATE(:DATADT, 'yyyyMMdd')
    GROUP BY branch_hashkey
)
SELECT
    b.branch_hashkey                            AS OU_ID,
    CAST(NULL AS DATE)                          AS EFF_FROM_DATE,       -- KHOP mapping (constant NULL)
    CAST(NULL AS DATE)                          AS EFF_TO_DATE,         -- KHOP mapping (constant NULL)
    CAST(b.branch_code AS STRING)               AS BRANCH_CODE,
    CAST(bi.branch_name AS STRING)              AS BRANCH_NAME,
    -- CN cha: loai cha 'NOT USED' (KHOP DSX ippr name&lt;&gt;'NOT USED') roi COALESCE ve chinh no
    CAST(COALESCE(CASE WHEN UPPER(COALESCE(bp.branch_name,'')) = 'NOT USED' THEN NULL ELSE bg.parent_code END,
                  b.branch_code) AS STRING)     AS BRANCH_PARENT_CODE,
    CAST(COALESCE(CASE WHEN UPPER(COALESCE(bp.branch_name,'')) = 'NOT USED' THEN NULL ELSE bp.branch_name END,
                  bi.branch_name) AS STRING)    AS BRANCH_PARENT_NAME
FROM branch_active b
LEFT JOIN branch_info  bi ON bi.branch_hashkey = b.branch_hashkey
LEFT JOIN branch_group bg ON bg.branch_hashkey = b.branch_hashkey
-- Chi nhanh cha: noi business_key = t_lead_company (dung lai branch_active + branch_info — checklist 2.12)
LEFT JOIN branch_active bpk ON bpk.branch_code   = bg.parent_code
LEFT JOIN branch_info   bp  ON bp.branch_hashkey = bpk.branch_hashkey
WHERE UPPER(COALESCE(bi.branch_name,'')) &lt;&gt; 'NOT USED'   -- KHOP DSX: loai don vi placeholder
;
</t>
  </si>
  <si>
    <t>LV0 — VIEW đích (DIM_BRANCH) — GOLD ZONE C / Databricks (gốc TCIMPORT.DIM_BRANCH SCD2)</t>
  </si>
  <si>
    <t>JOIN SCHEMA — DIM_BRANCH (nguồn Data Vault)</t>
  </si>
  <si>
    <t>#</t>
  </si>
  <si>
    <t>Table / View</t>
  </si>
  <si>
    <t>Alias</t>
  </si>
  <si>
    <t>JOIN Type</t>
  </si>
  <si>
    <t>ON / WHERE Condition</t>
  </si>
  <si>
    <t>Note</t>
  </si>
  <si>
    <t>1</t>
  </si>
  <si>
    <t>hub_branch</t>
  </si>
  <si>
    <t>b</t>
  </si>
  <si>
    <t>BASE</t>
  </si>
  <si>
    <t>&lt;= :DATADT; record_source t24__t24_company; business_key&lt;&gt;'VN0010001'; anti-join sts_hub_branch cdc='D'</t>
  </si>
  <si>
    <t>driver — 1 dòng/CN active</t>
  </si>
  <si>
    <t>2</t>
  </si>
  <si>
    <t>sat_branch_information</t>
  </si>
  <si>
    <t>bi</t>
  </si>
  <si>
    <t>LEFT</t>
  </si>
  <si>
    <t>bi.branch_hashkey=b.branch_hashkey; &lt;= :DATADT</t>
  </si>
  <si>
    <t>BRANCH_NAME (t_company_name)</t>
  </si>
  <si>
    <t>3</t>
  </si>
  <si>
    <t>sat_branch_comp_level_group</t>
  </si>
  <si>
    <t>bg</t>
  </si>
  <si>
    <t>bg.branch_hashkey=b.branch_hashkey; &lt;= :DATADT</t>
  </si>
  <si>
    <t>mã CN cha (t_lead_company)</t>
  </si>
  <si>
    <t>4</t>
  </si>
  <si>
    <t>branch_active (CN cha)</t>
  </si>
  <si>
    <t>bpk</t>
  </si>
  <si>
    <t>bpk.branch_code=bg.parent_code</t>
  </si>
  <si>
    <t>nối CN cha theo business_key=t_lead_company (dùng lại CTE)</t>
  </si>
  <si>
    <t>5</t>
  </si>
  <si>
    <t>branch_info (CN cha)</t>
  </si>
  <si>
    <t>bp</t>
  </si>
  <si>
    <t>bp.branch_hashkey=bpk.branch_hashkey</t>
  </si>
  <si>
    <t>BRANCH_PARENT_NAME</t>
  </si>
  <si>
    <t>6</t>
  </si>
  <si>
    <t>(lọc)</t>
  </si>
  <si>
    <t>-</t>
  </si>
  <si>
    <t>WHERE</t>
  </si>
  <si>
    <t>branch_name &lt;&gt; 'NOT USED'</t>
  </si>
  <si>
    <t>loại đơn vị placeholder</t>
  </si>
  <si>
    <t>FIELD MAPPING — DIM_BRANCH (7 cột, target order theo mapping/dsx TCIMPORT)</t>
  </si>
  <si>
    <t>View/Table</t>
  </si>
  <si>
    <t>Field</t>
  </si>
  <si>
    <t>Data Type</t>
  </si>
  <si>
    <t>Transform Type</t>
  </si>
  <si>
    <t>Transform Logic (Gold raw_vault)</t>
  </si>
  <si>
    <t>SOURCE / Note (SOR | he nguon)</t>
  </si>
  <si>
    <t>OU_ID</t>
  </si>
  <si>
    <t>1:1</t>
  </si>
  <si>
    <t>hub_branch.branch_hashkey (khóa)</t>
  </si>
  <si>
    <t>ip.IP_ID (SCD2 sinh surrogate BRANCH_DIM_ID)</t>
  </si>
  <si>
    <t>EFF_FROM_DATE</t>
  </si>
  <si>
    <t>date</t>
  </si>
  <si>
    <t>NULL</t>
  </si>
  <si>
    <t>CAST(NULL AS DATE)</t>
  </si>
  <si>
    <t>EFF_TO_DATE</t>
  </si>
  <si>
    <t>BRANCH_CODE</t>
  </si>
  <si>
    <t>varchar</t>
  </si>
  <si>
    <t>hub_branch.business_key</t>
  </si>
  <si>
    <t>ip.UNQ_ID_SRC_STM | T24_COMPANY.ID</t>
  </si>
  <si>
    <t>BRANCH_NAME</t>
  </si>
  <si>
    <t>sat_branch_information.t_company_name</t>
  </si>
  <si>
    <t>ip.IP_FULL_NM</t>
  </si>
  <si>
    <t>BRANCH_PARENT_CODE</t>
  </si>
  <si>
    <t>Transform</t>
  </si>
  <si>
    <t>sat_branch_comp_level_group.t_lead_company (loại cha 'NOT USED' → COALESCE về chính nó)</t>
  </si>
  <si>
    <t>ippr.UNQ_ID_SRC_STM (OU.PRN_OU_IP_ID)</t>
  </si>
  <si>
    <t>branch cha: hub_branch(business_key=t_lead_company)→sat_branch_information.t_company_name</t>
  </si>
  <si>
    <t>ippr.IP_FULL_NM</t>
  </si>
  <si>
    <t>GHI CHÚ REGION</t>
  </si>
  <si>
    <t>REGION_CODE/REGION_NAME: dsx bản DIM_BR (IRB) có = OU.RGON_NM; bản TCIMPORT + mapping BỎ, DV chưa có nguồn region → không xuất (đúng đặc tả 7 cột).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</si>
</sst>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b/>
      <sz val="9"/>
      <name val="Arial"/>
    </font>
    <font>
      <b/>
      <sz val="9"/>
      <color rgb="FFFFFFFF"/>
      <name val="Arial"/>
    </font>
    <font>
      <sz val="12"/>
      <color rgb="FF808080"/>
      <name val="Calibri"/>
    </font>
    <font>
      <b/>
      <sz val="10"/>
      <color rgb="FF000080"/>
      <name val="Arial"/>
    </font>
    <font>
      <sz val="9"/>
      <name val="Arial"/>
    </font>
    <font>
      <i/>
      <sz val="9"/>
      <name val="Arial"/>
    </font>
    <font>
      <sz val="8"/>
      <name val="Consolas"/>
    </font>
    <font>
      <b/>
      <sz val="12"/>
      <color rgb="FFFFFFFF"/>
      <name val="Arial"/>
    </font>
    <font>
      <b/>
      <sz val="10"/>
      <color rgb="FFFFFFFF"/>
      <name val="Arial"/>
    </font>
    <font>
      <sz val="12"/>
      <color rgb="FFFFFFFF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rgb="FF002060"/>
      </patternFill>
    </fill>
    <fill>
      <patternFill patternType="solid">
        <fgColor rgb="FFF0F0F0"/>
      </patternFill>
    </fill>
    <fill>
      <patternFill patternType="solid">
        <fgColor rgb="FF00B050"/>
      </patternFill>
    </fill>
    <fill>
      <patternFill patternType="solid">
        <fgColor rgb="FFA5A5A5"/>
      </patternFill>
    </fill>
    <fill>
      <patternFill patternType="solid">
        <fgColor rgb="FF4D93D9"/>
      </patternFill>
    </fill>
    <fill>
      <patternFill patternType="solid">
        <fgColor rgb="FFE67E22"/>
      </patternFill>
    </fill>
    <fill>
      <patternFill patternType="solid">
        <fgColor rgb="FFDDEBF7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left" vertical="top" wrapText="1"/>
    </xf>
    <xf numFmtId="0" fontId="4" fillId="4" borderId="0" xfId="0" applyFont="1" applyFill="1" applyAlignment="1">
      <alignment horizontal="center" vertical="top"/>
    </xf>
    <xf numFmtId="0" fontId="5" fillId="0" borderId="0" xfId="0" applyFont="1"/>
    <xf numFmtId="0" fontId="0" fillId="3" borderId="0" xfId="0" applyFill="1"/>
    <xf numFmtId="0" fontId="6" fillId="0" borderId="0" xfId="0" applyFont="1"/>
    <xf numFmtId="0" fontId="0" fillId="7" borderId="0" xfId="0" applyFill="1"/>
    <xf numFmtId="0" fontId="0" fillId="8" borderId="0" xfId="0" applyFill="1"/>
    <xf numFmtId="0" fontId="0" fillId="5" borderId="0" xfId="0" applyFill="1"/>
    <xf numFmtId="0" fontId="0" fillId="6" borderId="0" xfId="0" applyFill="1"/>
    <xf numFmtId="0" fontId="1" fillId="2" borderId="0" xfId="0" applyFont="1" applyFill="1" applyAlignment="1">
      <alignment horizontal="left" vertical="top" wrapText="1"/>
    </xf>
    <xf numFmtId="0" fontId="2" fillId="0" borderId="0" xfId="0" applyFont="1"/>
    <xf numFmtId="0" fontId="8" fillId="0" borderId="0" xfId="0" applyFont="1" applyAlignment="1">
      <alignment vertical="top"/>
    </xf>
    <xf numFmtId="0" fontId="10" fillId="2" borderId="1" xfId="0" applyFont="1" applyFill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4" fillId="10" borderId="0" xfId="0" applyFont="1" applyFill="1" applyAlignment="1">
      <alignment horizontal="center" vertical="top"/>
    </xf>
    <xf numFmtId="0" fontId="1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top"/>
    </xf>
    <xf numFmtId="0" fontId="7" fillId="0" borderId="0" xfId="0" applyFont="1" applyAlignment="1">
      <alignment horizontal="left" vertical="top" wrapText="1"/>
    </xf>
    <xf numFmtId="0" fontId="3" fillId="3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11" fillId="6" borderId="0" xfId="0" applyFont="1" applyFill="1" applyAlignment="1">
      <alignment horizontal="center" vertical="center" wrapText="1" indent="2"/>
    </xf>
    <xf numFmtId="0" fontId="9" fillId="2" borderId="0" xfId="0" applyFont="1" applyFill="1" applyAlignment="1">
      <alignment horizontal="left" vertical="top" wrapText="1"/>
    </xf>
    <xf numFmtId="0" fontId="5" fillId="9" borderId="0" xfId="0" applyFont="1" applyFill="1" applyAlignment="1">
      <alignment horizontal="left" vertical="top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showGridLines="0" tabSelected="1" workbookViewId="0">
      <selection activeCell="G15" sqref="G15"/>
    </sheetView>
  </sheetViews>
  <sheetFormatPr defaultRowHeight="15"/>
  <cols>
    <col min="1" max="1" width="24" customWidth="1"/>
    <col min="2" max="2" width="3" customWidth="1"/>
    <col min="3" max="3" width="26" customWidth="1"/>
    <col min="4" max="4" width="3" customWidth="1"/>
    <col min="5" max="5" width="24" customWidth="1"/>
    <col min="6" max="6" width="3" customWidth="1"/>
    <col min="7" max="7" width="100" customWidth="1"/>
  </cols>
  <sheetData>
    <row r="1" spans="1:7">
      <c r="A1" s="16" t="s">
        <v>0</v>
      </c>
      <c r="B1" s="24"/>
      <c r="C1" s="24"/>
      <c r="D1" s="24"/>
      <c r="E1" s="24"/>
      <c r="F1" s="24"/>
      <c r="G1" s="24"/>
    </row>
    <row r="2" spans="1:7" ht="24">
      <c r="A2" s="1" t="s">
        <v>1</v>
      </c>
      <c r="C2" s="1" t="s">
        <v>2</v>
      </c>
      <c r="E2" s="1" t="s">
        <v>3</v>
      </c>
      <c r="G2" s="1" t="s">
        <v>4</v>
      </c>
    </row>
    <row r="3" spans="1:7" ht="30" customHeight="1">
      <c r="A3" s="19" t="s">
        <v>5</v>
      </c>
      <c r="C3" s="19" t="s">
        <v>6</v>
      </c>
      <c r="E3" s="20" t="s">
        <v>6</v>
      </c>
      <c r="G3" s="21" t="s">
        <v>7</v>
      </c>
    </row>
    <row r="4" spans="1:7">
      <c r="A4" s="19"/>
      <c r="C4" s="19"/>
      <c r="E4" s="20"/>
      <c r="G4" s="21"/>
    </row>
    <row r="5" spans="1:7">
      <c r="A5" s="19"/>
      <c r="C5" s="19"/>
      <c r="E5" s="20"/>
      <c r="G5" s="21"/>
    </row>
    <row r="6" spans="1:7" ht="15.75">
      <c r="A6" s="19"/>
      <c r="B6" s="15" t="s">
        <v>8</v>
      </c>
      <c r="C6" s="19"/>
      <c r="D6" s="17" t="s">
        <v>8</v>
      </c>
      <c r="E6" s="20"/>
      <c r="F6" s="2" t="s">
        <v>8</v>
      </c>
      <c r="G6" s="21"/>
    </row>
    <row r="7" spans="1:7">
      <c r="A7" s="19"/>
      <c r="C7" s="19"/>
      <c r="E7" s="20"/>
      <c r="G7" s="21"/>
    </row>
    <row r="8" spans="1:7">
      <c r="A8" s="19"/>
      <c r="C8" s="19"/>
      <c r="E8" s="20"/>
      <c r="G8" s="21"/>
    </row>
    <row r="9" spans="1:7">
      <c r="A9" s="19"/>
      <c r="C9" s="19"/>
      <c r="E9" s="20"/>
      <c r="G9" s="21"/>
    </row>
    <row r="10" spans="1:7">
      <c r="A10" s="19"/>
      <c r="C10" s="19"/>
      <c r="E10" s="20"/>
      <c r="G10" s="21"/>
    </row>
    <row r="11" spans="1:7">
      <c r="A11" s="19"/>
      <c r="C11" s="19"/>
      <c r="E11" s="20"/>
      <c r="G11" s="21"/>
    </row>
    <row r="12" spans="1:7">
      <c r="A12" s="18"/>
      <c r="B12" s="24"/>
      <c r="C12" s="24"/>
      <c r="D12" s="24"/>
      <c r="E12" s="24"/>
      <c r="F12" s="24"/>
      <c r="G12" s="24"/>
    </row>
    <row r="14" spans="1:7">
      <c r="A14" s="3" t="s">
        <v>9</v>
      </c>
    </row>
    <row r="15" spans="1:7">
      <c r="A15" s="4"/>
      <c r="C15" s="5" t="s">
        <v>10</v>
      </c>
    </row>
    <row r="16" spans="1:7">
      <c r="A16" s="6"/>
      <c r="C16" s="5" t="s">
        <v>11</v>
      </c>
    </row>
    <row r="17" spans="1:3">
      <c r="A17" s="7"/>
      <c r="C17" s="5" t="s">
        <v>12</v>
      </c>
    </row>
    <row r="18" spans="1:3">
      <c r="A18" s="8"/>
      <c r="C18" s="5" t="s">
        <v>13</v>
      </c>
    </row>
    <row r="19" spans="1:3">
      <c r="A19" s="9"/>
      <c r="C19" s="5" t="s">
        <v>14</v>
      </c>
    </row>
  </sheetData>
  <mergeCells count="7">
    <mergeCell ref="A1:G1"/>
    <mergeCell ref="D6"/>
    <mergeCell ref="A12:G12"/>
    <mergeCell ref="A3:A11"/>
    <mergeCell ref="C3:C11"/>
    <mergeCell ref="E3:E11"/>
    <mergeCell ref="G3:G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showGridLines="0" workbookViewId="0"/>
  </sheetViews>
  <sheetFormatPr defaultRowHeight="15"/>
  <cols>
    <col min="1" max="1" width="14" customWidth="1"/>
    <col min="2" max="2" width="30" customWidth="1"/>
    <col min="3" max="3" width="120" customWidth="1"/>
  </cols>
  <sheetData>
    <row r="1" spans="1:3">
      <c r="A1" s="10" t="s">
        <v>15</v>
      </c>
      <c r="B1" s="10" t="s">
        <v>16</v>
      </c>
      <c r="C1" s="10" t="s">
        <v>17</v>
      </c>
    </row>
    <row r="2" spans="1:3" ht="399.95" customHeight="1">
      <c r="A2" s="11" t="s">
        <v>18</v>
      </c>
      <c r="B2" s="5" t="s">
        <v>19</v>
      </c>
      <c r="C2" s="12" t="s">
        <v>20</v>
      </c>
    </row>
    <row r="3" spans="1:3" ht="399.95" customHeight="1">
      <c r="A3" s="11" t="s">
        <v>21</v>
      </c>
      <c r="B3" s="5" t="s">
        <v>22</v>
      </c>
      <c r="C3" s="12" t="s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"/>
  <sheetViews>
    <sheetView showGridLines="0" topLeftCell="A9" workbookViewId="0">
      <selection activeCell="B19" sqref="B19"/>
    </sheetView>
  </sheetViews>
  <sheetFormatPr defaultRowHeight="15"/>
  <cols>
    <col min="1" max="1" width="6" customWidth="1"/>
    <col min="2" max="2" width="40" customWidth="1"/>
    <col min="3" max="3" width="13" customWidth="1"/>
    <col min="4" max="4" width="14" customWidth="1"/>
    <col min="5" max="5" width="58" customWidth="1"/>
    <col min="6" max="6" width="42" customWidth="1"/>
  </cols>
  <sheetData>
    <row r="1" spans="1:6">
      <c r="A1" s="22" t="s">
        <v>24</v>
      </c>
      <c r="B1" s="24"/>
      <c r="C1" s="24"/>
      <c r="D1" s="24"/>
      <c r="E1" s="24"/>
      <c r="F1" s="24"/>
    </row>
    <row r="3" spans="1:6">
      <c r="A3" s="23" t="s">
        <v>25</v>
      </c>
      <c r="B3" s="24"/>
      <c r="C3" s="24"/>
      <c r="D3" s="24"/>
      <c r="E3" s="24"/>
      <c r="F3" s="24"/>
    </row>
    <row r="4" spans="1:6">
      <c r="A4" s="13" t="s">
        <v>26</v>
      </c>
      <c r="B4" s="13" t="s">
        <v>27</v>
      </c>
      <c r="C4" s="13" t="s">
        <v>28</v>
      </c>
      <c r="D4" s="13" t="s">
        <v>29</v>
      </c>
      <c r="E4" s="13" t="s">
        <v>30</v>
      </c>
      <c r="F4" s="13" t="s">
        <v>31</v>
      </c>
    </row>
    <row r="5" spans="1:6" ht="24">
      <c r="A5" s="14" t="s">
        <v>32</v>
      </c>
      <c r="B5" s="14" t="s">
        <v>33</v>
      </c>
      <c r="C5" s="14" t="s">
        <v>34</v>
      </c>
      <c r="D5" s="14" t="s">
        <v>35</v>
      </c>
      <c r="E5" s="14" t="s">
        <v>36</v>
      </c>
      <c r="F5" s="14" t="s">
        <v>37</v>
      </c>
    </row>
    <row r="6" spans="1:6">
      <c r="A6" s="14" t="s">
        <v>38</v>
      </c>
      <c r="B6" s="14" t="s">
        <v>39</v>
      </c>
      <c r="C6" s="14" t="s">
        <v>40</v>
      </c>
      <c r="D6" s="14" t="s">
        <v>41</v>
      </c>
      <c r="E6" s="14" t="s">
        <v>42</v>
      </c>
      <c r="F6" s="14" t="s">
        <v>43</v>
      </c>
    </row>
    <row r="7" spans="1:6">
      <c r="A7" s="14" t="s">
        <v>44</v>
      </c>
      <c r="B7" s="14" t="s">
        <v>45</v>
      </c>
      <c r="C7" s="14" t="s">
        <v>46</v>
      </c>
      <c r="D7" s="14" t="s">
        <v>41</v>
      </c>
      <c r="E7" s="14" t="s">
        <v>47</v>
      </c>
      <c r="F7" s="14" t="s">
        <v>48</v>
      </c>
    </row>
    <row r="8" spans="1:6" ht="24">
      <c r="A8" s="14" t="s">
        <v>49</v>
      </c>
      <c r="B8" s="14" t="s">
        <v>50</v>
      </c>
      <c r="C8" s="14" t="s">
        <v>51</v>
      </c>
      <c r="D8" s="14" t="s">
        <v>41</v>
      </c>
      <c r="E8" s="14" t="s">
        <v>52</v>
      </c>
      <c r="F8" s="14" t="s">
        <v>53</v>
      </c>
    </row>
    <row r="9" spans="1:6">
      <c r="A9" s="14" t="s">
        <v>54</v>
      </c>
      <c r="B9" s="14" t="s">
        <v>55</v>
      </c>
      <c r="C9" s="14" t="s">
        <v>56</v>
      </c>
      <c r="D9" s="14" t="s">
        <v>41</v>
      </c>
      <c r="E9" s="14" t="s">
        <v>57</v>
      </c>
      <c r="F9" s="14" t="s">
        <v>58</v>
      </c>
    </row>
    <row r="10" spans="1:6">
      <c r="A10" s="14" t="s">
        <v>59</v>
      </c>
      <c r="B10" s="14" t="s">
        <v>60</v>
      </c>
      <c r="C10" s="14" t="s">
        <v>61</v>
      </c>
      <c r="D10" s="14" t="s">
        <v>62</v>
      </c>
      <c r="E10" s="14" t="s">
        <v>63</v>
      </c>
      <c r="F10" s="14" t="s">
        <v>64</v>
      </c>
    </row>
    <row r="12" spans="1:6">
      <c r="A12" s="23" t="s">
        <v>65</v>
      </c>
      <c r="B12" s="24"/>
      <c r="C12" s="24"/>
      <c r="D12" s="24"/>
      <c r="E12" s="24"/>
      <c r="F12" s="24"/>
    </row>
    <row r="13" spans="1:6" ht="38.25">
      <c r="A13" s="13" t="s">
        <v>66</v>
      </c>
      <c r="B13" s="13" t="s">
        <v>67</v>
      </c>
      <c r="C13" s="13" t="s">
        <v>68</v>
      </c>
      <c r="D13" s="13" t="s">
        <v>69</v>
      </c>
      <c r="E13" s="13" t="s">
        <v>70</v>
      </c>
      <c r="F13" s="13" t="s">
        <v>71</v>
      </c>
    </row>
    <row r="14" spans="1:6" ht="36">
      <c r="A14" s="14" t="s">
        <v>6</v>
      </c>
      <c r="B14" s="14" t="s">
        <v>72</v>
      </c>
      <c r="C14" s="14" t="s">
        <v>61</v>
      </c>
      <c r="D14" s="14" t="s">
        <v>73</v>
      </c>
      <c r="E14" s="14" t="s">
        <v>74</v>
      </c>
      <c r="F14" s="14" t="s">
        <v>75</v>
      </c>
    </row>
    <row r="15" spans="1:6" ht="36">
      <c r="A15" s="14" t="s">
        <v>6</v>
      </c>
      <c r="B15" s="14" t="s">
        <v>76</v>
      </c>
      <c r="C15" s="14" t="s">
        <v>77</v>
      </c>
      <c r="D15" s="14" t="s">
        <v>78</v>
      </c>
      <c r="E15" s="14" t="s">
        <v>79</v>
      </c>
      <c r="F15" s="14" t="e">
        <f ca="1">DATADT ở SCD2 NEW</f>
        <v>#NAME?</v>
      </c>
    </row>
    <row r="16" spans="1:6" ht="36">
      <c r="A16" s="14" t="s">
        <v>6</v>
      </c>
      <c r="B16" s="14" t="s">
        <v>80</v>
      </c>
      <c r="C16" s="14" t="s">
        <v>77</v>
      </c>
      <c r="D16" s="14" t="s">
        <v>78</v>
      </c>
      <c r="E16" s="14" t="s">
        <v>79</v>
      </c>
      <c r="F16" s="14" t="e">
        <f ca="1">high-_xludf.date ở SCD2 NEW</f>
        <v>#NAME?</v>
      </c>
    </row>
    <row r="17" spans="1:6" ht="36">
      <c r="A17" s="14" t="s">
        <v>6</v>
      </c>
      <c r="B17" s="14" t="s">
        <v>81</v>
      </c>
      <c r="C17" s="14" t="s">
        <v>82</v>
      </c>
      <c r="D17" s="14" t="s">
        <v>73</v>
      </c>
      <c r="E17" s="14" t="s">
        <v>83</v>
      </c>
      <c r="F17" s="14" t="s">
        <v>84</v>
      </c>
    </row>
    <row r="18" spans="1:6" ht="36">
      <c r="A18" s="14" t="s">
        <v>6</v>
      </c>
      <c r="B18" s="14" t="s">
        <v>85</v>
      </c>
      <c r="C18" s="14" t="s">
        <v>82</v>
      </c>
      <c r="D18" s="14" t="s">
        <v>73</v>
      </c>
      <c r="E18" s="14" t="s">
        <v>86</v>
      </c>
      <c r="F18" s="14" t="s">
        <v>87</v>
      </c>
    </row>
    <row r="19" spans="1:6" ht="36">
      <c r="A19" s="14" t="s">
        <v>6</v>
      </c>
      <c r="B19" s="14" t="s">
        <v>88</v>
      </c>
      <c r="C19" s="14" t="s">
        <v>82</v>
      </c>
      <c r="D19" s="14" t="s">
        <v>89</v>
      </c>
      <c r="E19" s="14" t="s">
        <v>90</v>
      </c>
      <c r="F19" s="14" t="s">
        <v>91</v>
      </c>
    </row>
    <row r="20" spans="1:6" ht="36">
      <c r="A20" s="14" t="s">
        <v>6</v>
      </c>
      <c r="B20" s="14" t="s">
        <v>58</v>
      </c>
      <c r="C20" s="14" t="s">
        <v>82</v>
      </c>
      <c r="D20" s="14" t="s">
        <v>89</v>
      </c>
      <c r="E20" s="14" t="s">
        <v>92</v>
      </c>
      <c r="F20" s="14" t="s">
        <v>93</v>
      </c>
    </row>
    <row r="22" spans="1:6">
      <c r="A22" s="23" t="s">
        <v>94</v>
      </c>
      <c r="B22" s="24"/>
      <c r="C22" s="24"/>
      <c r="D22" s="24"/>
      <c r="E22" s="24"/>
      <c r="F22" s="24"/>
    </row>
    <row r="23" spans="1:6">
      <c r="A23" s="18" t="s">
        <v>95</v>
      </c>
      <c r="B23" s="24"/>
      <c r="C23" s="24"/>
      <c r="D23" s="24"/>
      <c r="E23" s="24"/>
      <c r="F23" s="24"/>
    </row>
  </sheetData>
  <mergeCells count="5">
    <mergeCell ref="A1:F1"/>
    <mergeCell ref="A23:F23"/>
    <mergeCell ref="A22:F22"/>
    <mergeCell ref="A12:F12"/>
    <mergeCell ref="A3:F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91A4FE0-5F7A-473F-9AEC-0F8DE648B2B7}"/>
</file>

<file path=customXml/itemProps2.xml><?xml version="1.0" encoding="utf-8"?>
<ds:datastoreItem xmlns:ds="http://schemas.openxmlformats.org/officeDocument/2006/customXml" ds:itemID="{2DC5594B-117C-4165-ACD9-3E6A1A598FF6}"/>
</file>

<file path=customXml/itemProps3.xml><?xml version="1.0" encoding="utf-8"?>
<ds:datastoreItem xmlns:ds="http://schemas.openxmlformats.org/officeDocument/2006/customXml" ds:itemID="{E7D5197D-402B-4FAC-83DE-6F27D0AABE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Huy Gia Le (RAFFLES)</cp:lastModifiedBy>
  <cp:revision/>
  <dcterms:created xsi:type="dcterms:W3CDTF">2026-08-11T02:04:32Z</dcterms:created>
  <dcterms:modified xsi:type="dcterms:W3CDTF">2026-08-11T02:40:50Z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