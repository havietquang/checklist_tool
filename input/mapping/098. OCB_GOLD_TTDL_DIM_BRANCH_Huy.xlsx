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ummary" sheetId="1" state="visible" r:id="rId1"/>
    <sheet name="Script SQL" sheetId="2" state="visible" r:id="rId2"/>
    <sheet name="DIM_BRANCH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9"/>
    </font>
    <font>
      <name val="Arial"/>
      <b val="1"/>
      <color rgb="FFFFFFFF"/>
      <sz val="9"/>
    </font>
    <font>
      <name val="Calibri"/>
      <color rgb="FF808080"/>
      <sz val="12"/>
    </font>
    <font>
      <name val="Arial"/>
      <b val="1"/>
      <color rgb="FF000080"/>
      <sz val="10"/>
    </font>
    <font>
      <name val="Arial"/>
      <sz val="9"/>
    </font>
    <font>
      <name val="Arial"/>
      <i val="1"/>
      <sz val="9"/>
    </font>
    <font>
      <name val="Consolas"/>
      <sz val="8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family val="2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000080"/>
      </patternFill>
    </fill>
    <fill>
      <patternFill patternType="solid">
        <fgColor rgb="FF002060"/>
      </patternFill>
    </fill>
    <fill>
      <patternFill patternType="solid">
        <fgColor rgb="FFF0F0F0"/>
      </patternFill>
    </fill>
    <fill>
      <patternFill patternType="solid">
        <fgColor rgb="FF00B050"/>
      </patternFill>
    </fill>
    <fill>
      <patternFill patternType="solid">
        <fgColor rgb="FFA5A5A5"/>
      </patternFill>
    </fill>
    <fill>
      <patternFill patternType="solid">
        <fgColor rgb="FF4D93D9"/>
      </patternFill>
    </fill>
    <fill>
      <patternFill patternType="solid">
        <fgColor rgb="FFE67E22"/>
      </patternFill>
    </fill>
    <fill>
      <patternFill patternType="solid">
        <fgColor rgb="FFDDEBF7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center" vertical="top"/>
    </xf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8" fillId="0" borderId="0" applyAlignment="1" pivotButton="0" quotePrefix="0" xfId="0">
      <alignment vertical="top"/>
    </xf>
    <xf numFmtId="0" fontId="10" fillId="2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0" applyAlignment="1" pivotButton="0" quotePrefix="0" xfId="0">
      <alignment horizontal="center" vertical="top"/>
    </xf>
    <xf numFmtId="0" fontId="3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0" fontId="5" fillId="9" borderId="0" applyAlignment="1" pivotButton="0" quotePrefix="0" xfId="0">
      <alignment horizontal="left" vertical="top" wrapText="1"/>
    </xf>
    <xf numFmtId="0" fontId="11" fillId="6" borderId="0" applyAlignment="1" pivotButton="0" quotePrefix="0" xfId="0">
      <alignment horizontal="center" vertical="top" wrapText="1"/>
    </xf>
    <xf numFmtId="0" fontId="4" fillId="10" borderId="0" applyAlignment="1" pivotButton="0" quotePrefix="0" xfId="0">
      <alignment horizontal="center" vertical="top"/>
    </xf>
    <xf numFmtId="0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tabSelected="1" workbookViewId="0">
      <selection activeCell="G16" sqref="G16"/>
    </sheetView>
  </sheetViews>
  <sheetFormatPr baseColWidth="8" defaultRowHeight="15"/>
  <cols>
    <col width="24" customWidth="1" style="16" min="1" max="1"/>
    <col width="3" customWidth="1" style="16" min="2" max="2"/>
    <col width="26" customWidth="1" style="16" min="3" max="3"/>
    <col width="3" customWidth="1" style="16" min="4" max="4"/>
    <col width="24" customWidth="1" style="16" min="5" max="5"/>
    <col width="3" customWidth="1" style="16" min="6" max="6"/>
    <col width="100" customWidth="1" style="16" min="7" max="7"/>
  </cols>
  <sheetData>
    <row r="1">
      <c r="A1" s="15" t="inlineStr">
        <is>
          <t>LINEAGE HỢP NHẤT — DIM_BRANCH  (L0-L2: datamart · L3: Silver Data Vault)</t>
        </is>
      </c>
    </row>
    <row r="2" ht="24" customHeight="1" s="16">
      <c r="A2" s="1" t="inlineStr">
        <is>
          <t>Layer 0
WORKBOOK</t>
        </is>
      </c>
      <c r="C2" s="1" t="inlineStr">
        <is>
          <t>Layer 1
Main Table (TCIMPORT)</t>
        </is>
      </c>
      <c r="E2" s="1" t="inlineStr">
        <is>
          <t>Layer 2
Gold Zone C</t>
        </is>
      </c>
      <c r="G2" s="1" t="inlineStr">
        <is>
          <t>Layer 3
Silver Data Vault (hub/sts/sat)</t>
        </is>
      </c>
    </row>
    <row r="3" ht="30" customHeight="1" s="16">
      <c r="A3" s="18" t="inlineStr">
        <is>
          <t>IGEN_REPORT (DM_IGEN)
+ PHT_QD283.01_REPORT</t>
        </is>
      </c>
      <c r="C3" s="18" t="inlineStr">
        <is>
          <t>TCIMPORT.DIM_BRANCH (SCD2)</t>
        </is>
      </c>
      <c r="E3" s="19" t="inlineStr">
        <is>
          <t>DIM_BRANCH</t>
        </is>
      </c>
      <c r="G3" s="23" t="inlineStr">
        <is>
          <t>hub_branch, sts_hub_branch, sat_branch_information, sat_branch_comp_level_group</t>
        </is>
      </c>
    </row>
    <row r="4"/>
    <row r="5"/>
    <row r="6" ht="15.75" customHeight="1" s="16">
      <c r="B6" s="24" t="inlineStr">
        <is>
          <t>➜</t>
        </is>
      </c>
      <c r="D6" s="17" t="inlineStr">
        <is>
          <t>➜</t>
        </is>
      </c>
      <c r="F6" s="17" t="inlineStr">
        <is>
          <t>➜</t>
        </is>
      </c>
    </row>
    <row r="7"/>
    <row r="8"/>
    <row r="9"/>
    <row r="10"/>
    <row r="11"/>
    <row r="12">
      <c r="A12" s="20" t="n"/>
    </row>
    <row r="14">
      <c r="A14" s="3" t="inlineStr">
        <is>
          <t>LEGEND</t>
        </is>
      </c>
    </row>
    <row r="15">
      <c r="A15" s="4" t="n"/>
      <c r="C15" s="5" t="inlineStr">
        <is>
          <t>View/Table Layer 1</t>
        </is>
      </c>
    </row>
    <row r="16">
      <c r="A16" s="6" t="n"/>
      <c r="C16" s="5" t="inlineStr">
        <is>
          <t>View Layer 2+</t>
        </is>
      </c>
    </row>
    <row r="17">
      <c r="A17" s="7" t="n"/>
      <c r="C17" s="5" t="inlineStr">
        <is>
          <t>UPL/thủ công</t>
        </is>
      </c>
    </row>
    <row r="18">
      <c r="A18" s="8" t="n"/>
      <c r="C18" s="5" t="inlineStr">
        <is>
          <t>Table (Gold - Databricks)</t>
        </is>
      </c>
    </row>
    <row r="19">
      <c r="A19" s="9" t="n"/>
      <c r="C19" s="5" t="inlineStr">
        <is>
          <t>Table (Silver - Databricks)</t>
        </is>
      </c>
    </row>
  </sheetData>
  <mergeCells count="7">
    <mergeCell ref="A1:G1"/>
    <mergeCell ref="G3:G11"/>
    <mergeCell ref="A12:G12"/>
    <mergeCell ref="C3:C11"/>
    <mergeCell ref="A3:A11"/>
    <mergeCell ref="D6"/>
    <mergeCell ref="E3:E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cols>
    <col width="14" customWidth="1" style="16" min="1" max="1"/>
    <col width="30" customWidth="1" style="16" min="2" max="2"/>
    <col width="120" customWidth="1" style="16" min="3" max="3"/>
  </cols>
  <sheetData>
    <row r="1">
      <c r="A1" s="10" t="inlineStr">
        <is>
          <t>Type</t>
        </is>
      </c>
      <c r="B1" s="10" t="inlineStr">
        <is>
          <t>View / Table</t>
        </is>
      </c>
      <c r="C1" s="10" t="inlineStr">
        <is>
          <t>Script SQL</t>
        </is>
      </c>
    </row>
    <row r="2" ht="399.95" customHeight="1" s="16">
      <c r="A2" s="11" t="inlineStr">
        <is>
          <t>Code cũ</t>
        </is>
      </c>
      <c r="B2" s="5" t="inlineStr">
        <is>
          <t>IBM_DIM_BRANCH (IBM DataStage SCD2)</t>
        </is>
      </c>
      <c r="C2" s="26" t="inlineStr">
        <is>
          <t xml:space="preserve">-- =============================================================================
-- IBM_DIM_BRANCH  —  TAI DUNG TU IBM DataStage (ocbdw1.dsx)
-- Job: DIM_BRANCH__Coll (\OCBDW\...\Dimension) : TWT (TruncIns) -&gt; DelIns (SCD2) -&gt; ORA
--   Nguon dung bang: DIM_BRANCH__TWT__TruncIns (SelectStatement dsx :2032549-:2032572).
--
-- CO CHE bang dich TCIMPORT.DIM_BRANCH = TABLE SCD2 (Type 2):
--   - Job __DelIns funnel 3 nhanh NEW/OLD/EXP: surrogate = SEQ_DIM_BRANCH.nextval;
--     validity EFF_DT/END_DT (current = END_DT high-date); khong CURRENT_FLAG; Delete-then-Insert theo surrogate.
--   - TWT staging = truncate-insert. Change-detect theo BRANCH_NAME/PARENT/REGION (NVL '@#%').
--
-- LUU Y 2 BANG trong dsx:
--   (a) DIM_BR (category IRB_KHDN): 8 cot co REGION_CODE/REGION_NAME (= OU.RGON_NM) + BRANCH_DIM_ID.
--   (b) TCIMPORT.DIM_BRANCH (IGEN_REPORT) = BAN NAY: 7 cot theo mapping, BO region, doi ten cot,
--       them BRANCH_PARENT_NAME (ippr.IP_FULL_NM). Tai dung theo (b).
--
-- Tham so: #STATICPARM.SFDB2_DBSCHEMA# = SOR OCBDW2.
-- =============================================================================
SELECT
    i.IP_ID                                     AS OU_ID,               -- khoa (SCD2 sinh surrogate BRANCH_DIM_ID o DelIns)
    CAST(NULL AS DATE)                          AS EFF_FROM_DATE,       -- = DATADT o buoc SCD2 NEW
    CAST(NULL AS DATE)                          AS EFF_TO_DATE,         -- = high-date o buoc SCD2 NEW
    i.UNQ_ID_SRC_STM                            AS BRANCH_CODE,         -- ma chi nhanh (T24_COMPANY.ID)
    i.IP_FULL_NM                                AS BRANCH_NAME,
    ippr.UNQ_ID_SRC_STM                         AS BRANCH_PARENT_CODE,  -- CN cha (qua OU.PRN_OU_IP_ID)
    ippr.IP_FULL_NM                             AS BRANCH_PARENT_NAME
FROM #STATICPARM.SFDB2_DBSCHEMA#.IP i
JOIN #STATICPARM.SFDB2_DBSCHEMA#.OU ou
      ON i.IP_ID = ou.OU_IP_ID
LEFT JOIN #STATICPARM.SFDB2_DBSCHEMA#.IP ippr
      ON ippr.IP_ID = ou.PRN_OU_IP_ID
     AND ippr.IP_TP_ID = 104500004
     AND UPPER(ippr.IP_FULL_NM) &lt;&gt; 'NOT USED'
WHERE i.IP_TP_ID = 104500004                    -- loai org-unit / chi nhanh
  AND UPPER(i.IP_FULL_NM) &lt;&gt; 'NOT USED'         -- loai don vi placeholder
  AND i.UNQ_ID_SRC_STM NOT LIKE 'BPM%'          -- loai don vi BPM
;
</t>
        </is>
      </c>
    </row>
    <row r="3" ht="430" customHeight="1" s="16">
      <c r="A3" s="11" t="inlineStr">
        <is>
          <t>Code mới</t>
        </is>
      </c>
      <c r="B3" s="5" t="inlineStr">
        <is>
          <t>DIM_BRANCH (Gold DML — SCD2 MERGE (giu lich su))</t>
        </is>
      </c>
      <c r="C3" s="27" t="inlineStr">
        <is>
          <t xml:space="preserve">USE CATALOG IDENTIFIER(:curated);
USE SCHEMA tcimport;
MERGE INTO tcimport.DIM_BRANCH tgt
USING (
WITH
branch_del AS (
    SELECT branch_hashkey
    FROM IDENTIFIER(:cleaned || '.raw_vault.sts_hub_branch')
    WHERE source_event_date &lt;= TO_DATE(:DATADT, 'yyyyMMdd')
    GROUP BY branch_hashkey
    HAVING max_by(cdc_status, source_event_date) = 'D'
),
branch_active AS (
    SELECT h.branch_hashkey, h.business_key AS branch_code
    FROM IDENTIFIER(:cleaned || '.raw_vault.hub_branch') h
    LEFT JOIN branch_del d ON d.branch_hashkey = h.branch_hashkey
    WHERE d.branch_hashkey IS NULL
      AND h.source_event_date &lt;= TO_DATE(:DATADT, 'yyyyMMdd')
      AND h.record_source = 't24__t24_company'
      AND h.business_key &lt;&gt; 'VN0010001'
    GROUP BY h.branch_hashkey, h.business_key
),
branch_info AS (
    SELECT branch_hashkey, max_by(t_company_name, source_event_date) AS branch_name
    FROM IDENTIFIER(:cleaned || '.raw_vault.sat_branch_information')
    WHERE source_event_date &lt;= TO_DATE(:DATADT, 'yyyyMMdd')
    GROUP BY branch_hashkey
),
branch_group AS (
    SELECT branch_hashkey, max_by(t_lead_company, source_event_date) AS parent_code
    FROM IDENTIFIER(:cleaned || '.raw_vault.sat_branch_comp_level_group')
    WHERE source_event_date &lt;= TO_DATE(:DATADT, 'yyyyMMdd')
    GROUP BY branch_hashkey
),
base AS (
SELECT
    b.branch_hashkey                            AS OU_ID,
    CAST(b.branch_code AS STRING)               AS BRANCH_CODE,
    CAST(bi.branch_name AS STRING)              AS BRANCH_NAME,
    CAST(COALESCE(CASE WHEN UPPER(COALESCE(bp.branch_name,'')) = 'NOT USED' THEN NULL ELSE bg.parent_code END,
                  b.branch_code) AS STRING)     AS BRANCH_PARENT_CODE,
    CAST(COALESCE(CASE WHEN UPPER(COALESCE(bp.branch_name,'')) = 'NOT USED' THEN NULL ELSE bp.branch_name END,
                  bi.branch_name) AS STRING)    AS BRANCH_PARENT_NAME
FROM branch_active b
LEFT JOIN branch_info  bi ON bi.branch_hashkey = b.branch_hashkey
LEFT JOIN branch_group bg ON bg.branch_hashkey = b.branch_hashkey
LEFT JOIN branch_active bpk ON bpk.branch_code   = bg.parent_code
LEFT JOIN branch_info   bp  ON bp.branch_hashkey = bpk.branch_hashkey
WHERE UPPER(COALESCE(bi.branch_name,'')) &lt;&gt; 'NOT USED'
)
SELECT base.OU_ID AS mergeKey,
        base.BRANCH_CODE,
        base.BRANCH_NAME,
        base.BRANCH_PARENT_CODE,
        base.BRANCH_PARENT_NAME
FROM base
UNION ALL
SELECT CAST(NULL AS STRING) AS mergeKey,
        base.BRANCH_CODE,
        base.BRANCH_NAME,
        base.BRANCH_PARENT_CODE,
        base.BRANCH_PARENT_NAME
FROM base
JOIN tcimport.DIM_BRANCH cur
    ON cur.OU_ID = base.OU_ID AND cur.EFF_TO_DATE IS NULL
   AND md5(to_json(struct(cur.BRANCH_CODE, cur.BRANCH_NAME, cur.BRANCH_PARENT_CODE, cur.BRANCH_PARENT_NAME))) &lt;&gt; md5(to_json(struct(base.BRANCH_CODE, base.BRANCH_NAME, base.BRANCH_PARENT_CODE, base.BRANCH_PARENT_NAME)))
) staged
ON tgt.OU_ID = staged.mergeKey AND tgt.EFF_TO_DATE IS NULL
WHEN MATCHED AND md5(to_json(struct(tgt.BRANCH_CODE, tgt.BRANCH_NAME, tgt.BRANCH_PARENT_CODE, tgt.BRANCH_PARENT_NAME))) &lt;&gt; md5(to_json(struct(staged.BRANCH_CODE, staged.BRANCH_NAME, staged.BRANCH_PARENT_CODE, staged.BRANCH_PARENT_NAME)))
    THEN UPDATE SET tgt.EFF_TO_DATE = date_sub(TO_DATE(:DATADT,'yyyyMMdd'),1)
WHEN NOT MATCHED
    THEN INSERT (
        OU_ID,
        EFF_FROM_DATE,
        EFF_TO_DATE,
        BRANCH_CODE,
        BRANCH_NAME,
        BRANCH_PARENT_CODE,
        BRANCH_PARENT_NAME
    ) VALUES (
        staged.OU_ID,
        TO_DATE(:DATADT,'yyyyMMdd'),
        CAST(NULL AS DATE),
        staged.BRANCH_CODE,
        staged.BRANCH_NAME,
        staged.BRANCH_PARENT_CODE,
        staged.BRANCH_PARENT_NAME
    );
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B19" sqref="B19"/>
    </sheetView>
  </sheetViews>
  <sheetFormatPr baseColWidth="8" defaultRowHeight="15"/>
  <cols>
    <col width="6" customWidth="1" style="16" min="1" max="1"/>
    <col width="40" customWidth="1" style="16" min="2" max="2"/>
    <col width="13" customWidth="1" style="16" min="3" max="3"/>
    <col width="14" customWidth="1" style="16" min="4" max="4"/>
    <col width="58" customWidth="1" style="16" min="5" max="5"/>
    <col width="42" customWidth="1" style="16" min="6" max="6"/>
  </cols>
  <sheetData>
    <row r="1">
      <c r="A1" s="21" t="inlineStr">
        <is>
          <t>LV0 — VIEW đích (DIM_BRANCH) — GOLD ZONE C / Databricks (gốc TCIMPORT.DIM_BRANCH SCD2)</t>
        </is>
      </c>
    </row>
    <row r="3">
      <c r="A3" s="22" t="inlineStr">
        <is>
          <t>JOIN SCHEMA — DIM_BRANCH (nguồn Data Vault)</t>
        </is>
      </c>
    </row>
    <row r="4">
      <c r="A4" s="13" t="inlineStr">
        <is>
          <t>#</t>
        </is>
      </c>
      <c r="B4" s="13" t="inlineStr">
        <is>
          <t>Table / View</t>
        </is>
      </c>
      <c r="C4" s="13" t="inlineStr">
        <is>
          <t>Alias</t>
        </is>
      </c>
      <c r="D4" s="13" t="inlineStr">
        <is>
          <t>JOIN Type</t>
        </is>
      </c>
      <c r="E4" s="13" t="inlineStr">
        <is>
          <t>ON / WHERE Condition</t>
        </is>
      </c>
      <c r="F4" s="13" t="inlineStr">
        <is>
          <t>Note</t>
        </is>
      </c>
    </row>
    <row r="5" ht="24" customHeight="1" s="16">
      <c r="A5" s="14" t="inlineStr">
        <is>
          <t>1</t>
        </is>
      </c>
      <c r="B5" s="14" t="inlineStr">
        <is>
          <t>hub_branch</t>
        </is>
      </c>
      <c r="C5" s="14" t="inlineStr">
        <is>
          <t>b</t>
        </is>
      </c>
      <c r="D5" s="14" t="inlineStr">
        <is>
          <t>BASE</t>
        </is>
      </c>
      <c r="E5" s="14" t="inlineStr">
        <is>
          <t>&lt;= :DATADT; record_source t24__t24_company; business_key&lt;&gt;'VN0010001'; anti-join sts_hub_branch cdc='D'</t>
        </is>
      </c>
      <c r="F5" s="14" t="inlineStr">
        <is>
          <t>driver — 1 dòng/CN active</t>
        </is>
      </c>
    </row>
    <row r="6">
      <c r="A6" s="14" t="inlineStr">
        <is>
          <t>2</t>
        </is>
      </c>
      <c r="B6" s="14" t="inlineStr">
        <is>
          <t>sat_branch_information</t>
        </is>
      </c>
      <c r="C6" s="14" t="inlineStr">
        <is>
          <t>bi</t>
        </is>
      </c>
      <c r="D6" s="14" t="inlineStr">
        <is>
          <t>LEFT</t>
        </is>
      </c>
      <c r="E6" s="14" t="inlineStr">
        <is>
          <t>bi.branch_hashkey=b.branch_hashkey; &lt;= :DATADT</t>
        </is>
      </c>
      <c r="F6" s="14" t="inlineStr">
        <is>
          <t>BRANCH_NAME (t_company_name)</t>
        </is>
      </c>
    </row>
    <row r="7">
      <c r="A7" s="14" t="inlineStr">
        <is>
          <t>3</t>
        </is>
      </c>
      <c r="B7" s="14" t="inlineStr">
        <is>
          <t>sat_branch_comp_level_group</t>
        </is>
      </c>
      <c r="C7" s="14" t="inlineStr">
        <is>
          <t>bg</t>
        </is>
      </c>
      <c r="D7" s="14" t="inlineStr">
        <is>
          <t>LEFT</t>
        </is>
      </c>
      <c r="E7" s="14" t="inlineStr">
        <is>
          <t>bg.branch_hashkey=b.branch_hashkey; &lt;= :DATADT</t>
        </is>
      </c>
      <c r="F7" s="14" t="inlineStr">
        <is>
          <t>mã CN cha (t_lead_company)</t>
        </is>
      </c>
    </row>
    <row r="8" ht="24" customHeight="1" s="16">
      <c r="A8" s="14" t="inlineStr">
        <is>
          <t>4</t>
        </is>
      </c>
      <c r="B8" s="14" t="inlineStr">
        <is>
          <t>branch_active (CN cha)</t>
        </is>
      </c>
      <c r="C8" s="14" t="inlineStr">
        <is>
          <t>bpk</t>
        </is>
      </c>
      <c r="D8" s="14" t="inlineStr">
        <is>
          <t>LEFT</t>
        </is>
      </c>
      <c r="E8" s="14" t="inlineStr">
        <is>
          <t>bpk.branch_code=bg.parent_code</t>
        </is>
      </c>
      <c r="F8" s="14" t="inlineStr">
        <is>
          <t>nối CN cha theo business_key=t_lead_company (dùng lại CTE)</t>
        </is>
      </c>
    </row>
    <row r="9">
      <c r="A9" s="14" t="inlineStr">
        <is>
          <t>5</t>
        </is>
      </c>
      <c r="B9" s="14" t="inlineStr">
        <is>
          <t>branch_info (CN cha)</t>
        </is>
      </c>
      <c r="C9" s="14" t="inlineStr">
        <is>
          <t>bp</t>
        </is>
      </c>
      <c r="D9" s="14" t="inlineStr">
        <is>
          <t>LEFT</t>
        </is>
      </c>
      <c r="E9" s="14" t="inlineStr">
        <is>
          <t>bp.branch_hashkey=bpk.branch_hashkey</t>
        </is>
      </c>
      <c r="F9" s="14" t="inlineStr">
        <is>
          <t>BRANCH_PARENT_NAME</t>
        </is>
      </c>
    </row>
    <row r="10">
      <c r="A10" s="14" t="inlineStr">
        <is>
          <t>6</t>
        </is>
      </c>
      <c r="B10" s="14" t="inlineStr">
        <is>
          <t>(lọc)</t>
        </is>
      </c>
      <c r="C10" s="14" t="inlineStr">
        <is>
          <t>-</t>
        </is>
      </c>
      <c r="D10" s="14" t="inlineStr">
        <is>
          <t>WHERE</t>
        </is>
      </c>
      <c r="E10" s="14" t="inlineStr">
        <is>
          <t>branch_name &lt;&gt; 'NOT USED'</t>
        </is>
      </c>
      <c r="F10" s="14" t="inlineStr">
        <is>
          <t>loại đơn vị placeholder</t>
        </is>
      </c>
    </row>
    <row r="12">
      <c r="A12" s="22" t="inlineStr">
        <is>
          <t>FIELD MAPPING — DIM_BRANCH (7 cột, target order theo mapping/dsx TCIMPORT)</t>
        </is>
      </c>
    </row>
    <row r="13" ht="38.25" customHeight="1" s="16">
      <c r="A13" s="13" t="inlineStr">
        <is>
          <t>View/Table</t>
        </is>
      </c>
      <c r="B13" s="13" t="inlineStr">
        <is>
          <t>Field</t>
        </is>
      </c>
      <c r="C13" s="13" t="inlineStr">
        <is>
          <t>Data Type</t>
        </is>
      </c>
      <c r="D13" s="13" t="inlineStr">
        <is>
          <t>Transform Type</t>
        </is>
      </c>
      <c r="E13" s="13" t="inlineStr">
        <is>
          <t>Transform Logic (Gold raw_vault)</t>
        </is>
      </c>
      <c r="F13" s="13" t="inlineStr">
        <is>
          <t>SOURCE / Note (SOR | he nguon)</t>
        </is>
      </c>
    </row>
    <row r="14" ht="36" customHeight="1" s="16">
      <c r="A14" s="14" t="inlineStr">
        <is>
          <t>DIM_BRANCH</t>
        </is>
      </c>
      <c r="B14" s="14" t="inlineStr">
        <is>
          <t>OU_ID</t>
        </is>
      </c>
      <c r="C14" s="14" t="inlineStr">
        <is>
          <t>-</t>
        </is>
      </c>
      <c r="D14" s="14" t="inlineStr">
        <is>
          <t>1:1</t>
        </is>
      </c>
      <c r="E14" s="14" t="inlineStr">
        <is>
          <t>hub_branch.branch_hashkey (khóa)</t>
        </is>
      </c>
      <c r="F14" s="14" t="inlineStr">
        <is>
          <t>ip.IP_ID (SCD2 sinh surrogate BRANCH_DIM_ID)</t>
        </is>
      </c>
    </row>
    <row r="15" ht="36" customHeight="1" s="16">
      <c r="A15" s="14" t="inlineStr">
        <is>
          <t>DIM_BRANCH</t>
        </is>
      </c>
      <c r="B15" s="14" t="inlineStr">
        <is>
          <t>EFF_FROM_DATE</t>
        </is>
      </c>
      <c r="C15" s="14" t="inlineStr">
        <is>
          <t>date</t>
        </is>
      </c>
      <c r="D15" s="14" t="inlineStr">
        <is>
          <t>NULL</t>
        </is>
      </c>
      <c r="E15" s="14" t="inlineStr">
        <is>
          <t>CAST(NULL AS DATE)</t>
        </is>
      </c>
      <c r="F15" s="14">
        <f>DATADT ở SCD2 NEW</f>
        <v/>
      </c>
    </row>
    <row r="16" ht="36" customHeight="1" s="16">
      <c r="A16" s="14" t="inlineStr">
        <is>
          <t>DIM_BRANCH</t>
        </is>
      </c>
      <c r="B16" s="14" t="inlineStr">
        <is>
          <t>EFF_TO_DATE</t>
        </is>
      </c>
      <c r="C16" s="14" t="inlineStr">
        <is>
          <t>date</t>
        </is>
      </c>
      <c r="D16" s="14" t="inlineStr">
        <is>
          <t>NULL</t>
        </is>
      </c>
      <c r="E16" s="14" t="inlineStr">
        <is>
          <t>CAST(NULL AS DATE)</t>
        </is>
      </c>
      <c r="F16" s="14">
        <f>high-date ở SCD2 NEW</f>
        <v/>
      </c>
    </row>
    <row r="17" ht="36" customHeight="1" s="16">
      <c r="A17" s="14" t="inlineStr">
        <is>
          <t>DIM_BRANCH</t>
        </is>
      </c>
      <c r="B17" s="14" t="inlineStr">
        <is>
          <t>BRANCH_CODE</t>
        </is>
      </c>
      <c r="C17" s="14" t="inlineStr">
        <is>
          <t>varchar</t>
        </is>
      </c>
      <c r="D17" s="14" t="inlineStr">
        <is>
          <t>1:1</t>
        </is>
      </c>
      <c r="E17" s="14" t="inlineStr">
        <is>
          <t>hub_branch.business_key</t>
        </is>
      </c>
      <c r="F17" s="14" t="inlineStr">
        <is>
          <t>ip.UNQ_ID_SRC_STM | T24_COMPANY.ID</t>
        </is>
      </c>
    </row>
    <row r="18" ht="36" customHeight="1" s="16">
      <c r="A18" s="14" t="inlineStr">
        <is>
          <t>DIM_BRANCH</t>
        </is>
      </c>
      <c r="B18" s="14" t="inlineStr">
        <is>
          <t>BRANCH_NAME</t>
        </is>
      </c>
      <c r="C18" s="14" t="inlineStr">
        <is>
          <t>varchar</t>
        </is>
      </c>
      <c r="D18" s="14" t="inlineStr">
        <is>
          <t>1:1</t>
        </is>
      </c>
      <c r="E18" s="14" t="inlineStr">
        <is>
          <t>sat_branch_information.t_company_name</t>
        </is>
      </c>
      <c r="F18" s="14" t="inlineStr">
        <is>
          <t>ip.IP_FULL_NM</t>
        </is>
      </c>
    </row>
    <row r="19" ht="36" customHeight="1" s="16">
      <c r="A19" s="14" t="inlineStr">
        <is>
          <t>DIM_BRANCH</t>
        </is>
      </c>
      <c r="B19" s="14" t="inlineStr">
        <is>
          <t>BRANCH_PARENT_CODE</t>
        </is>
      </c>
      <c r="C19" s="14" t="inlineStr">
        <is>
          <t>varchar</t>
        </is>
      </c>
      <c r="D19" s="14" t="inlineStr">
        <is>
          <t>Transform</t>
        </is>
      </c>
      <c r="E19" s="14" t="inlineStr">
        <is>
          <t>sat_branch_comp_level_group.t_lead_company (loại cha 'NOT USED' → COALESCE về chính nó)</t>
        </is>
      </c>
      <c r="F19" s="14" t="inlineStr">
        <is>
          <t>ippr.UNQ_ID_SRC_STM (OU.PRN_OU_IP_ID)</t>
        </is>
      </c>
    </row>
    <row r="20" ht="36" customHeight="1" s="16">
      <c r="A20" s="14" t="inlineStr">
        <is>
          <t>DIM_BRANCH</t>
        </is>
      </c>
      <c r="B20" s="14" t="inlineStr">
        <is>
          <t>BRANCH_PARENT_NAME</t>
        </is>
      </c>
      <c r="C20" s="14" t="inlineStr">
        <is>
          <t>varchar</t>
        </is>
      </c>
      <c r="D20" s="14" t="inlineStr">
        <is>
          <t>Transform</t>
        </is>
      </c>
      <c r="E20" s="14" t="inlineStr">
        <is>
          <t>branch cha: hub_branch(business_key=t_lead_company)→sat_branch_information.t_company_name</t>
        </is>
      </c>
      <c r="F20" s="14" t="inlineStr">
        <is>
          <t>ippr.IP_FULL_NM</t>
        </is>
      </c>
    </row>
    <row r="22">
      <c r="A22" s="22" t="inlineStr">
        <is>
          <t>GHI CHÚ REGION</t>
        </is>
      </c>
    </row>
    <row r="23">
      <c r="A23" s="20" t="inlineStr">
        <is>
          <t>REGION_CODE/REGION_NAME: dsx bản DIM_BR (IRB) có = OU.RGON_NM; bản TCIMPORT + mapping BỎ, DV chưa có nguồn region → không xuất (đúng đặc tả 7 cột).</t>
        </is>
      </c>
    </row>
  </sheetData>
  <mergeCells count="5">
    <mergeCell ref="A1:F1"/>
    <mergeCell ref="A23:F23"/>
    <mergeCell ref="A22:F22"/>
    <mergeCell ref="A12:F12"/>
    <mergeCell ref="A3:F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997F4E2-1414-44BC-8934-F772F29FF3CF}"/>
</file>

<file path=customXml/itemProps2.xml><?xml version="1.0" encoding="utf-8"?>
<ds:datastoreItem xmlns:ds="http://schemas.openxmlformats.org/officeDocument/2006/customXml" ds:itemID="{762F7232-22E0-4F0C-8F06-F412D66F28DD}"/>
</file>

<file path=customXml/itemProps3.xml><?xml version="1.0" encoding="utf-8"?>
<ds:datastoreItem xmlns:ds="http://schemas.openxmlformats.org/officeDocument/2006/customXml" ds:itemID="{3207A0FC-10E7-4884-A487-679A5E0C9E3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Huy Gia Le (RAFFLES)</cp:lastModifiedBy>
  <dcterms:created xsi:type="dcterms:W3CDTF">2026-08-11T02:04:32Z</dcterms:created>
  <dcterms:modified xsi:type="dcterms:W3CDTF">2026-08-12T03:42:23Z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0x0101008E8AE0589F554649956EA8CE8E02225C</vt:lpwstr>
  </property>
</Properties>
</file>