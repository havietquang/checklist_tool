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2">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s>
  <fills count="8">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2">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M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1" t="n"/>
      <c r="C3" s="41" t="n"/>
      <c r="D3" s="41" t="n"/>
      <c r="E3" s="41" t="n"/>
      <c r="F3" s="41" t="n"/>
      <c r="G3" s="41" t="n"/>
      <c r="H3" s="41" t="n"/>
      <c r="I3" s="41" t="n"/>
      <c r="J3" s="41" t="n"/>
      <c r="K3" s="41" t="n"/>
      <c r="L3" s="41" t="n"/>
      <c r="M3" s="41" t="n"/>
      <c r="N3" s="41" t="n"/>
      <c r="O3" s="41" t="n"/>
      <c r="P3" s="41" t="n"/>
      <c r="Q3" s="41" t="n"/>
      <c r="R3" s="41" t="n"/>
      <c r="S3" s="41" t="n"/>
      <c r="T3" s="41" t="n"/>
      <c r="U3" s="41" t="n"/>
      <c r="V3" s="41" t="n"/>
      <c r="W3" s="41" t="n"/>
      <c r="X3" s="41" t="n"/>
      <c r="Y3" s="41" t="n"/>
      <c r="Z3" s="26">
        <f>IF(B3="","",IF(COUNTIF(F3:G3,"Fail")&gt;0,1,0))</f>
        <v/>
      </c>
      <c r="AA3" s="26">
        <f>IF(B3="","",IF(COUNTIF(H3:S3,"Fail")&gt;0,1,0))</f>
        <v/>
      </c>
      <c r="AB3" s="26">
        <f>IF(B3="","",IF(COUNTIF(T3:Y3,"Fail")&gt;0,1,0))</f>
        <v/>
      </c>
      <c r="AC3" s="27">
        <f>IF(B3="","",0.1*Z3+0.8*AA3+0.1*AB3)</f>
        <v/>
      </c>
      <c r="AD3" s="27">
        <f>IF(B3="","",IF(C3="Batch 1",0.3,0.2))</f>
        <v/>
      </c>
      <c r="AE3" s="19">
        <f>IF(B3="","",IF(AC3&lt;=AD3,"Đạt","Không đạt"))</f>
        <v/>
      </c>
      <c r="AF3" s="41" t="n"/>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6" operator="equal" dxfId="12">
      <formula>"WARN"</formula>
    </cfRule>
    <cfRule type="cellIs" priority="7" operator="equal" dxfId="7">
      <formula>"Fail"</formula>
    </cfRule>
    <cfRule type="cellIs" priority="8" operator="equal" dxfId="8">
      <formula>"Pass"</formula>
    </cfRule>
    <cfRule type="cellIs" priority="9" operator="equal" dxfId="9">
      <formula>"N/A"</formula>
    </cfRule>
  </conditionalFormatting>
  <conditionalFormatting sqref="AE3:AE200">
    <cfRule type="cellIs" priority="10" operator="equal" dxfId="10">
      <formula>"Không đạt"</formula>
    </cfRule>
    <cfRule type="cellIs" priority="11" operator="equal" dxfId="11">
      <formula>"Đạt"</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2026-08-05T16:02:22Z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