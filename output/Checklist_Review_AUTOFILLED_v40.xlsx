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0" yWindow="300" windowWidth="19420" windowHeight="10420" tabRatio="500" firstSheet="0" activeTab="1" autoFilterDateGrouping="1"/>
  </bookViews>
  <sheets>
    <sheet xmlns:r="http://schemas.openxmlformats.org/officeDocument/2006/relationships" name="Hướng dẫn" sheetId="1" state="visible" r:id="rId1"/>
    <sheet xmlns:r="http://schemas.openxmlformats.org/officeDocument/2006/relationships" name="Checklist tiêu chí" sheetId="2" state="visible" r:id="rId2"/>
    <sheet xmlns:r="http://schemas.openxmlformats.org/officeDocument/2006/relationships" name="Review theo bảng" sheetId="3" state="visible" r:id="rId3"/>
    <sheet xmlns:r="http://schemas.openxmlformats.org/officeDocument/2006/relationships" name="Tổng hợp Dashboard" sheetId="4" state="visible" r:id="rId4"/>
    <sheet xmlns:r="http://schemas.openxmlformats.org/officeDocument/2006/relationships" name="Auto-check chi tiết" sheetId="5" state="visible" r:id="rId5"/>
  </sheets>
  <definedNames/>
  <calcPr calcId="191029" fullCalcOnLoad="1"/>
</workbook>
</file>

<file path=xl/styles.xml><?xml version="1.0" encoding="utf-8"?>
<styleSheet xmlns="http://schemas.openxmlformats.org/spreadsheetml/2006/main">
  <numFmts count="1">
    <numFmt numFmtId="164" formatCode="0.0%"/>
  </numFmts>
  <fonts count="17">
    <font>
      <name val="Calibri"/>
      <charset val="1"/>
      <family val="2"/>
      <color theme="1"/>
      <sz val="11"/>
    </font>
    <font>
      <name val="Arial"/>
      <family val="2"/>
      <sz val="10"/>
    </font>
    <font>
      <name val="Arial"/>
      <family val="2"/>
      <b val="1"/>
      <color rgb="FF000080"/>
      <sz val="14"/>
    </font>
    <font>
      <name val="Arial"/>
      <family val="2"/>
      <b val="1"/>
      <color rgb="FF0069BA"/>
      <sz val="12"/>
    </font>
    <font>
      <name val="Arial"/>
      <family val="2"/>
      <color rgb="FF000000"/>
      <sz val="11"/>
    </font>
    <font>
      <name val="Arial"/>
      <family val="2"/>
      <b val="1"/>
      <color rgb="FFFFFFFF"/>
      <sz val="11"/>
    </font>
    <font>
      <name val="Arial"/>
      <family val="2"/>
      <sz val="11"/>
    </font>
    <font>
      <name val="Arial"/>
      <family val="2"/>
      <b val="1"/>
      <color rgb="FFFFFFFF"/>
      <sz val="10"/>
    </font>
    <font>
      <name val="Arial"/>
      <family val="2"/>
      <b val="1"/>
      <color rgb="FFFFFFFF"/>
      <sz val="9"/>
    </font>
    <font>
      <name val="Arial"/>
      <family val="2"/>
      <b val="1"/>
      <sz val="10"/>
    </font>
    <font>
      <name val="Arial"/>
      <family val="2"/>
      <b val="1"/>
      <sz val="11"/>
    </font>
    <font>
      <name val="Arial"/>
      <family val="2"/>
      <i val="1"/>
      <color rgb="FF595959"/>
      <sz val="10"/>
    </font>
    <font>
      <name val="Arial"/>
      <sz val="11"/>
    </font>
    <font>
      <name val="Arial"/>
      <b val="1"/>
      <color rgb="FFFFFFFF"/>
      <sz val="11"/>
    </font>
    <font>
      <name val="Arial"/>
      <b val="1"/>
      <color rgb="FF1FBA00"/>
      <sz val="11"/>
    </font>
    <font>
      <name val="Arial"/>
      <b val="1"/>
      <color rgb="FF0069BA"/>
      <sz val="11"/>
    </font>
    <font>
      <name val="Arial"/>
      <b val="1"/>
      <color rgb="FF000080"/>
      <sz val="11"/>
    </font>
  </fonts>
  <fills count="9">
    <fill>
      <patternFill/>
    </fill>
    <fill>
      <patternFill patternType="gray125"/>
    </fill>
    <fill>
      <patternFill patternType="solid">
        <fgColor rgb="FF000080"/>
        <bgColor rgb="FF000080"/>
      </patternFill>
    </fill>
    <fill>
      <patternFill patternType="solid">
        <fgColor rgb="FFDCE6F1"/>
        <bgColor rgb="FFE7E6E6"/>
      </patternFill>
    </fill>
    <fill>
      <patternFill patternType="solid">
        <fgColor rgb="FFFDE9D9"/>
        <bgColor rgb="FFFFF2CC"/>
      </patternFill>
    </fill>
    <fill>
      <patternFill patternType="solid">
        <fgColor rgb="FFE2EFDA"/>
        <bgColor rgb="FFE7E6E6"/>
      </patternFill>
    </fill>
    <fill>
      <patternFill patternType="solid">
        <fgColor rgb="FF0069BA"/>
        <bgColor rgb="FF008080"/>
      </patternFill>
    </fill>
    <fill>
      <patternFill patternType="solid">
        <fgColor rgb="FFFFF2CC"/>
        <bgColor rgb="FFFDE9D9"/>
      </patternFill>
    </fill>
    <fill>
      <patternFill patternType="solid">
        <fgColor rgb="FF000080"/>
      </patternFill>
    </fill>
  </fills>
  <borders count="9">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bottom style="thin">
        <color rgb="FFBFBFBF"/>
      </bottom>
      <diagonal/>
    </border>
    <border>
      <left/>
      <right/>
      <top style="thin">
        <color rgb="FFBFBFBF"/>
      </top>
      <bottom/>
      <diagonal/>
    </border>
    <border>
      <left/>
      <right style="thin">
        <color rgb="FFBFBFBF"/>
      </right>
      <top style="thin">
        <color rgb="FFBFBFBF"/>
      </top>
      <bottom/>
      <diagonal/>
    </border>
    <border>
      <left style="thin">
        <color rgb="FFBFBFBF"/>
      </left>
      <right/>
      <top/>
      <bottom/>
      <diagonal/>
    </border>
    <border>
      <left style="thin">
        <color rgb="FFBFBFBF"/>
      </left>
      <right style="thin">
        <color rgb="FFBFBFBF"/>
      </right>
      <top/>
      <bottom/>
      <diagonal/>
    </border>
  </borders>
  <cellStyleXfs count="1">
    <xf numFmtId="0" fontId="0" fillId="0" borderId="0"/>
  </cellStyleXfs>
  <cellXfs count="53">
    <xf numFmtId="0" fontId="0" fillId="0" borderId="0" pivotButton="0" quotePrefix="0" xfId="0"/>
    <xf numFmtId="0" fontId="3" fillId="0" borderId="0" pivotButton="0" quotePrefix="0" xfId="0"/>
    <xf numFmtId="0" fontId="4" fillId="0" borderId="0" applyAlignment="1" pivotButton="0" quotePrefix="0" xfId="0">
      <alignment vertical="top" wrapText="1"/>
    </xf>
    <xf numFmtId="0" fontId="5" fillId="2" borderId="1" applyAlignment="1" pivotButton="0" quotePrefix="0" xfId="0">
      <alignment horizontal="center" vertical="center" wrapText="1"/>
    </xf>
    <xf numFmtId="0" fontId="6" fillId="3" borderId="1" applyAlignment="1" pivotButton="0" quotePrefix="0" xfId="0">
      <alignment horizontal="left" vertical="top" wrapText="1"/>
    </xf>
    <xf numFmtId="9" fontId="6" fillId="3" borderId="1" applyAlignment="1" pivotButton="0" quotePrefix="0" xfId="0">
      <alignment horizontal="center" vertical="top"/>
    </xf>
    <xf numFmtId="0" fontId="6" fillId="3" borderId="1" applyAlignment="1" pivotButton="0" quotePrefix="0" xfId="0">
      <alignment horizontal="center" vertical="top"/>
    </xf>
    <xf numFmtId="0" fontId="6" fillId="4" borderId="1" applyAlignment="1" pivotButton="0" quotePrefix="0" xfId="0">
      <alignment horizontal="left" vertical="top" wrapText="1"/>
    </xf>
    <xf numFmtId="9" fontId="6" fillId="4" borderId="1" applyAlignment="1" pivotButton="0" quotePrefix="0" xfId="0">
      <alignment horizontal="center" vertical="top"/>
    </xf>
    <xf numFmtId="0" fontId="6" fillId="4" borderId="1" applyAlignment="1" pivotButton="0" quotePrefix="0" xfId="0">
      <alignment horizontal="center" vertical="top"/>
    </xf>
    <xf numFmtId="0" fontId="6" fillId="5" borderId="1" applyAlignment="1" pivotButton="0" quotePrefix="0" xfId="0">
      <alignment horizontal="left" vertical="top" wrapText="1"/>
    </xf>
    <xf numFmtId="9" fontId="6" fillId="5" borderId="1" applyAlignment="1" pivotButton="0" quotePrefix="0" xfId="0">
      <alignment horizontal="center" vertical="top"/>
    </xf>
    <xf numFmtId="0" fontId="6" fillId="5" borderId="1" applyAlignment="1" pivotButton="0" quotePrefix="0" xfId="0">
      <alignment horizontal="center" vertical="top"/>
    </xf>
    <xf numFmtId="0" fontId="8" fillId="6" borderId="1" applyAlignment="1" pivotButton="0" quotePrefix="0" xfId="0">
      <alignment horizontal="center" vertical="center" wrapText="1"/>
    </xf>
    <xf numFmtId="0" fontId="8" fillId="2" borderId="1" applyAlignment="1" pivotButton="0" quotePrefix="0" xfId="0">
      <alignment horizontal="center" vertical="center" wrapText="1"/>
    </xf>
    <xf numFmtId="0" fontId="0" fillId="7" borderId="0" pivotButton="0" quotePrefix="0" xfId="0"/>
    <xf numFmtId="0" fontId="9" fillId="7" borderId="1" applyAlignment="1" pivotButton="0" quotePrefix="0" xfId="0">
      <alignment horizontal="center" vertical="center"/>
    </xf>
    <xf numFmtId="0" fontId="6" fillId="0" borderId="1" applyAlignment="1" pivotButton="0" quotePrefix="0" xfId="0">
      <alignment horizontal="center" vertical="center" wrapText="1"/>
    </xf>
    <xf numFmtId="0" fontId="6" fillId="0" borderId="1" applyAlignment="1" pivotButton="0" quotePrefix="0" xfId="0">
      <alignment horizontal="left" vertical="center" wrapText="1"/>
    </xf>
    <xf numFmtId="0" fontId="9" fillId="0" borderId="1" applyAlignment="1" pivotButton="0" quotePrefix="0" xfId="0">
      <alignment horizontal="center" vertical="center"/>
    </xf>
    <xf numFmtId="9" fontId="6" fillId="0" borderId="1" applyAlignment="1" pivotButton="0" quotePrefix="0" xfId="0">
      <alignment horizontal="center" vertical="center" wrapText="1"/>
    </xf>
    <xf numFmtId="164" fontId="6" fillId="0" borderId="1" applyAlignment="1" pivotButton="0" quotePrefix="0" xfId="0">
      <alignment horizontal="center" vertical="center" wrapText="1"/>
    </xf>
    <xf numFmtId="0" fontId="10" fillId="0" borderId="1" applyAlignment="1" pivotButton="0" quotePrefix="0" xfId="0">
      <alignment horizontal="center" vertical="center" wrapText="1"/>
    </xf>
    <xf numFmtId="0" fontId="0" fillId="7" borderId="0" applyAlignment="1" pivotButton="0" quotePrefix="0" xfId="0">
      <alignment horizontal="center" vertical="center"/>
    </xf>
    <xf numFmtId="0" fontId="1" fillId="7" borderId="1" applyAlignment="1" pivotButton="0" quotePrefix="0" xfId="0">
      <alignment horizontal="center" vertical="center"/>
    </xf>
    <xf numFmtId="164" fontId="1" fillId="7" borderId="1" applyAlignment="1" pivotButton="0" quotePrefix="0" xfId="0">
      <alignment horizontal="center" vertical="center"/>
    </xf>
    <xf numFmtId="0" fontId="1" fillId="0" borderId="1" applyAlignment="1" pivotButton="0" quotePrefix="0" xfId="0">
      <alignment horizontal="center" vertical="center"/>
    </xf>
    <xf numFmtId="164" fontId="1" fillId="0" borderId="1" applyAlignment="1" pivotButton="0" quotePrefix="0" xfId="0">
      <alignment horizontal="center" vertical="center"/>
    </xf>
    <xf numFmtId="0" fontId="1" fillId="0" borderId="1" applyAlignment="1" pivotButton="0" quotePrefix="0" xfId="0">
      <alignment horizontal="left" vertical="center" wrapText="1"/>
    </xf>
    <xf numFmtId="0" fontId="2" fillId="0" borderId="0" applyAlignment="1" pivotButton="0" quotePrefix="0" xfId="0">
      <alignment vertical="center" wrapText="1"/>
    </xf>
    <xf numFmtId="0" fontId="7" fillId="6" borderId="1" applyAlignment="1" pivotButton="0" quotePrefix="0" xfId="0">
      <alignment horizontal="center" vertical="center" wrapText="1"/>
    </xf>
    <xf numFmtId="0" fontId="0" fillId="0" borderId="2" pivotButton="0" quotePrefix="0" xfId="0"/>
    <xf numFmtId="0" fontId="0" fillId="0" borderId="3" pivotButton="0" quotePrefix="0" xfId="0"/>
    <xf numFmtId="0" fontId="7" fillId="2" borderId="1" applyAlignment="1" pivotButton="0" quotePrefix="0" xfId="0">
      <alignment horizontal="center" vertical="center" wrapText="1"/>
    </xf>
    <xf numFmtId="0" fontId="0" fillId="0" borderId="4" pivotButton="0" quotePrefix="0" xfId="0"/>
    <xf numFmtId="0" fontId="11" fillId="0" borderId="0" applyAlignment="1" pivotButton="0" quotePrefix="0" xfId="0">
      <alignment vertical="top" wrapText="1"/>
    </xf>
    <xf numFmtId="0" fontId="0" fillId="0" borderId="0" pivotButton="0" quotePrefix="0" xfId="0"/>
    <xf numFmtId="0" fontId="2" fillId="0" borderId="0" pivotButton="0" quotePrefix="0" xfId="0"/>
    <xf numFmtId="0" fontId="6" fillId="3" borderId="1" applyAlignment="1" pivotButton="0" quotePrefix="0" xfId="0">
      <alignment horizontal="left" vertical="top"/>
    </xf>
    <xf numFmtId="0" fontId="0" fillId="0" borderId="0" applyAlignment="1" pivotButton="0" quotePrefix="0" xfId="0">
      <alignment horizontal="center" vertical="center"/>
    </xf>
    <xf numFmtId="0" fontId="0" fillId="0" borderId="1" applyAlignment="1" pivotButton="0" quotePrefix="0" xfId="0">
      <alignment horizontal="center" vertical="center"/>
    </xf>
    <xf numFmtId="0" fontId="0" fillId="0" borderId="1" pivotButton="0" quotePrefix="0" xfId="0"/>
    <xf numFmtId="0" fontId="12" fillId="0" borderId="1" pivotButton="0" quotePrefix="0" xfId="0"/>
    <xf numFmtId="0" fontId="12" fillId="0" borderId="1" applyAlignment="1" pivotButton="0" quotePrefix="0" xfId="0">
      <alignment vertical="top" wrapText="1"/>
    </xf>
    <xf numFmtId="0" fontId="12" fillId="0" borderId="1" applyAlignment="1" pivotButton="0" quotePrefix="0" xfId="0">
      <alignment horizontal="left" vertical="center" wrapText="1"/>
    </xf>
    <xf numFmtId="0" fontId="12" fillId="0" borderId="1" applyAlignment="1" pivotButton="0" quotePrefix="0" xfId="0">
      <alignment horizontal="center" vertical="center" wrapText="1"/>
    </xf>
    <xf numFmtId="0" fontId="12" fillId="0" borderId="1" applyAlignment="1" pivotButton="0" quotePrefix="0" xfId="0">
      <alignment horizontal="center" vertical="center"/>
    </xf>
    <xf numFmtId="0" fontId="13" fillId="8" borderId="0" applyAlignment="1" pivotButton="0" quotePrefix="0" xfId="0">
      <alignment vertical="center" wrapText="1"/>
    </xf>
    <xf numFmtId="0" fontId="12" fillId="0" borderId="0" applyAlignment="1" pivotButton="0" quotePrefix="0" xfId="0">
      <alignment vertical="top"/>
    </xf>
    <xf numFmtId="0" fontId="14" fillId="0" borderId="0" applyAlignment="1" pivotButton="0" quotePrefix="0" xfId="0">
      <alignment vertical="top"/>
    </xf>
    <xf numFmtId="0" fontId="12" fillId="0" borderId="0" applyAlignment="1" pivotButton="0" quotePrefix="0" xfId="0">
      <alignment vertical="top" wrapText="1"/>
    </xf>
    <xf numFmtId="0" fontId="15" fillId="0" borderId="0" applyAlignment="1" pivotButton="0" quotePrefix="0" xfId="0">
      <alignment vertical="top"/>
    </xf>
    <xf numFmtId="0" fontId="16" fillId="0" borderId="0" applyAlignment="1" pivotButton="0" quotePrefix="0" xfId="0">
      <alignment vertical="top"/>
    </xf>
  </cellXfs>
  <cellStyles count="1">
    <cellStyle name="Bình thường" xfId="0" builtinId="0"/>
  </cellStyles>
  <dxfs count="13">
    <dxf>
      <fill>
        <patternFill>
          <bgColor rgb="FFC6EFCE"/>
        </patternFill>
      </fill>
    </dxf>
    <dxf>
      <fill>
        <patternFill>
          <bgColor rgb="FFFFC7CE"/>
        </patternFill>
      </fill>
    </dxf>
    <dxf>
      <font>
        <name val="Arial"/>
        <charset val="1"/>
        <b val="1"/>
        <color rgb="FF006100"/>
      </font>
      <fill>
        <patternFill>
          <bgColor rgb="FFC6EFCE"/>
        </patternFill>
      </fill>
    </dxf>
    <dxf>
      <font>
        <name val="Arial"/>
        <charset val="1"/>
        <b val="1"/>
        <color rgb="FF9C0006"/>
      </font>
      <fill>
        <patternFill>
          <bgColor rgb="FFFFC7CE"/>
        </patternFill>
      </fill>
    </dxf>
    <dxf>
      <fill>
        <patternFill>
          <bgColor rgb="FFE7E6E6"/>
        </patternFill>
      </fill>
    </dxf>
    <dxf>
      <fill>
        <patternFill>
          <bgColor rgb="FFC6EFCE"/>
        </patternFill>
      </fill>
    </dxf>
    <dxf>
      <fill>
        <patternFill>
          <bgColor rgb="FFFFC7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3F3F3F"/>
      </font>
      <fill>
        <patternFill patternType="solid">
          <fgColor rgb="FFD9D9D9"/>
          <bgColor rgb="FFD9D9D9"/>
        </patternFill>
      </fill>
    </dxf>
    <dxf>
      <font>
        <b val="1"/>
        <color rgb="FF9C0006"/>
      </font>
      <fill>
        <patternFill patternType="solid">
          <fgColor rgb="FFFFC7CE"/>
          <bgColor rgb="FFFFC7CE"/>
        </patternFill>
      </fill>
    </dxf>
    <dxf>
      <font>
        <b val="1"/>
        <color rgb="FF006100"/>
      </font>
      <fill>
        <patternFill patternType="solid">
          <fgColor rgb="FFC6EFCE"/>
          <bgColor rgb="FFC6EFCE"/>
        </patternFill>
      </fill>
    </dxf>
    <dxf>
      <font>
        <b val="1"/>
        <color rgb="FF9C6500"/>
      </font>
      <fill>
        <patternFill patternType="solid">
          <fgColor rgb="FFFFF2CC"/>
          <bgColor rgb="FFFFF2CC"/>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BFBFBF"/>
      <rgbColor rgb="FF808080"/>
      <rgbColor rgb="FF9999FF"/>
      <rgbColor rgb="FF993366"/>
      <rgbColor rgb="FFFFF2CC"/>
      <rgbColor rgb="FFE2EFDA"/>
      <rgbColor rgb="FF660066"/>
      <rgbColor rgb="FFFF8080"/>
      <rgbColor rgb="FF0069BA"/>
      <rgbColor rgb="FFE7E6E6"/>
      <rgbColor rgb="FF000080"/>
      <rgbColor rgb="FFFF00FF"/>
      <rgbColor rgb="FFFFFF00"/>
      <rgbColor rgb="FF00FFFF"/>
      <rgbColor rgb="FF800080"/>
      <rgbColor rgb="FF800000"/>
      <rgbColor rgb="FF008080"/>
      <rgbColor rgb="FF0000FF"/>
      <rgbColor rgb="FF00CCFF"/>
      <rgbColor rgb="FFDCE6F1"/>
      <rgbColor rgb="FFC6EFCE"/>
      <rgbColor rgb="FFFDE9D9"/>
      <rgbColor rgb="FF99CCFF"/>
      <rgbColor rgb="FFFF99CC"/>
      <rgbColor rgb="FFCC99FF"/>
      <rgbColor rgb="FFFFC7CE"/>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Unknown Author</author>
  </authors>
  <commentList>
    <comment ref="F2" authorId="0" shapeId="0">
      <text>
        <t>Đầy đủ mapping từ tất cả layer nguồn (Silver/manual) sang Gold, không thiếu cột/bảng nguồn theo tài liệu mapping.</t>
      </text>
    </comment>
    <comment ref="G2" authorId="0" shapeId="0">
      <text>
        <t>Tổng số dòng và tổng SUM các cột số đối chiếu khớp với hệ thống on-prem/cũ, chênh lệch phải giải trình được.</t>
      </text>
    </comment>
    <comment ref="H2" authorId="0" shapeId="0">
      <text>
        <t>Danh sách bảng/view Gold khớp với danh sách trong tài liệu thiết kế mapping đã duyệt.</t>
      </text>
    </comment>
    <comment ref="I2" authorId="0" shapeId="0">
      <text>
        <t>Chỉ lấy các bản ghi active (cdc_status active), loại bản ghi đã xóa (cdc_status='D') trừ khi có yêu cầu nghiệp vụ khác kèm giải trình.</t>
      </text>
    </comment>
    <comment ref="J2" authorId="0" shapeId="0">
      <text>
        <t>Áp dụng thống nhất MỘT pattern xác định bản ghi active mới nhất cho toàn bộ các bảng, không có 2 cách viết khác nhau cho cùng 1 logic.</t>
      </text>
    </comment>
    <comment ref="K2" authorId="0" shapeId="0">
      <text>
        <t>Điều kiện lọc trạng thái (rn=1, cdc_status) đặt SAU khi xác định bản ghi mới nhất (WHERE/QUALIFY bên ngoài), không lồng trong điều kiện ON của LEFT JOIN.</t>
      </text>
    </comment>
    <comment ref="L2" authorId="0" shapeId="0">
      <text>
        <t>source_event_date &lt;= :p_data_date áp dụng nhất quán trên mọi Hub/Sat/Link liên quan trong cùng 1 script.</t>
      </text>
    </comment>
    <comment ref="M2" authorId="0" shapeId="0">
      <text>
        <t>Đối chiếu với các lỗi đã từng được DA Data Vault fix trước đó - xác nhận không bị lặp lại khi refactor.</t>
      </text>
    </comment>
    <comment ref="N2" authorId="0" shapeId="0">
      <text>
        <t>Logic SCD Type 2 (DIM) đúng kỹ thuật đã thống nhất: effective_date/end_date/current_flag rõ ràng, KHÔNG dùng MAX(id)+ROW_NUMBER() tăng dần.</t>
      </text>
    </comment>
    <comment ref="O2" authorId="0" shapeId="0">
      <text>
        <t>CASE WHEN cover đầy đủ các nhánh giá trị như job on-prem tương ứng (kể cả nhánh ELSE/NULL).</t>
      </text>
    </comment>
    <comment ref="P2" authorId="0" shapeId="0">
      <text>
        <t>Cột SUM/COUNT được COALESCE/NVL về 0 khi cần, đồng bộ với cách xử lý null của code/job cũ.</t>
      </text>
    </comment>
    <comment ref="Q2" authorId="0" shapeId="0">
      <text>
        <t>Subquery, custom function, điều kiện LIKE được review đúng ý nghĩa nghiệp vụ, không sai lệch so với on-prem.</t>
      </text>
    </comment>
    <comment ref="R2" authorId="0" shapeId="0">
      <text>
        <t>Điều kiện Aggregation kèm date range/filter chính xác theo kỳ báo cáo.</t>
      </text>
    </comment>
    <comment ref="S2" authorId="0" shapeId="0">
      <text>
        <t>Join dùng key hợp lý (business key/hash key đúng), không dùng UNION ALL + EXISTS/NOT EXISTS thay cho LEFT JOIN khi không cần thiết.</t>
      </text>
    </comment>
    <comment ref="T2" authorId="0" shapeId="0">
      <text>
        <t>Toàn bộ logic build trên CTE snapshot từ Silver trước khi tạo bảng Gold (không build trực tiếp nhiều tầng gây sai lệch).</t>
      </text>
    </comment>
    <comment ref="U2" authorId="0" shapeId="0">
      <text>
        <t>Không SELECT *, chỉ select cột cần dùng.</t>
      </text>
    </comment>
    <comment ref="V2" authorId="0" shapeId="0">
      <text>
        <t>CTE không bị scan lại nhiều lần (mỗi CTE chỉ nên được reference hợp lý).</t>
      </text>
    </comment>
    <comment ref="W2" authorId="0" shapeId="0">
      <text>
        <t>Filter dữ liệu trước khi join (partition pruning theo etl_date/ngày dữ liệu), tránh full scan &amp; shuffle không cần thiết.</t>
      </text>
    </comment>
    <comment ref="X2" authorId="0" shapeId="0">
      <text>
        <t>Sử dụng CACHE cho các query lặp lại nhiều lần trong cùng 1 luồng xử lý.</t>
      </text>
    </comment>
    <comment ref="Y2" authorId="0" shapeId="0">
      <text>
        <t>Ưu tiên MAX_BY kết hợp QUALIFY thay cho ROW_NUMBER()+WHERE rn=1 khi phù hợp (hiệu năng tốt hơn).</t>
      </text>
    </comment>
    <comment ref="Z2" authorId="0" shapeId="0">
      <text>
        <t>Không lạm dụng window function nếu không cần thiết; nếu dùng phải có comment giải thích lý do.</t>
      </text>
    </comment>
  </commentList>
</comment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B2:B16"/>
  <sheetViews>
    <sheetView showGridLines="0" topLeftCell="A9" zoomScaleNormal="100" workbookViewId="0">
      <selection activeCell="B16" sqref="B16"/>
    </sheetView>
  </sheetViews>
  <sheetFormatPr baseColWidth="8" defaultColWidth="8.7265625" defaultRowHeight="14.5"/>
  <cols>
    <col width="3" customWidth="1" style="36" min="1" max="1"/>
    <col width="110" customWidth="1" style="36" min="2" max="2"/>
  </cols>
  <sheetData>
    <row r="2" ht="34" customHeight="1" s="36">
      <c r="B2" s="29" t="inlineStr">
        <is>
          <t>CHECKLIST REVIEW CODE MAPPING SILVER (DATA VAULT 2.0) SANG GOLD (DATA MART) – ZONE C OCB</t>
        </is>
      </c>
    </row>
    <row r="4" ht="19.5" customHeight="1" s="36">
      <c r="B4" s="1" t="inlineStr">
        <is>
          <t>Mục đích</t>
        </is>
      </c>
    </row>
    <row r="5" ht="70" customHeight="1" s="36">
      <c r="B5" s="2" t="inlineStr">
        <is>
          <t>Đội Data Engineer của Raffles dùng checklist này để tự rà soát code và mapping của từng bảng/khung nhìn Zone C trước khi gửi OCB review. Nội dung checklist lấy từ hai nguồn: các tiêu chí đã thống nhất với OCB (sheet "Checklist - Raffles" và "Quality check") và các lỗi thực tế ghi nhận trong quá trình review Batch 1 (Issue log). Cách kiểm tra của từng tiêu chí tham chiếu trực tiếp đến tài liệu OCB_DBX_ZONEC – Technical Document v1.1, mục III.4.2 "Quy tắc khi xử lí các bảng từ Silver".</t>
        </is>
      </c>
    </row>
    <row r="6" ht="19.5" customHeight="1" s="36">
      <c r="B6" s="1" t="inlineStr">
        <is>
          <t>Cách sử dụng</t>
        </is>
      </c>
    </row>
    <row r="7" ht="28" customHeight="1" s="36">
      <c r="B7" s="2" t="inlineStr">
        <is>
          <t>1. Sheet "Checklist tiêu chí": mô tả điều kiện đạt và cách kiểm tra của từng tiêu chí, kèm mục tài liệu tham chiếu.</t>
        </is>
      </c>
    </row>
    <row r="8" ht="42" customHeight="1" s="36">
      <c r="B8" s="2" t="inlineStr">
        <is>
          <t>2. Sheet "Review theo bảng": mỗi dòng là một bảng/khung nhìn Gold. Với từng tiêu chí, DE chọn Pass / Fail / N/A từ danh sách chọn. Tiêu chí Fail phải ghi bằng chứng tại cột "Ghi chú / Bằng chứng lỗi" theo dạng: mã tiêu chí, tên file script, dòng code hoặc tên CTE liên quan.</t>
        </is>
      </c>
    </row>
    <row r="9" ht="28" customHeight="1" s="36">
      <c r="B9" s="2" t="inlineStr">
        <is>
          <t>3. Tỷ lệ lỗi tính tự động theo trọng số đã thống nhất với OCB: Nhóm 1 – Summary/Mapping 10%, Nhóm 2 – Logic 80%, Nhóm 3 – Optimization 10%. Một tiêu chí Fail thì cả nhóm đó tính là lỗi cho bảng đang xét.</t>
        </is>
      </c>
    </row>
    <row r="10" ht="28" customHeight="1" s="36">
      <c r="B10" s="2" t="inlineStr">
        <is>
          <t>4. Sheet "Tổng hợp Dashboard": tổng hợp số bảng Đạt / Không đạt theo batch và so với ngưỡng lỗi cho phép (Batch 1: 30%; Batch 2 và Batch 3: 20%).</t>
        </is>
      </c>
    </row>
    <row r="11" ht="28" customHeight="1" s="36">
      <c r="B11" s="2" t="inlineStr">
        <is>
          <t>5. Chỉ gửi code và mapping sang OCB khi bảng có kết luận "Đạt". Bảng "Không đạt" phải sửa theo pattern chuẩn nêu tại cột "Điều kiện đạt / Cách kiểm tra" rồi review lại.</t>
        </is>
      </c>
    </row>
    <row r="12" ht="19.5" customHeight="1" s="36">
      <c r="B12" s="1" t="inlineStr">
        <is>
          <t>Bốn lỗi phải kiểm tra kỹ (rút từ Issue log Batch 1)</t>
        </is>
      </c>
    </row>
    <row r="13" ht="28" customHeight="1" s="36">
      <c r="B13" s="2" t="inlineStr">
        <is>
          <t>- Điều kiện source_event_date &lt;= :DATADT bị bỏ sót ở một vài bảng trong cùng script, hoặc đặt thêm cận dưới (&gt;= start_date) làm bỏ sót bản ghi trạng thái mới nhất – Issue log #1.</t>
        </is>
      </c>
    </row>
    <row r="14" ht="28" customHeight="1" s="36">
      <c r="B14" s="2" t="inlineStr">
        <is>
          <t>- Cùng một mục đích lấy bản ghi hiệu lực nhưng mỗi script lọc cdc_status một kiểu khác nhau – Issue log #2. Toàn bộ Zone C dùng một pattern duy nhất tại mục III.4.2.1.</t>
        </is>
      </c>
    </row>
    <row r="15" ht="28" customHeight="1" s="36">
      <c r="B15" s="2" t="inlineStr">
        <is>
          <t>- Điều kiện rn = 1 hoặc cdc_status &lt;&gt; 'D' đặt trong ON của LEFT JOIN thay vì ở lớp ngoài, làm sai kết quả khi không match – Issue log #3.</t>
        </is>
      </c>
    </row>
    <row r="16" ht="28" customHeight="1" s="36">
      <c r="B16" s="2" t="inlineStr">
        <is>
          <t>- Bảng DIM sinh surrogate key bằng MAX(&lt;DIM_ID&gt;) + ROW_NUMBER(), trùng khóa khi chạy song song hoặc nạp lại lịch sử – Issue log #4. Dùng APPLY CHANGES … STORED AS SCD TYPE 2.</t>
        </is>
      </c>
    </row>
  </sheetData>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F21"/>
  <sheetViews>
    <sheetView showGridLines="0" tabSelected="1" zoomScale="70" zoomScaleNormal="70" workbookViewId="0">
      <pane ySplit="1" topLeftCell="A2" activePane="bottomLeft" state="frozen"/>
      <selection pane="bottomLeft" activeCell="E6" sqref="E6"/>
    </sheetView>
  </sheetViews>
  <sheetFormatPr baseColWidth="8" defaultColWidth="8.7265625" defaultRowHeight="14.5"/>
  <cols>
    <col width="27.26953125" customWidth="1" style="36" min="1" max="1"/>
    <col width="18.7265625" customWidth="1" style="36" min="2" max="2"/>
    <col width="7" customWidth="1" style="36" min="3" max="3"/>
    <col width="40" customWidth="1" style="36" min="4" max="4"/>
    <col width="69.54296875" customWidth="1" style="36" min="5" max="5"/>
    <col width="39.90625" customWidth="1" style="36" min="6" max="6"/>
  </cols>
  <sheetData>
    <row r="1" ht="30" customHeight="1" s="36">
      <c r="A1" s="3" t="inlineStr">
        <is>
          <t>Nhóm</t>
        </is>
      </c>
      <c r="B1" s="3" t="inlineStr">
        <is>
          <t>Trọng số
nhóm</t>
        </is>
      </c>
      <c r="C1" s="3" t="inlineStr">
        <is>
          <t>Mã</t>
        </is>
      </c>
      <c r="D1" s="3" t="inlineStr">
        <is>
          <t>Tiêu chí kiểm tra</t>
        </is>
      </c>
      <c r="E1" s="3" t="inlineStr">
        <is>
          <t>Điều kiện đạt / Cách kiểm tra</t>
        </is>
      </c>
      <c r="F1" s="3" t="inlineStr">
        <is>
          <t>Tham chiếu (Technical Document / Issue log / Checklist RVN-OCB)</t>
        </is>
      </c>
    </row>
    <row r="2" ht="56" customHeight="1" s="36">
      <c r="A2" s="38" t="inlineStr">
        <is>
          <t>Nhóm 1 - Summary /
Mapping</t>
        </is>
      </c>
      <c r="B2" s="5" t="n">
        <v>0.1</v>
      </c>
      <c r="C2" s="6" t="inlineStr">
        <is>
          <t>1.1</t>
        </is>
      </c>
      <c r="D2" s="4" t="inlineStr">
        <is>
          <t>Mapping đầy đủ từ Silver và nguồn upload sang Gold</t>
        </is>
      </c>
      <c r="E2" s="4" t="inlineStr">
        <is>
          <t>Đối chiếu tài liệu mapping source-to-target với script: đủ cột đầu ra, đủ bảng nguồn cần dùng, không thêm cột ngoài đặc tả. Ghi dữ liệu vào đúng catalog/schema đích ocb_datavault_${env}_curated.&lt;schema&gt;, không hard-code tên catalog.</t>
        </is>
      </c>
      <c r="F2" s="4" t="inlineStr">
        <is>
          <t>TDD mục III.4.1 Quy ước chung; Quality check tiêu chí 1</t>
        </is>
      </c>
    </row>
    <row r="3" ht="70" customHeight="1" s="36">
      <c r="A3" s="4" t="inlineStr">
        <is>
          <t>Nhóm 1 - Summary /
Mapping</t>
        </is>
      </c>
      <c r="B3" s="5" t="n">
        <v>0.1</v>
      </c>
      <c r="C3" s="6" t="inlineStr">
        <is>
          <t>1.2</t>
        </is>
      </c>
      <c r="D3" s="4" t="inlineStr">
        <is>
          <t>Danh sách bảng và khung nhìn khớp tài liệu thiết kế</t>
        </is>
      </c>
      <c r="E3" s="4" t="inlineStr">
        <is>
          <t>Danh sách đối tượng triển khai trong batch khớp danh sách đã thống nhất với OCB. Thay đổi phạm vi hoặc mô hình dữ liệu phải được thống nhất và cập nhật vào tài liệu trước khi triển khai.</t>
        </is>
      </c>
      <c r="F3" s="4" t="inlineStr">
        <is>
          <t>TDD v1.1 mục I.3 Phạm vi tài liệu; Plan điều chỉnh 5.3.3</t>
        </is>
      </c>
    </row>
    <row r="4" ht="42" customHeight="1" s="36">
      <c r="A4" s="7" t="inlineStr">
        <is>
          <t>Nhóm 2 - Logic</t>
        </is>
      </c>
      <c r="B4" s="8" t="n">
        <v>0.8</v>
      </c>
      <c r="C4" s="9" t="inlineStr">
        <is>
          <t>2.1</t>
        </is>
      </c>
      <c r="D4" s="7" t="inlineStr">
        <is>
          <t>Chỉ lấy bản ghi Hub đang có hiệu lực</t>
        </is>
      </c>
      <c r="E4" s="7" t="inlineStr">
        <is>
          <t>Join hub_* với sts_hub_* theo pattern tại mục III.4.2.1: GROUP BY hashkey, HAVING max_by(cdc_status, source_event_date) = 'D' để lấy tập khóa đã xóa, sau đó LEFT JOIN và loại các khóa này khỏi kết quả. Chỉ giữ bản ghi đã xóa khi có yêu cầu nghiệp vụ và phải ghi rõ trong mapping.</t>
        </is>
      </c>
      <c r="F4" s="7" t="inlineStr">
        <is>
          <t>TDD v1.1 mục III.4.2.1; Checklist RVN-OCB #1; Issue log #3</t>
        </is>
      </c>
    </row>
    <row r="5" ht="70" customHeight="1" s="36">
      <c r="A5" s="7" t="inlineStr">
        <is>
          <t>Nhóm 2 - Logic</t>
        </is>
      </c>
      <c r="B5" s="8" t="n">
        <v>0.8</v>
      </c>
      <c r="C5" s="9" t="inlineStr">
        <is>
          <t>2.2</t>
        </is>
      </c>
      <c r="D5" s="7" t="inlineStr">
        <is>
          <t>Dùng một pattern thống nhất để lấy bản ghi hiệu lực</t>
        </is>
      </c>
      <c r="E5" s="7" t="inlineStr">
        <is>
          <t>Toàn bộ script Zone C dùng chung một pattern max_by(cdc_status, source_event_date) trên sts_hub. Không để hai script cùng xử lý một loại logic theo hai cách khác nhau, ví dụ một script lọc cdc_status &lt;&gt; 'D' trực tiếp trên satellite, script khác lọc = 'D' trên sts_hub.</t>
        </is>
      </c>
      <c r="F5" s="7" t="inlineStr">
        <is>
          <t>TDD v1.1 mục III.4.2.1; Issue log #2</t>
        </is>
      </c>
    </row>
    <row r="6" ht="70" customHeight="1" s="36">
      <c r="A6" s="7" t="inlineStr">
        <is>
          <t>Nhóm 2 - Logic</t>
        </is>
      </c>
      <c r="B6" s="8" t="n">
        <v>0.8</v>
      </c>
      <c r="C6" s="9" t="inlineStr">
        <is>
          <t>2.3</t>
        </is>
      </c>
      <c r="D6" s="7" t="inlineStr">
        <is>
          <t>Điều kiện trạng thái đặt ở lớp ngoài, không đặt trong ON của LEFT JOIN</t>
        </is>
      </c>
      <c r="E6" s="7" t="inlineStr">
        <is>
          <t>Điều kiện lọc trạng thái và điều kiện lấy bản ghi mới nhất đặt tại WHERE hoặc QUALIFY của lớp ngoài. Đặt trong ON của LEFT JOIN sẽ sai kết quả khi không match. Ngoại lệ được phép: join PIT với satellite theo source_event_date = &lt;sat&gt;_src_ev_dt là equi-join nên đặt trong ON.</t>
        </is>
      </c>
      <c r="F6" s="7" t="inlineStr">
        <is>
          <t>TDD v1.1 mục III.4.2.3 và III.4.2.4; Issue log #3</t>
        </is>
      </c>
    </row>
    <row r="7" ht="70" customHeight="1" s="36">
      <c r="A7" s="7" t="inlineStr">
        <is>
          <t>Nhóm 2 - Logic</t>
        </is>
      </c>
      <c r="B7" s="8" t="n">
        <v>0.8</v>
      </c>
      <c r="C7" s="9" t="inlineStr">
        <is>
          <t>2.4</t>
        </is>
      </c>
      <c r="D7" s="7" t="inlineStr">
        <is>
          <t>Điều kiện source_event_date áp dụng nhất quán trong cùng script</t>
        </is>
      </c>
      <c r="E7" s="7" t="inlineStr">
        <is>
          <t>Mọi hub, satellite, link, effsat trong cùng một script đều chặn source_event_date &lt;= TO_DATE(:DATADT,'yyyyMMdd'), không đặt cận dưới. Riêng nhóm bảng transaction tại mục "Các trường hợp đặc biệt" lọc source_event_date = :DATADT. Bảng PIT lọc theo snapshot_date.</t>
        </is>
      </c>
      <c r="F7" s="7" t="inlineStr">
        <is>
          <t>TDD v1.1 mục III.4.2 và mục "Các trường hợp đặc biệt"; Issue log #1</t>
        </is>
      </c>
    </row>
    <row r="8" ht="70" customHeight="1" s="36">
      <c r="A8" s="7" t="inlineStr">
        <is>
          <t>Nhóm 2 - Logic</t>
        </is>
      </c>
      <c r="B8" s="8" t="n">
        <v>0.8</v>
      </c>
      <c r="C8" s="9" t="inlineStr">
        <is>
          <t>2.5</t>
        </is>
      </c>
      <c r="D8" s="7" t="inlineStr">
        <is>
          <t>Không lặp lại lỗi logic đã được xử lý trước đó</t>
        </is>
      </c>
      <c r="E8" s="7" t="inlineStr">
        <is>
          <t>Đối chiếu với các lỗi mà DA Data Vault đã xác nhận sửa ở các lần review trước; script viết lại trên nền tảng mới không quay lại logic cũ. Ghi rõ trong ghi chú các điểm đã từng bị sửa để reviewer đối chiếu nhanh.</t>
        </is>
      </c>
      <c r="F8" s="7" t="inlineStr">
        <is>
          <t>Issue log #1</t>
        </is>
      </c>
    </row>
    <row r="9" ht="56" customHeight="1" s="36">
      <c r="A9" s="7" t="inlineStr">
        <is>
          <t>Nhóm 2 - Logic</t>
        </is>
      </c>
      <c r="B9" s="8" t="n">
        <v>0.8</v>
      </c>
      <c r="C9" s="9" t="inlineStr">
        <is>
          <t>2.6</t>
        </is>
      </c>
      <c r="D9" s="7" t="inlineStr">
        <is>
          <t>Bảng DIM áp dụng SCD Type 2 theo cơ chế APPLY CHANGES</t>
        </is>
      </c>
      <c r="E9" s="7" t="inlineStr">
        <is>
          <t>Bảng DIM dùng APPLY CHANGES INTO … KEYS (…) SEQUENCE BY … STORED AS SCD TYPE 2 trên streaming table. Không tự sinh surrogate key bằng MAX(&lt;DIM_ID&gt;) + ROW_NUMBER() vì trùng khóa khi chạy song song hoặc nạp lại dữ liệu lịch sử.</t>
        </is>
      </c>
      <c r="F9" s="7" t="inlineStr">
        <is>
          <t>TDD v1.1 mục III.2.3 và III.2.4; Issue log #4</t>
        </is>
      </c>
    </row>
    <row r="10" ht="56" customHeight="1" s="36">
      <c r="A10" s="7" t="inlineStr">
        <is>
          <t>Nhóm 2 - Logic</t>
        </is>
      </c>
      <c r="B10" s="8" t="n">
        <v>0.8</v>
      </c>
      <c r="C10" s="9" t="inlineStr">
        <is>
          <t>2.7</t>
        </is>
      </c>
      <c r="D10" s="7" t="inlineStr">
        <is>
          <t>CASE WHEN đủ nhánh so với job hiện hữu</t>
        </is>
      </c>
      <c r="E10" s="7" t="inlineStr">
        <is>
          <t>So từng nhánh CASE WHEN với job on-prem tương ứng, gồm cả nhánh ELSE và giá trị mặc định. Giữ nguyên logic cũ nếu chưa có thay đổi được thống nhất; thay đổi phải ghi vào tài liệu mapping.</t>
        </is>
      </c>
      <c r="F10" s="7" t="inlineStr">
        <is>
          <t>Checklist RVN-OCB #10</t>
        </is>
      </c>
    </row>
    <row r="11" ht="42" customHeight="1" s="36">
      <c r="A11" s="7" t="inlineStr">
        <is>
          <t>Nhóm 2 - Logic</t>
        </is>
      </c>
      <c r="B11" s="8" t="n">
        <v>0.8</v>
      </c>
      <c r="C11" s="9" t="inlineStr">
        <is>
          <t>2.8</t>
        </is>
      </c>
      <c r="D11" s="7" t="inlineStr">
        <is>
          <t>Cột SUM và COUNT xử lý giá trị NULL đúng</t>
        </is>
      </c>
      <c r="E11" s="7" t="inlineStr">
        <is>
          <t>Cột tổng hợp coalesce về 0 khi nghiệp vụ yêu cầu. Nếu code hiện hữu không dùng NVL thì giữ nguyên hành vi của code cũ và bổ sung NVL ở script đối soát để không lệch khi lấy hiệu số.</t>
        </is>
      </c>
      <c r="F11" s="7" t="inlineStr">
        <is>
          <t>Checklist RVN-OCB #11</t>
        </is>
      </c>
    </row>
    <row r="12" ht="42" customHeight="1" s="36">
      <c r="A12" s="7" t="inlineStr">
        <is>
          <t>Nhóm 2 - Logic</t>
        </is>
      </c>
      <c r="B12" s="8" t="n">
        <v>0.8</v>
      </c>
      <c r="C12" s="9" t="inlineStr">
        <is>
          <t>2.9</t>
        </is>
      </c>
      <c r="D12" s="7" t="inlineStr">
        <is>
          <t>Subquery, custom function và điều kiện LIKE đúng ý nghĩa nghiệp vụ</t>
        </is>
      </c>
      <c r="E12" s="7" t="inlineStr">
        <is>
          <t>Đọc lại logic bên trong subquery, custom function và các điều kiện LIKE, xác nhận đúng ý nghĩa nghiệp vụ so với job hiện hữu, không chỉ đúng cú pháp. Ghi lại cách hiểu nghiệp vụ trong mapping để OCB xác nhận.</t>
        </is>
      </c>
      <c r="F12" s="7" t="inlineStr">
        <is>
          <t>Checklist RVN-OCB #6</t>
        </is>
      </c>
    </row>
    <row r="13" ht="56" customHeight="1" s="36">
      <c r="A13" s="7" t="inlineStr">
        <is>
          <t>Nhóm 2 - Logic</t>
        </is>
      </c>
      <c r="B13" s="8" t="n">
        <v>0.8</v>
      </c>
      <c r="C13" s="9" t="inlineStr">
        <is>
          <t>2.10</t>
        </is>
      </c>
      <c r="D13" s="7" t="inlineStr">
        <is>
          <t>Aggregation lọc đúng kỳ dữ liệu</t>
        </is>
      </c>
      <c r="E13" s="7" t="inlineStr">
        <is>
          <t>Điều kiện lọc kỳ báo cáo đi kèm SUM/COUNT/AVG đúng phạm vi ngày hoặc tháng cần xử lý. Bảng nạp theo tháng lọc theo kỳ đang chạy, không quét toàn bộ lịch sử.</t>
        </is>
      </c>
      <c r="F13" s="7" t="inlineStr">
        <is>
          <t>Checklist RVN-OCB #7</t>
        </is>
      </c>
    </row>
    <row r="14" ht="42" customHeight="1" s="36">
      <c r="A14" s="7" t="inlineStr">
        <is>
          <t>Nhóm 2 - Logic</t>
        </is>
      </c>
      <c r="B14" s="8" t="n">
        <v>0.8</v>
      </c>
      <c r="C14" s="9" t="inlineStr">
        <is>
          <t>2.11</t>
        </is>
      </c>
      <c r="D14" s="7" t="inlineStr">
        <is>
          <t>Join theo key đúng, không lạm dụng UNION ALL kết hợp EXISTS</t>
        </is>
      </c>
      <c r="E14" s="7" t="inlineStr">
        <is>
          <t>LEFT JOIN theo hashkey hoặc business key. Link phải rút về quan hệ hiện hành trước khi join vào fact/dim: quan hệ 1:N lấy theo driving key, quan hệ M:N khử trùng ở mức link_hashkey. Thay union all kết hợp exists/not exists bằng join khi đã có key phù hợp.</t>
        </is>
      </c>
      <c r="F14" s="7" t="inlineStr">
        <is>
          <t>TDD v1.1 mục III.4.2.3; Checklist RVN-OCB #4</t>
        </is>
      </c>
    </row>
    <row r="15" ht="70" customHeight="1" s="36">
      <c r="A15" s="7" t="inlineStr">
        <is>
          <t>Nhóm 2 - Logic</t>
        </is>
      </c>
      <c r="B15" s="8" t="n">
        <v>0.8</v>
      </c>
      <c r="C15" s="9" t="inlineStr">
        <is>
          <t>2.12</t>
        </is>
      </c>
      <c r="D15" s="7" t="inlineStr">
        <is>
          <t>Bảng Gold build từ CTE snapshot dữ liệu Silver</t>
        </is>
      </c>
      <c r="E15" s="7" t="inlineStr">
        <is>
          <t>Mỗi bảng Silver được đọc một lần trong CTE snapshot theo :DATADT rồi dùng lại trong script. Không đọc lại cùng một bảng ở nhiều nhánh với điều kiện thời điểm khác nhau, tránh lệch thời điểm dữ liệu giữa các phần của cùng một script.</t>
        </is>
      </c>
      <c r="F15" s="7" t="inlineStr">
        <is>
          <t>TDD v1.1 mục III.4.2; Checklist RVN-OCB #4</t>
        </is>
      </c>
    </row>
    <row r="16" ht="56" customHeight="1" s="36">
      <c r="A16" s="10" t="inlineStr">
        <is>
          <t>Nhóm 3 - Optimization</t>
        </is>
      </c>
      <c r="B16" s="11" t="n">
        <v>0.1</v>
      </c>
      <c r="C16" s="12" t="inlineStr">
        <is>
          <t>3.1</t>
        </is>
      </c>
      <c r="D16" s="10" t="inlineStr">
        <is>
          <t>Không dùng SELECT *</t>
        </is>
      </c>
      <c r="E16" s="10" t="inlineStr">
        <is>
          <t>Chỉ select các cột thực sự dùng ở Gold, kể cả trong CTE trung gian. Nhánh sts_hub chỉ lấy cột hashkey để join gọn.</t>
        </is>
      </c>
      <c r="F16" s="10" t="inlineStr">
        <is>
          <t>TDD v1.1 mục III.4.2.2; Checklist RVN-OCB #2</t>
        </is>
      </c>
    </row>
    <row r="17" ht="30" customHeight="1" s="36">
      <c r="A17" s="10" t="inlineStr">
        <is>
          <t>Nhóm 3 - Optimization</t>
        </is>
      </c>
      <c r="B17" s="11" t="n">
        <v>0.1</v>
      </c>
      <c r="C17" s="12" t="inlineStr">
        <is>
          <t>3.2</t>
        </is>
      </c>
      <c r="D17" s="10" t="inlineStr">
        <is>
          <t>CTE không bị tính lại nhiều lần</t>
        </is>
      </c>
      <c r="E17" s="10" t="inlineStr">
        <is>
          <t>CTE nặng chỉ được tham chiếu một lần. Nếu buộc phải dùng lại nhiều lần thì tách thành bảng trung gian hoặc cache để không tính lại.</t>
        </is>
      </c>
      <c r="F17" s="10" t="inlineStr">
        <is>
          <t>Checklist RVN-OCB #4</t>
        </is>
      </c>
    </row>
    <row r="18" ht="42" customHeight="1" s="36">
      <c r="A18" s="10" t="inlineStr">
        <is>
          <t>Nhóm 3 - Optimization</t>
        </is>
      </c>
      <c r="B18" s="11" t="n">
        <v>0.1</v>
      </c>
      <c r="C18" s="12" t="inlineStr">
        <is>
          <t>3.3</t>
        </is>
      </c>
      <c r="D18" s="10" t="inlineStr">
        <is>
          <t>Lọc trước khi join, tận dụng partition pruning</t>
        </is>
      </c>
      <c r="E18" s="10" t="inlineStr">
        <is>
          <t>Đặt điều kiện ngày dữ liệu ngay trong CTE nguồn trước khi join, để giới hạn dữ liệu quét theo partition và giảm shuffle.</t>
        </is>
      </c>
      <c r="F18" s="10" t="inlineStr">
        <is>
          <t>Checklist RVN-OCB #5</t>
        </is>
      </c>
    </row>
    <row r="19" ht="30" customHeight="1" s="36">
      <c r="A19" s="10" t="inlineStr">
        <is>
          <t>Nhóm 3 - Optimization</t>
        </is>
      </c>
      <c r="B19" s="11" t="n">
        <v>0.1</v>
      </c>
      <c r="C19" s="12" t="inlineStr">
        <is>
          <t>3.4</t>
        </is>
      </c>
      <c r="D19" s="10" t="inlineStr">
        <is>
          <t>Cache kết quả được dùng lại trong cùng luồng</t>
        </is>
      </c>
      <c r="E19" s="10" t="inlineStr">
        <is>
          <t>Truy vấn dùng lại ở nhiều bước trong cùng một luồng thì cache hoặc vật chất hóa thành Materialized View thay vì tính lại từng lần.</t>
        </is>
      </c>
      <c r="F19" s="10" t="inlineStr">
        <is>
          <t>TDD v1.1 mục III.2.2; Checklist RVN-OCB #3</t>
        </is>
      </c>
    </row>
    <row r="20" ht="42" customHeight="1" s="36">
      <c r="A20" s="10" t="inlineStr">
        <is>
          <t>Nhóm 3 - Optimization</t>
        </is>
      </c>
      <c r="B20" s="11" t="n">
        <v>0.1</v>
      </c>
      <c r="C20" s="12" t="inlineStr">
        <is>
          <t>3.5</t>
        </is>
      </c>
      <c r="D20" s="10" t="inlineStr">
        <is>
          <t>Dùng MAX_BY thay ROW_NUMBER() kết hợp rn = 1</t>
        </is>
      </c>
      <c r="E20" s="10" t="inlineStr">
        <is>
          <t>Lấy bản ghi mới nhất bằng max_by(&lt;cột&gt;, source_event_date) với GROUP BY theo pattern chuẩn, thay cho ROW_NUMBER() OVER (…) kết hợp WHERE rn = 1.</t>
        </is>
      </c>
      <c r="F20" s="10" t="inlineStr">
        <is>
          <t>TDD v1.1 mục III.4.2; Issue log #5</t>
        </is>
      </c>
    </row>
    <row r="21" ht="42" customHeight="1" s="36">
      <c r="A21" s="10" t="inlineStr">
        <is>
          <t>Nhóm 3 - Optimization</t>
        </is>
      </c>
      <c r="B21" s="11" t="n">
        <v>0.1</v>
      </c>
      <c r="C21" s="12" t="inlineStr">
        <is>
          <t>3.6</t>
        </is>
      </c>
      <c r="D21" s="10" t="inlineStr">
        <is>
          <t>Window function dùng có chủ đích và có comment</t>
        </is>
      </c>
      <c r="E21" s="10" t="inlineStr">
        <is>
          <t>Chỉ dùng window function khi max_by hoặc QUALIFY không đáp ứng được yêu cầu nghiệp vụ. Khi dùng phải ghi comment nêu lý do ngay tại chỗ dùng.</t>
        </is>
      </c>
      <c r="F21" s="10" t="inlineStr">
        <is>
          <t>Checklist RVN-OCB #8</t>
        </is>
      </c>
    </row>
    <row r="22" ht="42" customHeight="1" s="36"/>
  </sheetData>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AF200"/>
  <sheetViews>
    <sheetView showGridLines="0" zoomScale="90" zoomScaleNormal="90" workbookViewId="0">
      <pane xSplit="5" ySplit="2" topLeftCell="F3" activePane="bottomRight" state="frozen"/>
      <selection pane="topRight" activeCell="F1" sqref="F1"/>
      <selection pane="bottomLeft" activeCell="A3" sqref="A3"/>
      <selection pane="bottomRight" activeCell="AD5" sqref="AD5"/>
    </sheetView>
  </sheetViews>
  <sheetFormatPr baseColWidth="8" defaultColWidth="8.7265625" defaultRowHeight="14.5"/>
  <cols>
    <col width="7.54296875" customWidth="1" style="36" min="1" max="1"/>
    <col width="40.453125" bestFit="1" customWidth="1" style="36" min="2" max="2"/>
    <col width="10" customWidth="1" style="36" min="3" max="3"/>
    <col width="12.54296875" bestFit="1" customWidth="1" style="36" min="4" max="4"/>
    <col width="12" customWidth="1" style="36" min="5" max="5"/>
    <col width="13" customWidth="1" style="36" min="6" max="27"/>
    <col width="10" customWidth="1" style="36" min="26" max="26"/>
    <col width="40" customWidth="1" style="36" min="32" max="32"/>
  </cols>
  <sheetData>
    <row r="1" ht="21.75" customHeight="1" s="36">
      <c r="A1" s="33" t="inlineStr">
        <is>
          <t>STT</t>
        </is>
      </c>
      <c r="B1" s="33" t="inlineStr">
        <is>
          <t>Tên bảng / khung nhìn
(Gold)</t>
        </is>
      </c>
      <c r="C1" s="33" t="inlineStr">
        <is>
          <t>Batch</t>
        </is>
      </c>
      <c r="D1" s="33" t="inlineStr">
        <is>
          <t>PIC review</t>
        </is>
      </c>
      <c r="E1" s="33" t="inlineStr">
        <is>
          <t>Ngày review</t>
        </is>
      </c>
      <c r="F1" s="30" t="inlineStr">
        <is>
          <t>NHÓM 1 - SUMMARY / MAPPING (trọng số 10%)</t>
        </is>
      </c>
      <c r="G1" s="32" t="n"/>
      <c r="H1" s="33" t="inlineStr">
        <is>
          <t>NHÓM 2 - LOGIC (trọng số 80%)</t>
        </is>
      </c>
      <c r="I1" s="31" t="n"/>
      <c r="J1" s="31" t="n"/>
      <c r="K1" s="31" t="n"/>
      <c r="L1" s="31" t="n"/>
      <c r="M1" s="31" t="n"/>
      <c r="N1" s="31" t="n"/>
      <c r="O1" s="31" t="n"/>
      <c r="P1" s="31" t="n"/>
      <c r="Q1" s="31" t="n"/>
      <c r="R1" s="31" t="n"/>
      <c r="S1" s="32" t="n"/>
      <c r="T1" s="30" t="inlineStr">
        <is>
          <t>NHÓM 3 - OPTIMIZATION (trọng số 10%)</t>
        </is>
      </c>
      <c r="U1" s="31" t="n"/>
      <c r="V1" s="31" t="n"/>
      <c r="W1" s="31" t="n"/>
      <c r="X1" s="31" t="n"/>
      <c r="Y1" s="32" t="n"/>
      <c r="Z1" s="33" t="inlineStr">
        <is>
          <t>KẾT QUẢ TỔNG HỢP (tự động tính)</t>
        </is>
      </c>
      <c r="AA1" s="31" t="n"/>
      <c r="AB1" s="31" t="n"/>
      <c r="AC1" s="31" t="n"/>
      <c r="AD1" s="31" t="n"/>
      <c r="AE1" s="31" t="n"/>
      <c r="AF1" s="32" t="n"/>
    </row>
    <row r="2" ht="57" customHeight="1" s="36">
      <c r="A2" s="34" t="n"/>
      <c r="B2" s="34" t="n"/>
      <c r="C2" s="34" t="n"/>
      <c r="D2" s="34" t="n"/>
      <c r="E2" s="34" t="n"/>
      <c r="F2" s="13" t="inlineStr">
        <is>
          <t>Đủ mapping
Silver → Gold
(1.1)</t>
        </is>
      </c>
      <c r="G2" s="13" t="inlineStr">
        <is>
          <t>Danh sách bảng
khớp thiết kế
(1.2)</t>
        </is>
      </c>
      <c r="H2" s="14" t="inlineStr">
        <is>
          <t>Hub hiệu lực
qua sts_hub
(2.1)</t>
        </is>
      </c>
      <c r="I2" s="14" t="inlineStr">
        <is>
          <t>Một pattern
lấy bản ghi hiệu lực
(2.2)</t>
        </is>
      </c>
      <c r="J2" s="14" t="inlineStr">
        <is>
          <t>Điều kiện trạng thái
ở lớp ngoài
(2.3)</t>
        </is>
      </c>
      <c r="K2" s="14" t="inlineStr">
        <is>
          <t>source_event_date
nhất quán
(2.4)</t>
        </is>
      </c>
      <c r="L2" s="14" t="inlineStr">
        <is>
          <t>Không lặp lỗi
đã xử lý
(2.5)</t>
        </is>
      </c>
      <c r="M2" s="14" t="inlineStr">
        <is>
          <t>DIM SCD2 bằng
APPLY CHANGES
(2.6)</t>
        </is>
      </c>
      <c r="N2" s="14" t="inlineStr">
        <is>
          <t>CASE WHEN
đủ nhánh
(2.7)</t>
        </is>
      </c>
      <c r="O2" s="14" t="inlineStr">
        <is>
          <t>SUM/COUNT
xử lý NULL
(2.8)</t>
        </is>
      </c>
      <c r="P2" s="14" t="inlineStr">
        <is>
          <t>Subquery/function/
LIKE đúng nghiệp vụ
(2.9)</t>
        </is>
      </c>
      <c r="Q2" s="14" t="inlineStr">
        <is>
          <t>Aggregation
đúng kỳ dữ liệu
(2.10)</t>
        </is>
      </c>
      <c r="R2" s="14" t="inlineStr">
        <is>
          <t>Join đúng key,
link về hiện hành
(2.11)</t>
        </is>
      </c>
      <c r="S2" s="14" t="inlineStr">
        <is>
          <t>Build từ CTE
snapshot Silver
(2.12)</t>
        </is>
      </c>
      <c r="T2" s="13" t="inlineStr">
        <is>
          <t>Không
SELECT *
(3.1)</t>
        </is>
      </c>
      <c r="U2" s="13" t="inlineStr">
        <is>
          <t>CTE không
tính lại nhiều lần
(3.2)</t>
        </is>
      </c>
      <c r="V2" s="13" t="inlineStr">
        <is>
          <t>Lọc trước join,
partition pruning
(3.3)</t>
        </is>
      </c>
      <c r="W2" s="13" t="inlineStr">
        <is>
          <t>Cache truy vấn
dùng lại
(3.4)</t>
        </is>
      </c>
      <c r="X2" s="13" t="inlineStr">
        <is>
          <t>MAX_BY thay
ROW_NUMBER
(3.5)</t>
        </is>
      </c>
      <c r="Y2" s="13" t="inlineStr">
        <is>
          <t>Window function
có comment
(3.6)</t>
        </is>
      </c>
      <c r="Z2" s="14" t="inlineStr">
        <is>
          <t>N1
Fail?</t>
        </is>
      </c>
      <c r="AA2" s="14" t="inlineStr">
        <is>
          <t>N2
Fail?</t>
        </is>
      </c>
      <c r="AB2" s="14" t="inlineStr">
        <is>
          <t>N3
Fail?</t>
        </is>
      </c>
      <c r="AC2" s="14" t="inlineStr">
        <is>
          <t>Tỷ lệ lỗi
bảng</t>
        </is>
      </c>
      <c r="AD2" s="14" t="inlineStr">
        <is>
          <t>Ngưỡng
cho phép</t>
        </is>
      </c>
      <c r="AE2" s="14" t="inlineStr">
        <is>
          <t>Kết luận</t>
        </is>
      </c>
      <c r="AF2" s="14" t="inlineStr">
        <is>
          <t>Ghi rõ: mã tiêu chí – file script – dòng/CTE</t>
        </is>
      </c>
    </row>
    <row r="3" ht="30" customHeight="1" s="36">
      <c r="A3" s="40" t="n">
        <v>1</v>
      </c>
      <c r="B3" s="42" t="inlineStr">
        <is>
          <t>TCKH.V_BCN_THUNO</t>
        </is>
      </c>
      <c r="C3" s="42" t="inlineStr">
        <is>
          <t>Batch 2</t>
        </is>
      </c>
      <c r="D3" s="42" t="inlineStr">
        <is>
          <t>QUANG</t>
        </is>
      </c>
      <c r="E3" s="42" t="inlineStr">
        <is>
          <t>2026-08-11</t>
        </is>
      </c>
      <c r="F3" s="42" t="inlineStr">
        <is>
          <t>Pass</t>
        </is>
      </c>
      <c r="G3" s="42" t="inlineStr">
        <is>
          <t>Pass</t>
        </is>
      </c>
      <c r="H3" s="42" t="inlineStr">
        <is>
          <t>Pass</t>
        </is>
      </c>
      <c r="I3" s="42" t="inlineStr">
        <is>
          <t>Pass</t>
        </is>
      </c>
      <c r="J3" s="42" t="inlineStr">
        <is>
          <t>Pass</t>
        </is>
      </c>
      <c r="K3" s="42" t="inlineStr">
        <is>
          <t>Pass</t>
        </is>
      </c>
      <c r="L3" s="42" t="inlineStr">
        <is>
          <t>Pass</t>
        </is>
      </c>
      <c r="M3" s="42" t="inlineStr">
        <is>
          <t>Pass</t>
        </is>
      </c>
      <c r="N3" s="42" t="inlineStr">
        <is>
          <t>Pass</t>
        </is>
      </c>
      <c r="O3" s="42" t="inlineStr">
        <is>
          <t>Pass</t>
        </is>
      </c>
      <c r="P3" s="42" t="inlineStr">
        <is>
          <t>Pass</t>
        </is>
      </c>
      <c r="Q3" s="42" t="inlineStr">
        <is>
          <t>Pass</t>
        </is>
      </c>
      <c r="R3" s="42" t="inlineStr">
        <is>
          <t>Pass</t>
        </is>
      </c>
      <c r="S3" s="42" t="inlineStr">
        <is>
          <t>Pass</t>
        </is>
      </c>
      <c r="T3" s="42" t="inlineStr">
        <is>
          <t>Pass</t>
        </is>
      </c>
      <c r="U3" s="42" t="inlineStr">
        <is>
          <t>Pass</t>
        </is>
      </c>
      <c r="V3" s="42" t="inlineStr">
        <is>
          <t>WARN</t>
        </is>
      </c>
      <c r="W3" s="42" t="inlineStr">
        <is>
          <t>Pass</t>
        </is>
      </c>
      <c r="X3" s="42" t="inlineStr">
        <is>
          <t>Pass</t>
        </is>
      </c>
      <c r="Y3" s="42" t="inlineStr">
        <is>
          <t>Pass</t>
        </is>
      </c>
      <c r="Z3" s="26">
        <f>IF(B3="","",IF(COUNTIF(F3:G3,"Fail")&gt;0,1,0))</f>
        <v/>
      </c>
      <c r="AA3" s="26">
        <f>IF(B3="","",IF(COUNTIF(H3:S3,"Fail")&gt;0,1,0))</f>
        <v/>
      </c>
      <c r="AB3" s="26">
        <f>IF(B3="","",IF(COUNTIF(T3:Y3,"Fail")&gt;0,1,0))</f>
        <v/>
      </c>
      <c r="AC3" s="27">
        <f>IF(B3="","",0.1*Z3+0.8*AA3+0.1*AB3)</f>
        <v/>
      </c>
      <c r="AD3" s="27">
        <f>IF(B3="","",IF(C3="Batch 1",0.3,0.2))</f>
        <v/>
      </c>
      <c r="AE3" s="19">
        <f>IF(B3="","",IF(AC3&lt;=AD3,"Đạt","Không đạt"))</f>
        <v/>
      </c>
      <c r="AF3" s="43" t="inlineStr">
        <is>
          <t>╔══ WARN: 1 tiêu chí — 3.3
▼ 3.3 — Filter trước khi join, tận dụng partition pruning
   • 1 bảng join trực tiếp mà không có filter riêng: tb_ar_bcn_dtl (bundle)</t>
        </is>
      </c>
    </row>
    <row r="4" ht="30" customHeight="1" s="36">
      <c r="A4" s="17" t="n">
        <v>2</v>
      </c>
      <c r="B4" s="44" t="inlineStr">
        <is>
          <t>TCKH.V_BRANCH_LIST</t>
        </is>
      </c>
      <c r="C4" s="45" t="inlineStr">
        <is>
          <t>Batch 2</t>
        </is>
      </c>
      <c r="D4" s="45" t="inlineStr">
        <is>
          <t>HOP</t>
        </is>
      </c>
      <c r="E4" s="45" t="inlineStr">
        <is>
          <t>2026-08-11</t>
        </is>
      </c>
      <c r="F4" s="46" t="inlineStr">
        <is>
          <t>Pass</t>
        </is>
      </c>
      <c r="G4" s="46" t="inlineStr">
        <is>
          <t>Pass</t>
        </is>
      </c>
      <c r="H4" s="46" t="inlineStr">
        <is>
          <t>Pass</t>
        </is>
      </c>
      <c r="I4" s="46" t="inlineStr">
        <is>
          <t>Pass</t>
        </is>
      </c>
      <c r="J4" s="46" t="inlineStr">
        <is>
          <t>Pass</t>
        </is>
      </c>
      <c r="K4" s="46" t="inlineStr">
        <is>
          <t>Pass</t>
        </is>
      </c>
      <c r="L4" s="46" t="inlineStr">
        <is>
          <t>Pass</t>
        </is>
      </c>
      <c r="M4" s="46" t="inlineStr">
        <is>
          <t>Pass</t>
        </is>
      </c>
      <c r="N4" s="46" t="inlineStr">
        <is>
          <t>Pass</t>
        </is>
      </c>
      <c r="O4" s="46" t="inlineStr">
        <is>
          <t>Pass</t>
        </is>
      </c>
      <c r="P4" s="46" t="inlineStr">
        <is>
          <t>Pass</t>
        </is>
      </c>
      <c r="Q4" s="46" t="inlineStr">
        <is>
          <t>Pass</t>
        </is>
      </c>
      <c r="R4" s="46" t="inlineStr">
        <is>
          <t>Pass</t>
        </is>
      </c>
      <c r="S4" s="46" t="inlineStr">
        <is>
          <t>Pass</t>
        </is>
      </c>
      <c r="T4" s="46" t="inlineStr">
        <is>
          <t>Pass</t>
        </is>
      </c>
      <c r="U4" s="46" t="inlineStr">
        <is>
          <t>Pass</t>
        </is>
      </c>
      <c r="V4" s="46" t="inlineStr">
        <is>
          <t>Pass</t>
        </is>
      </c>
      <c r="W4" s="46" t="inlineStr">
        <is>
          <t>Pass</t>
        </is>
      </c>
      <c r="X4" s="46" t="inlineStr">
        <is>
          <t>Pass</t>
        </is>
      </c>
      <c r="Y4" s="46" t="inlineStr">
        <is>
          <t>Pass</t>
        </is>
      </c>
      <c r="Z4" s="26">
        <f>IF(B4="","",IF(COUNTIF(F4:G4,"Fail")&gt;0,1,0))</f>
        <v/>
      </c>
      <c r="AA4" s="26">
        <f>IF(B4="","",IF(COUNTIF(H4:S4,"Fail")&gt;0,1,0))</f>
        <v/>
      </c>
      <c r="AB4" s="26">
        <f>IF(B4="","",IF(COUNTIF(T4:Y4,"Fail")&gt;0,1,0))</f>
        <v/>
      </c>
      <c r="AC4" s="27">
        <f>IF(B4="","",0.1*Z4+0.8*AA4+0.1*AB4)</f>
        <v/>
      </c>
      <c r="AD4" s="27">
        <f>IF(B4="","",IF(C4="Batch 1",0.3,0.2))</f>
        <v/>
      </c>
      <c r="AE4" s="19">
        <f>IF(B4="","",IF(AC4&lt;=AD4,"Đạt","Không đạt"))</f>
        <v/>
      </c>
      <c r="AF4" s="43" t="inlineStr">
        <is>
          <t>Đạt toàn bộ tiêu chí.</t>
        </is>
      </c>
    </row>
    <row r="5" ht="30" customHeight="1" s="36">
      <c r="A5" s="17" t="n">
        <v>3</v>
      </c>
      <c r="B5" s="44" t="inlineStr">
        <is>
          <t>TCKH.V_CDR_AMT</t>
        </is>
      </c>
      <c r="C5" s="45" t="inlineStr">
        <is>
          <t>Batch 2</t>
        </is>
      </c>
      <c r="D5" s="45" t="inlineStr">
        <is>
          <t>QUANG</t>
        </is>
      </c>
      <c r="E5" s="45" t="inlineStr">
        <is>
          <t>2026-08-11</t>
        </is>
      </c>
      <c r="F5" s="46" t="inlineStr">
        <is>
          <t>Pass</t>
        </is>
      </c>
      <c r="G5" s="46" t="inlineStr">
        <is>
          <t>Pass</t>
        </is>
      </c>
      <c r="H5" s="46" t="inlineStr">
        <is>
          <t>Pass</t>
        </is>
      </c>
      <c r="I5" s="46" t="inlineStr">
        <is>
          <t>Pass</t>
        </is>
      </c>
      <c r="J5" s="46" t="inlineStr">
        <is>
          <t>Pass</t>
        </is>
      </c>
      <c r="K5" s="46" t="inlineStr">
        <is>
          <t>Pass</t>
        </is>
      </c>
      <c r="L5" s="46" t="inlineStr">
        <is>
          <t>Pass</t>
        </is>
      </c>
      <c r="M5" s="46" t="inlineStr">
        <is>
          <t>Pass</t>
        </is>
      </c>
      <c r="N5" s="46" t="inlineStr">
        <is>
          <t>Pass</t>
        </is>
      </c>
      <c r="O5" s="46" t="inlineStr">
        <is>
          <t>Pass</t>
        </is>
      </c>
      <c r="P5" s="46" t="inlineStr">
        <is>
          <t>Pass</t>
        </is>
      </c>
      <c r="Q5" s="46" t="inlineStr">
        <is>
          <t>WARN</t>
        </is>
      </c>
      <c r="R5" s="46" t="inlineStr">
        <is>
          <t>Pass</t>
        </is>
      </c>
      <c r="S5" s="46" t="inlineStr">
        <is>
          <t>Pass</t>
        </is>
      </c>
      <c r="T5" s="46" t="inlineStr">
        <is>
          <t>Pass</t>
        </is>
      </c>
      <c r="U5" s="46" t="inlineStr">
        <is>
          <t>Pass</t>
        </is>
      </c>
      <c r="V5" s="46" t="inlineStr">
        <is>
          <t>Pass</t>
        </is>
      </c>
      <c r="W5" s="46" t="inlineStr">
        <is>
          <t>Pass</t>
        </is>
      </c>
      <c r="X5" s="46" t="inlineStr">
        <is>
          <t>Pass</t>
        </is>
      </c>
      <c r="Y5" s="46" t="inlineStr">
        <is>
          <t>Pass</t>
        </is>
      </c>
      <c r="Z5" s="26">
        <f>IF(B5="","",IF(COUNTIF(F5:G5,"Fail")&gt;0,1,0))</f>
        <v/>
      </c>
      <c r="AA5" s="26">
        <f>IF(B5="","",IF(COUNTIF(H5:S5,"Fail")&gt;0,1,0))</f>
        <v/>
      </c>
      <c r="AB5" s="26">
        <f>IF(B5="","",IF(COUNTIF(T5:Y5,"Fail")&gt;0,1,0))</f>
        <v/>
      </c>
      <c r="AC5" s="27">
        <f>IF(B5="","",0.1*Z5+0.8*AA5+0.1*AB5)</f>
        <v/>
      </c>
      <c r="AD5" s="27">
        <f>IF(B5="","",IF(C5="Batch 1",0.3,0.2))</f>
        <v/>
      </c>
      <c r="AE5" s="19">
        <f>IF(B5="","",IF(AC5&lt;=AD5,"Đạt","Không đạt"))</f>
        <v/>
      </c>
      <c r="AF5" s="43" t="inlineStr">
        <is>
          <t>╔══ WARN: 1 tiêu chí — 2.10
▼ 2.10 — Aggregation kèm filter date range chính xác
   • 1 khối tổng hợp không thấy filter theo ngày/tham số: SELECT tu V_ENTRY_STMT_QUYMO</t>
        </is>
      </c>
    </row>
    <row r="6" ht="30" customHeight="1" s="36">
      <c r="A6" s="17" t="n">
        <v>4</v>
      </c>
      <c r="B6" s="44" t="inlineStr">
        <is>
          <t>TCKH.V_CDTK_DAILY</t>
        </is>
      </c>
      <c r="C6" s="45" t="inlineStr">
        <is>
          <t>Batch 2</t>
        </is>
      </c>
      <c r="D6" s="45" t="inlineStr">
        <is>
          <t>QUANG</t>
        </is>
      </c>
      <c r="E6" s="45" t="inlineStr">
        <is>
          <t>2026-08-11</t>
        </is>
      </c>
      <c r="F6" s="46" t="inlineStr">
        <is>
          <t>Pass</t>
        </is>
      </c>
      <c r="G6" s="46" t="inlineStr">
        <is>
          <t>Pass</t>
        </is>
      </c>
      <c r="H6" s="46" t="inlineStr">
        <is>
          <t>Pass</t>
        </is>
      </c>
      <c r="I6" s="46" t="inlineStr">
        <is>
          <t>Pass</t>
        </is>
      </c>
      <c r="J6" s="46" t="inlineStr">
        <is>
          <t>Pass</t>
        </is>
      </c>
      <c r="K6" s="46" t="inlineStr">
        <is>
          <t>Pass</t>
        </is>
      </c>
      <c r="L6" s="46" t="inlineStr">
        <is>
          <t>Pass</t>
        </is>
      </c>
      <c r="M6" s="46" t="inlineStr">
        <is>
          <t>Pass</t>
        </is>
      </c>
      <c r="N6" s="46" t="inlineStr">
        <is>
          <t>Pass</t>
        </is>
      </c>
      <c r="O6" s="46" t="inlineStr">
        <is>
          <t>Pass</t>
        </is>
      </c>
      <c r="P6" s="46" t="inlineStr">
        <is>
          <t>Pass</t>
        </is>
      </c>
      <c r="Q6" s="46" t="inlineStr">
        <is>
          <t>Pass</t>
        </is>
      </c>
      <c r="R6" s="46" t="inlineStr">
        <is>
          <t>Pass</t>
        </is>
      </c>
      <c r="S6" s="46" t="inlineStr">
        <is>
          <t>Pass</t>
        </is>
      </c>
      <c r="T6" s="46" t="inlineStr">
        <is>
          <t>Pass</t>
        </is>
      </c>
      <c r="U6" s="46" t="inlineStr">
        <is>
          <t>Pass</t>
        </is>
      </c>
      <c r="V6" s="46" t="inlineStr">
        <is>
          <t>Pass</t>
        </is>
      </c>
      <c r="W6" s="46" t="inlineStr">
        <is>
          <t>Pass</t>
        </is>
      </c>
      <c r="X6" s="46" t="inlineStr">
        <is>
          <t>Pass</t>
        </is>
      </c>
      <c r="Y6" s="46" t="inlineStr">
        <is>
          <t>Pass</t>
        </is>
      </c>
      <c r="Z6" s="26">
        <f>IF(B6="","",IF(COUNTIF(F6:G6,"Fail")&gt;0,1,0))</f>
        <v/>
      </c>
      <c r="AA6" s="26">
        <f>IF(B6="","",IF(COUNTIF(H6:S6,"Fail")&gt;0,1,0))</f>
        <v/>
      </c>
      <c r="AB6" s="26">
        <f>IF(B6="","",IF(COUNTIF(T6:Y6,"Fail")&gt;0,1,0))</f>
        <v/>
      </c>
      <c r="AC6" s="27">
        <f>IF(B6="","",0.1*Z6+0.8*AA6+0.1*AB6)</f>
        <v/>
      </c>
      <c r="AD6" s="27">
        <f>IF(B6="","",IF(C6="Batch 1",0.3,0.2))</f>
        <v/>
      </c>
      <c r="AE6" s="19">
        <f>IF(B6="","",IF(AC6&lt;=AD6,"Đạt","Không đạt"))</f>
        <v/>
      </c>
      <c r="AF6" s="43" t="inlineStr">
        <is>
          <t>Đạt toàn bộ tiêu chí.</t>
        </is>
      </c>
    </row>
    <row r="7" ht="30" customHeight="1" s="36">
      <c r="A7" s="17" t="n">
        <v>5</v>
      </c>
      <c r="B7" s="44" t="inlineStr">
        <is>
          <t>TCKH.V_CREDIT_LIMIT</t>
        </is>
      </c>
      <c r="C7" s="45" t="inlineStr">
        <is>
          <t>Batch 2</t>
        </is>
      </c>
      <c r="D7" s="45" t="inlineStr">
        <is>
          <t>BAOANH</t>
        </is>
      </c>
      <c r="E7" s="45" t="inlineStr">
        <is>
          <t>2026-08-11</t>
        </is>
      </c>
      <c r="F7" s="46" t="inlineStr">
        <is>
          <t>Pass</t>
        </is>
      </c>
      <c r="G7" s="46" t="inlineStr">
        <is>
          <t>Pass</t>
        </is>
      </c>
      <c r="H7" s="46" t="inlineStr">
        <is>
          <t>Pass</t>
        </is>
      </c>
      <c r="I7" s="46" t="inlineStr">
        <is>
          <t>Pass</t>
        </is>
      </c>
      <c r="J7" s="46" t="inlineStr">
        <is>
          <t>Pass</t>
        </is>
      </c>
      <c r="K7" s="46" t="inlineStr">
        <is>
          <t>Pass</t>
        </is>
      </c>
      <c r="L7" s="46" t="inlineStr">
        <is>
          <t>Pass</t>
        </is>
      </c>
      <c r="M7" s="46" t="inlineStr">
        <is>
          <t>Pass</t>
        </is>
      </c>
      <c r="N7" s="46" t="inlineStr">
        <is>
          <t>Pass</t>
        </is>
      </c>
      <c r="O7" s="46" t="inlineStr">
        <is>
          <t>Pass</t>
        </is>
      </c>
      <c r="P7" s="46" t="inlineStr">
        <is>
          <t>Pass</t>
        </is>
      </c>
      <c r="Q7" s="46" t="inlineStr">
        <is>
          <t>Pass</t>
        </is>
      </c>
      <c r="R7" s="46" t="inlineStr">
        <is>
          <t>WARN</t>
        </is>
      </c>
      <c r="S7" s="46" t="inlineStr">
        <is>
          <t>Pass</t>
        </is>
      </c>
      <c r="T7" s="46" t="inlineStr">
        <is>
          <t>Pass</t>
        </is>
      </c>
      <c r="U7" s="46" t="inlineStr">
        <is>
          <t>WARN</t>
        </is>
      </c>
      <c r="V7" s="46" t="inlineStr">
        <is>
          <t>Pass</t>
        </is>
      </c>
      <c r="W7" s="46" t="inlineStr">
        <is>
          <t>WARN</t>
        </is>
      </c>
      <c r="X7" s="46" t="inlineStr">
        <is>
          <t>Pass</t>
        </is>
      </c>
      <c r="Y7" s="46" t="inlineStr">
        <is>
          <t>Pass</t>
        </is>
      </c>
      <c r="Z7" s="26">
        <f>IF(B7="","",IF(COUNTIF(F7:G7,"Fail")&gt;0,1,0))</f>
        <v/>
      </c>
      <c r="AA7" s="26">
        <f>IF(B7="","",IF(COUNTIF(H7:S7,"Fail")&gt;0,1,0))</f>
        <v/>
      </c>
      <c r="AB7" s="26">
        <f>IF(B7="","",IF(COUNTIF(T7:Y7,"Fail")&gt;0,1,0))</f>
        <v/>
      </c>
      <c r="AC7" s="27">
        <f>IF(B7="","",0.1*Z7+0.8*AA7+0.1*AB7)</f>
        <v/>
      </c>
      <c r="AD7" s="27">
        <f>IF(B7="","",IF(C7="Batch 1",0.3,0.2))</f>
        <v/>
      </c>
      <c r="AE7" s="19">
        <f>IF(B7="","",IF(AC7&lt;=AD7,"Đạt","Không đạt"))</f>
        <v/>
      </c>
      <c r="AF7" s="43" t="inlineStr">
        <is>
          <t>╔══ WARN: 3 tiêu chí — 2.11, 3.2, 3.4
▼ 2.11 — Join dùng key hợp lý, không lạm dụng UNION ALL + EXISTS/NOT EXISTS
   • join không có điều kiện bằng (=): ['h']
▼ 3.2 — CTE không bị scan lại nhiều lần
   • CTE bị tham chiếu lại nhiều lần: hub_by_date x2
▼ 3.4 — Sử dụng CACHE cho query lặp lại trong cùng luồng
   • 1 CTE nặng dùng lại &gt;= 2 lần mà không có CACHE: hub_by_date</t>
        </is>
      </c>
    </row>
    <row r="8" ht="30" customHeight="1" s="36">
      <c r="A8" s="17" t="n">
        <v>6</v>
      </c>
      <c r="B8" s="44" t="inlineStr">
        <is>
          <t>TCKH.V_CUSTOMER_SEGMENT_CMB</t>
        </is>
      </c>
      <c r="C8" s="45" t="inlineStr">
        <is>
          <t>Batch 2</t>
        </is>
      </c>
      <c r="D8" s="45" t="inlineStr">
        <is>
          <t>PHAT</t>
        </is>
      </c>
      <c r="E8" s="45" t="inlineStr">
        <is>
          <t>2026-08-11</t>
        </is>
      </c>
      <c r="F8" s="46" t="inlineStr">
        <is>
          <t>Pass</t>
        </is>
      </c>
      <c r="G8" s="46" t="inlineStr">
        <is>
          <t>Pass</t>
        </is>
      </c>
      <c r="H8" s="46" t="inlineStr">
        <is>
          <t>Pass</t>
        </is>
      </c>
      <c r="I8" s="46" t="inlineStr">
        <is>
          <t>Pass</t>
        </is>
      </c>
      <c r="J8" s="46" t="inlineStr">
        <is>
          <t>Pass</t>
        </is>
      </c>
      <c r="K8" s="46" t="inlineStr">
        <is>
          <t>Pass</t>
        </is>
      </c>
      <c r="L8" s="46" t="inlineStr">
        <is>
          <t>Pass</t>
        </is>
      </c>
      <c r="M8" s="46" t="inlineStr">
        <is>
          <t>Pass</t>
        </is>
      </c>
      <c r="N8" s="46" t="inlineStr">
        <is>
          <t>Pass</t>
        </is>
      </c>
      <c r="O8" s="46" t="inlineStr">
        <is>
          <t>Pass</t>
        </is>
      </c>
      <c r="P8" s="46" t="inlineStr">
        <is>
          <t>Pass</t>
        </is>
      </c>
      <c r="Q8" s="46" t="inlineStr">
        <is>
          <t>Pass</t>
        </is>
      </c>
      <c r="R8" s="46" t="inlineStr">
        <is>
          <t>Pass</t>
        </is>
      </c>
      <c r="S8" s="46" t="inlineStr">
        <is>
          <t>WARN</t>
        </is>
      </c>
      <c r="T8" s="46" t="inlineStr">
        <is>
          <t>Pass</t>
        </is>
      </c>
      <c r="U8" s="46" t="inlineStr">
        <is>
          <t>Pass</t>
        </is>
      </c>
      <c r="V8" s="46" t="inlineStr">
        <is>
          <t>Pass</t>
        </is>
      </c>
      <c r="W8" s="46" t="inlineStr">
        <is>
          <t>Pass</t>
        </is>
      </c>
      <c r="X8" s="46" t="inlineStr">
        <is>
          <t>Pass</t>
        </is>
      </c>
      <c r="Y8" s="46" t="inlineStr">
        <is>
          <t>Pass</t>
        </is>
      </c>
      <c r="Z8" s="26">
        <f>IF(B8="","",IF(COUNTIF(F8:G8,"Fail")&gt;0,1,0))</f>
        <v/>
      </c>
      <c r="AA8" s="26">
        <f>IF(B8="","",IF(COUNTIF(H8:S8,"Fail")&gt;0,1,0))</f>
        <v/>
      </c>
      <c r="AB8" s="26">
        <f>IF(B8="","",IF(COUNTIF(T8:Y8,"Fail")&gt;0,1,0))</f>
        <v/>
      </c>
      <c r="AC8" s="27">
        <f>IF(B8="","",0.1*Z8+0.8*AA8+0.1*AB8)</f>
        <v/>
      </c>
      <c r="AD8" s="27">
        <f>IF(B8="","",IF(C8="Batch 1",0.3,0.2))</f>
        <v/>
      </c>
      <c r="AE8" s="19">
        <f>IF(B8="","",IF(AC8&lt;=AD8,"Đạt","Không đạt"))</f>
        <v/>
      </c>
      <c r="AF8" s="43" t="inlineStr">
        <is>
          <t>╔══ WARN: 1 tiêu chí — 2.12
▼ 2.12 — Build Gold từ CTE snapshot Silver, không build nhiều tầng chồng chéo
   • bảng bị đọc lại ở nhiều khối SELECT, xét gom thành 1 CTE: CUSTOMER_SEGMENT_CMB ở 2 khối</t>
        </is>
      </c>
    </row>
    <row r="9" ht="30" customHeight="1" s="36">
      <c r="A9" s="17" t="n">
        <v>7</v>
      </c>
      <c r="B9" s="44" t="inlineStr">
        <is>
          <t>TCKH.V_CUSTOMER_SEGMENT_RB</t>
        </is>
      </c>
      <c r="C9" s="45" t="inlineStr">
        <is>
          <t>Batch 2</t>
        </is>
      </c>
      <c r="D9" s="45" t="inlineStr">
        <is>
          <t>PHAT</t>
        </is>
      </c>
      <c r="E9" s="45" t="inlineStr">
        <is>
          <t>2026-08-11</t>
        </is>
      </c>
      <c r="F9" s="46" t="inlineStr">
        <is>
          <t>Pass</t>
        </is>
      </c>
      <c r="G9" s="46" t="inlineStr">
        <is>
          <t>Pass</t>
        </is>
      </c>
      <c r="H9" s="46" t="inlineStr">
        <is>
          <t>Pass</t>
        </is>
      </c>
      <c r="I9" s="46" t="inlineStr">
        <is>
          <t>Pass</t>
        </is>
      </c>
      <c r="J9" s="46" t="inlineStr">
        <is>
          <t>Pass</t>
        </is>
      </c>
      <c r="K9" s="46" t="inlineStr">
        <is>
          <t>Pass</t>
        </is>
      </c>
      <c r="L9" s="46" t="inlineStr">
        <is>
          <t>Pass</t>
        </is>
      </c>
      <c r="M9" s="46" t="inlineStr">
        <is>
          <t>Pass</t>
        </is>
      </c>
      <c r="N9" s="46" t="inlineStr">
        <is>
          <t>Pass</t>
        </is>
      </c>
      <c r="O9" s="46" t="inlineStr">
        <is>
          <t>Pass</t>
        </is>
      </c>
      <c r="P9" s="46" t="inlineStr">
        <is>
          <t>Pass</t>
        </is>
      </c>
      <c r="Q9" s="46" t="inlineStr">
        <is>
          <t>Pass</t>
        </is>
      </c>
      <c r="R9" s="46" t="inlineStr">
        <is>
          <t>Pass</t>
        </is>
      </c>
      <c r="S9" s="46" t="inlineStr">
        <is>
          <t>WARN</t>
        </is>
      </c>
      <c r="T9" s="46" t="inlineStr">
        <is>
          <t>Pass</t>
        </is>
      </c>
      <c r="U9" s="46" t="inlineStr">
        <is>
          <t>Pass</t>
        </is>
      </c>
      <c r="V9" s="46" t="inlineStr">
        <is>
          <t>Pass</t>
        </is>
      </c>
      <c r="W9" s="46" t="inlineStr">
        <is>
          <t>Pass</t>
        </is>
      </c>
      <c r="X9" s="46" t="inlineStr">
        <is>
          <t>Pass</t>
        </is>
      </c>
      <c r="Y9" s="46" t="inlineStr">
        <is>
          <t>Pass</t>
        </is>
      </c>
      <c r="Z9" s="26">
        <f>IF(B9="","",IF(COUNTIF(F9:G9,"Fail")&gt;0,1,0))</f>
        <v/>
      </c>
      <c r="AA9" s="26">
        <f>IF(B9="","",IF(COUNTIF(H9:S9,"Fail")&gt;0,1,0))</f>
        <v/>
      </c>
      <c r="AB9" s="26">
        <f>IF(B9="","",IF(COUNTIF(T9:Y9,"Fail")&gt;0,1,0))</f>
        <v/>
      </c>
      <c r="AC9" s="27">
        <f>IF(B9="","",0.1*Z9+0.8*AA9+0.1*AB9)</f>
        <v/>
      </c>
      <c r="AD9" s="27">
        <f>IF(B9="","",IF(C9="Batch 1",0.3,0.2))</f>
        <v/>
      </c>
      <c r="AE9" s="19">
        <f>IF(B9="","",IF(AC9&lt;=AD9,"Đạt","Không đạt"))</f>
        <v/>
      </c>
      <c r="AF9" s="43" t="inlineStr">
        <is>
          <t>╔══ WARN: 1 tiêu chí — 2.12
▼ 2.12 — Build Gold từ CTE snapshot Silver, không build nhiều tầng chồng chéo
   • bảng bị đọc lại ở nhiều khối SELECT, xét gom thành 1 CTE: CUSTOMER_SEGMENT_RAW ở 2 khối</t>
        </is>
      </c>
    </row>
    <row r="10" ht="30" customHeight="1" s="36">
      <c r="A10" s="17" t="n">
        <v>8</v>
      </c>
      <c r="B10" s="44" t="inlineStr">
        <is>
          <t>TCKH.V_CUST_STATUS</t>
        </is>
      </c>
      <c r="C10" s="45" t="inlineStr">
        <is>
          <t>Batch 2</t>
        </is>
      </c>
      <c r="D10" s="45" t="inlineStr">
        <is>
          <t>BAOANH</t>
        </is>
      </c>
      <c r="E10" s="45" t="inlineStr">
        <is>
          <t>2026-08-11</t>
        </is>
      </c>
      <c r="F10" s="46" t="inlineStr">
        <is>
          <t>Pass</t>
        </is>
      </c>
      <c r="G10" s="46" t="inlineStr">
        <is>
          <t>Pass</t>
        </is>
      </c>
      <c r="H10" s="46" t="inlineStr">
        <is>
          <t>Pass</t>
        </is>
      </c>
      <c r="I10" s="46" t="inlineStr">
        <is>
          <t>Pass</t>
        </is>
      </c>
      <c r="J10" s="46" t="inlineStr">
        <is>
          <t>Pass</t>
        </is>
      </c>
      <c r="K10" s="46" t="inlineStr">
        <is>
          <t>Pass</t>
        </is>
      </c>
      <c r="L10" s="46" t="inlineStr">
        <is>
          <t>Pass</t>
        </is>
      </c>
      <c r="M10" s="46" t="inlineStr">
        <is>
          <t>Pass</t>
        </is>
      </c>
      <c r="N10" s="46" t="inlineStr">
        <is>
          <t>Pass</t>
        </is>
      </c>
      <c r="O10" s="46" t="inlineStr">
        <is>
          <t>Pass</t>
        </is>
      </c>
      <c r="P10" s="46" t="inlineStr">
        <is>
          <t>Pass</t>
        </is>
      </c>
      <c r="Q10" s="46" t="inlineStr">
        <is>
          <t>Pass</t>
        </is>
      </c>
      <c r="R10" s="46" t="inlineStr">
        <is>
          <t>Pass</t>
        </is>
      </c>
      <c r="S10" s="46" t="inlineStr">
        <is>
          <t>Pass</t>
        </is>
      </c>
      <c r="T10" s="46" t="inlineStr">
        <is>
          <t>Pass</t>
        </is>
      </c>
      <c r="U10" s="46" t="inlineStr">
        <is>
          <t>Pass</t>
        </is>
      </c>
      <c r="V10" s="46" t="inlineStr">
        <is>
          <t>Pass</t>
        </is>
      </c>
      <c r="W10" s="46" t="inlineStr">
        <is>
          <t>Pass</t>
        </is>
      </c>
      <c r="X10" s="46" t="inlineStr">
        <is>
          <t>Pass</t>
        </is>
      </c>
      <c r="Y10" s="46" t="inlineStr">
        <is>
          <t>Pass</t>
        </is>
      </c>
      <c r="Z10" s="26">
        <f>IF(B10="","",IF(COUNTIF(F10:G10,"Fail")&gt;0,1,0))</f>
        <v/>
      </c>
      <c r="AA10" s="26">
        <f>IF(B10="","",IF(COUNTIF(H10:S10,"Fail")&gt;0,1,0))</f>
        <v/>
      </c>
      <c r="AB10" s="26">
        <f>IF(B10="","",IF(COUNTIF(T10:Y10,"Fail")&gt;0,1,0))</f>
        <v/>
      </c>
      <c r="AC10" s="27">
        <f>IF(B10="","",0.1*Z10+0.8*AA10+0.1*AB10)</f>
        <v/>
      </c>
      <c r="AD10" s="27">
        <f>IF(B10="","",IF(C10="Batch 1",0.3,0.2))</f>
        <v/>
      </c>
      <c r="AE10" s="19">
        <f>IF(B10="","",IF(AC10&lt;=AD10,"Đạt","Không đạt"))</f>
        <v/>
      </c>
      <c r="AF10" s="43" t="inlineStr">
        <is>
          <t>Đạt toàn bộ tiêu chí.</t>
        </is>
      </c>
    </row>
    <row r="11" ht="30" customHeight="1" s="36">
      <c r="A11" s="17" t="n">
        <v>9</v>
      </c>
      <c r="B11" s="44" t="inlineStr">
        <is>
          <t>TCKH.V_CUST_STATUS_NEW</t>
        </is>
      </c>
      <c r="C11" s="45" t="inlineStr">
        <is>
          <t>Batch 2</t>
        </is>
      </c>
      <c r="D11" s="45" t="inlineStr">
        <is>
          <t>BAOANH</t>
        </is>
      </c>
      <c r="E11" s="45" t="inlineStr">
        <is>
          <t>2026-08-11</t>
        </is>
      </c>
      <c r="F11" s="46" t="inlineStr">
        <is>
          <t>Pass</t>
        </is>
      </c>
      <c r="G11" s="46" t="inlineStr">
        <is>
          <t>Pass</t>
        </is>
      </c>
      <c r="H11" s="46" t="inlineStr">
        <is>
          <t>Pass</t>
        </is>
      </c>
      <c r="I11" s="46" t="inlineStr">
        <is>
          <t>Pass</t>
        </is>
      </c>
      <c r="J11" s="46" t="inlineStr">
        <is>
          <t>Pass</t>
        </is>
      </c>
      <c r="K11" s="46" t="inlineStr">
        <is>
          <t>Pass</t>
        </is>
      </c>
      <c r="L11" s="46" t="inlineStr">
        <is>
          <t>Pass</t>
        </is>
      </c>
      <c r="M11" s="46" t="inlineStr">
        <is>
          <t>Pass</t>
        </is>
      </c>
      <c r="N11" s="46" t="inlineStr">
        <is>
          <t>Pass</t>
        </is>
      </c>
      <c r="O11" s="46" t="inlineStr">
        <is>
          <t>Pass</t>
        </is>
      </c>
      <c r="P11" s="46" t="inlineStr">
        <is>
          <t>Pass</t>
        </is>
      </c>
      <c r="Q11" s="46" t="inlineStr">
        <is>
          <t>Pass</t>
        </is>
      </c>
      <c r="R11" s="46" t="inlineStr">
        <is>
          <t>Pass</t>
        </is>
      </c>
      <c r="S11" s="46" t="inlineStr">
        <is>
          <t>Pass</t>
        </is>
      </c>
      <c r="T11" s="46" t="inlineStr">
        <is>
          <t>Pass</t>
        </is>
      </c>
      <c r="U11" s="46" t="inlineStr">
        <is>
          <t>Pass</t>
        </is>
      </c>
      <c r="V11" s="46" t="inlineStr">
        <is>
          <t>Pass</t>
        </is>
      </c>
      <c r="W11" s="46" t="inlineStr">
        <is>
          <t>Pass</t>
        </is>
      </c>
      <c r="X11" s="46" t="inlineStr">
        <is>
          <t>Pass</t>
        </is>
      </c>
      <c r="Y11" s="46" t="inlineStr">
        <is>
          <t>Pass</t>
        </is>
      </c>
      <c r="Z11" s="26">
        <f>IF(B11="","",IF(COUNTIF(F11:G11,"Fail")&gt;0,1,0))</f>
        <v/>
      </c>
      <c r="AA11" s="26">
        <f>IF(B11="","",IF(COUNTIF(H11:S11,"Fail")&gt;0,1,0))</f>
        <v/>
      </c>
      <c r="AB11" s="26">
        <f>IF(B11="","",IF(COUNTIF(T11:Y11,"Fail")&gt;0,1,0))</f>
        <v/>
      </c>
      <c r="AC11" s="27">
        <f>IF(B11="","",0.1*Z11+0.8*AA11+0.1*AB11)</f>
        <v/>
      </c>
      <c r="AD11" s="27">
        <f>IF(B11="","",IF(C11="Batch 1",0.3,0.2))</f>
        <v/>
      </c>
      <c r="AE11" s="19">
        <f>IF(B11="","",IF(AC11&lt;=AD11,"Đạt","Không đạt"))</f>
        <v/>
      </c>
      <c r="AF11" s="43" t="inlineStr">
        <is>
          <t>Đạt toàn bộ tiêu chí.</t>
        </is>
      </c>
    </row>
    <row r="12" ht="30" customHeight="1" s="36">
      <c r="A12" s="17" t="n">
        <v>10</v>
      </c>
      <c r="B12" s="44" t="inlineStr">
        <is>
          <t>TCKH.V_FTP_003</t>
        </is>
      </c>
      <c r="C12" s="45" t="inlineStr">
        <is>
          <t>Batch 2</t>
        </is>
      </c>
      <c r="D12" s="45" t="inlineStr">
        <is>
          <t>PHAT</t>
        </is>
      </c>
      <c r="E12" s="45" t="inlineStr">
        <is>
          <t>2026-08-11</t>
        </is>
      </c>
      <c r="F12" s="46" t="inlineStr">
        <is>
          <t>Pass</t>
        </is>
      </c>
      <c r="G12" s="46" t="inlineStr">
        <is>
          <t>Pass</t>
        </is>
      </c>
      <c r="H12" s="46" t="inlineStr">
        <is>
          <t>Pass</t>
        </is>
      </c>
      <c r="I12" s="46" t="inlineStr">
        <is>
          <t>Pass</t>
        </is>
      </c>
      <c r="J12" s="46" t="inlineStr">
        <is>
          <t>Pass</t>
        </is>
      </c>
      <c r="K12" s="46" t="inlineStr">
        <is>
          <t>Pass</t>
        </is>
      </c>
      <c r="L12" s="46" t="inlineStr">
        <is>
          <t>Pass</t>
        </is>
      </c>
      <c r="M12" s="46" t="inlineStr">
        <is>
          <t>Pass</t>
        </is>
      </c>
      <c r="N12" s="46" t="inlineStr">
        <is>
          <t>Pass</t>
        </is>
      </c>
      <c r="O12" s="46" t="inlineStr">
        <is>
          <t>Pass</t>
        </is>
      </c>
      <c r="P12" s="46" t="inlineStr">
        <is>
          <t>Pass</t>
        </is>
      </c>
      <c r="Q12" s="46" t="inlineStr">
        <is>
          <t>Pass</t>
        </is>
      </c>
      <c r="R12" s="46" t="inlineStr">
        <is>
          <t>Pass</t>
        </is>
      </c>
      <c r="S12" s="46" t="inlineStr">
        <is>
          <t>WARN</t>
        </is>
      </c>
      <c r="T12" s="46" t="inlineStr">
        <is>
          <t>Pass</t>
        </is>
      </c>
      <c r="U12" s="46" t="inlineStr">
        <is>
          <t>Pass</t>
        </is>
      </c>
      <c r="V12" s="46" t="inlineStr">
        <is>
          <t>Pass</t>
        </is>
      </c>
      <c r="W12" s="46" t="inlineStr">
        <is>
          <t>Pass</t>
        </is>
      </c>
      <c r="X12" s="46" t="inlineStr">
        <is>
          <t>Pass</t>
        </is>
      </c>
      <c r="Y12" s="46" t="inlineStr">
        <is>
          <t>Pass</t>
        </is>
      </c>
      <c r="Z12" s="26">
        <f>IF(B12="","",IF(COUNTIF(F12:G12,"Fail")&gt;0,1,0))</f>
        <v/>
      </c>
      <c r="AA12" s="26">
        <f>IF(B12="","",IF(COUNTIF(H12:S12,"Fail")&gt;0,1,0))</f>
        <v/>
      </c>
      <c r="AB12" s="26">
        <f>IF(B12="","",IF(COUNTIF(T12:Y12,"Fail")&gt;0,1,0))</f>
        <v/>
      </c>
      <c r="AC12" s="27">
        <f>IF(B12="","",0.1*Z12+0.8*AA12+0.1*AB12)</f>
        <v/>
      </c>
      <c r="AD12" s="27">
        <f>IF(B12="","",IF(C12="Batch 1",0.3,0.2))</f>
        <v/>
      </c>
      <c r="AE12" s="19">
        <f>IF(B12="","",IF(AC12&lt;=AD12,"Đạt","Không đạt"))</f>
        <v/>
      </c>
      <c r="AF12" s="43" t="inlineStr">
        <is>
          <t>╔══ WARN: 1 tiêu chí — 2.12
▼ 2.12 — Build Gold từ CTE snapshot Silver, không build nhiều tầng chồng chéo
   • bảng bị đọc lại ở nhiều khối SELECT, xét gom thành 1 CTE: calendar ở 2 khối</t>
        </is>
      </c>
    </row>
    <row r="13" ht="30" customHeight="1" s="36">
      <c r="A13" s="17" t="n">
        <v>11</v>
      </c>
      <c r="B13" s="44" t="inlineStr">
        <is>
          <t>TCKH.V_HT_CP_UPL</t>
        </is>
      </c>
      <c r="C13" s="45" t="inlineStr">
        <is>
          <t>Batch 2</t>
        </is>
      </c>
      <c r="D13" s="45" t="inlineStr">
        <is>
          <t>PHAT</t>
        </is>
      </c>
      <c r="E13" s="45" t="inlineStr">
        <is>
          <t>2026-08-11</t>
        </is>
      </c>
      <c r="F13" s="46" t="inlineStr">
        <is>
          <t>Pass</t>
        </is>
      </c>
      <c r="G13" s="46" t="inlineStr">
        <is>
          <t>Pass</t>
        </is>
      </c>
      <c r="H13" s="46" t="inlineStr">
        <is>
          <t>Pass</t>
        </is>
      </c>
      <c r="I13" s="46" t="inlineStr">
        <is>
          <t>Pass</t>
        </is>
      </c>
      <c r="J13" s="46" t="inlineStr">
        <is>
          <t>Pass</t>
        </is>
      </c>
      <c r="K13" s="46" t="inlineStr">
        <is>
          <t>Pass</t>
        </is>
      </c>
      <c r="L13" s="46" t="inlineStr">
        <is>
          <t>Pass</t>
        </is>
      </c>
      <c r="M13" s="46" t="inlineStr">
        <is>
          <t>Pass</t>
        </is>
      </c>
      <c r="N13" s="46" t="inlineStr">
        <is>
          <t>Pass</t>
        </is>
      </c>
      <c r="O13" s="46" t="inlineStr">
        <is>
          <t>Pass</t>
        </is>
      </c>
      <c r="P13" s="46" t="inlineStr">
        <is>
          <t>Pass</t>
        </is>
      </c>
      <c r="Q13" s="46" t="inlineStr">
        <is>
          <t>Pass</t>
        </is>
      </c>
      <c r="R13" s="46" t="inlineStr">
        <is>
          <t>Pass</t>
        </is>
      </c>
      <c r="S13" s="46" t="inlineStr">
        <is>
          <t>Pass</t>
        </is>
      </c>
      <c r="T13" s="46" t="inlineStr">
        <is>
          <t>Pass</t>
        </is>
      </c>
      <c r="U13" s="46" t="inlineStr">
        <is>
          <t>Pass</t>
        </is>
      </c>
      <c r="V13" s="46" t="inlineStr">
        <is>
          <t>Pass</t>
        </is>
      </c>
      <c r="W13" s="46" t="inlineStr">
        <is>
          <t>Pass</t>
        </is>
      </c>
      <c r="X13" s="46" t="inlineStr">
        <is>
          <t>Pass</t>
        </is>
      </c>
      <c r="Y13" s="46" t="inlineStr">
        <is>
          <t>Pass</t>
        </is>
      </c>
      <c r="Z13" s="26">
        <f>IF(B13="","",IF(COUNTIF(F13:G13,"Fail")&gt;0,1,0))</f>
        <v/>
      </c>
      <c r="AA13" s="26">
        <f>IF(B13="","",IF(COUNTIF(H13:S13,"Fail")&gt;0,1,0))</f>
        <v/>
      </c>
      <c r="AB13" s="26">
        <f>IF(B13="","",IF(COUNTIF(T13:Y13,"Fail")&gt;0,1,0))</f>
        <v/>
      </c>
      <c r="AC13" s="27">
        <f>IF(B13="","",0.1*Z13+0.8*AA13+0.1*AB13)</f>
        <v/>
      </c>
      <c r="AD13" s="27">
        <f>IF(B13="","",IF(C13="Batch 1",0.3,0.2))</f>
        <v/>
      </c>
      <c r="AE13" s="19">
        <f>IF(B13="","",IF(AC13&lt;=AD13,"Đạt","Không đạt"))</f>
        <v/>
      </c>
      <c r="AF13" s="43" t="inlineStr">
        <is>
          <t>Đạt toàn bộ tiêu chí.</t>
        </is>
      </c>
    </row>
    <row r="14" ht="30" customHeight="1" s="36">
      <c r="A14" s="17" t="n">
        <v>12</v>
      </c>
      <c r="B14" s="44" t="inlineStr">
        <is>
          <t>TCKH.V_LNSCHD_AVY</t>
        </is>
      </c>
      <c r="C14" s="45" t="inlineStr">
        <is>
          <t>Batch 2</t>
        </is>
      </c>
      <c r="D14" s="45" t="inlineStr">
        <is>
          <t>BAOANH</t>
        </is>
      </c>
      <c r="E14" s="45" t="inlineStr">
        <is>
          <t>2026-08-11</t>
        </is>
      </c>
      <c r="F14" s="46" t="inlineStr">
        <is>
          <t>Pass</t>
        </is>
      </c>
      <c r="G14" s="46" t="inlineStr">
        <is>
          <t>Pass</t>
        </is>
      </c>
      <c r="H14" s="46" t="inlineStr">
        <is>
          <t>Pass</t>
        </is>
      </c>
      <c r="I14" s="46" t="inlineStr">
        <is>
          <t>Pass</t>
        </is>
      </c>
      <c r="J14" s="46" t="inlineStr">
        <is>
          <t>Pass</t>
        </is>
      </c>
      <c r="K14" s="46" t="inlineStr">
        <is>
          <t>Pass</t>
        </is>
      </c>
      <c r="L14" s="46" t="inlineStr">
        <is>
          <t>Pass</t>
        </is>
      </c>
      <c r="M14" s="46" t="inlineStr">
        <is>
          <t>Pass</t>
        </is>
      </c>
      <c r="N14" s="46" t="inlineStr">
        <is>
          <t>Pass</t>
        </is>
      </c>
      <c r="O14" s="46" t="inlineStr">
        <is>
          <t>WARN</t>
        </is>
      </c>
      <c r="P14" s="46" t="inlineStr">
        <is>
          <t>Pass</t>
        </is>
      </c>
      <c r="Q14" s="46" t="inlineStr">
        <is>
          <t>Pass</t>
        </is>
      </c>
      <c r="R14" s="46" t="inlineStr">
        <is>
          <t>WARN</t>
        </is>
      </c>
      <c r="S14" s="46" t="inlineStr">
        <is>
          <t>Pass</t>
        </is>
      </c>
      <c r="T14" s="46" t="inlineStr">
        <is>
          <t>Pass</t>
        </is>
      </c>
      <c r="U14" s="46" t="inlineStr">
        <is>
          <t>WARN</t>
        </is>
      </c>
      <c r="V14" s="46" t="inlineStr">
        <is>
          <t>WARN</t>
        </is>
      </c>
      <c r="W14" s="46" t="inlineStr">
        <is>
          <t>WARN</t>
        </is>
      </c>
      <c r="X14" s="46" t="inlineStr">
        <is>
          <t>Pass</t>
        </is>
      </c>
      <c r="Y14" s="46" t="inlineStr">
        <is>
          <t>Pass</t>
        </is>
      </c>
      <c r="Z14" s="26">
        <f>IF(B14="","",IF(COUNTIF(F14:G14,"Fail")&gt;0,1,0))</f>
        <v/>
      </c>
      <c r="AA14" s="26">
        <f>IF(B14="","",IF(COUNTIF(H14:S14,"Fail")&gt;0,1,0))</f>
        <v/>
      </c>
      <c r="AB14" s="26">
        <f>IF(B14="","",IF(COUNTIF(T14:Y14,"Fail")&gt;0,1,0))</f>
        <v/>
      </c>
      <c r="AC14" s="27">
        <f>IF(B14="","",0.1*Z14+0.8*AA14+0.1*AB14)</f>
        <v/>
      </c>
      <c r="AD14" s="27">
        <f>IF(B14="","",IF(C14="Batch 1",0.3,0.2))</f>
        <v/>
      </c>
      <c r="AE14" s="19">
        <f>IF(B14="","",IF(AC14&lt;=AD14,"Đạt","Không đạt"))</f>
        <v/>
      </c>
      <c r="AF14" s="43" t="inlineStr">
        <is>
          <t>╔══ FAIL: 1 tiêu chí — X.1
▼ X.1 — [Bổ sung] Link phải rút về current trước khi join (chống fan-out)   [bổ sung, không tính điểm — Technical Document ZoneC v1.1, mục III.4.2.3]
   • Lý do: 2 bảng link_* join trực tiếp mà chưa rút về current, sẽ nhân đôi số dòng: link_loans_limit (dong 470), link_loans_payment_due (dong 306)
   → Cách sửa: 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
╔══ WARN: 5 tiêu chí — 2.8, 2.11, 3.2, 3.3, 3.4
▼ 2.8 — Cột SUM/COUNT được COALESCE/NVL hợp lý
   • 1 biểu thức tổng hợp chưa coalesce: shd_amount = SUM(shd_amount)
   • khi đối soát với hệ thống cũ phải bọc NVL/ISNULL CẢ HAI phía để không lệch khi trừ (Checklist RVN-OCB #11)
▼ 2.11 — Join dùng key hợp lý, không lạm dụng UNION ALL + EXISTS/NOT EXISTS
   • join không có điều kiện bằng (=): ['h', 's']
▼ 3.2 — CTE không bị scan lại nhiều lần
   • CTE bị tham chiếu lại nhiều lần: calendar_dates x3, hub_loans_by_date x2, hub_md_deal_by_date x2, cte_snap_sts_hub_loans_payment_due x2, cte_snap_sat_loans_payment_due_information x2, cte_snap_sat_loans_payment_due_overdue x2, payment_due_link_by_date x2, pdpd_hub_by_date x2
▼ 3.3 — Filter trước khi join, tận dụng partition pruning
   • 12 bảng join trực tiếp mà không có filter riêng: hub_limit (lim), hub_loans (h), hub_md_deal (md), link_loans_limit (ll), link_loans_payment_due (l), sat_limit_information (info), sat_loans_schedule (s), sat_md_deal_information (di)
▼ 3.4 — Sử dụng CACHE cho query lặp lại trong cùng luồng
   • 8 CTE nặng dùng lại &gt;= 2 lần mà không có CACHE: calendar_dates, cte_snap_sat_loans_payment_due_information, cte_snap_sat_loans_payment_due_overdue, cte_snap_sts_hub_loans_payment_due, hub_loans_by_date, hub_md_deal_by_date, payment_due_link_by_date, pdpd_hub_by_date</t>
        </is>
      </c>
    </row>
    <row r="15" ht="30" customHeight="1" s="36">
      <c r="A15" s="17" t="n">
        <v>13</v>
      </c>
      <c r="B15" s="44" t="inlineStr">
        <is>
          <t>TCKH.V_LOAN_BY_PRD_DAILY</t>
        </is>
      </c>
      <c r="C15" s="45" t="inlineStr">
        <is>
          <t>Batch 2</t>
        </is>
      </c>
      <c r="D15" s="45" t="inlineStr">
        <is>
          <t>PHAT</t>
        </is>
      </c>
      <c r="E15" s="45" t="inlineStr">
        <is>
          <t>2026-08-11</t>
        </is>
      </c>
      <c r="F15" s="46" t="inlineStr">
        <is>
          <t>Pass</t>
        </is>
      </c>
      <c r="G15" s="46" t="inlineStr">
        <is>
          <t>Pass</t>
        </is>
      </c>
      <c r="H15" s="46" t="inlineStr">
        <is>
          <t>Pass</t>
        </is>
      </c>
      <c r="I15" s="46" t="inlineStr">
        <is>
          <t>Pass</t>
        </is>
      </c>
      <c r="J15" s="46" t="inlineStr">
        <is>
          <t>Pass</t>
        </is>
      </c>
      <c r="K15" s="46" t="inlineStr">
        <is>
          <t>Pass</t>
        </is>
      </c>
      <c r="L15" s="46" t="inlineStr">
        <is>
          <t>Pass</t>
        </is>
      </c>
      <c r="M15" s="46" t="inlineStr">
        <is>
          <t>Pass</t>
        </is>
      </c>
      <c r="N15" s="46" t="inlineStr">
        <is>
          <t>Pass</t>
        </is>
      </c>
      <c r="O15" s="46" t="inlineStr">
        <is>
          <t>Pass</t>
        </is>
      </c>
      <c r="P15" s="46" t="inlineStr">
        <is>
          <t>Pass</t>
        </is>
      </c>
      <c r="Q15" s="46" t="inlineStr">
        <is>
          <t>Pass</t>
        </is>
      </c>
      <c r="R15" s="46" t="inlineStr">
        <is>
          <t>WARN</t>
        </is>
      </c>
      <c r="S15" s="46" t="inlineStr">
        <is>
          <t>Pass</t>
        </is>
      </c>
      <c r="T15" s="46" t="inlineStr">
        <is>
          <t>Pass</t>
        </is>
      </c>
      <c r="U15" s="46" t="inlineStr">
        <is>
          <t>WARN</t>
        </is>
      </c>
      <c r="V15" s="46" t="inlineStr">
        <is>
          <t>Pass</t>
        </is>
      </c>
      <c r="W15" s="46" t="inlineStr">
        <is>
          <t>WARN</t>
        </is>
      </c>
      <c r="X15" s="46" t="inlineStr">
        <is>
          <t>Pass</t>
        </is>
      </c>
      <c r="Y15" s="46" t="inlineStr">
        <is>
          <t>Pass</t>
        </is>
      </c>
      <c r="Z15" s="26">
        <f>IF(B15="","",IF(COUNTIF(F15:G15,"Fail")&gt;0,1,0))</f>
        <v/>
      </c>
      <c r="AA15" s="26">
        <f>IF(B15="","",IF(COUNTIF(H15:S15,"Fail")&gt;0,1,0))</f>
        <v/>
      </c>
      <c r="AB15" s="26">
        <f>IF(B15="","",IF(COUNTIF(T15:Y15,"Fail")&gt;0,1,0))</f>
        <v/>
      </c>
      <c r="AC15" s="27">
        <f>IF(B15="","",0.1*Z15+0.8*AA15+0.1*AB15)</f>
        <v/>
      </c>
      <c r="AD15" s="27">
        <f>IF(B15="","",IF(C15="Batch 1",0.3,0.2))</f>
        <v/>
      </c>
      <c r="AE15" s="19">
        <f>IF(B15="","",IF(AC15&lt;=AD15,"Đạt","Không đạt"))</f>
        <v/>
      </c>
      <c r="AF15" s="43" t="inlineStr">
        <is>
          <t>╔══ WARN: 3 tiêu chí — 2.11, 3.2, 3.4
▼ 2.11 — Join dùng key hợp lý, không lạm dụng UNION ALL + EXISTS/NOT EXISTS
   • join không có điều kiện bằng (=): ['T']
▼ 3.2 — CTE không bị scan lại nhiều lần
   • CTE bị tham chiếu lại nhiều lần: ar_dtl_daily x4
▼ 3.4 — Sử dụng CACHE cho query lặp lại trong cùng luồng
   • 1 CTE nặng dùng lại &gt;= 2 lần mà không có CACHE: ar_dtl_daily</t>
        </is>
      </c>
    </row>
    <row r="16" ht="30" customHeight="1" s="36">
      <c r="A16" s="17" t="n">
        <v>16</v>
      </c>
      <c r="B16" s="44" t="inlineStr">
        <is>
          <t>TCKH.V_PLA_CPHD_UPL</t>
        </is>
      </c>
      <c r="C16" s="45" t="inlineStr">
        <is>
          <t>Batch 2</t>
        </is>
      </c>
      <c r="D16" s="45" t="inlineStr">
        <is>
          <t>QUANG</t>
        </is>
      </c>
      <c r="E16" s="45" t="inlineStr">
        <is>
          <t>2026-08-11</t>
        </is>
      </c>
      <c r="F16" s="46" t="inlineStr">
        <is>
          <t>Pass</t>
        </is>
      </c>
      <c r="G16" s="46" t="inlineStr">
        <is>
          <t>Pass</t>
        </is>
      </c>
      <c r="H16" s="46" t="inlineStr">
        <is>
          <t>Pass</t>
        </is>
      </c>
      <c r="I16" s="46" t="inlineStr">
        <is>
          <t>Pass</t>
        </is>
      </c>
      <c r="J16" s="46" t="inlineStr">
        <is>
          <t>Pass</t>
        </is>
      </c>
      <c r="K16" s="46" t="inlineStr">
        <is>
          <t>Pass</t>
        </is>
      </c>
      <c r="L16" s="46" t="inlineStr">
        <is>
          <t>Pass</t>
        </is>
      </c>
      <c r="M16" s="46" t="inlineStr">
        <is>
          <t>Pass</t>
        </is>
      </c>
      <c r="N16" s="46" t="inlineStr">
        <is>
          <t>Pass</t>
        </is>
      </c>
      <c r="O16" s="46" t="inlineStr">
        <is>
          <t>Pass</t>
        </is>
      </c>
      <c r="P16" s="46" t="inlineStr">
        <is>
          <t>Pass</t>
        </is>
      </c>
      <c r="Q16" s="46" t="inlineStr">
        <is>
          <t>Pass</t>
        </is>
      </c>
      <c r="R16" s="46" t="inlineStr">
        <is>
          <t>Pass</t>
        </is>
      </c>
      <c r="S16" s="46" t="inlineStr">
        <is>
          <t>Pass</t>
        </is>
      </c>
      <c r="T16" s="46" t="inlineStr">
        <is>
          <t>Pass</t>
        </is>
      </c>
      <c r="U16" s="46" t="inlineStr">
        <is>
          <t>Pass</t>
        </is>
      </c>
      <c r="V16" s="46" t="inlineStr">
        <is>
          <t>Pass</t>
        </is>
      </c>
      <c r="W16" s="46" t="inlineStr">
        <is>
          <t>Pass</t>
        </is>
      </c>
      <c r="X16" s="46" t="inlineStr">
        <is>
          <t>Pass</t>
        </is>
      </c>
      <c r="Y16" s="46" t="inlineStr">
        <is>
          <t>Pass</t>
        </is>
      </c>
      <c r="Z16" s="26">
        <f>IF(B16="","",IF(COUNTIF(F16:G16,"Fail")&gt;0,1,0))</f>
        <v/>
      </c>
      <c r="AA16" s="26">
        <f>IF(B16="","",IF(COUNTIF(H16:S16,"Fail")&gt;0,1,0))</f>
        <v/>
      </c>
      <c r="AB16" s="26">
        <f>IF(B16="","",IF(COUNTIF(T16:Y16,"Fail")&gt;0,1,0))</f>
        <v/>
      </c>
      <c r="AC16" s="27">
        <f>IF(B16="","",0.1*Z16+0.8*AA16+0.1*AB16)</f>
        <v/>
      </c>
      <c r="AD16" s="27">
        <f>IF(B16="","",IF(C16="Batch 1",0.3,0.2))</f>
        <v/>
      </c>
      <c r="AE16" s="19">
        <f>IF(B16="","",IF(AC16&lt;=AD16,"Đạt","Không đạt"))</f>
        <v/>
      </c>
      <c r="AF16" s="43" t="inlineStr">
        <is>
          <t>Đạt toàn bộ tiêu chí.</t>
        </is>
      </c>
    </row>
    <row r="17" ht="30" customHeight="1" s="36">
      <c r="A17" s="17" t="n">
        <v>17</v>
      </c>
      <c r="B17" s="44" t="inlineStr">
        <is>
          <t>TCKH.V_PLA_NIM_UPL</t>
        </is>
      </c>
      <c r="C17" s="45" t="inlineStr">
        <is>
          <t>Batch 2</t>
        </is>
      </c>
      <c r="D17" s="45" t="inlineStr">
        <is>
          <t>QUANG</t>
        </is>
      </c>
      <c r="E17" s="45" t="inlineStr">
        <is>
          <t>2026-08-11</t>
        </is>
      </c>
      <c r="F17" s="46" t="inlineStr">
        <is>
          <t>Pass</t>
        </is>
      </c>
      <c r="G17" s="46" t="inlineStr">
        <is>
          <t>Pass</t>
        </is>
      </c>
      <c r="H17" s="46" t="inlineStr">
        <is>
          <t>Pass</t>
        </is>
      </c>
      <c r="I17" s="46" t="inlineStr">
        <is>
          <t>Pass</t>
        </is>
      </c>
      <c r="J17" s="46" t="inlineStr">
        <is>
          <t>Pass</t>
        </is>
      </c>
      <c r="K17" s="46" t="inlineStr">
        <is>
          <t>Pass</t>
        </is>
      </c>
      <c r="L17" s="46" t="inlineStr">
        <is>
          <t>Pass</t>
        </is>
      </c>
      <c r="M17" s="46" t="inlineStr">
        <is>
          <t>Pass</t>
        </is>
      </c>
      <c r="N17" s="46" t="inlineStr">
        <is>
          <t>Pass</t>
        </is>
      </c>
      <c r="O17" s="46" t="inlineStr">
        <is>
          <t>Pass</t>
        </is>
      </c>
      <c r="P17" s="46" t="inlineStr">
        <is>
          <t>Pass</t>
        </is>
      </c>
      <c r="Q17" s="46" t="inlineStr">
        <is>
          <t>Pass</t>
        </is>
      </c>
      <c r="R17" s="46" t="inlineStr">
        <is>
          <t>Pass</t>
        </is>
      </c>
      <c r="S17" s="46" t="inlineStr">
        <is>
          <t>Pass</t>
        </is>
      </c>
      <c r="T17" s="46" t="inlineStr">
        <is>
          <t>Pass</t>
        </is>
      </c>
      <c r="U17" s="46" t="inlineStr">
        <is>
          <t>Pass</t>
        </is>
      </c>
      <c r="V17" s="46" t="inlineStr">
        <is>
          <t>Pass</t>
        </is>
      </c>
      <c r="W17" s="46" t="inlineStr">
        <is>
          <t>Pass</t>
        </is>
      </c>
      <c r="X17" s="46" t="inlineStr">
        <is>
          <t>Pass</t>
        </is>
      </c>
      <c r="Y17" s="46" t="inlineStr">
        <is>
          <t>Pass</t>
        </is>
      </c>
      <c r="Z17" s="26">
        <f>IF(B17="","",IF(COUNTIF(F17:G17,"Fail")&gt;0,1,0))</f>
        <v/>
      </c>
      <c r="AA17" s="26">
        <f>IF(B17="","",IF(COUNTIF(H17:S17,"Fail")&gt;0,1,0))</f>
        <v/>
      </c>
      <c r="AB17" s="26">
        <f>IF(B17="","",IF(COUNTIF(T17:Y17,"Fail")&gt;0,1,0))</f>
        <v/>
      </c>
      <c r="AC17" s="27">
        <f>IF(B17="","",0.1*Z17+0.8*AA17+0.1*AB17)</f>
        <v/>
      </c>
      <c r="AD17" s="27">
        <f>IF(B17="","",IF(C17="Batch 1",0.3,0.2))</f>
        <v/>
      </c>
      <c r="AE17" s="19">
        <f>IF(B17="","",IF(AC17&lt;=AD17,"Đạt","Không đạt"))</f>
        <v/>
      </c>
      <c r="AF17" s="43" t="inlineStr">
        <is>
          <t>Đạt toàn bộ tiêu chí.</t>
        </is>
      </c>
    </row>
    <row r="18" ht="30" customHeight="1" s="36">
      <c r="A18" s="17" t="n">
        <v>18</v>
      </c>
      <c r="B18" s="44" t="inlineStr">
        <is>
          <t>TCKH.V_PLA_QUYMO_CHUNG_UPL</t>
        </is>
      </c>
      <c r="C18" s="45" t="inlineStr">
        <is>
          <t>Batch 2</t>
        </is>
      </c>
      <c r="D18" s="45" t="inlineStr">
        <is>
          <t>QUANG</t>
        </is>
      </c>
      <c r="E18" s="45" t="inlineStr">
        <is>
          <t>2026-08-11</t>
        </is>
      </c>
      <c r="F18" s="46" t="inlineStr">
        <is>
          <t>Pass</t>
        </is>
      </c>
      <c r="G18" s="46" t="inlineStr">
        <is>
          <t>Pass</t>
        </is>
      </c>
      <c r="H18" s="46" t="inlineStr">
        <is>
          <t>Pass</t>
        </is>
      </c>
      <c r="I18" s="46" t="inlineStr">
        <is>
          <t>Pass</t>
        </is>
      </c>
      <c r="J18" s="46" t="inlineStr">
        <is>
          <t>Pass</t>
        </is>
      </c>
      <c r="K18" s="46" t="inlineStr">
        <is>
          <t>Pass</t>
        </is>
      </c>
      <c r="L18" s="46" t="inlineStr">
        <is>
          <t>Pass</t>
        </is>
      </c>
      <c r="M18" s="46" t="inlineStr">
        <is>
          <t>Pass</t>
        </is>
      </c>
      <c r="N18" s="46" t="inlineStr">
        <is>
          <t>Pass</t>
        </is>
      </c>
      <c r="O18" s="46" t="inlineStr">
        <is>
          <t>Pass</t>
        </is>
      </c>
      <c r="P18" s="46" t="inlineStr">
        <is>
          <t>Pass</t>
        </is>
      </c>
      <c r="Q18" s="46" t="inlineStr">
        <is>
          <t>Pass</t>
        </is>
      </c>
      <c r="R18" s="46" t="inlineStr">
        <is>
          <t>Pass</t>
        </is>
      </c>
      <c r="S18" s="46" t="inlineStr">
        <is>
          <t>Pass</t>
        </is>
      </c>
      <c r="T18" s="46" t="inlineStr">
        <is>
          <t>Pass</t>
        </is>
      </c>
      <c r="U18" s="46" t="inlineStr">
        <is>
          <t>Pass</t>
        </is>
      </c>
      <c r="V18" s="46" t="inlineStr">
        <is>
          <t>Pass</t>
        </is>
      </c>
      <c r="W18" s="46" t="inlineStr">
        <is>
          <t>Pass</t>
        </is>
      </c>
      <c r="X18" s="46" t="inlineStr">
        <is>
          <t>Pass</t>
        </is>
      </c>
      <c r="Y18" s="46" t="inlineStr">
        <is>
          <t>Pass</t>
        </is>
      </c>
      <c r="Z18" s="26">
        <f>IF(B18="","",IF(COUNTIF(F18:G18,"Fail")&gt;0,1,0))</f>
        <v/>
      </c>
      <c r="AA18" s="26">
        <f>IF(B18="","",IF(COUNTIF(H18:S18,"Fail")&gt;0,1,0))</f>
        <v/>
      </c>
      <c r="AB18" s="26">
        <f>IF(B18="","",IF(COUNTIF(T18:Y18,"Fail")&gt;0,1,0))</f>
        <v/>
      </c>
      <c r="AC18" s="27">
        <f>IF(B18="","",0.1*Z18+0.8*AA18+0.1*AB18)</f>
        <v/>
      </c>
      <c r="AD18" s="27">
        <f>IF(B18="","",IF(C18="Batch 1",0.3,0.2))</f>
        <v/>
      </c>
      <c r="AE18" s="19">
        <f>IF(B18="","",IF(AC18&lt;=AD18,"Đạt","Không đạt"))</f>
        <v/>
      </c>
      <c r="AF18" s="43" t="inlineStr">
        <is>
          <t>Đạt toàn bộ tiêu chí.</t>
        </is>
      </c>
    </row>
    <row r="19" ht="30" customHeight="1" s="36">
      <c r="A19" s="17" t="n">
        <v>19</v>
      </c>
      <c r="B19" s="44" t="inlineStr">
        <is>
          <t>TCKH.V_PLA_QUYMO_NOXAU_UPL</t>
        </is>
      </c>
      <c r="C19" s="45" t="inlineStr">
        <is>
          <t>Batch 2</t>
        </is>
      </c>
      <c r="D19" s="45" t="inlineStr">
        <is>
          <t>QUANG</t>
        </is>
      </c>
      <c r="E19" s="45" t="inlineStr">
        <is>
          <t>2026-08-11</t>
        </is>
      </c>
      <c r="F19" s="46" t="inlineStr">
        <is>
          <t>Pass</t>
        </is>
      </c>
      <c r="G19" s="46" t="inlineStr">
        <is>
          <t>Pass</t>
        </is>
      </c>
      <c r="H19" s="46" t="inlineStr">
        <is>
          <t>Pass</t>
        </is>
      </c>
      <c r="I19" s="46" t="inlineStr">
        <is>
          <t>Pass</t>
        </is>
      </c>
      <c r="J19" s="46" t="inlineStr">
        <is>
          <t>Pass</t>
        </is>
      </c>
      <c r="K19" s="46" t="inlineStr">
        <is>
          <t>Pass</t>
        </is>
      </c>
      <c r="L19" s="46" t="inlineStr">
        <is>
          <t>Pass</t>
        </is>
      </c>
      <c r="M19" s="46" t="inlineStr">
        <is>
          <t>Pass</t>
        </is>
      </c>
      <c r="N19" s="46" t="inlineStr">
        <is>
          <t>Pass</t>
        </is>
      </c>
      <c r="O19" s="46" t="inlineStr">
        <is>
          <t>Pass</t>
        </is>
      </c>
      <c r="P19" s="46" t="inlineStr">
        <is>
          <t>Pass</t>
        </is>
      </c>
      <c r="Q19" s="46" t="inlineStr">
        <is>
          <t>Pass</t>
        </is>
      </c>
      <c r="R19" s="46" t="inlineStr">
        <is>
          <t>Pass</t>
        </is>
      </c>
      <c r="S19" s="46" t="inlineStr">
        <is>
          <t>Pass</t>
        </is>
      </c>
      <c r="T19" s="46" t="inlineStr">
        <is>
          <t>Pass</t>
        </is>
      </c>
      <c r="U19" s="46" t="inlineStr">
        <is>
          <t>Pass</t>
        </is>
      </c>
      <c r="V19" s="46" t="inlineStr">
        <is>
          <t>Pass</t>
        </is>
      </c>
      <c r="W19" s="46" t="inlineStr">
        <is>
          <t>Pass</t>
        </is>
      </c>
      <c r="X19" s="46" t="inlineStr">
        <is>
          <t>Pass</t>
        </is>
      </c>
      <c r="Y19" s="46" t="inlineStr">
        <is>
          <t>Pass</t>
        </is>
      </c>
      <c r="Z19" s="26">
        <f>IF(B19="","",IF(COUNTIF(F19:G19,"Fail")&gt;0,1,0))</f>
        <v/>
      </c>
      <c r="AA19" s="26">
        <f>IF(B19="","",IF(COUNTIF(H19:S19,"Fail")&gt;0,1,0))</f>
        <v/>
      </c>
      <c r="AB19" s="26">
        <f>IF(B19="","",IF(COUNTIF(T19:Y19,"Fail")&gt;0,1,0))</f>
        <v/>
      </c>
      <c r="AC19" s="27">
        <f>IF(B19="","",0.1*Z19+0.8*AA19+0.1*AB19)</f>
        <v/>
      </c>
      <c r="AD19" s="27">
        <f>IF(B19="","",IF(C19="Batch 1",0.3,0.2))</f>
        <v/>
      </c>
      <c r="AE19" s="19">
        <f>IF(B19="","",IF(AC19&lt;=AD19,"Đạt","Không đạt"))</f>
        <v/>
      </c>
      <c r="AF19" s="43" t="inlineStr">
        <is>
          <t>Đạt toàn bộ tiêu chí.</t>
        </is>
      </c>
    </row>
    <row r="20" ht="30" customHeight="1" s="36">
      <c r="A20" s="17" t="n">
        <v>24</v>
      </c>
      <c r="B20" s="44" t="inlineStr">
        <is>
          <t>TCKH.V_PR_COLLECTION</t>
        </is>
      </c>
      <c r="C20" s="45" t="inlineStr">
        <is>
          <t>Batch 2</t>
        </is>
      </c>
      <c r="D20" s="45" t="inlineStr">
        <is>
          <t>PHAT</t>
        </is>
      </c>
      <c r="E20" s="45" t="inlineStr">
        <is>
          <t>2026-08-11</t>
        </is>
      </c>
      <c r="F20" s="46" t="inlineStr">
        <is>
          <t>Pass</t>
        </is>
      </c>
      <c r="G20" s="46" t="inlineStr">
        <is>
          <t>Pass</t>
        </is>
      </c>
      <c r="H20" s="46" t="inlineStr">
        <is>
          <t>Pass</t>
        </is>
      </c>
      <c r="I20" s="46" t="inlineStr">
        <is>
          <t>Pass</t>
        </is>
      </c>
      <c r="J20" s="46" t="inlineStr">
        <is>
          <t>Pass</t>
        </is>
      </c>
      <c r="K20" s="46" t="inlineStr">
        <is>
          <t>Pass</t>
        </is>
      </c>
      <c r="L20" s="46" t="inlineStr">
        <is>
          <t>Pass</t>
        </is>
      </c>
      <c r="M20" s="46" t="inlineStr">
        <is>
          <t>Pass</t>
        </is>
      </c>
      <c r="N20" s="46" t="inlineStr">
        <is>
          <t>Pass</t>
        </is>
      </c>
      <c r="O20" s="46" t="inlineStr">
        <is>
          <t>Pass</t>
        </is>
      </c>
      <c r="P20" s="46" t="inlineStr">
        <is>
          <t>Pass</t>
        </is>
      </c>
      <c r="Q20" s="46" t="inlineStr">
        <is>
          <t>Pass</t>
        </is>
      </c>
      <c r="R20" s="46" t="inlineStr">
        <is>
          <t>Pass</t>
        </is>
      </c>
      <c r="S20" s="46" t="inlineStr">
        <is>
          <t>Pass</t>
        </is>
      </c>
      <c r="T20" s="46" t="inlineStr">
        <is>
          <t>Pass</t>
        </is>
      </c>
      <c r="U20" s="46" t="inlineStr">
        <is>
          <t>WARN</t>
        </is>
      </c>
      <c r="V20" s="46" t="inlineStr">
        <is>
          <t>Pass</t>
        </is>
      </c>
      <c r="W20" s="46" t="inlineStr">
        <is>
          <t>WARN</t>
        </is>
      </c>
      <c r="X20" s="46" t="inlineStr">
        <is>
          <t>Pass</t>
        </is>
      </c>
      <c r="Y20" s="46" t="inlineStr">
        <is>
          <t>Pass</t>
        </is>
      </c>
      <c r="Z20" s="26">
        <f>IF(B20="","",IF(COUNTIF(F20:G20,"Fail")&gt;0,1,0))</f>
        <v/>
      </c>
      <c r="AA20" s="26">
        <f>IF(B20="","",IF(COUNTIF(H20:S20,"Fail")&gt;0,1,0))</f>
        <v/>
      </c>
      <c r="AB20" s="26">
        <f>IF(B20="","",IF(COUNTIF(T20:Y20,"Fail")&gt;0,1,0))</f>
        <v/>
      </c>
      <c r="AC20" s="27">
        <f>IF(B20="","",0.1*Z20+0.8*AA20+0.1*AB20)</f>
        <v/>
      </c>
      <c r="AD20" s="27">
        <f>IF(B20="","",IF(C20="Batch 1",0.3,0.2))</f>
        <v/>
      </c>
      <c r="AE20" s="19">
        <f>IF(B20="","",IF(AC20&lt;=AD20,"Đạt","Không đạt"))</f>
        <v/>
      </c>
      <c r="AF20" s="43" t="inlineStr">
        <is>
          <t>╔══ WARN: 2 tiêu chí — 3.2, 3.4
▼ 3.2 — CTE không bị scan lại nhiều lần
   • CTE bị tham chiếu lại nhiều lần: acct_key x3
▼ 3.4 — Sử dụng CACHE cho query lặp lại trong cùng luồng
   • 1 CTE nặng dùng lại &gt;= 2 lần mà không có CACHE: acct_key</t>
        </is>
      </c>
    </row>
    <row r="21" ht="30" customHeight="1" s="36">
      <c r="A21" s="17" t="n">
        <v>25</v>
      </c>
      <c r="B21" s="44" t="inlineStr">
        <is>
          <t>TCKH.V_P_CP_BDH_UPL</t>
        </is>
      </c>
      <c r="C21" s="45" t="inlineStr">
        <is>
          <t>Batch 2</t>
        </is>
      </c>
      <c r="D21" s="45" t="inlineStr">
        <is>
          <t>PHAT</t>
        </is>
      </c>
      <c r="E21" s="45" t="inlineStr">
        <is>
          <t>2026-08-11</t>
        </is>
      </c>
      <c r="F21" s="46" t="inlineStr">
        <is>
          <t>Pass</t>
        </is>
      </c>
      <c r="G21" s="46" t="inlineStr">
        <is>
          <t>Pass</t>
        </is>
      </c>
      <c r="H21" s="46" t="inlineStr">
        <is>
          <t>Pass</t>
        </is>
      </c>
      <c r="I21" s="46" t="inlineStr">
        <is>
          <t>Pass</t>
        </is>
      </c>
      <c r="J21" s="46" t="inlineStr">
        <is>
          <t>Pass</t>
        </is>
      </c>
      <c r="K21" s="46" t="inlineStr">
        <is>
          <t>Pass</t>
        </is>
      </c>
      <c r="L21" s="46" t="inlineStr">
        <is>
          <t>Pass</t>
        </is>
      </c>
      <c r="M21" s="46" t="inlineStr">
        <is>
          <t>Pass</t>
        </is>
      </c>
      <c r="N21" s="46" t="inlineStr">
        <is>
          <t>Pass</t>
        </is>
      </c>
      <c r="O21" s="46" t="inlineStr">
        <is>
          <t>Pass</t>
        </is>
      </c>
      <c r="P21" s="46" t="inlineStr">
        <is>
          <t>Pass</t>
        </is>
      </c>
      <c r="Q21" s="46" t="inlineStr">
        <is>
          <t>Pass</t>
        </is>
      </c>
      <c r="R21" s="46" t="inlineStr">
        <is>
          <t>Pass</t>
        </is>
      </c>
      <c r="S21" s="46" t="inlineStr">
        <is>
          <t>Pass</t>
        </is>
      </c>
      <c r="T21" s="46" t="inlineStr">
        <is>
          <t>Pass</t>
        </is>
      </c>
      <c r="U21" s="46" t="inlineStr">
        <is>
          <t>Pass</t>
        </is>
      </c>
      <c r="V21" s="46" t="inlineStr">
        <is>
          <t>Pass</t>
        </is>
      </c>
      <c r="W21" s="46" t="inlineStr">
        <is>
          <t>Pass</t>
        </is>
      </c>
      <c r="X21" s="46" t="inlineStr">
        <is>
          <t>Pass</t>
        </is>
      </c>
      <c r="Y21" s="46" t="inlineStr">
        <is>
          <t>Pass</t>
        </is>
      </c>
      <c r="Z21" s="26">
        <f>IF(B21="","",IF(COUNTIF(F21:G21,"Fail")&gt;0,1,0))</f>
        <v/>
      </c>
      <c r="AA21" s="26">
        <f>IF(B21="","",IF(COUNTIF(H21:S21,"Fail")&gt;0,1,0))</f>
        <v/>
      </c>
      <c r="AB21" s="26">
        <f>IF(B21="","",IF(COUNTIF(T21:Y21,"Fail")&gt;0,1,0))</f>
        <v/>
      </c>
      <c r="AC21" s="27">
        <f>IF(B21="","",0.1*Z21+0.8*AA21+0.1*AB21)</f>
        <v/>
      </c>
      <c r="AD21" s="27">
        <f>IF(B21="","",IF(C21="Batch 1",0.3,0.2))</f>
        <v/>
      </c>
      <c r="AE21" s="19">
        <f>IF(B21="","",IF(AC21&lt;=AD21,"Đạt","Không đạt"))</f>
        <v/>
      </c>
      <c r="AF21" s="43" t="inlineStr">
        <is>
          <t>Đạt toàn bộ tiêu chí.</t>
        </is>
      </c>
    </row>
    <row r="22" ht="30" customHeight="1" s="36">
      <c r="A22" s="17" t="n">
        <v>26</v>
      </c>
      <c r="B22" s="44" t="inlineStr">
        <is>
          <t>TCKH.V_P_REGION_CPHD_UPL</t>
        </is>
      </c>
      <c r="C22" s="45" t="inlineStr">
        <is>
          <t>Batch 2</t>
        </is>
      </c>
      <c r="D22" s="45" t="inlineStr">
        <is>
          <t>PHAT</t>
        </is>
      </c>
      <c r="E22" s="45" t="inlineStr">
        <is>
          <t>2026-08-11</t>
        </is>
      </c>
      <c r="F22" s="46" t="inlineStr">
        <is>
          <t>Pass</t>
        </is>
      </c>
      <c r="G22" s="46" t="inlineStr">
        <is>
          <t>Pass</t>
        </is>
      </c>
      <c r="H22" s="46" t="inlineStr">
        <is>
          <t>Pass</t>
        </is>
      </c>
      <c r="I22" s="46" t="inlineStr">
        <is>
          <t>Pass</t>
        </is>
      </c>
      <c r="J22" s="46" t="inlineStr">
        <is>
          <t>Pass</t>
        </is>
      </c>
      <c r="K22" s="46" t="inlineStr">
        <is>
          <t>Pass</t>
        </is>
      </c>
      <c r="L22" s="46" t="inlineStr">
        <is>
          <t>Pass</t>
        </is>
      </c>
      <c r="M22" s="46" t="inlineStr">
        <is>
          <t>Pass</t>
        </is>
      </c>
      <c r="N22" s="46" t="inlineStr">
        <is>
          <t>Pass</t>
        </is>
      </c>
      <c r="O22" s="46" t="inlineStr">
        <is>
          <t>Pass</t>
        </is>
      </c>
      <c r="P22" s="46" t="inlineStr">
        <is>
          <t>Pass</t>
        </is>
      </c>
      <c r="Q22" s="46" t="inlineStr">
        <is>
          <t>Pass</t>
        </is>
      </c>
      <c r="R22" s="46" t="inlineStr">
        <is>
          <t>Pass</t>
        </is>
      </c>
      <c r="S22" s="46" t="inlineStr">
        <is>
          <t>Pass</t>
        </is>
      </c>
      <c r="T22" s="46" t="inlineStr">
        <is>
          <t>Pass</t>
        </is>
      </c>
      <c r="U22" s="46" t="inlineStr">
        <is>
          <t>Pass</t>
        </is>
      </c>
      <c r="V22" s="46" t="inlineStr">
        <is>
          <t>Pass</t>
        </is>
      </c>
      <c r="W22" s="46" t="inlineStr">
        <is>
          <t>Pass</t>
        </is>
      </c>
      <c r="X22" s="46" t="inlineStr">
        <is>
          <t>Pass</t>
        </is>
      </c>
      <c r="Y22" s="46" t="inlineStr">
        <is>
          <t>Pass</t>
        </is>
      </c>
      <c r="Z22" s="26">
        <f>IF(B22="","",IF(COUNTIF(F22:G22,"Fail")&gt;0,1,0))</f>
        <v/>
      </c>
      <c r="AA22" s="26">
        <f>IF(B22="","",IF(COUNTIF(H22:S22,"Fail")&gt;0,1,0))</f>
        <v/>
      </c>
      <c r="AB22" s="26">
        <f>IF(B22="","",IF(COUNTIF(T22:Y22,"Fail")&gt;0,1,0))</f>
        <v/>
      </c>
      <c r="AC22" s="27">
        <f>IF(B22="","",0.1*Z22+0.8*AA22+0.1*AB22)</f>
        <v/>
      </c>
      <c r="AD22" s="27">
        <f>IF(B22="","",IF(C22="Batch 1",0.3,0.2))</f>
        <v/>
      </c>
      <c r="AE22" s="19">
        <f>IF(B22="","",IF(AC22&lt;=AD22,"Đạt","Không đạt"))</f>
        <v/>
      </c>
      <c r="AF22" s="43" t="inlineStr">
        <is>
          <t>Đạt toàn bộ tiêu chí.</t>
        </is>
      </c>
    </row>
    <row r="23" ht="30" customHeight="1" s="36">
      <c r="A23" s="17" t="n">
        <v>27</v>
      </c>
      <c r="B23" s="44" t="inlineStr">
        <is>
          <t>TCKH.V_SBV</t>
        </is>
      </c>
      <c r="C23" s="45" t="inlineStr">
        <is>
          <t>Batch 2</t>
        </is>
      </c>
      <c r="D23" s="45" t="inlineStr">
        <is>
          <t>BAOANH</t>
        </is>
      </c>
      <c r="E23" s="45" t="inlineStr">
        <is>
          <t>2026-08-11</t>
        </is>
      </c>
      <c r="F23" s="46" t="inlineStr">
        <is>
          <t>Pass</t>
        </is>
      </c>
      <c r="G23" s="46" t="inlineStr">
        <is>
          <t>Pass</t>
        </is>
      </c>
      <c r="H23" s="46" t="inlineStr">
        <is>
          <t>Pass</t>
        </is>
      </c>
      <c r="I23" s="46" t="inlineStr">
        <is>
          <t>Pass</t>
        </is>
      </c>
      <c r="J23" s="46" t="inlineStr">
        <is>
          <t>Pass</t>
        </is>
      </c>
      <c r="K23" s="46" t="inlineStr">
        <is>
          <t>Pass</t>
        </is>
      </c>
      <c r="L23" s="46" t="inlineStr">
        <is>
          <t>Pass</t>
        </is>
      </c>
      <c r="M23" s="46" t="inlineStr">
        <is>
          <t>Pass</t>
        </is>
      </c>
      <c r="N23" s="46" t="inlineStr">
        <is>
          <t>Pass</t>
        </is>
      </c>
      <c r="O23" s="46" t="inlineStr">
        <is>
          <t>Pass</t>
        </is>
      </c>
      <c r="P23" s="46" t="inlineStr">
        <is>
          <t>Pass</t>
        </is>
      </c>
      <c r="Q23" s="46" t="inlineStr">
        <is>
          <t>Pass</t>
        </is>
      </c>
      <c r="R23" s="46" t="inlineStr">
        <is>
          <t>Pass</t>
        </is>
      </c>
      <c r="S23" s="46" t="inlineStr">
        <is>
          <t>Pass</t>
        </is>
      </c>
      <c r="T23" s="46" t="inlineStr">
        <is>
          <t>Pass</t>
        </is>
      </c>
      <c r="U23" s="46" t="inlineStr">
        <is>
          <t>Pass</t>
        </is>
      </c>
      <c r="V23" s="46" t="inlineStr">
        <is>
          <t>Pass</t>
        </is>
      </c>
      <c r="W23" s="46" t="inlineStr">
        <is>
          <t>Pass</t>
        </is>
      </c>
      <c r="X23" s="46" t="inlineStr">
        <is>
          <t>Pass</t>
        </is>
      </c>
      <c r="Y23" s="46" t="inlineStr">
        <is>
          <t>Pass</t>
        </is>
      </c>
      <c r="Z23" s="26">
        <f>IF(B23="","",IF(COUNTIF(F23:G23,"Fail")&gt;0,1,0))</f>
        <v/>
      </c>
      <c r="AA23" s="26">
        <f>IF(B23="","",IF(COUNTIF(H23:S23,"Fail")&gt;0,1,0))</f>
        <v/>
      </c>
      <c r="AB23" s="26">
        <f>IF(B23="","",IF(COUNTIF(T23:Y23,"Fail")&gt;0,1,0))</f>
        <v/>
      </c>
      <c r="AC23" s="27">
        <f>IF(B23="","",0.1*Z23+0.8*AA23+0.1*AB23)</f>
        <v/>
      </c>
      <c r="AD23" s="27">
        <f>IF(B23="","",IF(C23="Batch 1",0.3,0.2))</f>
        <v/>
      </c>
      <c r="AE23" s="19">
        <f>IF(B23="","",IF(AC23&lt;=AD23,"Đạt","Không đạt"))</f>
        <v/>
      </c>
      <c r="AF23" s="43" t="inlineStr">
        <is>
          <t>Đạt toàn bộ tiêu chí.</t>
        </is>
      </c>
    </row>
    <row r="24" ht="30" customHeight="1" s="36">
      <c r="A24" s="17" t="n">
        <v>28</v>
      </c>
      <c r="B24" s="44" t="inlineStr">
        <is>
          <t>TCKH.V_SLGD</t>
        </is>
      </c>
      <c r="C24" s="45" t="inlineStr">
        <is>
          <t>Batch 2</t>
        </is>
      </c>
      <c r="D24" s="45" t="inlineStr">
        <is>
          <t>HOP</t>
        </is>
      </c>
      <c r="E24" s="45" t="inlineStr">
        <is>
          <t>2026-08-11</t>
        </is>
      </c>
      <c r="F24" s="46" t="inlineStr">
        <is>
          <t>Pass</t>
        </is>
      </c>
      <c r="G24" s="46" t="inlineStr">
        <is>
          <t>Pass</t>
        </is>
      </c>
      <c r="H24" s="46" t="inlineStr">
        <is>
          <t>Pass</t>
        </is>
      </c>
      <c r="I24" s="46" t="inlineStr">
        <is>
          <t>Pass</t>
        </is>
      </c>
      <c r="J24" s="46" t="inlineStr">
        <is>
          <t>Pass</t>
        </is>
      </c>
      <c r="K24" s="46" t="inlineStr">
        <is>
          <t>Pass</t>
        </is>
      </c>
      <c r="L24" s="46" t="inlineStr">
        <is>
          <t>Pass</t>
        </is>
      </c>
      <c r="M24" s="46" t="inlineStr">
        <is>
          <t>Pass</t>
        </is>
      </c>
      <c r="N24" s="46" t="inlineStr">
        <is>
          <t>Pass</t>
        </is>
      </c>
      <c r="O24" s="46" t="inlineStr">
        <is>
          <t>WARN</t>
        </is>
      </c>
      <c r="P24" s="46" t="inlineStr">
        <is>
          <t>Pass</t>
        </is>
      </c>
      <c r="Q24" s="46" t="inlineStr">
        <is>
          <t>Pass</t>
        </is>
      </c>
      <c r="R24" s="46" t="inlineStr">
        <is>
          <t>Pass</t>
        </is>
      </c>
      <c r="S24" s="46" t="inlineStr">
        <is>
          <t>Pass</t>
        </is>
      </c>
      <c r="T24" s="46" t="inlineStr">
        <is>
          <t>Pass</t>
        </is>
      </c>
      <c r="U24" s="46" t="inlineStr">
        <is>
          <t>Pass</t>
        </is>
      </c>
      <c r="V24" s="46" t="inlineStr">
        <is>
          <t>Pass</t>
        </is>
      </c>
      <c r="W24" s="46" t="inlineStr">
        <is>
          <t>Pass</t>
        </is>
      </c>
      <c r="X24" s="46" t="inlineStr">
        <is>
          <t>Pass</t>
        </is>
      </c>
      <c r="Y24" s="46" t="inlineStr">
        <is>
          <t>Pass</t>
        </is>
      </c>
      <c r="Z24" s="26">
        <f>IF(B24="","",IF(COUNTIF(F24:G24,"Fail")&gt;0,1,0))</f>
        <v/>
      </c>
      <c r="AA24" s="26">
        <f>IF(B24="","",IF(COUNTIF(H24:S24,"Fail")&gt;0,1,0))</f>
        <v/>
      </c>
      <c r="AB24" s="26">
        <f>IF(B24="","",IF(COUNTIF(T24:Y24,"Fail")&gt;0,1,0))</f>
        <v/>
      </c>
      <c r="AC24" s="27">
        <f>IF(B24="","",0.1*Z24+0.8*AA24+0.1*AB24)</f>
        <v/>
      </c>
      <c r="AD24" s="27">
        <f>IF(B24="","",IF(C24="Batch 1",0.3,0.2))</f>
        <v/>
      </c>
      <c r="AE24" s="19">
        <f>IF(B24="","",IF(AC24&lt;=AD24,"Đạt","Không đạt"))</f>
        <v/>
      </c>
      <c r="AF24" s="43" t="inlineStr">
        <is>
          <t>╔══ WARN: 1 tiêu chí — 2.8
▼ 2.8 — Cột SUM/COUNT được COALESCE/NVL hợp lý
   • 1 biểu thức tổng hợp chưa coalesce: TOTAL_SLGD = SUM(SO_LUONG_GD)
   • khi đối soát với hệ thống cũ phải bọc NVL/ISNULL CẢ HAI phía để không lệch khi trừ (Checklist RVN-OCB #11)</t>
        </is>
      </c>
    </row>
    <row r="25" ht="30" customHeight="1" s="36">
      <c r="A25" s="17" t="n">
        <v>29</v>
      </c>
      <c r="B25" s="44" t="inlineStr">
        <is>
          <t>TCKH.V_SLNV_UPL</t>
        </is>
      </c>
      <c r="C25" s="45" t="inlineStr">
        <is>
          <t>Batch 2</t>
        </is>
      </c>
      <c r="D25" s="45" t="inlineStr">
        <is>
          <t>HOP</t>
        </is>
      </c>
      <c r="E25" s="45" t="inlineStr">
        <is>
          <t>2026-08-11</t>
        </is>
      </c>
      <c r="F25" s="46" t="inlineStr">
        <is>
          <t>Pass</t>
        </is>
      </c>
      <c r="G25" s="46" t="inlineStr">
        <is>
          <t>Pass</t>
        </is>
      </c>
      <c r="H25" s="46" t="inlineStr">
        <is>
          <t>Pass</t>
        </is>
      </c>
      <c r="I25" s="46" t="inlineStr">
        <is>
          <t>Pass</t>
        </is>
      </c>
      <c r="J25" s="46" t="inlineStr">
        <is>
          <t>Pass</t>
        </is>
      </c>
      <c r="K25" s="46" t="inlineStr">
        <is>
          <t>Pass</t>
        </is>
      </c>
      <c r="L25" s="46" t="inlineStr">
        <is>
          <t>Pass</t>
        </is>
      </c>
      <c r="M25" s="46" t="inlineStr">
        <is>
          <t>Pass</t>
        </is>
      </c>
      <c r="N25" s="46" t="inlineStr">
        <is>
          <t>Pass</t>
        </is>
      </c>
      <c r="O25" s="46" t="inlineStr">
        <is>
          <t>WARN</t>
        </is>
      </c>
      <c r="P25" s="46" t="inlineStr">
        <is>
          <t>Pass</t>
        </is>
      </c>
      <c r="Q25" s="46" t="inlineStr">
        <is>
          <t>Pass</t>
        </is>
      </c>
      <c r="R25" s="46" t="inlineStr">
        <is>
          <t>Pass</t>
        </is>
      </c>
      <c r="S25" s="46" t="inlineStr">
        <is>
          <t>Pass</t>
        </is>
      </c>
      <c r="T25" s="46" t="inlineStr">
        <is>
          <t>Pass</t>
        </is>
      </c>
      <c r="U25" s="46" t="inlineStr">
        <is>
          <t>Pass</t>
        </is>
      </c>
      <c r="V25" s="46" t="inlineStr">
        <is>
          <t>Pass</t>
        </is>
      </c>
      <c r="W25" s="46" t="inlineStr">
        <is>
          <t>Pass</t>
        </is>
      </c>
      <c r="X25" s="46" t="inlineStr">
        <is>
          <t>Pass</t>
        </is>
      </c>
      <c r="Y25" s="46" t="inlineStr">
        <is>
          <t>Pass</t>
        </is>
      </c>
      <c r="Z25" s="26">
        <f>IF(B25="","",IF(COUNTIF(F25:G25,"Fail")&gt;0,1,0))</f>
        <v/>
      </c>
      <c r="AA25" s="26">
        <f>IF(B25="","",IF(COUNTIF(H25:S25,"Fail")&gt;0,1,0))</f>
        <v/>
      </c>
      <c r="AB25" s="26">
        <f>IF(B25="","",IF(COUNTIF(T25:Y25,"Fail")&gt;0,1,0))</f>
        <v/>
      </c>
      <c r="AC25" s="27">
        <f>IF(B25="","",0.1*Z25+0.8*AA25+0.1*AB25)</f>
        <v/>
      </c>
      <c r="AD25" s="27">
        <f>IF(B25="","",IF(C25="Batch 1",0.3,0.2))</f>
        <v/>
      </c>
      <c r="AE25" s="19">
        <f>IF(B25="","",IF(AC25&lt;=AD25,"Đạt","Không đạt"))</f>
        <v/>
      </c>
      <c r="AF25" s="43" t="inlineStr">
        <is>
          <t>╔══ WARN: 1 tiêu chí — 2.8
▼ 2.8 — Cột SUM/COUNT được COALESCE/NVL hợp lý
   • 4 biểu thức tổng hợp chưa coalesce: TotalByBranchCode = SUM(S.SO_LUONG); TotalByKVQL = SUM(S.SO_LUONG); TotalByPRNCode = SUM(S.SO_LUONG); TotalByPhong = SUM(S.SO_LUONG)
   • khi đối soát với hệ thống cũ phải bọc NVL/ISNULL CẢ HAI phía để không lệch khi trừ (Checklist RVN-OCB #11)</t>
        </is>
      </c>
    </row>
    <row r="26" ht="30" customHeight="1" s="36">
      <c r="A26" s="17" t="n">
        <v>30</v>
      </c>
      <c r="B26" s="44" t="inlineStr">
        <is>
          <t>TCKH.V_T24_CRB_FULLLIST</t>
        </is>
      </c>
      <c r="C26" s="45" t="inlineStr">
        <is>
          <t>Batch 2</t>
        </is>
      </c>
      <c r="D26" s="45" t="inlineStr">
        <is>
          <t>PHAT</t>
        </is>
      </c>
      <c r="E26" s="45" t="inlineStr">
        <is>
          <t>2026-08-11</t>
        </is>
      </c>
      <c r="F26" s="46" t="inlineStr">
        <is>
          <t>Pass</t>
        </is>
      </c>
      <c r="G26" s="46" t="inlineStr">
        <is>
          <t>Pass</t>
        </is>
      </c>
      <c r="H26" s="46" t="inlineStr">
        <is>
          <t>Pass</t>
        </is>
      </c>
      <c r="I26" s="46" t="inlineStr">
        <is>
          <t>Pass</t>
        </is>
      </c>
      <c r="J26" s="46" t="inlineStr">
        <is>
          <t>Pass</t>
        </is>
      </c>
      <c r="K26" s="46" t="inlineStr">
        <is>
          <t>Pass</t>
        </is>
      </c>
      <c r="L26" s="46" t="inlineStr">
        <is>
          <t>Pass</t>
        </is>
      </c>
      <c r="M26" s="46" t="inlineStr">
        <is>
          <t>Pass</t>
        </is>
      </c>
      <c r="N26" s="46" t="inlineStr">
        <is>
          <t>Pass</t>
        </is>
      </c>
      <c r="O26" s="46" t="inlineStr">
        <is>
          <t>Pass</t>
        </is>
      </c>
      <c r="P26" s="46" t="inlineStr">
        <is>
          <t>Pass</t>
        </is>
      </c>
      <c r="Q26" s="46" t="inlineStr">
        <is>
          <t>Pass</t>
        </is>
      </c>
      <c r="R26" s="46" t="inlineStr">
        <is>
          <t>Pass</t>
        </is>
      </c>
      <c r="S26" s="46" t="inlineStr">
        <is>
          <t>Pass</t>
        </is>
      </c>
      <c r="T26" s="46" t="inlineStr">
        <is>
          <t>Pass</t>
        </is>
      </c>
      <c r="U26" s="46" t="inlineStr">
        <is>
          <t>Pass</t>
        </is>
      </c>
      <c r="V26" s="46" t="inlineStr">
        <is>
          <t>WARN</t>
        </is>
      </c>
      <c r="W26" s="46" t="inlineStr">
        <is>
          <t>Pass</t>
        </is>
      </c>
      <c r="X26" s="46" t="inlineStr">
        <is>
          <t>Pass</t>
        </is>
      </c>
      <c r="Y26" s="46" t="inlineStr">
        <is>
          <t>Pass</t>
        </is>
      </c>
      <c r="Z26" s="26">
        <f>IF(B26="","",IF(COUNTIF(F26:G26,"Fail")&gt;0,1,0))</f>
        <v/>
      </c>
      <c r="AA26" s="26">
        <f>IF(B26="","",IF(COUNTIF(H26:S26,"Fail")&gt;0,1,0))</f>
        <v/>
      </c>
      <c r="AB26" s="26">
        <f>IF(B26="","",IF(COUNTIF(T26:Y26,"Fail")&gt;0,1,0))</f>
        <v/>
      </c>
      <c r="AC26" s="27">
        <f>IF(B26="","",0.1*Z26+0.8*AA26+0.1*AB26)</f>
        <v/>
      </c>
      <c r="AD26" s="27">
        <f>IF(B26="","",IF(C26="Batch 1",0.3,0.2))</f>
        <v/>
      </c>
      <c r="AE26" s="19">
        <f>IF(B26="","",IF(AC26&lt;=AD26,"Đạt","Không đạt"))</f>
        <v/>
      </c>
      <c r="AF26" s="43" t="inlineStr">
        <is>
          <t>╔══ WARN: 1 tiêu chí — 3.3
▼ 3.3 — Filter trước khi join, tận dụng partition pruning
   • 1 bảng join trực tiếp mà không có filter riêng: branch_list (C)</t>
        </is>
      </c>
    </row>
    <row r="27" ht="30" customHeight="1" s="36">
      <c r="A27" s="17" t="n">
        <v>31</v>
      </c>
      <c r="B27" s="44" t="inlineStr">
        <is>
          <t>TCKH.V_T24_CUSTOMER_NEW</t>
        </is>
      </c>
      <c r="C27" s="45" t="inlineStr">
        <is>
          <t>Batch 2</t>
        </is>
      </c>
      <c r="D27" s="45" t="inlineStr">
        <is>
          <t>BAOANH</t>
        </is>
      </c>
      <c r="E27" s="45" t="inlineStr">
        <is>
          <t>2026-08-11</t>
        </is>
      </c>
      <c r="F27" s="46" t="inlineStr">
        <is>
          <t>Pass</t>
        </is>
      </c>
      <c r="G27" s="46" t="inlineStr">
        <is>
          <t>Pass</t>
        </is>
      </c>
      <c r="H27" s="46" t="inlineStr">
        <is>
          <t>Pass</t>
        </is>
      </c>
      <c r="I27" s="46" t="inlineStr">
        <is>
          <t>Pass</t>
        </is>
      </c>
      <c r="J27" s="46" t="inlineStr">
        <is>
          <t>Pass</t>
        </is>
      </c>
      <c r="K27" s="46" t="inlineStr">
        <is>
          <t>Pass</t>
        </is>
      </c>
      <c r="L27" s="46" t="inlineStr">
        <is>
          <t>Pass</t>
        </is>
      </c>
      <c r="M27" s="46" t="inlineStr">
        <is>
          <t>Pass</t>
        </is>
      </c>
      <c r="N27" s="46" t="inlineStr">
        <is>
          <t>Pass</t>
        </is>
      </c>
      <c r="O27" s="46" t="inlineStr">
        <is>
          <t>Pass</t>
        </is>
      </c>
      <c r="P27" s="46" t="inlineStr">
        <is>
          <t>Pass</t>
        </is>
      </c>
      <c r="Q27" s="46" t="inlineStr">
        <is>
          <t>Pass</t>
        </is>
      </c>
      <c r="R27" s="46" t="inlineStr">
        <is>
          <t>Pass</t>
        </is>
      </c>
      <c r="S27" s="46" t="inlineStr">
        <is>
          <t>Pass</t>
        </is>
      </c>
      <c r="T27" s="46" t="inlineStr">
        <is>
          <t>Pass</t>
        </is>
      </c>
      <c r="U27" s="46" t="inlineStr">
        <is>
          <t>Pass</t>
        </is>
      </c>
      <c r="V27" s="46" t="inlineStr">
        <is>
          <t>Pass</t>
        </is>
      </c>
      <c r="W27" s="46" t="inlineStr">
        <is>
          <t>Pass</t>
        </is>
      </c>
      <c r="X27" s="46" t="inlineStr">
        <is>
          <t>Pass</t>
        </is>
      </c>
      <c r="Y27" s="46" t="inlineStr">
        <is>
          <t>Pass</t>
        </is>
      </c>
      <c r="Z27" s="26">
        <f>IF(B27="","",IF(COUNTIF(F27:G27,"Fail")&gt;0,1,0))</f>
        <v/>
      </c>
      <c r="AA27" s="26">
        <f>IF(B27="","",IF(COUNTIF(H27:S27,"Fail")&gt;0,1,0))</f>
        <v/>
      </c>
      <c r="AB27" s="26">
        <f>IF(B27="","",IF(COUNTIF(T27:Y27,"Fail")&gt;0,1,0))</f>
        <v/>
      </c>
      <c r="AC27" s="27">
        <f>IF(B27="","",0.1*Z27+0.8*AA27+0.1*AB27)</f>
        <v/>
      </c>
      <c r="AD27" s="27">
        <f>IF(B27="","",IF(C27="Batch 1",0.3,0.2))</f>
        <v/>
      </c>
      <c r="AE27" s="19">
        <f>IF(B27="","",IF(AC27&lt;=AD27,"Đạt","Không đạt"))</f>
        <v/>
      </c>
      <c r="AF27" s="43" t="inlineStr">
        <is>
          <t>Đạt toàn bộ tiêu chí.</t>
        </is>
      </c>
    </row>
    <row r="28" ht="30" customHeight="1" s="36">
      <c r="A28" s="17" t="n">
        <v>34</v>
      </c>
      <c r="B28" s="44" t="inlineStr">
        <is>
          <t>TCKH.V_TB_AR_DTL_BH</t>
        </is>
      </c>
      <c r="C28" s="45" t="inlineStr">
        <is>
          <t>Batch 2</t>
        </is>
      </c>
      <c r="D28" s="45" t="inlineStr">
        <is>
          <t>HOP</t>
        </is>
      </c>
      <c r="E28" s="45" t="inlineStr">
        <is>
          <t>2026-08-11</t>
        </is>
      </c>
      <c r="F28" s="46" t="inlineStr">
        <is>
          <t>Pass</t>
        </is>
      </c>
      <c r="G28" s="46" t="inlineStr">
        <is>
          <t>Pass</t>
        </is>
      </c>
      <c r="H28" s="46" t="inlineStr">
        <is>
          <t>Pass</t>
        </is>
      </c>
      <c r="I28" s="46" t="inlineStr">
        <is>
          <t>Pass</t>
        </is>
      </c>
      <c r="J28" s="46" t="inlineStr">
        <is>
          <t>Pass</t>
        </is>
      </c>
      <c r="K28" s="46" t="inlineStr">
        <is>
          <t>Pass</t>
        </is>
      </c>
      <c r="L28" s="46" t="inlineStr">
        <is>
          <t>Pass</t>
        </is>
      </c>
      <c r="M28" s="46" t="inlineStr">
        <is>
          <t>Pass</t>
        </is>
      </c>
      <c r="N28" s="46" t="inlineStr">
        <is>
          <t>Pass</t>
        </is>
      </c>
      <c r="O28" s="46" t="inlineStr">
        <is>
          <t>Pass</t>
        </is>
      </c>
      <c r="P28" s="46" t="inlineStr">
        <is>
          <t>Pass</t>
        </is>
      </c>
      <c r="Q28" s="46" t="inlineStr">
        <is>
          <t>Pass</t>
        </is>
      </c>
      <c r="R28" s="46" t="inlineStr">
        <is>
          <t>Pass</t>
        </is>
      </c>
      <c r="S28" s="46" t="inlineStr">
        <is>
          <t>Pass</t>
        </is>
      </c>
      <c r="T28" s="46" t="inlineStr">
        <is>
          <t>Pass</t>
        </is>
      </c>
      <c r="U28" s="46" t="inlineStr">
        <is>
          <t>WARN</t>
        </is>
      </c>
      <c r="V28" s="46" t="inlineStr">
        <is>
          <t>WARN</t>
        </is>
      </c>
      <c r="W28" s="46" t="inlineStr">
        <is>
          <t>WARN</t>
        </is>
      </c>
      <c r="X28" s="46" t="inlineStr">
        <is>
          <t>Pass</t>
        </is>
      </c>
      <c r="Y28" s="46" t="inlineStr">
        <is>
          <t>Pass</t>
        </is>
      </c>
      <c r="Z28" s="26">
        <f>IF(B28="","",IF(COUNTIF(F28:G28,"Fail")&gt;0,1,0))</f>
        <v/>
      </c>
      <c r="AA28" s="26">
        <f>IF(B28="","",IF(COUNTIF(H28:S28,"Fail")&gt;0,1,0))</f>
        <v/>
      </c>
      <c r="AB28" s="26">
        <f>IF(B28="","",IF(COUNTIF(T28:Y28,"Fail")&gt;0,1,0))</f>
        <v/>
      </c>
      <c r="AC28" s="27">
        <f>IF(B28="","",0.1*Z28+0.8*AA28+0.1*AB28)</f>
        <v/>
      </c>
      <c r="AD28" s="27">
        <f>IF(B28="","",IF(C28="Batch 1",0.3,0.2))</f>
        <v/>
      </c>
      <c r="AE28" s="19">
        <f>IF(B28="","",IF(AC28&lt;=AD28,"Đạt","Không đạt"))</f>
        <v/>
      </c>
      <c r="AF28" s="43" t="inlineStr">
        <is>
          <t>╔══ WARN: 3 tiêu chí — 3.2, 3.3, 3.4
▼ 3.2 — CTE không bị scan lại nhiều lần
   • CTE bị tham chiếu lại nhiều lần: ins_ref x2
▼ 3.3 — Filter trước khi join, tận dụng partition pruning
   • 1 bảng join trực tiếp mà không có filter riêng: branch_list (E)
▼ 3.4 — Sử dụng CACHE cho query lặp lại trong cùng luồng
   • 1 CTE nặng dùng lại &gt;= 2 lần mà không có CACHE: ins_ref</t>
        </is>
      </c>
    </row>
    <row r="29" ht="30" customHeight="1" s="36">
      <c r="A29" s="17" t="n">
        <v>35</v>
      </c>
      <c r="B29" s="44" t="inlineStr">
        <is>
          <t>TCKH.V_TB_AR_DTL_LNSCH</t>
        </is>
      </c>
      <c r="C29" s="45" t="inlineStr">
        <is>
          <t>Batch 2</t>
        </is>
      </c>
      <c r="D29" s="45" t="inlineStr">
        <is>
          <t>HOP</t>
        </is>
      </c>
      <c r="E29" s="45" t="inlineStr">
        <is>
          <t>2026-08-11</t>
        </is>
      </c>
      <c r="F29" s="46" t="inlineStr">
        <is>
          <t>Pass</t>
        </is>
      </c>
      <c r="G29" s="46" t="inlineStr">
        <is>
          <t>Pass</t>
        </is>
      </c>
      <c r="H29" s="46" t="inlineStr">
        <is>
          <t>Pass</t>
        </is>
      </c>
      <c r="I29" s="46" t="inlineStr">
        <is>
          <t>Pass</t>
        </is>
      </c>
      <c r="J29" s="46" t="inlineStr">
        <is>
          <t>Pass</t>
        </is>
      </c>
      <c r="K29" s="46" t="inlineStr">
        <is>
          <t>Pass</t>
        </is>
      </c>
      <c r="L29" s="46" t="inlineStr">
        <is>
          <t>Pass</t>
        </is>
      </c>
      <c r="M29" s="46" t="inlineStr">
        <is>
          <t>Pass</t>
        </is>
      </c>
      <c r="N29" s="46" t="inlineStr">
        <is>
          <t>Pass</t>
        </is>
      </c>
      <c r="O29" s="46" t="inlineStr">
        <is>
          <t>Pass</t>
        </is>
      </c>
      <c r="P29" s="46" t="inlineStr">
        <is>
          <t>Pass</t>
        </is>
      </c>
      <c r="Q29" s="46" t="inlineStr">
        <is>
          <t>Pass</t>
        </is>
      </c>
      <c r="R29" s="46" t="inlineStr">
        <is>
          <t>Pass</t>
        </is>
      </c>
      <c r="S29" s="46" t="inlineStr">
        <is>
          <t>Pass</t>
        </is>
      </c>
      <c r="T29" s="46" t="inlineStr">
        <is>
          <t>Pass</t>
        </is>
      </c>
      <c r="U29" s="46" t="inlineStr">
        <is>
          <t>Pass</t>
        </is>
      </c>
      <c r="V29" s="46" t="inlineStr">
        <is>
          <t>Pass</t>
        </is>
      </c>
      <c r="W29" s="46" t="inlineStr">
        <is>
          <t>Pass</t>
        </is>
      </c>
      <c r="X29" s="46" t="inlineStr">
        <is>
          <t>Pass</t>
        </is>
      </c>
      <c r="Y29" s="46" t="inlineStr">
        <is>
          <t>Pass</t>
        </is>
      </c>
      <c r="Z29" s="26">
        <f>IF(B29="","",IF(COUNTIF(F29:G29,"Fail")&gt;0,1,0))</f>
        <v/>
      </c>
      <c r="AA29" s="26">
        <f>IF(B29="","",IF(COUNTIF(H29:S29,"Fail")&gt;0,1,0))</f>
        <v/>
      </c>
      <c r="AB29" s="26">
        <f>IF(B29="","",IF(COUNTIF(T29:Y29,"Fail")&gt;0,1,0))</f>
        <v/>
      </c>
      <c r="AC29" s="27">
        <f>IF(B29="","",0.1*Z29+0.8*AA29+0.1*AB29)</f>
        <v/>
      </c>
      <c r="AD29" s="27">
        <f>IF(B29="","",IF(C29="Batch 1",0.3,0.2))</f>
        <v/>
      </c>
      <c r="AE29" s="19">
        <f>IF(B29="","",IF(AC29&lt;=AD29,"Đạt","Không đạt"))</f>
        <v/>
      </c>
      <c r="AF29" s="43" t="inlineStr">
        <is>
          <t>Đạt toàn bộ tiêu chí.</t>
        </is>
      </c>
    </row>
    <row r="30" ht="30" customHeight="1" s="36">
      <c r="A30" s="17" t="n">
        <v>36</v>
      </c>
      <c r="B30" s="44" t="inlineStr">
        <is>
          <t>TCKH.V_TB_NIM</t>
        </is>
      </c>
      <c r="C30" s="45" t="inlineStr">
        <is>
          <t>Batch 2</t>
        </is>
      </c>
      <c r="D30" s="45" t="inlineStr">
        <is>
          <t>HOP</t>
        </is>
      </c>
      <c r="E30" s="45" t="inlineStr">
        <is>
          <t>2026-08-11</t>
        </is>
      </c>
      <c r="F30" s="46" t="inlineStr">
        <is>
          <t>Pass</t>
        </is>
      </c>
      <c r="G30" s="46" t="inlineStr">
        <is>
          <t>Pass</t>
        </is>
      </c>
      <c r="H30" s="46" t="inlineStr">
        <is>
          <t>Pass</t>
        </is>
      </c>
      <c r="I30" s="46" t="inlineStr">
        <is>
          <t>Pass</t>
        </is>
      </c>
      <c r="J30" s="46" t="inlineStr">
        <is>
          <t>Pass</t>
        </is>
      </c>
      <c r="K30" s="46" t="inlineStr">
        <is>
          <t>Pass</t>
        </is>
      </c>
      <c r="L30" s="46" t="inlineStr">
        <is>
          <t>Pass</t>
        </is>
      </c>
      <c r="M30" s="46" t="inlineStr">
        <is>
          <t>Pass</t>
        </is>
      </c>
      <c r="N30" s="46" t="inlineStr">
        <is>
          <t>Pass</t>
        </is>
      </c>
      <c r="O30" s="46" t="inlineStr">
        <is>
          <t>Pass</t>
        </is>
      </c>
      <c r="P30" s="46" t="inlineStr">
        <is>
          <t>Pass</t>
        </is>
      </c>
      <c r="Q30" s="46" t="inlineStr">
        <is>
          <t>Pass</t>
        </is>
      </c>
      <c r="R30" s="46" t="inlineStr">
        <is>
          <t>Pass</t>
        </is>
      </c>
      <c r="S30" s="46" t="inlineStr">
        <is>
          <t>Pass</t>
        </is>
      </c>
      <c r="T30" s="46" t="inlineStr">
        <is>
          <t>Pass</t>
        </is>
      </c>
      <c r="U30" s="46" t="inlineStr">
        <is>
          <t>Pass</t>
        </is>
      </c>
      <c r="V30" s="46" t="inlineStr">
        <is>
          <t>Pass</t>
        </is>
      </c>
      <c r="W30" s="46" t="inlineStr">
        <is>
          <t>Pass</t>
        </is>
      </c>
      <c r="X30" s="46" t="inlineStr">
        <is>
          <t>Pass</t>
        </is>
      </c>
      <c r="Y30" s="46" t="inlineStr">
        <is>
          <t>Pass</t>
        </is>
      </c>
      <c r="Z30" s="26">
        <f>IF(B30="","",IF(COUNTIF(F30:G30,"Fail")&gt;0,1,0))</f>
        <v/>
      </c>
      <c r="AA30" s="26">
        <f>IF(B30="","",IF(COUNTIF(H30:S30,"Fail")&gt;0,1,0))</f>
        <v/>
      </c>
      <c r="AB30" s="26">
        <f>IF(B30="","",IF(COUNTIF(T30:Y30,"Fail")&gt;0,1,0))</f>
        <v/>
      </c>
      <c r="AC30" s="27">
        <f>IF(B30="","",0.1*Z30+0.8*AA30+0.1*AB30)</f>
        <v/>
      </c>
      <c r="AD30" s="27">
        <f>IF(B30="","",IF(C30="Batch 1",0.3,0.2))</f>
        <v/>
      </c>
      <c r="AE30" s="19">
        <f>IF(B30="","",IF(AC30&lt;=AD30,"Đạt","Không đạt"))</f>
        <v/>
      </c>
      <c r="AF30" s="43" t="inlineStr">
        <is>
          <t>Đạt toàn bộ tiêu chí.</t>
        </is>
      </c>
    </row>
    <row r="31" ht="30" customHeight="1" s="36">
      <c r="A31" s="17" t="n">
        <v>37</v>
      </c>
      <c r="B31" s="44" t="inlineStr">
        <is>
          <t>TCKH.V_USD_RATE</t>
        </is>
      </c>
      <c r="C31" s="45" t="inlineStr">
        <is>
          <t>Batch 2</t>
        </is>
      </c>
      <c r="D31" s="45" t="inlineStr">
        <is>
          <t>QUANG</t>
        </is>
      </c>
      <c r="E31" s="45" t="inlineStr">
        <is>
          <t>2026-08-11</t>
        </is>
      </c>
      <c r="F31" s="46" t="inlineStr">
        <is>
          <t>Pass</t>
        </is>
      </c>
      <c r="G31" s="46" t="inlineStr">
        <is>
          <t>Pass</t>
        </is>
      </c>
      <c r="H31" s="46" t="inlineStr">
        <is>
          <t>Pass</t>
        </is>
      </c>
      <c r="I31" s="46" t="inlineStr">
        <is>
          <t>Pass</t>
        </is>
      </c>
      <c r="J31" s="46" t="inlineStr">
        <is>
          <t>Pass</t>
        </is>
      </c>
      <c r="K31" s="46" t="inlineStr">
        <is>
          <t>Pass</t>
        </is>
      </c>
      <c r="L31" s="46" t="inlineStr">
        <is>
          <t>Pass</t>
        </is>
      </c>
      <c r="M31" s="46" t="inlineStr">
        <is>
          <t>Pass</t>
        </is>
      </c>
      <c r="N31" s="46" t="inlineStr">
        <is>
          <t>Pass</t>
        </is>
      </c>
      <c r="O31" s="46" t="inlineStr">
        <is>
          <t>Pass</t>
        </is>
      </c>
      <c r="P31" s="46" t="inlineStr">
        <is>
          <t>Pass</t>
        </is>
      </c>
      <c r="Q31" s="46" t="inlineStr">
        <is>
          <t>Pass</t>
        </is>
      </c>
      <c r="R31" s="46" t="inlineStr">
        <is>
          <t>Pass</t>
        </is>
      </c>
      <c r="S31" s="46" t="inlineStr">
        <is>
          <t>Pass</t>
        </is>
      </c>
      <c r="T31" s="46" t="inlineStr">
        <is>
          <t>Pass</t>
        </is>
      </c>
      <c r="U31" s="46" t="inlineStr">
        <is>
          <t>Pass</t>
        </is>
      </c>
      <c r="V31" s="46" t="inlineStr">
        <is>
          <t>Pass</t>
        </is>
      </c>
      <c r="W31" s="46" t="inlineStr">
        <is>
          <t>Pass</t>
        </is>
      </c>
      <c r="X31" s="46" t="inlineStr">
        <is>
          <t>Pass</t>
        </is>
      </c>
      <c r="Y31" s="46" t="inlineStr">
        <is>
          <t>Pass</t>
        </is>
      </c>
      <c r="Z31" s="26">
        <f>IF(B31="","",IF(COUNTIF(F31:G31,"Fail")&gt;0,1,0))</f>
        <v/>
      </c>
      <c r="AA31" s="26">
        <f>IF(B31="","",IF(COUNTIF(H31:S31,"Fail")&gt;0,1,0))</f>
        <v/>
      </c>
      <c r="AB31" s="26">
        <f>IF(B31="","",IF(COUNTIF(T31:Y31,"Fail")&gt;0,1,0))</f>
        <v/>
      </c>
      <c r="AC31" s="27">
        <f>IF(B31="","",0.1*Z31+0.8*AA31+0.1*AB31)</f>
        <v/>
      </c>
      <c r="AD31" s="27">
        <f>IF(B31="","",IF(C31="Batch 1",0.3,0.2))</f>
        <v/>
      </c>
      <c r="AE31" s="19">
        <f>IF(B31="","",IF(AC31&lt;=AD31,"Đạt","Không đạt"))</f>
        <v/>
      </c>
      <c r="AF31" s="43" t="inlineStr">
        <is>
          <t>Đạt toàn bộ tiêu chí.</t>
        </is>
      </c>
    </row>
    <row r="32" ht="30" customHeight="1" s="36">
      <c r="A32" s="17" t="n">
        <v>38</v>
      </c>
      <c r="B32" s="44" t="inlineStr">
        <is>
          <t>TCKH.V_SECTOR_LIST</t>
        </is>
      </c>
      <c r="C32" s="45" t="inlineStr">
        <is>
          <t>Batch 2</t>
        </is>
      </c>
      <c r="D32" s="45" t="inlineStr">
        <is>
          <t>HOP</t>
        </is>
      </c>
      <c r="E32" s="45" t="inlineStr">
        <is>
          <t>2026-08-11</t>
        </is>
      </c>
      <c r="F32" s="46" t="inlineStr">
        <is>
          <t>Pass</t>
        </is>
      </c>
      <c r="G32" s="46" t="inlineStr">
        <is>
          <t>Pass</t>
        </is>
      </c>
      <c r="H32" s="46" t="inlineStr">
        <is>
          <t>Pass</t>
        </is>
      </c>
      <c r="I32" s="46" t="inlineStr">
        <is>
          <t>Pass</t>
        </is>
      </c>
      <c r="J32" s="46" t="inlineStr">
        <is>
          <t>Pass</t>
        </is>
      </c>
      <c r="K32" s="46" t="inlineStr">
        <is>
          <t>Pass</t>
        </is>
      </c>
      <c r="L32" s="46" t="inlineStr">
        <is>
          <t>Pass</t>
        </is>
      </c>
      <c r="M32" s="46" t="inlineStr">
        <is>
          <t>Pass</t>
        </is>
      </c>
      <c r="N32" s="46" t="inlineStr">
        <is>
          <t>Pass</t>
        </is>
      </c>
      <c r="O32" s="46" t="inlineStr">
        <is>
          <t>Pass</t>
        </is>
      </c>
      <c r="P32" s="46" t="inlineStr">
        <is>
          <t>Pass</t>
        </is>
      </c>
      <c r="Q32" s="46" t="inlineStr">
        <is>
          <t>Pass</t>
        </is>
      </c>
      <c r="R32" s="46" t="inlineStr">
        <is>
          <t>Pass</t>
        </is>
      </c>
      <c r="S32" s="46" t="inlineStr">
        <is>
          <t>Pass</t>
        </is>
      </c>
      <c r="T32" s="46" t="inlineStr">
        <is>
          <t>Pass</t>
        </is>
      </c>
      <c r="U32" s="46" t="inlineStr">
        <is>
          <t>Pass</t>
        </is>
      </c>
      <c r="V32" s="46" t="inlineStr">
        <is>
          <t>Pass</t>
        </is>
      </c>
      <c r="W32" s="46" t="inlineStr">
        <is>
          <t>Pass</t>
        </is>
      </c>
      <c r="X32" s="46" t="inlineStr">
        <is>
          <t>Pass</t>
        </is>
      </c>
      <c r="Y32" s="46" t="inlineStr">
        <is>
          <t>Pass</t>
        </is>
      </c>
      <c r="Z32" s="26">
        <f>IF(B32="","",IF(COUNTIF(F32:G32,"Fail")&gt;0,1,0))</f>
        <v/>
      </c>
      <c r="AA32" s="26">
        <f>IF(B32="","",IF(COUNTIF(H32:S32,"Fail")&gt;0,1,0))</f>
        <v/>
      </c>
      <c r="AB32" s="26">
        <f>IF(B32="","",IF(COUNTIF(T32:Y32,"Fail")&gt;0,1,0))</f>
        <v/>
      </c>
      <c r="AC32" s="27">
        <f>IF(B32="","",0.1*Z32+0.8*AA32+0.1*AB32)</f>
        <v/>
      </c>
      <c r="AD32" s="27">
        <f>IF(B32="","",IF(C32="Batch 1",0.3,0.2))</f>
        <v/>
      </c>
      <c r="AE32" s="19">
        <f>IF(B32="","",IF(AC32&lt;=AD32,"Đạt","Không đạt"))</f>
        <v/>
      </c>
      <c r="AF32" s="43" t="inlineStr">
        <is>
          <t>Đạt toàn bộ tiêu chí.</t>
        </is>
      </c>
    </row>
    <row r="33" ht="30" customHeight="1" s="36">
      <c r="A33" s="17" t="n">
        <v>39</v>
      </c>
      <c r="B33" s="44" t="inlineStr">
        <is>
          <t>TCKH.BRANCH_LIST</t>
        </is>
      </c>
      <c r="C33" s="45" t="inlineStr">
        <is>
          <t>Batch 2</t>
        </is>
      </c>
      <c r="D33" s="45" t="inlineStr">
        <is>
          <t>HOP</t>
        </is>
      </c>
      <c r="E33" s="45" t="inlineStr">
        <is>
          <t>2026-08-11</t>
        </is>
      </c>
      <c r="F33" s="46" t="inlineStr">
        <is>
          <t>Pass</t>
        </is>
      </c>
      <c r="G33" s="46" t="inlineStr">
        <is>
          <t>Pass</t>
        </is>
      </c>
      <c r="H33" s="46" t="inlineStr">
        <is>
          <t>Pass</t>
        </is>
      </c>
      <c r="I33" s="46" t="inlineStr">
        <is>
          <t>Pass</t>
        </is>
      </c>
      <c r="J33" s="46" t="inlineStr">
        <is>
          <t>Pass</t>
        </is>
      </c>
      <c r="K33" s="46" t="inlineStr">
        <is>
          <t>Pass</t>
        </is>
      </c>
      <c r="L33" s="46" t="inlineStr">
        <is>
          <t>Pass</t>
        </is>
      </c>
      <c r="M33" s="46" t="inlineStr">
        <is>
          <t>Pass</t>
        </is>
      </c>
      <c r="N33" s="46" t="inlineStr">
        <is>
          <t>Pass</t>
        </is>
      </c>
      <c r="O33" s="46" t="inlineStr">
        <is>
          <t>Pass</t>
        </is>
      </c>
      <c r="P33" s="46" t="inlineStr">
        <is>
          <t>Pass</t>
        </is>
      </c>
      <c r="Q33" s="46" t="inlineStr">
        <is>
          <t>Pass</t>
        </is>
      </c>
      <c r="R33" s="46" t="inlineStr">
        <is>
          <t>Pass</t>
        </is>
      </c>
      <c r="S33" s="46" t="inlineStr">
        <is>
          <t>Pass</t>
        </is>
      </c>
      <c r="T33" s="46" t="inlineStr">
        <is>
          <t>Pass</t>
        </is>
      </c>
      <c r="U33" s="46" t="inlineStr">
        <is>
          <t>Pass</t>
        </is>
      </c>
      <c r="V33" s="46" t="inlineStr">
        <is>
          <t>Pass</t>
        </is>
      </c>
      <c r="W33" s="46" t="inlineStr">
        <is>
          <t>Pass</t>
        </is>
      </c>
      <c r="X33" s="46" t="inlineStr">
        <is>
          <t>Pass</t>
        </is>
      </c>
      <c r="Y33" s="46" t="inlineStr">
        <is>
          <t>Pass</t>
        </is>
      </c>
      <c r="Z33" s="26">
        <f>IF(B33="","",IF(COUNTIF(F33:G33,"Fail")&gt;0,1,0))</f>
        <v/>
      </c>
      <c r="AA33" s="26">
        <f>IF(B33="","",IF(COUNTIF(H33:S33,"Fail")&gt;0,1,0))</f>
        <v/>
      </c>
      <c r="AB33" s="26">
        <f>IF(B33="","",IF(COUNTIF(T33:Y33,"Fail")&gt;0,1,0))</f>
        <v/>
      </c>
      <c r="AC33" s="27">
        <f>IF(B33="","",0.1*Z33+0.8*AA33+0.1*AB33)</f>
        <v/>
      </c>
      <c r="AD33" s="27">
        <f>IF(B33="","",IF(C33="Batch 1",0.3,0.2))</f>
        <v/>
      </c>
      <c r="AE33" s="19">
        <f>IF(B33="","",IF(AC33&lt;=AD33,"Đạt","Không đạt"))</f>
        <v/>
      </c>
      <c r="AF33" s="43" t="inlineStr">
        <is>
          <t>Đạt toàn bộ tiêu chí.</t>
        </is>
      </c>
    </row>
    <row r="34" ht="30" customHeight="1" s="36">
      <c r="A34" s="17" t="n">
        <v>40</v>
      </c>
      <c r="B34" s="44" t="inlineStr">
        <is>
          <t>TCKH.CST_LCS_KT_30D_FINAL_CASE5</t>
        </is>
      </c>
      <c r="C34" s="45" t="inlineStr">
        <is>
          <t>Batch 2</t>
        </is>
      </c>
      <c r="D34" s="45" t="inlineStr">
        <is>
          <t>BAOANH</t>
        </is>
      </c>
      <c r="E34" s="45" t="inlineStr">
        <is>
          <t>2026-08-11</t>
        </is>
      </c>
      <c r="F34" s="46" t="inlineStr">
        <is>
          <t>Pass</t>
        </is>
      </c>
      <c r="G34" s="46" t="inlineStr">
        <is>
          <t>Pass</t>
        </is>
      </c>
      <c r="H34" s="46" t="inlineStr">
        <is>
          <t>Pass</t>
        </is>
      </c>
      <c r="I34" s="46" t="inlineStr">
        <is>
          <t>Pass</t>
        </is>
      </c>
      <c r="J34" s="46" t="inlineStr">
        <is>
          <t>Pass</t>
        </is>
      </c>
      <c r="K34" s="46" t="inlineStr">
        <is>
          <t>Pass</t>
        </is>
      </c>
      <c r="L34" s="46" t="inlineStr">
        <is>
          <t>Pass</t>
        </is>
      </c>
      <c r="M34" s="46" t="inlineStr">
        <is>
          <t>Pass</t>
        </is>
      </c>
      <c r="N34" s="46" t="inlineStr">
        <is>
          <t>Pass</t>
        </is>
      </c>
      <c r="O34" s="46" t="inlineStr">
        <is>
          <t>Pass</t>
        </is>
      </c>
      <c r="P34" s="46" t="inlineStr">
        <is>
          <t>Pass</t>
        </is>
      </c>
      <c r="Q34" s="46" t="inlineStr">
        <is>
          <t>WARN</t>
        </is>
      </c>
      <c r="R34" s="46" t="inlineStr">
        <is>
          <t>WARN</t>
        </is>
      </c>
      <c r="S34" s="46" t="inlineStr">
        <is>
          <t>Pass</t>
        </is>
      </c>
      <c r="T34" s="46" t="inlineStr">
        <is>
          <t>Pass</t>
        </is>
      </c>
      <c r="U34" s="46" t="inlineStr">
        <is>
          <t>WARN</t>
        </is>
      </c>
      <c r="V34" s="46" t="inlineStr">
        <is>
          <t>WARN</t>
        </is>
      </c>
      <c r="W34" s="46" t="inlineStr">
        <is>
          <t>WARN</t>
        </is>
      </c>
      <c r="X34" s="46" t="inlineStr">
        <is>
          <t>Pass</t>
        </is>
      </c>
      <c r="Y34" s="46" t="inlineStr">
        <is>
          <t>Pass</t>
        </is>
      </c>
      <c r="Z34" s="26">
        <f>IF(B34="","",IF(COUNTIF(F34:G34,"Fail")&gt;0,1,0))</f>
        <v/>
      </c>
      <c r="AA34" s="26">
        <f>IF(B34="","",IF(COUNTIF(H34:S34,"Fail")&gt;0,1,0))</f>
        <v/>
      </c>
      <c r="AB34" s="26">
        <f>IF(B34="","",IF(COUNTIF(T34:Y34,"Fail")&gt;0,1,0))</f>
        <v/>
      </c>
      <c r="AC34" s="27">
        <f>IF(B34="","",0.1*Z34+0.8*AA34+0.1*AB34)</f>
        <v/>
      </c>
      <c r="AD34" s="27">
        <f>IF(B34="","",IF(C34="Batch 1",0.3,0.2))</f>
        <v/>
      </c>
      <c r="AE34" s="19">
        <f>IF(B34="","",IF(AC34&lt;=AD34,"Đạt","Không đạt"))</f>
        <v/>
      </c>
      <c r="AF34" s="43" t="inlineStr">
        <is>
          <t>╔══ WARN: 5 tiêu chí — 2.10, 2.11, 3.2, 3.3, 3.4
▼ 2.10 — Aggregation kèm filter date range chính xác
   • 1 khối tổng hợp không thấy filter theo ngày/tham số: cte_w4_status
▼ 2.11 — Join dùng key hợp lý, không lạm dụng UNION ALL + EXISTS/NOT EXISTS
   • dùng đồng thời UNION ALL và EXISTS ở dòng [4, 595], xét thay bằng LEFT JOIN
▼ 3.2 — CTE không bị scan lại nhiều lần
   • CTE bị tham chiếu lại nhiều lần: cte_account_sts_del x2, cte_crb_sts_del x2, cte_snap_hub_customer x2, cte_snap_hub_branch x2, cte_snap_hub_account x4, cte_snap_link_account_customer x3, cte_snap_hub_crb x3, cte_snap_link_letter_of_credit_customer x2, cte_snap_sat_account_balance x2, cte_snap_calendar x3, cte_customer_classification x2, cte_customer_balance x2, cte_acct_base x2, cte_acct_b2 x2, cte_ft_dedup x2, cte_ref_way4_contr_status_cur x2, cte_w4_acnt_contract_info_cur x2, cte_w4_acnt_contract_type_cur x3
▼ 3.3 — Filter trước khi join, tận dụng partition pruning
   • 9 bảng join trực tiếp mà không có filter riêng: hub_acnt_contract (cc), hub_acnt_contract (lac), hub_letter_of_credit (hlc), hub_loans (hln), hub_md_deal (hmd), ref_currency (rc), ref_t24_acct_group_condition (mini), sat_categ_entry_information (info)
▼ 3.4 — Sử dụng CACHE cho query lặp lại trong cùng luồng
   • 18 CTE nặng dùng lại &gt;= 2 lần mà không có CACHE: cte_account_sts_del, cte_acct_b2, cte_acct_base, cte_crb_sts_del, cte_customer_balance, cte_customer_classification, cte_ft_dedup, cte_ref_way4_contr_status_cur, cte_snap_calendar, cte_snap_hub_account, cte_snap_hub_branch, cte_snap_hub_crb, cte_snap_hub_customer, cte_snap_link_account_customer, cte_snap_link_letter_of_credit_customer, cte_snap_sat_account_balance, cte_w4_acnt_contract_info_cur, cte_w4_acnt_contract_type_cur</t>
        </is>
      </c>
    </row>
    <row r="35" ht="30" customHeight="1" s="36">
      <c r="A35" s="17" t="n">
        <v>41</v>
      </c>
      <c r="B35" s="44" t="inlineStr">
        <is>
          <t>TCKH.HOLIDAY</t>
        </is>
      </c>
      <c r="C35" s="45" t="inlineStr">
        <is>
          <t>Batch 2</t>
        </is>
      </c>
      <c r="D35" s="45" t="inlineStr">
        <is>
          <t>BAOANH</t>
        </is>
      </c>
      <c r="E35" s="45" t="inlineStr">
        <is>
          <t>2026-08-11</t>
        </is>
      </c>
      <c r="F35" s="46" t="inlineStr">
        <is>
          <t>Pass</t>
        </is>
      </c>
      <c r="G35" s="46" t="inlineStr">
        <is>
          <t>Pass</t>
        </is>
      </c>
      <c r="H35" s="46" t="inlineStr">
        <is>
          <t>Pass</t>
        </is>
      </c>
      <c r="I35" s="46" t="inlineStr">
        <is>
          <t>Pass</t>
        </is>
      </c>
      <c r="J35" s="46" t="inlineStr">
        <is>
          <t>Pass</t>
        </is>
      </c>
      <c r="K35" s="46" t="inlineStr">
        <is>
          <t>Pass</t>
        </is>
      </c>
      <c r="L35" s="46" t="inlineStr">
        <is>
          <t>Pass</t>
        </is>
      </c>
      <c r="M35" s="46" t="inlineStr">
        <is>
          <t>Pass</t>
        </is>
      </c>
      <c r="N35" s="46" t="inlineStr">
        <is>
          <t>Pass</t>
        </is>
      </c>
      <c r="O35" s="46" t="inlineStr">
        <is>
          <t>Pass</t>
        </is>
      </c>
      <c r="P35" s="46" t="inlineStr">
        <is>
          <t>Pass</t>
        </is>
      </c>
      <c r="Q35" s="46" t="inlineStr">
        <is>
          <t>Pass</t>
        </is>
      </c>
      <c r="R35" s="46" t="inlineStr">
        <is>
          <t>Pass</t>
        </is>
      </c>
      <c r="S35" s="46" t="inlineStr">
        <is>
          <t>Pass</t>
        </is>
      </c>
      <c r="T35" s="46" t="inlineStr">
        <is>
          <t>Pass</t>
        </is>
      </c>
      <c r="U35" s="46" t="inlineStr">
        <is>
          <t>Pass</t>
        </is>
      </c>
      <c r="V35" s="46" t="inlineStr">
        <is>
          <t>Pass</t>
        </is>
      </c>
      <c r="W35" s="46" t="inlineStr">
        <is>
          <t>Pass</t>
        </is>
      </c>
      <c r="X35" s="46" t="inlineStr">
        <is>
          <t>Pass</t>
        </is>
      </c>
      <c r="Y35" s="46" t="inlineStr">
        <is>
          <t>Pass</t>
        </is>
      </c>
      <c r="Z35" s="26">
        <f>IF(B35="","",IF(COUNTIF(F35:G35,"Fail")&gt;0,1,0))</f>
        <v/>
      </c>
      <c r="AA35" s="26">
        <f>IF(B35="","",IF(COUNTIF(H35:S35,"Fail")&gt;0,1,0))</f>
        <v/>
      </c>
      <c r="AB35" s="26">
        <f>IF(B35="","",IF(COUNTIF(T35:Y35,"Fail")&gt;0,1,0))</f>
        <v/>
      </c>
      <c r="AC35" s="27">
        <f>IF(B35="","",0.1*Z35+0.8*AA35+0.1*AB35)</f>
        <v/>
      </c>
      <c r="AD35" s="27">
        <f>IF(B35="","",IF(C35="Batch 1",0.3,0.2))</f>
        <v/>
      </c>
      <c r="AE35" s="19">
        <f>IF(B35="","",IF(AC35&lt;=AD35,"Đạt","Không đạt"))</f>
        <v/>
      </c>
      <c r="AF35" s="43" t="inlineStr">
        <is>
          <t>Đạt toàn bộ tiêu chí.</t>
        </is>
      </c>
    </row>
    <row r="36" ht="30" customHeight="1" s="36">
      <c r="A36" s="17" t="n">
        <v>42</v>
      </c>
      <c r="B36" s="44" t="inlineStr">
        <is>
          <t>TCKH.MUABAN_VON_DTL</t>
        </is>
      </c>
      <c r="C36" s="45" t="inlineStr">
        <is>
          <t>Batch 2</t>
        </is>
      </c>
      <c r="D36" s="45" t="inlineStr">
        <is>
          <t>PHAT</t>
        </is>
      </c>
      <c r="E36" s="45" t="inlineStr">
        <is>
          <t>2026-08-11</t>
        </is>
      </c>
      <c r="F36" s="46" t="inlineStr">
        <is>
          <t>Pass</t>
        </is>
      </c>
      <c r="G36" s="46" t="inlineStr">
        <is>
          <t>Pass</t>
        </is>
      </c>
      <c r="H36" s="46" t="inlineStr">
        <is>
          <t>Pass</t>
        </is>
      </c>
      <c r="I36" s="46" t="inlineStr">
        <is>
          <t>Pass</t>
        </is>
      </c>
      <c r="J36" s="46" t="inlineStr">
        <is>
          <t>Pass</t>
        </is>
      </c>
      <c r="K36" s="46" t="inlineStr">
        <is>
          <t>Pass</t>
        </is>
      </c>
      <c r="L36" s="46" t="inlineStr">
        <is>
          <t>Pass</t>
        </is>
      </c>
      <c r="M36" s="46" t="inlineStr">
        <is>
          <t>Pass</t>
        </is>
      </c>
      <c r="N36" s="46" t="inlineStr">
        <is>
          <t>Pass</t>
        </is>
      </c>
      <c r="O36" s="46" t="inlineStr">
        <is>
          <t>Pass</t>
        </is>
      </c>
      <c r="P36" s="46" t="inlineStr">
        <is>
          <t>Pass</t>
        </is>
      </c>
      <c r="Q36" s="46" t="inlineStr">
        <is>
          <t>Pass</t>
        </is>
      </c>
      <c r="R36" s="46" t="inlineStr">
        <is>
          <t>Pass</t>
        </is>
      </c>
      <c r="S36" s="46" t="inlineStr">
        <is>
          <t>Pass</t>
        </is>
      </c>
      <c r="T36" s="46" t="inlineStr">
        <is>
          <t>Pass</t>
        </is>
      </c>
      <c r="U36" s="46" t="inlineStr">
        <is>
          <t>WARN</t>
        </is>
      </c>
      <c r="V36" s="46" t="inlineStr">
        <is>
          <t>WARN</t>
        </is>
      </c>
      <c r="W36" s="46" t="inlineStr">
        <is>
          <t>WARN</t>
        </is>
      </c>
      <c r="X36" s="46" t="inlineStr">
        <is>
          <t>Pass</t>
        </is>
      </c>
      <c r="Y36" s="46" t="inlineStr">
        <is>
          <t>Pass</t>
        </is>
      </c>
      <c r="Z36" s="26">
        <f>IF(B36="","",IF(COUNTIF(F36:G36,"Fail")&gt;0,1,0))</f>
        <v/>
      </c>
      <c r="AA36" s="26">
        <f>IF(B36="","",IF(COUNTIF(H36:S36,"Fail")&gt;0,1,0))</f>
        <v/>
      </c>
      <c r="AB36" s="26">
        <f>IF(B36="","",IF(COUNTIF(T36:Y36,"Fail")&gt;0,1,0))</f>
        <v/>
      </c>
      <c r="AC36" s="27">
        <f>IF(B36="","",0.1*Z36+0.8*AA36+0.1*AB36)</f>
        <v/>
      </c>
      <c r="AD36" s="27">
        <f>IF(B36="","",IF(C36="Batch 1",0.3,0.2))</f>
        <v/>
      </c>
      <c r="AE36" s="19">
        <f>IF(B36="","",IF(AC36&lt;=AD36,"Đạt","Không đạt"))</f>
        <v/>
      </c>
      <c r="AF36" s="43" t="inlineStr">
        <is>
          <t>╔══ FAIL: 2 tiêu chí — X.6, X.11
▼ X.6 — [Bổ sung] Satellite phải LEFT JOIN, không INNER JOIN   [bổ sung, không tính điểm — Technical Document ZoneC v1.1, mục III.4.2.2 nguyên tắc 1]
   • Lý do: 1 satellite dùng INNER JOIN, sẽ mất bản ghi Hub chưa có dòng satellite: sat_customer_information (dong 60)
   → Cách sửa: Technical Document III.4.2.2 nguyên tắc 1: làm giàu thuộc tính luôn dùng LEFT JOIN. INNER JOIN satellite sẽ loại mất bản ghi Hub đang còn hiệu lực nhưng chưa có dòng satellite.
▼ X.11 — Cot doc tu satellite (sat_*) phai TON TAI THAT trong model   [bổ sung, không tính điểm — đối chiếu trực tiếp với docs/datavault-model-dev_zonec.zip (models/raw_vault/satellite) - cột list_cols/raw_sql cua model dbt that]
   • Lý do: 1 bảng sat_* đọc cột KHÔNG TỒN TẠI trong model thật: sat_app_product (dòng 70): ['productcode']
╔══ WARN: 4 tiêu chí — 3.2, 3.3, 3.4, X.7
▼ 3.2 — CTE không bị scan lại nhiều lần
   • CTE bị tham chiếu lại nhiều lần: cust x3, prod x3, categ x5, promo x3
▼ 3.3 — Filter trước khi join, tận dụng partition pruning
   • 1 bảng join trực tiếp mà không có filter riêng: BRANCH_LIST (b)
▼ 3.4 — Sử dụng CACHE cho query lặp lại trong cùng luồng
   • 4 CTE nặng dùng lại &gt;= 2 lần mà không có CACHE: categ, cust, prod, promo
▼ X.7 — [Bổ sung] Không hard-code catalog, dùng biến môi trường   [bổ sung, không tính điểm — Technical Document ZoneC v1.1, mục Cấu hình Pipeline / Cú pháp chung]
   • dùng lẫn cả biến môi trường và catalog cứng: ['ocb_datavault_pilotcloud_cleaned']</t>
        </is>
      </c>
    </row>
    <row r="37" ht="30" customHeight="1" s="36">
      <c r="A37" s="17" t="n">
        <v>43</v>
      </c>
      <c r="B37" s="44" t="inlineStr">
        <is>
          <t>TCKH.T24_CRB</t>
        </is>
      </c>
      <c r="C37" s="45" t="inlineStr">
        <is>
          <t>Batch 2</t>
        </is>
      </c>
      <c r="D37" s="45" t="inlineStr">
        <is>
          <t>PHAT</t>
        </is>
      </c>
      <c r="E37" s="45" t="inlineStr">
        <is>
          <t>2026-08-11</t>
        </is>
      </c>
      <c r="F37" s="46" t="inlineStr">
        <is>
          <t>Pass</t>
        </is>
      </c>
      <c r="G37" s="46" t="inlineStr">
        <is>
          <t>Pass</t>
        </is>
      </c>
      <c r="H37" s="46" t="inlineStr">
        <is>
          <t>Pass</t>
        </is>
      </c>
      <c r="I37" s="46" t="inlineStr">
        <is>
          <t>Pass</t>
        </is>
      </c>
      <c r="J37" s="46" t="inlineStr">
        <is>
          <t>Pass</t>
        </is>
      </c>
      <c r="K37" s="46" t="inlineStr">
        <is>
          <t>Pass</t>
        </is>
      </c>
      <c r="L37" s="46" t="inlineStr">
        <is>
          <t>Pass</t>
        </is>
      </c>
      <c r="M37" s="46" t="inlineStr">
        <is>
          <t>Pass</t>
        </is>
      </c>
      <c r="N37" s="46" t="inlineStr">
        <is>
          <t>Pass</t>
        </is>
      </c>
      <c r="O37" s="46" t="inlineStr">
        <is>
          <t>Pass</t>
        </is>
      </c>
      <c r="P37" s="46" t="inlineStr">
        <is>
          <t>Pass</t>
        </is>
      </c>
      <c r="Q37" s="46" t="inlineStr">
        <is>
          <t>Pass</t>
        </is>
      </c>
      <c r="R37" s="46" t="inlineStr">
        <is>
          <t>Pass</t>
        </is>
      </c>
      <c r="S37" s="46" t="inlineStr">
        <is>
          <t>Pass</t>
        </is>
      </c>
      <c r="T37" s="46" t="inlineStr">
        <is>
          <t>Pass</t>
        </is>
      </c>
      <c r="U37" s="46" t="inlineStr">
        <is>
          <t>Pass</t>
        </is>
      </c>
      <c r="V37" s="46" t="inlineStr">
        <is>
          <t>WARN</t>
        </is>
      </c>
      <c r="W37" s="46" t="inlineStr">
        <is>
          <t>Pass</t>
        </is>
      </c>
      <c r="X37" s="46" t="inlineStr">
        <is>
          <t>WARN</t>
        </is>
      </c>
      <c r="Y37" s="46" t="inlineStr">
        <is>
          <t>Pass</t>
        </is>
      </c>
      <c r="Z37" s="26">
        <f>IF(B37="","",IF(COUNTIF(F37:G37,"Fail")&gt;0,1,0))</f>
        <v/>
      </c>
      <c r="AA37" s="26">
        <f>IF(B37="","",IF(COUNTIF(H37:S37,"Fail")&gt;0,1,0))</f>
        <v/>
      </c>
      <c r="AB37" s="26">
        <f>IF(B37="","",IF(COUNTIF(T37:Y37,"Fail")&gt;0,1,0))</f>
        <v/>
      </c>
      <c r="AC37" s="27">
        <f>IF(B37="","",0.1*Z37+0.8*AA37+0.1*AB37)</f>
        <v/>
      </c>
      <c r="AD37" s="27">
        <f>IF(B37="","",IF(C37="Batch 1",0.3,0.2))</f>
        <v/>
      </c>
      <c r="AE37" s="19">
        <f>IF(B37="","",IF(AC37&lt;=AD37,"Đạt","Không đạt"))</f>
        <v/>
      </c>
      <c r="AF37" s="43" t="inlineStr">
        <is>
          <t>╔══ WARN: 2 tiêu chí — 3.3, 3.5
▼ 3.3 — Filter trước khi join, tận dụng partition pruning
   • 2 bảng join trực tiếp mà không có filter riêng: hub_branch (hb), hub_customer (hc)
▼ 3.5 — Ưu tiên MAX_BY + QUALIFY thay ROW_NUMBER() + WHERE rn = 1
   • 1 khối dùng MAX_BY độc lập cho &gt;5 cột (dòng 48, [9]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38" ht="30" customHeight="1" s="36">
      <c r="A38" s="17" t="n">
        <v>44</v>
      </c>
      <c r="B38" s="44" t="inlineStr">
        <is>
          <t>TCKH.T24_CUSTOMER</t>
        </is>
      </c>
      <c r="C38" s="45" t="inlineStr">
        <is>
          <t>Batch 2</t>
        </is>
      </c>
      <c r="D38" s="45" t="inlineStr">
        <is>
          <t>PHAT</t>
        </is>
      </c>
      <c r="E38" s="45" t="inlineStr">
        <is>
          <t>2026-08-11</t>
        </is>
      </c>
      <c r="F38" s="46" t="inlineStr">
        <is>
          <t>Pass</t>
        </is>
      </c>
      <c r="G38" s="46" t="inlineStr">
        <is>
          <t>Pass</t>
        </is>
      </c>
      <c r="H38" s="46" t="inlineStr">
        <is>
          <t>Pass</t>
        </is>
      </c>
      <c r="I38" s="46" t="inlineStr">
        <is>
          <t>Pass</t>
        </is>
      </c>
      <c r="J38" s="46" t="inlineStr">
        <is>
          <t>Pass</t>
        </is>
      </c>
      <c r="K38" s="46" t="inlineStr">
        <is>
          <t>Pass</t>
        </is>
      </c>
      <c r="L38" s="46" t="inlineStr">
        <is>
          <t>Pass</t>
        </is>
      </c>
      <c r="M38" s="46" t="inlineStr">
        <is>
          <t>Pass</t>
        </is>
      </c>
      <c r="N38" s="46" t="inlineStr">
        <is>
          <t>Pass</t>
        </is>
      </c>
      <c r="O38" s="46" t="inlineStr">
        <is>
          <t>Pass</t>
        </is>
      </c>
      <c r="P38" s="46" t="inlineStr">
        <is>
          <t>Pass</t>
        </is>
      </c>
      <c r="Q38" s="46" t="inlineStr">
        <is>
          <t>Pass</t>
        </is>
      </c>
      <c r="R38" s="46" t="inlineStr">
        <is>
          <t>Pass</t>
        </is>
      </c>
      <c r="S38" s="46" t="inlineStr">
        <is>
          <t>Pass</t>
        </is>
      </c>
      <c r="T38" s="46" t="inlineStr">
        <is>
          <t>Pass</t>
        </is>
      </c>
      <c r="U38" s="46" t="inlineStr">
        <is>
          <t>Pass</t>
        </is>
      </c>
      <c r="V38" s="46" t="inlineStr">
        <is>
          <t>WARN</t>
        </is>
      </c>
      <c r="W38" s="46" t="inlineStr">
        <is>
          <t>Pass</t>
        </is>
      </c>
      <c r="X38" s="46" t="inlineStr">
        <is>
          <t>Pass</t>
        </is>
      </c>
      <c r="Y38" s="46" t="inlineStr">
        <is>
          <t>Pass</t>
        </is>
      </c>
      <c r="Z38" s="26">
        <f>IF(B38="","",IF(COUNTIF(F38:G38,"Fail")&gt;0,1,0))</f>
        <v/>
      </c>
      <c r="AA38" s="26">
        <f>IF(B38="","",IF(COUNTIF(H38:S38,"Fail")&gt;0,1,0))</f>
        <v/>
      </c>
      <c r="AB38" s="26">
        <f>IF(B38="","",IF(COUNTIF(T38:Y38,"Fail")&gt;0,1,0))</f>
        <v/>
      </c>
      <c r="AC38" s="27">
        <f>IF(B38="","",0.1*Z38+0.8*AA38+0.1*AB38)</f>
        <v/>
      </c>
      <c r="AD38" s="27">
        <f>IF(B38="","",IF(C38="Batch 1",0.3,0.2))</f>
        <v/>
      </c>
      <c r="AE38" s="19">
        <f>IF(B38="","",IF(AC38&lt;=AD38,"Đạt","Không đạt"))</f>
        <v/>
      </c>
      <c r="AF38" s="43" t="inlineStr">
        <is>
          <t>╔══ WARN: 1 tiêu chí — 3.3
▼ 3.3 — Filter trước khi join, tận dụng partition pruning
   • 7 bảng join trực tiếp mà không có filter riêng: hub_acct_officer (ha), hub_branch (hb), sat_customer_classification (scl), sat_customer_contact (sc), sat_customer_financial_statement (sf), sat_customer_information (si), sat_customer_kyc (sk)</t>
        </is>
      </c>
    </row>
    <row r="39" ht="30" customHeight="1" s="36">
      <c r="A39" s="17" t="n">
        <v>45</v>
      </c>
      <c r="B39" s="44" t="inlineStr">
        <is>
          <t>TCKH.TB_AR_BCN_DTL</t>
        </is>
      </c>
      <c r="C39" s="45" t="inlineStr">
        <is>
          <t>Batch 2</t>
        </is>
      </c>
      <c r="D39" s="45" t="inlineStr">
        <is>
          <t>QUANG</t>
        </is>
      </c>
      <c r="E39" s="45" t="inlineStr">
        <is>
          <t>2026-08-11</t>
        </is>
      </c>
      <c r="F39" s="46" t="inlineStr">
        <is>
          <t>Pass</t>
        </is>
      </c>
      <c r="G39" s="46" t="inlineStr">
        <is>
          <t>Pass</t>
        </is>
      </c>
      <c r="H39" s="46" t="inlineStr">
        <is>
          <t>Pass</t>
        </is>
      </c>
      <c r="I39" s="46" t="inlineStr">
        <is>
          <t>Pass</t>
        </is>
      </c>
      <c r="J39" s="46" t="inlineStr">
        <is>
          <t>Pass</t>
        </is>
      </c>
      <c r="K39" s="46" t="inlineStr">
        <is>
          <t>Pass</t>
        </is>
      </c>
      <c r="L39" s="46" t="inlineStr">
        <is>
          <t>Pass</t>
        </is>
      </c>
      <c r="M39" s="46" t="inlineStr">
        <is>
          <t>Pass</t>
        </is>
      </c>
      <c r="N39" s="46" t="inlineStr">
        <is>
          <t>Pass</t>
        </is>
      </c>
      <c r="O39" s="46" t="inlineStr">
        <is>
          <t>Pass</t>
        </is>
      </c>
      <c r="P39" s="46" t="inlineStr">
        <is>
          <t>Pass</t>
        </is>
      </c>
      <c r="Q39" s="46" t="inlineStr">
        <is>
          <t>Pass</t>
        </is>
      </c>
      <c r="R39" s="46" t="inlineStr">
        <is>
          <t>Pass</t>
        </is>
      </c>
      <c r="S39" s="46" t="inlineStr">
        <is>
          <t>Pass</t>
        </is>
      </c>
      <c r="T39" s="46" t="inlineStr">
        <is>
          <t>Pass</t>
        </is>
      </c>
      <c r="U39" s="46" t="inlineStr">
        <is>
          <t>Pass</t>
        </is>
      </c>
      <c r="V39" s="46" t="inlineStr">
        <is>
          <t>WARN</t>
        </is>
      </c>
      <c r="W39" s="46" t="inlineStr">
        <is>
          <t>Pass</t>
        </is>
      </c>
      <c r="X39" s="46" t="inlineStr">
        <is>
          <t>Pass</t>
        </is>
      </c>
      <c r="Y39" s="46" t="inlineStr">
        <is>
          <t>Pass</t>
        </is>
      </c>
      <c r="Z39" s="26">
        <f>IF(B39="","",IF(COUNTIF(F39:G39,"Fail")&gt;0,1,0))</f>
        <v/>
      </c>
      <c r="AA39" s="26">
        <f>IF(B39="","",IF(COUNTIF(H39:S39,"Fail")&gt;0,1,0))</f>
        <v/>
      </c>
      <c r="AB39" s="26">
        <f>IF(B39="","",IF(COUNTIF(T39:Y39,"Fail")&gt;0,1,0))</f>
        <v/>
      </c>
      <c r="AC39" s="27">
        <f>IF(B39="","",0.1*Z39+0.8*AA39+0.1*AB39)</f>
        <v/>
      </c>
      <c r="AD39" s="27">
        <f>IF(B39="","",IF(C39="Batch 1",0.3,0.2))</f>
        <v/>
      </c>
      <c r="AE39" s="19">
        <f>IF(B39="","",IF(AC39&lt;=AD39,"Đạt","Không đạt"))</f>
        <v/>
      </c>
      <c r="AF39" s="43" t="inlineStr">
        <is>
          <t>╔══ WARN: 1 tiêu chí — 3.3
▼ 3.3 — Filter trước khi join, tận dụng partition pruning
   • 2 bảng join trực tiếp mà không có filter riêng: ref_t24_ld_economic_sector (r4), ref_t24_ld_economic_sector (r5)</t>
        </is>
      </c>
    </row>
    <row r="40" ht="30" customHeight="1" s="36">
      <c r="A40" s="17" t="n">
        <v>46</v>
      </c>
      <c r="B40" s="44" t="inlineStr">
        <is>
          <t>TCKH.TB_AR_DTL</t>
        </is>
      </c>
      <c r="C40" s="45" t="inlineStr">
        <is>
          <t>Batch 2</t>
        </is>
      </c>
      <c r="D40" s="45" t="inlineStr">
        <is>
          <t>HOP</t>
        </is>
      </c>
      <c r="E40" s="45" t="inlineStr">
        <is>
          <t>2026-08-11</t>
        </is>
      </c>
      <c r="F40" s="46" t="inlineStr">
        <is>
          <t>Pass</t>
        </is>
      </c>
      <c r="G40" s="46" t="inlineStr">
        <is>
          <t>Pass</t>
        </is>
      </c>
      <c r="H40" s="46" t="inlineStr">
        <is>
          <t>Pass</t>
        </is>
      </c>
      <c r="I40" s="46" t="inlineStr">
        <is>
          <t>Pass</t>
        </is>
      </c>
      <c r="J40" s="46" t="inlineStr">
        <is>
          <t>Pass</t>
        </is>
      </c>
      <c r="K40" s="46" t="inlineStr">
        <is>
          <t>Pass</t>
        </is>
      </c>
      <c r="L40" s="46" t="inlineStr">
        <is>
          <t>Pass</t>
        </is>
      </c>
      <c r="M40" s="46" t="inlineStr">
        <is>
          <t>Pass</t>
        </is>
      </c>
      <c r="N40" s="46" t="inlineStr">
        <is>
          <t>Pass</t>
        </is>
      </c>
      <c r="O40" s="46" t="inlineStr">
        <is>
          <t>Pass</t>
        </is>
      </c>
      <c r="P40" s="46" t="inlineStr">
        <is>
          <t>Pass</t>
        </is>
      </c>
      <c r="Q40" s="46" t="inlineStr">
        <is>
          <t>Pass</t>
        </is>
      </c>
      <c r="R40" s="46" t="inlineStr">
        <is>
          <t>Pass</t>
        </is>
      </c>
      <c r="S40" s="46" t="inlineStr">
        <is>
          <t>Pass</t>
        </is>
      </c>
      <c r="T40" s="46" t="inlineStr">
        <is>
          <t>Pass</t>
        </is>
      </c>
      <c r="U40" s="46" t="inlineStr">
        <is>
          <t>WARN</t>
        </is>
      </c>
      <c r="V40" s="46" t="inlineStr">
        <is>
          <t>WARN</t>
        </is>
      </c>
      <c r="W40" s="46" t="inlineStr">
        <is>
          <t>WARN</t>
        </is>
      </c>
      <c r="X40" s="46" t="inlineStr">
        <is>
          <t>Pass</t>
        </is>
      </c>
      <c r="Y40" s="46" t="inlineStr">
        <is>
          <t>Pass</t>
        </is>
      </c>
      <c r="Z40" s="26">
        <f>IF(B40="","",IF(COUNTIF(F40:G40,"Fail")&gt;0,1,0))</f>
        <v/>
      </c>
      <c r="AA40" s="26">
        <f>IF(B40="","",IF(COUNTIF(H40:S40,"Fail")&gt;0,1,0))</f>
        <v/>
      </c>
      <c r="AB40" s="26">
        <f>IF(B40="","",IF(COUNTIF(T40:Y40,"Fail")&gt;0,1,0))</f>
        <v/>
      </c>
      <c r="AC40" s="27">
        <f>IF(B40="","",0.1*Z40+0.8*AA40+0.1*AB40)</f>
        <v/>
      </c>
      <c r="AD40" s="27">
        <f>IF(B40="","",IF(C40="Batch 1",0.3,0.2))</f>
        <v/>
      </c>
      <c r="AE40" s="19">
        <f>IF(B40="","",IF(AC40&lt;=AD40,"Đạt","Không đạt"))</f>
        <v/>
      </c>
      <c r="AF40" s="43" t="inlineStr">
        <is>
          <t>╔══ WARN: 3 tiêu chí — 3.2, 3.3, 3.4
▼ 3.2 — CTE không bị scan lại nhiều lần
   • CTE bị tham chiếu lại nhiều lần: snap_hub_customer x3, snap_hub_account x2, snap_sat_loans_insurance x2, ld_ins_ref x2, ld x25, cca_base x2, cca_b2 x2, cat x4, lsp x4, ind x4, cg x4, sec x4
▼ 3.3 — Filter trước khi join, tận dụng partition pruning
   • 3 bảng join trực tiếp mà không có filter riêng: branch_list (br), hub_acct_officer (ho), ref_t24_acct_group_condition (mini)
▼ 3.4 — Sử dụng CACHE cho query lặp lại trong cùng luồng
   • 12 CTE nặng dùng lại &gt;= 2 lần mà không có CACHE: cat, cca_b2, cca_base, cg, ind, ld, ld_ins_ref, lsp, sec, snap_hub_account, snap_hub_customer, snap_sat_loans_insurance</t>
        </is>
      </c>
    </row>
    <row r="41" ht="30" customHeight="1" s="36">
      <c r="A41" s="17" t="n">
        <v>47</v>
      </c>
      <c r="B41" s="44" t="inlineStr">
        <is>
          <t>TCKH.V_BCN_THUNO_1</t>
        </is>
      </c>
      <c r="C41" s="45" t="inlineStr">
        <is>
          <t>Batch 2</t>
        </is>
      </c>
      <c r="D41" s="45" t="inlineStr">
        <is>
          <t>QUANG</t>
        </is>
      </c>
      <c r="E41" s="45" t="inlineStr">
        <is>
          <t>2026-08-11</t>
        </is>
      </c>
      <c r="F41" s="46" t="inlineStr">
        <is>
          <t>Pass</t>
        </is>
      </c>
      <c r="G41" s="46" t="inlineStr">
        <is>
          <t>Pass</t>
        </is>
      </c>
      <c r="H41" s="46" t="inlineStr">
        <is>
          <t>Pass</t>
        </is>
      </c>
      <c r="I41" s="46" t="inlineStr">
        <is>
          <t>Pass</t>
        </is>
      </c>
      <c r="J41" s="46" t="inlineStr">
        <is>
          <t>Pass</t>
        </is>
      </c>
      <c r="K41" s="46" t="inlineStr">
        <is>
          <t>Pass</t>
        </is>
      </c>
      <c r="L41" s="46" t="inlineStr">
        <is>
          <t>Pass</t>
        </is>
      </c>
      <c r="M41" s="46" t="inlineStr">
        <is>
          <t>Pass</t>
        </is>
      </c>
      <c r="N41" s="46" t="inlineStr">
        <is>
          <t>Pass</t>
        </is>
      </c>
      <c r="O41" s="46" t="inlineStr">
        <is>
          <t>Pass</t>
        </is>
      </c>
      <c r="P41" s="46" t="inlineStr">
        <is>
          <t>Pass</t>
        </is>
      </c>
      <c r="Q41" s="46" t="inlineStr">
        <is>
          <t>Pass</t>
        </is>
      </c>
      <c r="R41" s="46" t="inlineStr">
        <is>
          <t>Pass</t>
        </is>
      </c>
      <c r="S41" s="46" t="inlineStr">
        <is>
          <t>WARN</t>
        </is>
      </c>
      <c r="T41" s="46" t="inlineStr">
        <is>
          <t>Pass</t>
        </is>
      </c>
      <c r="U41" s="46" t="inlineStr">
        <is>
          <t>Pass</t>
        </is>
      </c>
      <c r="V41" s="46" t="inlineStr">
        <is>
          <t>WARN</t>
        </is>
      </c>
      <c r="W41" s="46" t="inlineStr">
        <is>
          <t>Pass</t>
        </is>
      </c>
      <c r="X41" s="46" t="inlineStr">
        <is>
          <t>Pass</t>
        </is>
      </c>
      <c r="Y41" s="46" t="inlineStr">
        <is>
          <t>Pass</t>
        </is>
      </c>
      <c r="Z41" s="26">
        <f>IF(B41="","",IF(COUNTIF(F41:G41,"Fail")&gt;0,1,0))</f>
        <v/>
      </c>
      <c r="AA41" s="26">
        <f>IF(B41="","",IF(COUNTIF(H41:S41,"Fail")&gt;0,1,0))</f>
        <v/>
      </c>
      <c r="AB41" s="26">
        <f>IF(B41="","",IF(COUNTIF(T41:Y41,"Fail")&gt;0,1,0))</f>
        <v/>
      </c>
      <c r="AC41" s="27">
        <f>IF(B41="","",0.1*Z41+0.8*AA41+0.1*AB41)</f>
        <v/>
      </c>
      <c r="AD41" s="27">
        <f>IF(B41="","",IF(C41="Batch 1",0.3,0.2))</f>
        <v/>
      </c>
      <c r="AE41" s="19">
        <f>IF(B41="","",IF(AC41&lt;=AD41,"Đạt","Không đạt"))</f>
        <v/>
      </c>
      <c r="AF41" s="43" t="inlineStr">
        <is>
          <t>╔══ WARN: 2 tiêu chí — 2.12, 3.3
▼ 2.12 — Build Gold từ CTE snapshot Silver, không build nhiều tầng chồng chéo
   • bảng bị đọc lại ở nhiều khối SELECT, xét gom thành 1 CTE: tb_saoke_bcn085 ở 3 khối, d_cic_dungky_final ở 2 khối
▼ 3.3 — Filter trước khi join, tận dụng partition pruning
   • 3 bảng join trực tiếp mà không có filter riêng: d_cic_dungky_final (cic), t24_customer (b)</t>
        </is>
      </c>
    </row>
    <row r="42" ht="30" customHeight="1" s="36">
      <c r="A42" s="17" t="n">
        <v>48</v>
      </c>
      <c r="B42" s="44" t="inlineStr">
        <is>
          <t>TCKH.V_CDTK_DAILY_1</t>
        </is>
      </c>
      <c r="C42" s="45" t="inlineStr">
        <is>
          <t>Batch 2</t>
        </is>
      </c>
      <c r="D42" s="45" t="inlineStr">
        <is>
          <t>QUANG</t>
        </is>
      </c>
      <c r="E42" s="45" t="inlineStr">
        <is>
          <t>2026-08-11</t>
        </is>
      </c>
      <c r="F42" s="46" t="inlineStr">
        <is>
          <t>Pass</t>
        </is>
      </c>
      <c r="G42" s="46" t="inlineStr">
        <is>
          <t>Pass</t>
        </is>
      </c>
      <c r="H42" s="46" t="inlineStr">
        <is>
          <t>Pass</t>
        </is>
      </c>
      <c r="I42" s="46" t="inlineStr">
        <is>
          <t>Pass</t>
        </is>
      </c>
      <c r="J42" s="46" t="inlineStr">
        <is>
          <t>Pass</t>
        </is>
      </c>
      <c r="K42" s="46" t="inlineStr">
        <is>
          <t>Pass</t>
        </is>
      </c>
      <c r="L42" s="46" t="inlineStr">
        <is>
          <t>Pass</t>
        </is>
      </c>
      <c r="M42" s="46" t="inlineStr">
        <is>
          <t>Pass</t>
        </is>
      </c>
      <c r="N42" s="46" t="inlineStr">
        <is>
          <t>Pass</t>
        </is>
      </c>
      <c r="O42" s="46" t="inlineStr">
        <is>
          <t>Pass</t>
        </is>
      </c>
      <c r="P42" s="46" t="inlineStr">
        <is>
          <t>Pass</t>
        </is>
      </c>
      <c r="Q42" s="46" t="inlineStr">
        <is>
          <t>Pass</t>
        </is>
      </c>
      <c r="R42" s="46" t="inlineStr">
        <is>
          <t>Pass</t>
        </is>
      </c>
      <c r="S42" s="46" t="inlineStr">
        <is>
          <t>Pass</t>
        </is>
      </c>
      <c r="T42" s="46" t="inlineStr">
        <is>
          <t>Pass</t>
        </is>
      </c>
      <c r="U42" s="46" t="inlineStr">
        <is>
          <t>Pass</t>
        </is>
      </c>
      <c r="V42" s="46" t="inlineStr">
        <is>
          <t>Pass</t>
        </is>
      </c>
      <c r="W42" s="46" t="inlineStr">
        <is>
          <t>Pass</t>
        </is>
      </c>
      <c r="X42" s="46" t="inlineStr">
        <is>
          <t>Pass</t>
        </is>
      </c>
      <c r="Y42" s="46" t="inlineStr">
        <is>
          <t>Pass</t>
        </is>
      </c>
      <c r="Z42" s="26">
        <f>IF(B42="","",IF(COUNTIF(F42:G42,"Fail")&gt;0,1,0))</f>
        <v/>
      </c>
      <c r="AA42" s="26">
        <f>IF(B42="","",IF(COUNTIF(H42:S42,"Fail")&gt;0,1,0))</f>
        <v/>
      </c>
      <c r="AB42" s="26">
        <f>IF(B42="","",IF(COUNTIF(T42:Y42,"Fail")&gt;0,1,0))</f>
        <v/>
      </c>
      <c r="AC42" s="27">
        <f>IF(B42="","",0.1*Z42+0.8*AA42+0.1*AB42)</f>
        <v/>
      </c>
      <c r="AD42" s="27">
        <f>IF(B42="","",IF(C42="Batch 1",0.3,0.2))</f>
        <v/>
      </c>
      <c r="AE42" s="19">
        <f>IF(B42="","",IF(AC42&lt;=AD42,"Đạt","Không đạt"))</f>
        <v/>
      </c>
      <c r="AF42" s="43" t="inlineStr">
        <is>
          <t>Đạt toàn bộ tiêu chí.</t>
        </is>
      </c>
    </row>
    <row r="43" ht="30" customHeight="1" s="36">
      <c r="A43" s="17" t="n">
        <v>50</v>
      </c>
      <c r="B43" s="44" t="inlineStr">
        <is>
          <t>TCKH.V_ENTRY_STMT_QUYMO</t>
        </is>
      </c>
      <c r="C43" s="45" t="inlineStr">
        <is>
          <t>Batch 2</t>
        </is>
      </c>
      <c r="D43" s="45" t="inlineStr">
        <is>
          <t>QUANG</t>
        </is>
      </c>
      <c r="E43" s="45" t="inlineStr">
        <is>
          <t>2026-08-11</t>
        </is>
      </c>
      <c r="F43" s="46" t="inlineStr">
        <is>
          <t>Pass</t>
        </is>
      </c>
      <c r="G43" s="46" t="inlineStr">
        <is>
          <t>Pass</t>
        </is>
      </c>
      <c r="H43" s="46" t="inlineStr">
        <is>
          <t>Pass</t>
        </is>
      </c>
      <c r="I43" s="46" t="inlineStr">
        <is>
          <t>Pass</t>
        </is>
      </c>
      <c r="J43" s="46" t="inlineStr">
        <is>
          <t>Pass</t>
        </is>
      </c>
      <c r="K43" s="46" t="inlineStr">
        <is>
          <t>Pass</t>
        </is>
      </c>
      <c r="L43" s="46" t="inlineStr">
        <is>
          <t>Pass</t>
        </is>
      </c>
      <c r="M43" s="46" t="inlineStr">
        <is>
          <t>Pass</t>
        </is>
      </c>
      <c r="N43" s="46" t="inlineStr">
        <is>
          <t>Pass</t>
        </is>
      </c>
      <c r="O43" s="46" t="inlineStr">
        <is>
          <t>Pass</t>
        </is>
      </c>
      <c r="P43" s="46" t="inlineStr">
        <is>
          <t>Pass</t>
        </is>
      </c>
      <c r="Q43" s="46" t="inlineStr">
        <is>
          <t>Pass</t>
        </is>
      </c>
      <c r="R43" s="46" t="inlineStr">
        <is>
          <t>Pass</t>
        </is>
      </c>
      <c r="S43" s="46" t="inlineStr">
        <is>
          <t>Pass</t>
        </is>
      </c>
      <c r="T43" s="46" t="inlineStr">
        <is>
          <t>Pass</t>
        </is>
      </c>
      <c r="U43" s="46" t="inlineStr">
        <is>
          <t>Pass</t>
        </is>
      </c>
      <c r="V43" s="46" t="inlineStr">
        <is>
          <t>Pass</t>
        </is>
      </c>
      <c r="W43" s="46" t="inlineStr">
        <is>
          <t>Pass</t>
        </is>
      </c>
      <c r="X43" s="46" t="inlineStr">
        <is>
          <t>Pass</t>
        </is>
      </c>
      <c r="Y43" s="46" t="inlineStr">
        <is>
          <t>Pass</t>
        </is>
      </c>
      <c r="Z43" s="26">
        <f>IF(B43="","",IF(COUNTIF(F43:G43,"Fail")&gt;0,1,0))</f>
        <v/>
      </c>
      <c r="AA43" s="26">
        <f>IF(B43="","",IF(COUNTIF(H43:S43,"Fail")&gt;0,1,0))</f>
        <v/>
      </c>
      <c r="AB43" s="26">
        <f>IF(B43="","",IF(COUNTIF(T43:Y43,"Fail")&gt;0,1,0))</f>
        <v/>
      </c>
      <c r="AC43" s="27">
        <f>IF(B43="","",0.1*Z43+0.8*AA43+0.1*AB43)</f>
        <v/>
      </c>
      <c r="AD43" s="27">
        <f>IF(B43="","",IF(C43="Batch 1",0.3,0.2))</f>
        <v/>
      </c>
      <c r="AE43" s="19">
        <f>IF(B43="","",IF(AC43&lt;=AD43,"Đạt","Không đạt"))</f>
        <v/>
      </c>
      <c r="AF43" s="43" t="inlineStr">
        <is>
          <t>Đạt toàn bộ tiêu chí.</t>
        </is>
      </c>
    </row>
    <row r="44" ht="30" customHeight="1" s="36">
      <c r="A44" s="17" t="n">
        <v>51</v>
      </c>
      <c r="B44" s="44" t="inlineStr">
        <is>
          <t>TCKH.V_FTP_INTEREST_RATE_NIM_ON</t>
        </is>
      </c>
      <c r="C44" s="45" t="inlineStr">
        <is>
          <t>Batch 2</t>
        </is>
      </c>
      <c r="D44" s="45" t="inlineStr">
        <is>
          <t>PHAT</t>
        </is>
      </c>
      <c r="E44" s="45" t="inlineStr">
        <is>
          <t>2026-08-11</t>
        </is>
      </c>
      <c r="F44" s="46" t="inlineStr">
        <is>
          <t>Pass</t>
        </is>
      </c>
      <c r="G44" s="46" t="inlineStr">
        <is>
          <t>Pass</t>
        </is>
      </c>
      <c r="H44" s="46" t="inlineStr">
        <is>
          <t>Pass</t>
        </is>
      </c>
      <c r="I44" s="46" t="inlineStr">
        <is>
          <t>Pass</t>
        </is>
      </c>
      <c r="J44" s="46" t="inlineStr">
        <is>
          <t>Pass</t>
        </is>
      </c>
      <c r="K44" s="46" t="inlineStr">
        <is>
          <t>Pass</t>
        </is>
      </c>
      <c r="L44" s="46" t="inlineStr">
        <is>
          <t>Pass</t>
        </is>
      </c>
      <c r="M44" s="46" t="inlineStr">
        <is>
          <t>Pass</t>
        </is>
      </c>
      <c r="N44" s="46" t="inlineStr">
        <is>
          <t>Pass</t>
        </is>
      </c>
      <c r="O44" s="46" t="inlineStr">
        <is>
          <t>Pass</t>
        </is>
      </c>
      <c r="P44" s="46" t="inlineStr">
        <is>
          <t>Pass</t>
        </is>
      </c>
      <c r="Q44" s="46" t="inlineStr">
        <is>
          <t>Pass</t>
        </is>
      </c>
      <c r="R44" s="46" t="inlineStr">
        <is>
          <t>Pass</t>
        </is>
      </c>
      <c r="S44" s="46" t="inlineStr">
        <is>
          <t>Pass</t>
        </is>
      </c>
      <c r="T44" s="46" t="inlineStr">
        <is>
          <t>Pass</t>
        </is>
      </c>
      <c r="U44" s="46" t="inlineStr">
        <is>
          <t>Pass</t>
        </is>
      </c>
      <c r="V44" s="46" t="inlineStr">
        <is>
          <t>Pass</t>
        </is>
      </c>
      <c r="W44" s="46" t="inlineStr">
        <is>
          <t>Pass</t>
        </is>
      </c>
      <c r="X44" s="46" t="inlineStr">
        <is>
          <t>Pass</t>
        </is>
      </c>
      <c r="Y44" s="46" t="inlineStr">
        <is>
          <t>Pass</t>
        </is>
      </c>
      <c r="Z44" s="26">
        <f>IF(B44="","",IF(COUNTIF(F44:G44,"Fail")&gt;0,1,0))</f>
        <v/>
      </c>
      <c r="AA44" s="26">
        <f>IF(B44="","",IF(COUNTIF(H44:S44,"Fail")&gt;0,1,0))</f>
        <v/>
      </c>
      <c r="AB44" s="26">
        <f>IF(B44="","",IF(COUNTIF(T44:Y44,"Fail")&gt;0,1,0))</f>
        <v/>
      </c>
      <c r="AC44" s="27">
        <f>IF(B44="","",0.1*Z44+0.8*AA44+0.1*AB44)</f>
        <v/>
      </c>
      <c r="AD44" s="27">
        <f>IF(B44="","",IF(C44="Batch 1",0.3,0.2))</f>
        <v/>
      </c>
      <c r="AE44" s="19">
        <f>IF(B44="","",IF(AC44&lt;=AD44,"Đạt","Không đạt"))</f>
        <v/>
      </c>
      <c r="AF44" s="43" t="inlineStr">
        <is>
          <t>Đạt toàn bộ tiêu chí.</t>
        </is>
      </c>
    </row>
    <row r="45" ht="30" customHeight="1" s="36">
      <c r="A45" s="17" t="n">
        <v>52</v>
      </c>
      <c r="B45" s="44" t="inlineStr">
        <is>
          <t>TCKH.V_FTP_RATE</t>
        </is>
      </c>
      <c r="C45" s="45" t="inlineStr">
        <is>
          <t>Batch 2</t>
        </is>
      </c>
      <c r="D45" s="45" t="inlineStr">
        <is>
          <t>PHAT</t>
        </is>
      </c>
      <c r="E45" s="45" t="inlineStr">
        <is>
          <t>2026-08-11</t>
        </is>
      </c>
      <c r="F45" s="46" t="inlineStr">
        <is>
          <t>Fail</t>
        </is>
      </c>
      <c r="G45" s="46" t="inlineStr">
        <is>
          <t>Pass</t>
        </is>
      </c>
      <c r="H45" s="46" t="inlineStr">
        <is>
          <t>Pass</t>
        </is>
      </c>
      <c r="I45" s="46" t="inlineStr">
        <is>
          <t>Pass</t>
        </is>
      </c>
      <c r="J45" s="46" t="inlineStr">
        <is>
          <t>Pass</t>
        </is>
      </c>
      <c r="K45" s="46" t="inlineStr">
        <is>
          <t>Pass</t>
        </is>
      </c>
      <c r="L45" s="46" t="inlineStr">
        <is>
          <t>Pass</t>
        </is>
      </c>
      <c r="M45" s="46" t="inlineStr">
        <is>
          <t>Pass</t>
        </is>
      </c>
      <c r="N45" s="46" t="inlineStr">
        <is>
          <t>Pass</t>
        </is>
      </c>
      <c r="O45" s="46" t="inlineStr">
        <is>
          <t>Pass</t>
        </is>
      </c>
      <c r="P45" s="46" t="inlineStr">
        <is>
          <t>Pass</t>
        </is>
      </c>
      <c r="Q45" s="46" t="inlineStr">
        <is>
          <t>Pass</t>
        </is>
      </c>
      <c r="R45" s="46" t="inlineStr">
        <is>
          <t>Pass</t>
        </is>
      </c>
      <c r="S45" s="46" t="inlineStr">
        <is>
          <t>Pass</t>
        </is>
      </c>
      <c r="T45" s="46" t="inlineStr">
        <is>
          <t>Pass</t>
        </is>
      </c>
      <c r="U45" s="46" t="inlineStr">
        <is>
          <t>Pass</t>
        </is>
      </c>
      <c r="V45" s="46" t="inlineStr">
        <is>
          <t>Pass</t>
        </is>
      </c>
      <c r="W45" s="46" t="inlineStr">
        <is>
          <t>Pass</t>
        </is>
      </c>
      <c r="X45" s="46" t="inlineStr">
        <is>
          <t>Pass</t>
        </is>
      </c>
      <c r="Y45" s="46" t="inlineStr">
        <is>
          <t>Pass</t>
        </is>
      </c>
      <c r="Z45" s="26">
        <f>IF(B45="","",IF(COUNTIF(F45:G45,"Fail")&gt;0,1,0))</f>
        <v/>
      </c>
      <c r="AA45" s="26">
        <f>IF(B45="","",IF(COUNTIF(H45:S45,"Fail")&gt;0,1,0))</f>
        <v/>
      </c>
      <c r="AB45" s="26">
        <f>IF(B45="","",IF(COUNTIF(T45:Y45,"Fail")&gt;0,1,0))</f>
        <v/>
      </c>
      <c r="AC45" s="27">
        <f>IF(B45="","",0.1*Z45+0.8*AA45+0.1*AB45)</f>
        <v/>
      </c>
      <c r="AD45" s="27">
        <f>IF(B45="","",IF(C45="Batch 1",0.3,0.2))</f>
        <v/>
      </c>
      <c r="AE45" s="19">
        <f>IF(B45="","",IF(AC45&lt;=AD45,"Đạt","Không đạt"))</f>
        <v/>
      </c>
      <c r="AF45" s="43" t="inlineStr">
        <is>
          <t>╔══ FAIL: 1 tiêu chí — 1.1
▼ 1.1 — Đầy đủ mapping từ Silver/manual sang Gold
   • Lý do: workbook 052. OCB_GOLD_TCKH_V_FTP_RATE_PHAT.xlsx: thiết kế 7 field, SQL có 7 cột
   • Lý do: SQL THIẾU 1 cột có trong thiết kế: ['PD_FTP_RATE']
   • Lý do: SQL có 1 cột KHÔNG có trong thiết kế: ['FTP_PD_RATE']
   → Cách sửa: Mở workbook thiết kế, đối chiếu block FIELD MAPPING với danh sách cột trong câu SELECT/INSERT của file SQL. Cột nào thiếu thì bổ sung vào SQL; cột nào SQL có mà thiết kế không có thì bổ sung vào workbook hoặc bỏ khỏi SQL.</t>
        </is>
      </c>
    </row>
    <row r="46" ht="30" customHeight="1" s="36">
      <c r="A46" s="17" t="n">
        <v>53</v>
      </c>
      <c r="B46" s="44" t="inlineStr">
        <is>
          <t>TCKH.V_OPEX_DTL_ADJ_G</t>
        </is>
      </c>
      <c r="C46" s="45" t="inlineStr">
        <is>
          <t>Batch 2</t>
        </is>
      </c>
      <c r="D46" s="45" t="inlineStr">
        <is>
          <t>HOP</t>
        </is>
      </c>
      <c r="E46" s="45" t="inlineStr">
        <is>
          <t>2026-08-11</t>
        </is>
      </c>
      <c r="F46" s="46" t="inlineStr">
        <is>
          <t>Pass</t>
        </is>
      </c>
      <c r="G46" s="46" t="inlineStr">
        <is>
          <t>Pass</t>
        </is>
      </c>
      <c r="H46" s="46" t="inlineStr">
        <is>
          <t>Pass</t>
        </is>
      </c>
      <c r="I46" s="46" t="inlineStr">
        <is>
          <t>Pass</t>
        </is>
      </c>
      <c r="J46" s="46" t="inlineStr">
        <is>
          <t>Pass</t>
        </is>
      </c>
      <c r="K46" s="46" t="inlineStr">
        <is>
          <t>Pass</t>
        </is>
      </c>
      <c r="L46" s="46" t="inlineStr">
        <is>
          <t>Pass</t>
        </is>
      </c>
      <c r="M46" s="46" t="inlineStr">
        <is>
          <t>Pass</t>
        </is>
      </c>
      <c r="N46" s="46" t="inlineStr">
        <is>
          <t>Pass</t>
        </is>
      </c>
      <c r="O46" s="46" t="inlineStr">
        <is>
          <t>Pass</t>
        </is>
      </c>
      <c r="P46" s="46" t="inlineStr">
        <is>
          <t>Pass</t>
        </is>
      </c>
      <c r="Q46" s="46" t="inlineStr">
        <is>
          <t>Pass</t>
        </is>
      </c>
      <c r="R46" s="46" t="inlineStr">
        <is>
          <t>Pass</t>
        </is>
      </c>
      <c r="S46" s="46" t="inlineStr">
        <is>
          <t>Pass</t>
        </is>
      </c>
      <c r="T46" s="46" t="inlineStr">
        <is>
          <t>Pass</t>
        </is>
      </c>
      <c r="U46" s="46" t="inlineStr">
        <is>
          <t>Pass</t>
        </is>
      </c>
      <c r="V46" s="46" t="inlineStr">
        <is>
          <t>Pass</t>
        </is>
      </c>
      <c r="W46" s="46" t="inlineStr">
        <is>
          <t>Pass</t>
        </is>
      </c>
      <c r="X46" s="46" t="inlineStr">
        <is>
          <t>Pass</t>
        </is>
      </c>
      <c r="Y46" s="46" t="inlineStr">
        <is>
          <t>Pass</t>
        </is>
      </c>
      <c r="Z46" s="26">
        <f>IF(B46="","",IF(COUNTIF(F46:G46,"Fail")&gt;0,1,0))</f>
        <v/>
      </c>
      <c r="AA46" s="26">
        <f>IF(B46="","",IF(COUNTIF(H46:S46,"Fail")&gt;0,1,0))</f>
        <v/>
      </c>
      <c r="AB46" s="26">
        <f>IF(B46="","",IF(COUNTIF(T46:Y46,"Fail")&gt;0,1,0))</f>
        <v/>
      </c>
      <c r="AC46" s="27">
        <f>IF(B46="","",0.1*Z46+0.8*AA46+0.1*AB46)</f>
        <v/>
      </c>
      <c r="AD46" s="27">
        <f>IF(B46="","",IF(C46="Batch 1",0.3,0.2))</f>
        <v/>
      </c>
      <c r="AE46" s="19">
        <f>IF(B46="","",IF(AC46&lt;=AD46,"Đạt","Không đạt"))</f>
        <v/>
      </c>
      <c r="AF46" s="43" t="inlineStr">
        <is>
          <t>Đạt toàn bộ tiêu chí.</t>
        </is>
      </c>
    </row>
    <row r="47" ht="30" customHeight="1" s="36">
      <c r="A47" s="17" t="n">
        <v>57</v>
      </c>
      <c r="B47" s="44" t="inlineStr">
        <is>
          <t>TCKH.V_P_KEYNQ</t>
        </is>
      </c>
      <c r="C47" s="45" t="inlineStr">
        <is>
          <t>Batch 2</t>
        </is>
      </c>
      <c r="D47" s="45" t="inlineStr">
        <is>
          <t>BAOANH</t>
        </is>
      </c>
      <c r="E47" s="45" t="inlineStr">
        <is>
          <t>2026-08-11</t>
        </is>
      </c>
      <c r="F47" s="46" t="inlineStr">
        <is>
          <t>Pass</t>
        </is>
      </c>
      <c r="G47" s="46" t="inlineStr">
        <is>
          <t>Pass</t>
        </is>
      </c>
      <c r="H47" s="46" t="inlineStr">
        <is>
          <t>Pass</t>
        </is>
      </c>
      <c r="I47" s="46" t="inlineStr">
        <is>
          <t>Pass</t>
        </is>
      </c>
      <c r="J47" s="46" t="inlineStr">
        <is>
          <t>Pass</t>
        </is>
      </c>
      <c r="K47" s="46" t="inlineStr">
        <is>
          <t>Pass</t>
        </is>
      </c>
      <c r="L47" s="46" t="inlineStr">
        <is>
          <t>Pass</t>
        </is>
      </c>
      <c r="M47" s="46" t="inlineStr">
        <is>
          <t>Pass</t>
        </is>
      </c>
      <c r="N47" s="46" t="inlineStr">
        <is>
          <t>Pass</t>
        </is>
      </c>
      <c r="O47" s="46" t="inlineStr">
        <is>
          <t>Pass</t>
        </is>
      </c>
      <c r="P47" s="46" t="inlineStr">
        <is>
          <t>Pass</t>
        </is>
      </c>
      <c r="Q47" s="46" t="inlineStr">
        <is>
          <t>Pass</t>
        </is>
      </c>
      <c r="R47" s="46" t="inlineStr">
        <is>
          <t>Pass</t>
        </is>
      </c>
      <c r="S47" s="46" t="inlineStr">
        <is>
          <t>Pass</t>
        </is>
      </c>
      <c r="T47" s="46" t="inlineStr">
        <is>
          <t>Pass</t>
        </is>
      </c>
      <c r="U47" s="46" t="inlineStr">
        <is>
          <t>Pass</t>
        </is>
      </c>
      <c r="V47" s="46" t="inlineStr">
        <is>
          <t>Pass</t>
        </is>
      </c>
      <c r="W47" s="46" t="inlineStr">
        <is>
          <t>Pass</t>
        </is>
      </c>
      <c r="X47" s="46" t="inlineStr">
        <is>
          <t>Pass</t>
        </is>
      </c>
      <c r="Y47" s="46" t="inlineStr">
        <is>
          <t>Pass</t>
        </is>
      </c>
      <c r="Z47" s="26">
        <f>IF(B47="","",IF(COUNTIF(F47:G47,"Fail")&gt;0,1,0))</f>
        <v/>
      </c>
      <c r="AA47" s="26">
        <f>IF(B47="","",IF(COUNTIF(H47:S47,"Fail")&gt;0,1,0))</f>
        <v/>
      </c>
      <c r="AB47" s="26">
        <f>IF(B47="","",IF(COUNTIF(T47:Y47,"Fail")&gt;0,1,0))</f>
        <v/>
      </c>
      <c r="AC47" s="27">
        <f>IF(B47="","",0.1*Z47+0.8*AA47+0.1*AB47)</f>
        <v/>
      </c>
      <c r="AD47" s="27">
        <f>IF(B47="","",IF(C47="Batch 1",0.3,0.2))</f>
        <v/>
      </c>
      <c r="AE47" s="19">
        <f>IF(B47="","",IF(AC47&lt;=AD47,"Đạt","Không đạt"))</f>
        <v/>
      </c>
      <c r="AF47" s="43" t="inlineStr">
        <is>
          <t>Đạt toàn bộ tiêu chí.</t>
        </is>
      </c>
    </row>
    <row r="48" ht="30" customHeight="1" s="36">
      <c r="A48" s="17" t="n">
        <v>58</v>
      </c>
      <c r="B48" s="44" t="inlineStr">
        <is>
          <t>TCKH.V_SBV_1</t>
        </is>
      </c>
      <c r="C48" s="45" t="inlineStr">
        <is>
          <t>Batch 2</t>
        </is>
      </c>
      <c r="D48" s="45" t="inlineStr">
        <is>
          <t>BAOANH</t>
        </is>
      </c>
      <c r="E48" s="45" t="inlineStr">
        <is>
          <t>2026-08-11</t>
        </is>
      </c>
      <c r="F48" s="46" t="inlineStr">
        <is>
          <t>Pass</t>
        </is>
      </c>
      <c r="G48" s="46" t="inlineStr">
        <is>
          <t>Pass</t>
        </is>
      </c>
      <c r="H48" s="46" t="inlineStr">
        <is>
          <t>Pass</t>
        </is>
      </c>
      <c r="I48" s="46" t="inlineStr">
        <is>
          <t>Pass</t>
        </is>
      </c>
      <c r="J48" s="46" t="inlineStr">
        <is>
          <t>Pass</t>
        </is>
      </c>
      <c r="K48" s="46" t="inlineStr">
        <is>
          <t>Pass</t>
        </is>
      </c>
      <c r="L48" s="46" t="inlineStr">
        <is>
          <t>Pass</t>
        </is>
      </c>
      <c r="M48" s="46" t="inlineStr">
        <is>
          <t>Pass</t>
        </is>
      </c>
      <c r="N48" s="46" t="inlineStr">
        <is>
          <t>Pass</t>
        </is>
      </c>
      <c r="O48" s="46" t="inlineStr">
        <is>
          <t>Pass</t>
        </is>
      </c>
      <c r="P48" s="46" t="inlineStr">
        <is>
          <t>Pass</t>
        </is>
      </c>
      <c r="Q48" s="46" t="inlineStr">
        <is>
          <t>Pass</t>
        </is>
      </c>
      <c r="R48" s="46" t="inlineStr">
        <is>
          <t>WARN</t>
        </is>
      </c>
      <c r="S48" s="46" t="inlineStr">
        <is>
          <t>Pass</t>
        </is>
      </c>
      <c r="T48" s="46" t="inlineStr">
        <is>
          <t>Pass</t>
        </is>
      </c>
      <c r="U48" s="46" t="inlineStr">
        <is>
          <t>WARN</t>
        </is>
      </c>
      <c r="V48" s="46" t="inlineStr">
        <is>
          <t>WARN</t>
        </is>
      </c>
      <c r="W48" s="46" t="inlineStr">
        <is>
          <t>WARN</t>
        </is>
      </c>
      <c r="X48" s="46" t="inlineStr">
        <is>
          <t>WARN</t>
        </is>
      </c>
      <c r="Y48" s="46" t="inlineStr">
        <is>
          <t>Pass</t>
        </is>
      </c>
      <c r="Z48" s="26">
        <f>IF(B48="","",IF(COUNTIF(F48:G48,"Fail")&gt;0,1,0))</f>
        <v/>
      </c>
      <c r="AA48" s="26">
        <f>IF(B48="","",IF(COUNTIF(H48:S48,"Fail")&gt;0,1,0))</f>
        <v/>
      </c>
      <c r="AB48" s="26">
        <f>IF(B48="","",IF(COUNTIF(T48:Y48,"Fail")&gt;0,1,0))</f>
        <v/>
      </c>
      <c r="AC48" s="27">
        <f>IF(B48="","",0.1*Z48+0.8*AA48+0.1*AB48)</f>
        <v/>
      </c>
      <c r="AD48" s="27">
        <f>IF(B48="","",IF(C48="Batch 1",0.3,0.2))</f>
        <v/>
      </c>
      <c r="AE48" s="19">
        <f>IF(B48="","",IF(AC48&lt;=AD48,"Đạt","Không đạt"))</f>
        <v/>
      </c>
      <c r="AF48" s="43" t="inlineStr">
        <is>
          <t>╔══ FAIL: 1 tiêu chí — X.6
▼ X.6 — [Bổ sung] Satellite phải LEFT JOIN, không INNER JOIN   [bổ sung, không tính điểm — Technical Document ZoneC v1.1, mục III.4.2.2 nguyên tắc 1]
   • Lý do: 1 satellite dùng INNER JOIN, sẽ mất bản ghi Hub chưa có dòng satellite: sat_pc_re_stat_line_bal (dong 47)
   → Cách sửa: Technical Document III.4.2.2 nguyên tắc 1: làm giàu thuộc tính luôn dùng LEFT JOIN. INNER JOIN satellite sẽ loại mất bản ghi Hub đang còn hiệu lực nhưng chưa có dòng satellite.
╔══ WARN: 5 tiêu chí — 2.11, 3.2, 3.3, 3.4, 3.5
▼ 2.11 — Join dùng key hợp lý, không lạm dụng UNION ALL + EXISTS/NOT EXISTS
   • join không có điều kiện bằng (=): ['s']
▼ 3.2 — CTE không bị scan lại nhiều lần
   • CTE bị tham chiếu lại nhiều lần: cte_pc_re_stat_line_bal x4
▼ 3.3 — Filter trước khi join, tận dụng partition pruning
   • 3 bảng join trực tiếp mà không có filter riêng: gl_acct_dim (g), sat_pc_re_stat_line_bal (s), sbv_accountbc_name (n)
▼ 3.4 — Sử dụng CACHE cho query lặp lại trong cùng luồng
   • 1 CTE nặng dùng lại &gt;= 2 lần mà không có CACHE: cte_pc_re_stat_line_bal
▼ 3.5 — Ưu tiên MAX_BY + QUALIFY thay ROW_NUMBER() + WHERE rn = 1
   • 1 khối dùng MAX_BY độc lập cho &gt;5 cột (dòng 33,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49" ht="30" customHeight="1" s="36">
      <c r="A49" s="17" t="n">
        <v>61</v>
      </c>
      <c r="B49" s="44" t="inlineStr">
        <is>
          <t>TCKH.V_TB_NIM_1</t>
        </is>
      </c>
      <c r="C49" s="45" t="inlineStr">
        <is>
          <t>Batch 2</t>
        </is>
      </c>
      <c r="D49" s="45" t="inlineStr">
        <is>
          <t>HOP</t>
        </is>
      </c>
      <c r="E49" s="45" t="inlineStr">
        <is>
          <t>2026-08-11</t>
        </is>
      </c>
      <c r="F49" s="46" t="inlineStr">
        <is>
          <t>Pass</t>
        </is>
      </c>
      <c r="G49" s="46" t="inlineStr">
        <is>
          <t>Pass</t>
        </is>
      </c>
      <c r="H49" s="46" t="inlineStr">
        <is>
          <t>Pass</t>
        </is>
      </c>
      <c r="I49" s="46" t="inlineStr">
        <is>
          <t>Pass</t>
        </is>
      </c>
      <c r="J49" s="46" t="inlineStr">
        <is>
          <t>Pass</t>
        </is>
      </c>
      <c r="K49" s="46" t="inlineStr">
        <is>
          <t>Pass</t>
        </is>
      </c>
      <c r="L49" s="46" t="inlineStr">
        <is>
          <t>Pass</t>
        </is>
      </c>
      <c r="M49" s="46" t="inlineStr">
        <is>
          <t>Pass</t>
        </is>
      </c>
      <c r="N49" s="46" t="inlineStr">
        <is>
          <t>Pass</t>
        </is>
      </c>
      <c r="O49" s="46" t="inlineStr">
        <is>
          <t>Pass</t>
        </is>
      </c>
      <c r="P49" s="46" t="inlineStr">
        <is>
          <t>Pass</t>
        </is>
      </c>
      <c r="Q49" s="46" t="inlineStr">
        <is>
          <t>Pass</t>
        </is>
      </c>
      <c r="R49" s="46" t="inlineStr">
        <is>
          <t>Pass</t>
        </is>
      </c>
      <c r="S49" s="46" t="inlineStr">
        <is>
          <t>Pass</t>
        </is>
      </c>
      <c r="T49" s="46" t="inlineStr">
        <is>
          <t>Fail</t>
        </is>
      </c>
      <c r="U49" s="46" t="inlineStr">
        <is>
          <t>WARN</t>
        </is>
      </c>
      <c r="V49" s="46" t="inlineStr">
        <is>
          <t>Pass</t>
        </is>
      </c>
      <c r="W49" s="46" t="inlineStr">
        <is>
          <t>WARN</t>
        </is>
      </c>
      <c r="X49" s="46" t="inlineStr">
        <is>
          <t>Pass</t>
        </is>
      </c>
      <c r="Y49" s="46" t="inlineStr">
        <is>
          <t>Pass</t>
        </is>
      </c>
      <c r="Z49" s="26">
        <f>IF(B49="","",IF(COUNTIF(F49:G49,"Fail")&gt;0,1,0))</f>
        <v/>
      </c>
      <c r="AA49" s="26">
        <f>IF(B49="","",IF(COUNTIF(H49:S49,"Fail")&gt;0,1,0))</f>
        <v/>
      </c>
      <c r="AB49" s="26">
        <f>IF(B49="","",IF(COUNTIF(T49:Y49,"Fail")&gt;0,1,0))</f>
        <v/>
      </c>
      <c r="AC49" s="27">
        <f>IF(B49="","",0.1*Z49+0.8*AA49+0.1*AB49)</f>
        <v/>
      </c>
      <c r="AD49" s="27">
        <f>IF(B49="","",IF(C49="Batch 1",0.3,0.2))</f>
        <v/>
      </c>
      <c r="AE49" s="19">
        <f>IF(B49="","",IF(AC49&lt;=AD49,"Đạt","Không đạt"))</f>
        <v/>
      </c>
      <c r="AF49" s="43" t="inlineStr">
        <is>
          <t>╔══ FAIL: 1 tiêu chí — 3.1
▼ 3.1 — Không SELECT *
   • Lý do: có 3 lần SELECT * ở dòng [255, 257, 259]
   → Cách sửa: Liệt kê tường minh các cột cần dùng, kể cả trong CTE trung gian. SELECT * làm tăng IO/memory và vỡ script khi bảng nguồn thêm cột.
╔══ WARN: 2 tiêu chí — 3.2, 3.4
▼ 3.2 — CTE không bị scan lại nhiều lần
   • CTE bị tham chiếu lại nhiều lần: v_ftp_rate x3, v_ftp_interest_rate_nim_on x3
▼ 3.4 — Sử dụng CACHE cho query lặp lại trong cùng luồng
   • 2 CTE nặng dùng lại &gt;= 2 lần mà không có CACHE: v_ftp_interest_rate_nim_on, v_ftp_rate</t>
        </is>
      </c>
    </row>
    <row r="50" ht="30" customHeight="1" s="36">
      <c r="A50" s="17" t="n">
        <v>62</v>
      </c>
      <c r="B50" s="44" t="inlineStr">
        <is>
          <t>TCKH.WORKING_DAY</t>
        </is>
      </c>
      <c r="C50" s="45" t="inlineStr">
        <is>
          <t>Batch 2</t>
        </is>
      </c>
      <c r="D50" s="45" t="inlineStr">
        <is>
          <t>BAOANH</t>
        </is>
      </c>
      <c r="E50" s="45" t="inlineStr">
        <is>
          <t>2026-08-11</t>
        </is>
      </c>
      <c r="F50" s="46" t="inlineStr">
        <is>
          <t>Pass</t>
        </is>
      </c>
      <c r="G50" s="46" t="inlineStr">
        <is>
          <t>Pass</t>
        </is>
      </c>
      <c r="H50" s="46" t="inlineStr">
        <is>
          <t>Pass</t>
        </is>
      </c>
      <c r="I50" s="46" t="inlineStr">
        <is>
          <t>Pass</t>
        </is>
      </c>
      <c r="J50" s="46" t="inlineStr">
        <is>
          <t>Pass</t>
        </is>
      </c>
      <c r="K50" s="46" t="inlineStr">
        <is>
          <t>Pass</t>
        </is>
      </c>
      <c r="L50" s="46" t="inlineStr">
        <is>
          <t>Pass</t>
        </is>
      </c>
      <c r="M50" s="46" t="inlineStr">
        <is>
          <t>Pass</t>
        </is>
      </c>
      <c r="N50" s="46" t="inlineStr">
        <is>
          <t>Pass</t>
        </is>
      </c>
      <c r="O50" s="46" t="inlineStr">
        <is>
          <t>Pass</t>
        </is>
      </c>
      <c r="P50" s="46" t="inlineStr">
        <is>
          <t>Pass</t>
        </is>
      </c>
      <c r="Q50" s="46" t="inlineStr">
        <is>
          <t>Pass</t>
        </is>
      </c>
      <c r="R50" s="46" t="inlineStr">
        <is>
          <t>Pass</t>
        </is>
      </c>
      <c r="S50" s="46" t="inlineStr">
        <is>
          <t>WARN</t>
        </is>
      </c>
      <c r="T50" s="46" t="inlineStr">
        <is>
          <t>Pass</t>
        </is>
      </c>
      <c r="U50" s="46" t="inlineStr">
        <is>
          <t>Pass</t>
        </is>
      </c>
      <c r="V50" s="46" t="inlineStr">
        <is>
          <t>Pass</t>
        </is>
      </c>
      <c r="W50" s="46" t="inlineStr">
        <is>
          <t>Pass</t>
        </is>
      </c>
      <c r="X50" s="46" t="inlineStr">
        <is>
          <t>Pass</t>
        </is>
      </c>
      <c r="Y50" s="46" t="inlineStr">
        <is>
          <t>Pass</t>
        </is>
      </c>
      <c r="Z50" s="26">
        <f>IF(B50="","",IF(COUNTIF(F50:G50,"Fail")&gt;0,1,0))</f>
        <v/>
      </c>
      <c r="AA50" s="26">
        <f>IF(B50="","",IF(COUNTIF(H50:S50,"Fail")&gt;0,1,0))</f>
        <v/>
      </c>
      <c r="AB50" s="26">
        <f>IF(B50="","",IF(COUNTIF(T50:Y50,"Fail")&gt;0,1,0))</f>
        <v/>
      </c>
      <c r="AC50" s="27">
        <f>IF(B50="","",0.1*Z50+0.8*AA50+0.1*AB50)</f>
        <v/>
      </c>
      <c r="AD50" s="27">
        <f>IF(B50="","",IF(C50="Batch 1",0.3,0.2))</f>
        <v/>
      </c>
      <c r="AE50" s="19">
        <f>IF(B50="","",IF(AC50&lt;=AD50,"Đạt","Không đạt"))</f>
        <v/>
      </c>
      <c r="AF50" s="43" t="inlineStr">
        <is>
          <t>╔══ WARN: 1 tiêu chí — 2.12
▼ 2.12 — Build Gold từ CTE snapshot Silver, không build nhiều tầng chồng chéo
   • bảng bị đọc lại ở nhiều khối SELECT, xét gom thành 1 CTE: calendar ở 2 khối</t>
        </is>
      </c>
    </row>
    <row r="51" ht="30" customHeight="1" s="36">
      <c r="A51" s="17" t="n">
        <v>63</v>
      </c>
      <c r="B51" s="44" t="inlineStr">
        <is>
          <t>TCKH.CB_OFCR_DIM</t>
        </is>
      </c>
      <c r="C51" s="45" t="inlineStr">
        <is>
          <t>Batch 2</t>
        </is>
      </c>
      <c r="D51" s="45" t="inlineStr">
        <is>
          <t>HOP</t>
        </is>
      </c>
      <c r="E51" s="45" t="inlineStr">
        <is>
          <t>2026-08-11</t>
        </is>
      </c>
      <c r="F51" s="46" t="inlineStr">
        <is>
          <t>Pass</t>
        </is>
      </c>
      <c r="G51" s="46" t="inlineStr">
        <is>
          <t>Pass</t>
        </is>
      </c>
      <c r="H51" s="46" t="inlineStr">
        <is>
          <t>Pass</t>
        </is>
      </c>
      <c r="I51" s="46" t="inlineStr">
        <is>
          <t>Pass</t>
        </is>
      </c>
      <c r="J51" s="46" t="inlineStr">
        <is>
          <t>Pass</t>
        </is>
      </c>
      <c r="K51" s="46" t="inlineStr">
        <is>
          <t>Pass</t>
        </is>
      </c>
      <c r="L51" s="46" t="inlineStr">
        <is>
          <t>Pass</t>
        </is>
      </c>
      <c r="M51" s="46" t="inlineStr">
        <is>
          <t>Pass</t>
        </is>
      </c>
      <c r="N51" s="46" t="inlineStr">
        <is>
          <t>Pass</t>
        </is>
      </c>
      <c r="O51" s="46" t="inlineStr">
        <is>
          <t>Pass</t>
        </is>
      </c>
      <c r="P51" s="46" t="inlineStr">
        <is>
          <t>Pass</t>
        </is>
      </c>
      <c r="Q51" s="46" t="inlineStr">
        <is>
          <t>Pass</t>
        </is>
      </c>
      <c r="R51" s="46" t="inlineStr">
        <is>
          <t>Pass</t>
        </is>
      </c>
      <c r="S51" s="46" t="inlineStr">
        <is>
          <t>Pass</t>
        </is>
      </c>
      <c r="T51" s="46" t="inlineStr">
        <is>
          <t>Pass</t>
        </is>
      </c>
      <c r="U51" s="46" t="inlineStr">
        <is>
          <t>Pass</t>
        </is>
      </c>
      <c r="V51" s="46" t="inlineStr">
        <is>
          <t>Pass</t>
        </is>
      </c>
      <c r="W51" s="46" t="inlineStr">
        <is>
          <t>Pass</t>
        </is>
      </c>
      <c r="X51" s="46" t="inlineStr">
        <is>
          <t>Pass</t>
        </is>
      </c>
      <c r="Y51" s="46" t="inlineStr">
        <is>
          <t>Pass</t>
        </is>
      </c>
      <c r="Z51" s="26">
        <f>IF(B51="","",IF(COUNTIF(F51:G51,"Fail")&gt;0,1,0))</f>
        <v/>
      </c>
      <c r="AA51" s="26">
        <f>IF(B51="","",IF(COUNTIF(H51:S51,"Fail")&gt;0,1,0))</f>
        <v/>
      </c>
      <c r="AB51" s="26">
        <f>IF(B51="","",IF(COUNTIF(T51:Y51,"Fail")&gt;0,1,0))</f>
        <v/>
      </c>
      <c r="AC51" s="27">
        <f>IF(B51="","",0.1*Z51+0.8*AA51+0.1*AB51)</f>
        <v/>
      </c>
      <c r="AD51" s="27">
        <f>IF(B51="","",IF(C51="Batch 1",0.3,0.2))</f>
        <v/>
      </c>
      <c r="AE51" s="19">
        <f>IF(B51="","",IF(AC51&lt;=AD51,"Đạt","Không đạt"))</f>
        <v/>
      </c>
      <c r="AF51" s="43" t="inlineStr">
        <is>
          <t>Đạt toàn bộ tiêu chí.</t>
        </is>
      </c>
    </row>
    <row r="52" ht="30" customHeight="1" s="36">
      <c r="A52" s="17" t="n">
        <v>64</v>
      </c>
      <c r="B52" s="44" t="inlineStr">
        <is>
          <t>TCKH.CST_DIM_NEW</t>
        </is>
      </c>
      <c r="C52" s="45" t="inlineStr">
        <is>
          <t>Batch 2</t>
        </is>
      </c>
      <c r="D52" s="45" t="inlineStr">
        <is>
          <t>HOP</t>
        </is>
      </c>
      <c r="E52" s="45" t="inlineStr">
        <is>
          <t>2026-08-11</t>
        </is>
      </c>
      <c r="F52" s="46" t="inlineStr">
        <is>
          <t>Pass</t>
        </is>
      </c>
      <c r="G52" s="46" t="inlineStr">
        <is>
          <t>Pass</t>
        </is>
      </c>
      <c r="H52" s="46" t="inlineStr">
        <is>
          <t>Pass</t>
        </is>
      </c>
      <c r="I52" s="46" t="inlineStr">
        <is>
          <t>Pass</t>
        </is>
      </c>
      <c r="J52" s="46" t="inlineStr">
        <is>
          <t>Pass</t>
        </is>
      </c>
      <c r="K52" s="46" t="inlineStr">
        <is>
          <t>Pass</t>
        </is>
      </c>
      <c r="L52" s="46" t="inlineStr">
        <is>
          <t>Pass</t>
        </is>
      </c>
      <c r="M52" s="46" t="inlineStr">
        <is>
          <t>Pass</t>
        </is>
      </c>
      <c r="N52" s="46" t="inlineStr">
        <is>
          <t>Pass</t>
        </is>
      </c>
      <c r="O52" s="46" t="inlineStr">
        <is>
          <t>Pass</t>
        </is>
      </c>
      <c r="P52" s="46" t="inlineStr">
        <is>
          <t>Pass</t>
        </is>
      </c>
      <c r="Q52" s="46" t="inlineStr">
        <is>
          <t>Pass</t>
        </is>
      </c>
      <c r="R52" s="46" t="inlineStr">
        <is>
          <t>Pass</t>
        </is>
      </c>
      <c r="S52" s="46" t="inlineStr">
        <is>
          <t>Pass</t>
        </is>
      </c>
      <c r="T52" s="46" t="inlineStr">
        <is>
          <t>Pass</t>
        </is>
      </c>
      <c r="U52" s="46" t="inlineStr">
        <is>
          <t>Pass</t>
        </is>
      </c>
      <c r="V52" s="46" t="inlineStr">
        <is>
          <t>Pass</t>
        </is>
      </c>
      <c r="W52" s="46" t="inlineStr">
        <is>
          <t>Pass</t>
        </is>
      </c>
      <c r="X52" s="46" t="inlineStr">
        <is>
          <t>Pass</t>
        </is>
      </c>
      <c r="Y52" s="46" t="inlineStr">
        <is>
          <t>Pass</t>
        </is>
      </c>
      <c r="Z52" s="26">
        <f>IF(B52="","",IF(COUNTIF(F52:G52,"Fail")&gt;0,1,0))</f>
        <v/>
      </c>
      <c r="AA52" s="26">
        <f>IF(B52="","",IF(COUNTIF(H52:S52,"Fail")&gt;0,1,0))</f>
        <v/>
      </c>
      <c r="AB52" s="26">
        <f>IF(B52="","",IF(COUNTIF(T52:Y52,"Fail")&gt;0,1,0))</f>
        <v/>
      </c>
      <c r="AC52" s="27">
        <f>IF(B52="","",0.1*Z52+0.8*AA52+0.1*AB52)</f>
        <v/>
      </c>
      <c r="AD52" s="27">
        <f>IF(B52="","",IF(C52="Batch 1",0.3,0.2))</f>
        <v/>
      </c>
      <c r="AE52" s="19">
        <f>IF(B52="","",IF(AC52&lt;=AD52,"Đạt","Không đạt"))</f>
        <v/>
      </c>
      <c r="AF52" s="43" t="inlineStr">
        <is>
          <t>Đạt toàn bộ tiêu chí.</t>
        </is>
      </c>
    </row>
    <row r="53" ht="30" customHeight="1" s="36">
      <c r="A53" s="17" t="n">
        <v>65</v>
      </c>
      <c r="B53" s="44" t="inlineStr">
        <is>
          <t>TCKH.RT_AR_DTL</t>
        </is>
      </c>
      <c r="C53" s="45" t="inlineStr">
        <is>
          <t>Batch 2</t>
        </is>
      </c>
      <c r="D53" s="45" t="inlineStr">
        <is>
          <t>HOP</t>
        </is>
      </c>
      <c r="E53" s="45" t="inlineStr">
        <is>
          <t>2026-08-11</t>
        </is>
      </c>
      <c r="F53" s="46" t="inlineStr">
        <is>
          <t>Pass</t>
        </is>
      </c>
      <c r="G53" s="46" t="inlineStr">
        <is>
          <t>Pass</t>
        </is>
      </c>
      <c r="H53" s="46" t="inlineStr">
        <is>
          <t>Pass</t>
        </is>
      </c>
      <c r="I53" s="46" t="inlineStr">
        <is>
          <t>Pass</t>
        </is>
      </c>
      <c r="J53" s="46" t="inlineStr">
        <is>
          <t>Pass</t>
        </is>
      </c>
      <c r="K53" s="46" t="inlineStr">
        <is>
          <t>Pass</t>
        </is>
      </c>
      <c r="L53" s="46" t="inlineStr">
        <is>
          <t>Pass</t>
        </is>
      </c>
      <c r="M53" s="46" t="inlineStr">
        <is>
          <t>Pass</t>
        </is>
      </c>
      <c r="N53" s="46" t="inlineStr">
        <is>
          <t>Pass</t>
        </is>
      </c>
      <c r="O53" s="46" t="inlineStr">
        <is>
          <t>WARN</t>
        </is>
      </c>
      <c r="P53" s="46" t="inlineStr">
        <is>
          <t>Pass</t>
        </is>
      </c>
      <c r="Q53" s="46" t="inlineStr">
        <is>
          <t>WARN</t>
        </is>
      </c>
      <c r="R53" s="46" t="inlineStr">
        <is>
          <t>WARN</t>
        </is>
      </c>
      <c r="S53" s="46" t="inlineStr">
        <is>
          <t>Pass</t>
        </is>
      </c>
      <c r="T53" s="46" t="inlineStr">
        <is>
          <t>Pass</t>
        </is>
      </c>
      <c r="U53" s="46" t="inlineStr">
        <is>
          <t>WARN</t>
        </is>
      </c>
      <c r="V53" s="46" t="inlineStr">
        <is>
          <t>WARN</t>
        </is>
      </c>
      <c r="W53" s="46" t="inlineStr">
        <is>
          <t>WARN</t>
        </is>
      </c>
      <c r="X53" s="46" t="inlineStr">
        <is>
          <t>Pass</t>
        </is>
      </c>
      <c r="Y53" s="46" t="inlineStr">
        <is>
          <t>Pass</t>
        </is>
      </c>
      <c r="Z53" s="26">
        <f>IF(B53="","",IF(COUNTIF(F53:G53,"Fail")&gt;0,1,0))</f>
        <v/>
      </c>
      <c r="AA53" s="26">
        <f>IF(B53="","",IF(COUNTIF(H53:S53,"Fail")&gt;0,1,0))</f>
        <v/>
      </c>
      <c r="AB53" s="26">
        <f>IF(B53="","",IF(COUNTIF(T53:Y53,"Fail")&gt;0,1,0))</f>
        <v/>
      </c>
      <c r="AC53" s="27">
        <f>IF(B53="","",0.1*Z53+0.8*AA53+0.1*AB53)</f>
        <v/>
      </c>
      <c r="AD53" s="27">
        <f>IF(B53="","",IF(C53="Batch 1",0.3,0.2))</f>
        <v/>
      </c>
      <c r="AE53" s="19">
        <f>IF(B53="","",IF(AC53&lt;=AD53,"Đạt","Không đạt"))</f>
        <v/>
      </c>
      <c r="AF53" s="43" t="inlineStr">
        <is>
          <t>╔══ WARN: 6 tiêu chí — 2.8, 2.10, 2.11, 3.2, 3.3, 3.4
▼ 2.8 — Cột SUM/COUNT được COALESCE/NVL hợp lý
   • 4 biểu thức tổng hợp chưa coalesce: bal_fcy = SUM(CAST(cb.ngoaite AS DECIMAL(31, 4))); bal_int_fcy = SUM(CASE WHEN TRY_CAST(SUBSTRING(CAST(arx.gl_ac_nbr AS TEXT); bal_lcy = SUM(CASE WHEN UPPER(g.gl_type) IN ('LAIDUTHU', 'LAIDUCHI') T; bal_lcy = SUM(CAST(cb.noite AS DECIMAL(31, 4)))
   • khi đối soát với hệ thống cũ phải bọc NVL/ISNULL CẢ HAI phía để không lệch khi trừ (Checklist RVN-OCB #11)
▼ 2.10 — Aggregation kèm filter date range chính xác
   • 3 khối tổng hợp không thấy filter theo ngày/tham số: v_crb_stg, v_ar_int, rev
▼ 2.11 — Join dùng key hợp lý, không lạm dụng UNION ALL + EXISTS/NOT EXISTS
   • join không có điều kiện bằng (=): ['tb']
▼ 3.2 — CTE không bị scan lại nhiều lần
   • CTE bị tham chiếu lại nhiều lần: snap_prev_work_date x2, snap_hub_account x7, snap_hub_loans x3, snap_hub_deposits x2, snap_link_account_customer x2, snap_link_loans_payment_due x2, snap_sat_customer_classification x5, snap_sat_account_classification x2, snap_sat_deposits_information x2, snap_sat_account_information x2, glp x2, az x5, cons x7, rev x10, ou x3, ofcr x3, ldt x25
▼ 3.3 — Filter trước khi join, tận dụng partition pruning
   • 3 bảng join trực tiếp mà không có filter riêng: hub_branch (hb), ref_t24_ocbh_fx_buyfcy_purpose (rf), term_band_dim (tb)
▼ 3.4 — Sử dụng CACHE cho query lặp lại trong cùng luồng
   • 17 CTE nặng dùng lại &gt;= 2 lần mà không có CACHE: az, cons, glp, ldt, ofcr, ou, rev, snap_hub_account, snap_hub_deposits, snap_hub_loans, snap_link_account_customer, snap_link_loans_payment_due, snap_prev_work_date, snap_sat_account_classification, snap_sat_account_information, snap_sat_customer_classification, snap_sat_deposits_information</t>
        </is>
      </c>
    </row>
    <row r="54" ht="30" customHeight="1" s="36">
      <c r="A54" s="17" t="n">
        <v>66</v>
      </c>
      <c r="B54" s="44" t="inlineStr">
        <is>
          <t>TCKH.TMP_CST_LCS_KT_30D_FINAL_CASE5</t>
        </is>
      </c>
      <c r="C54" s="45" t="inlineStr">
        <is>
          <t>Batch 2</t>
        </is>
      </c>
      <c r="D54" s="45" t="inlineStr">
        <is>
          <t>BAOANH</t>
        </is>
      </c>
      <c r="E54" s="45" t="inlineStr">
        <is>
          <t>2026-08-11</t>
        </is>
      </c>
      <c r="F54" s="46" t="inlineStr">
        <is>
          <t>Pass</t>
        </is>
      </c>
      <c r="G54" s="46" t="inlineStr">
        <is>
          <t>Pass</t>
        </is>
      </c>
      <c r="H54" s="46" t="inlineStr">
        <is>
          <t>Pass</t>
        </is>
      </c>
      <c r="I54" s="46" t="inlineStr">
        <is>
          <t>Pass</t>
        </is>
      </c>
      <c r="J54" s="46" t="inlineStr">
        <is>
          <t>Pass</t>
        </is>
      </c>
      <c r="K54" s="46" t="inlineStr">
        <is>
          <t>Pass</t>
        </is>
      </c>
      <c r="L54" s="46" t="inlineStr">
        <is>
          <t>Pass</t>
        </is>
      </c>
      <c r="M54" s="46" t="inlineStr">
        <is>
          <t>Pass</t>
        </is>
      </c>
      <c r="N54" s="46" t="inlineStr">
        <is>
          <t>Pass</t>
        </is>
      </c>
      <c r="O54" s="46" t="inlineStr">
        <is>
          <t>Pass</t>
        </is>
      </c>
      <c r="P54" s="46" t="inlineStr">
        <is>
          <t>Pass</t>
        </is>
      </c>
      <c r="Q54" s="46" t="inlineStr">
        <is>
          <t>WARN</t>
        </is>
      </c>
      <c r="R54" s="46" t="inlineStr">
        <is>
          <t>WARN</t>
        </is>
      </c>
      <c r="S54" s="46" t="inlineStr">
        <is>
          <t>WARN</t>
        </is>
      </c>
      <c r="T54" s="46" t="inlineStr">
        <is>
          <t>Pass</t>
        </is>
      </c>
      <c r="U54" s="46" t="inlineStr">
        <is>
          <t>WARN</t>
        </is>
      </c>
      <c r="V54" s="46" t="inlineStr">
        <is>
          <t>WARN</t>
        </is>
      </c>
      <c r="W54" s="46" t="inlineStr">
        <is>
          <t>WARN</t>
        </is>
      </c>
      <c r="X54" s="46" t="inlineStr">
        <is>
          <t>Pass</t>
        </is>
      </c>
      <c r="Y54" s="46" t="inlineStr">
        <is>
          <t>Pass</t>
        </is>
      </c>
      <c r="Z54" s="26">
        <f>IF(B54="","",IF(COUNTIF(F54:G54,"Fail")&gt;0,1,0))</f>
        <v/>
      </c>
      <c r="AA54" s="26">
        <f>IF(B54="","",IF(COUNTIF(H54:S54,"Fail")&gt;0,1,0))</f>
        <v/>
      </c>
      <c r="AB54" s="26">
        <f>IF(B54="","",IF(COUNTIF(T54:Y54,"Fail")&gt;0,1,0))</f>
        <v/>
      </c>
      <c r="AC54" s="27">
        <f>IF(B54="","",0.1*Z54+0.8*AA54+0.1*AB54)</f>
        <v/>
      </c>
      <c r="AD54" s="27">
        <f>IF(B54="","",IF(C54="Batch 1",0.3,0.2))</f>
        <v/>
      </c>
      <c r="AE54" s="19">
        <f>IF(B54="","",IF(AC54&lt;=AD54,"Đạt","Không đạt"))</f>
        <v/>
      </c>
      <c r="AF54" s="43" t="inlineStr">
        <is>
          <t>╔══ WARN: 6 tiêu chí — 2.10, 2.11, 2.12, 3.2, 3.3, 3.4
▼ 2.10 — Aggregation kèm filter date range chính xác
   • 1 khối tổng hợp không thấy filter theo ngày/tham số: cte_w4_status
▼ 2.11 — Join dùng key hợp lý, không lạm dụng UNION ALL + EXISTS/NOT EXISTS
   • dùng đồng thời UNION ALL và EXISTS ở dòng [4, 595], xét thay bằng LEFT JOIN
▼ 2.12 — Build Gold từ CTE snapshot Silver, không build nhiều tầng chồng chéo
   • bảng bị đọc lại ở nhiều khối SELECT, xét gom thành 1 CTE: cte_w4_acnt_contract_type_cur ở 2 khối
▼ 3.2 — CTE không bị scan lại nhiều lần
   • CTE bị tham chiếu lại nhiều lần: cte_account_sts_del x2, cte_crb_sts_del x2, cte_snap_hub_customer x2, cte_snap_hub_branch x2, cte_snap_hub_account x4, cte_snap_link_account_customer x3, cte_snap_hub_crb x3, cte_snap_link_letter_of_credit_customer x2, cte_snap_sat_account_balance x2, cte_snap_calendar x3, cte_customer_classification x2, cte_customer_balance x2, cte_acct_base x2, cte_acct_b2 x2, cte_ft_dedup x2, cte_ref_way4_contr_status_cur x2, cte_w4_acnt_contract_info_cur x2
▼ 3.3 — Filter trước khi join, tận dụng partition pruning
   • 12 bảng join trực tiếp mà không có filter riêng: cte_w4_acnt_contract_branch_cur (lbr), cte_w4_acnt_contract_client_cur (lcl), cte_w4_acnt_contract_product_cur (lpr), hub_acnt_contract (cc), hub_acnt_contract (lac), hub_letter_of_credit (hlc), hub_loans (hln), hub_md_deal (hmd)
▼ 3.4 — Sử dụng CACHE cho query lặp lại trong cùng luồng
   • 17 CTE nặng dùng lại &gt;= 2 lần mà không có CACHE: cte_account_sts_del, cte_acct_b2, cte_acct_base, cte_crb_sts_del, cte_customer_balance, cte_customer_classification, cte_ft_dedup, cte_ref_way4_contr_status_cur, cte_snap_calendar, cte_snap_hub_account, cte_snap_hub_branch, cte_snap_hub_crb, cte_snap_hub_customer, cte_snap_link_account_customer, cte_snap_link_letter_of_credit_customer, cte_snap_sat_account_balance, cte_w4_acnt_contract_info_cur</t>
        </is>
      </c>
    </row>
    <row r="55" ht="30" customHeight="1" s="36">
      <c r="A55" s="17" t="n">
        <v>67</v>
      </c>
      <c r="B55" s="44" t="inlineStr">
        <is>
          <t>TCKH.AR_DIM</t>
        </is>
      </c>
      <c r="C55" s="45" t="inlineStr">
        <is>
          <t>Batch 2</t>
        </is>
      </c>
      <c r="D55" s="45" t="inlineStr">
        <is>
          <t>HOP</t>
        </is>
      </c>
      <c r="E55" s="45" t="inlineStr">
        <is>
          <t>2026-08-11</t>
        </is>
      </c>
      <c r="F55" s="46" t="inlineStr">
        <is>
          <t>Pass</t>
        </is>
      </c>
      <c r="G55" s="46" t="inlineStr">
        <is>
          <t>Pass</t>
        </is>
      </c>
      <c r="H55" s="46" t="inlineStr">
        <is>
          <t>Pass</t>
        </is>
      </c>
      <c r="I55" s="46" t="inlineStr">
        <is>
          <t>Pass</t>
        </is>
      </c>
      <c r="J55" s="46" t="inlineStr">
        <is>
          <t>Pass</t>
        </is>
      </c>
      <c r="K55" s="46" t="inlineStr">
        <is>
          <t>Pass</t>
        </is>
      </c>
      <c r="L55" s="46" t="inlineStr">
        <is>
          <t>Pass</t>
        </is>
      </c>
      <c r="M55" s="46" t="inlineStr">
        <is>
          <t>Pass</t>
        </is>
      </c>
      <c r="N55" s="46" t="inlineStr">
        <is>
          <t>Pass</t>
        </is>
      </c>
      <c r="O55" s="46" t="inlineStr">
        <is>
          <t>Pass</t>
        </is>
      </c>
      <c r="P55" s="46" t="inlineStr">
        <is>
          <t>Pass</t>
        </is>
      </c>
      <c r="Q55" s="46" t="inlineStr">
        <is>
          <t>Pass</t>
        </is>
      </c>
      <c r="R55" s="46" t="inlineStr">
        <is>
          <t>Pass</t>
        </is>
      </c>
      <c r="S55" s="46" t="inlineStr">
        <is>
          <t>Pass</t>
        </is>
      </c>
      <c r="T55" s="46" t="inlineStr">
        <is>
          <t>Pass</t>
        </is>
      </c>
      <c r="U55" s="46" t="inlineStr">
        <is>
          <t>WARN</t>
        </is>
      </c>
      <c r="V55" s="46" t="inlineStr">
        <is>
          <t>Pass</t>
        </is>
      </c>
      <c r="W55" s="46" t="inlineStr">
        <is>
          <t>WARN</t>
        </is>
      </c>
      <c r="X55" s="46" t="inlineStr">
        <is>
          <t>Pass</t>
        </is>
      </c>
      <c r="Y55" s="46" t="inlineStr">
        <is>
          <t>Pass</t>
        </is>
      </c>
      <c r="Z55" s="26">
        <f>IF(B55="","",IF(COUNTIF(F55:G55,"Fail")&gt;0,1,0))</f>
        <v/>
      </c>
      <c r="AA55" s="26">
        <f>IF(B55="","",IF(COUNTIF(H55:S55,"Fail")&gt;0,1,0))</f>
        <v/>
      </c>
      <c r="AB55" s="26">
        <f>IF(B55="","",IF(COUNTIF(T55:Y55,"Fail")&gt;0,1,0))</f>
        <v/>
      </c>
      <c r="AC55" s="27">
        <f>IF(B55="","",0.1*Z55+0.8*AA55+0.1*AB55)</f>
        <v/>
      </c>
      <c r="AD55" s="27">
        <f>IF(B55="","",IF(C55="Batch 1",0.3,0.2))</f>
        <v/>
      </c>
      <c r="AE55" s="19">
        <f>IF(B55="","",IF(AC55&lt;=AD55,"Đạt","Không đạt"))</f>
        <v/>
      </c>
      <c r="AF55" s="43" t="inlineStr">
        <is>
          <t>╔══ WARN: 2 tiêu chí — 3.2, 3.4
▼ 3.2 — CTE không bị scan lại nhiều lần
   • CTE bị tham chiếu lại nhiều lần: ref_all x7
▼ 3.4 — Sử dụng CACHE cho query lặp lại trong cùng luồng
   • 1 CTE nặng dùng lại &gt;= 2 lần mà không có CACHE: ref_all</t>
        </is>
      </c>
    </row>
    <row r="56" ht="30" customHeight="1" s="36">
      <c r="A56" s="17" t="n">
        <v>68</v>
      </c>
      <c r="B56" s="44" t="inlineStr">
        <is>
          <t>TCKH.GL_ACCT_DIM</t>
        </is>
      </c>
      <c r="C56" s="45" t="inlineStr">
        <is>
          <t>Batch 2</t>
        </is>
      </c>
      <c r="D56" s="45" t="inlineStr">
        <is>
          <t>BAOANH</t>
        </is>
      </c>
      <c r="E56" s="45" t="inlineStr">
        <is>
          <t>2026-08-11</t>
        </is>
      </c>
      <c r="F56" s="46" t="inlineStr">
        <is>
          <t>Pass</t>
        </is>
      </c>
      <c r="G56" s="46" t="inlineStr">
        <is>
          <t>Pass</t>
        </is>
      </c>
      <c r="H56" s="46" t="inlineStr">
        <is>
          <t>Pass</t>
        </is>
      </c>
      <c r="I56" s="46" t="inlineStr">
        <is>
          <t>Pass</t>
        </is>
      </c>
      <c r="J56" s="46" t="inlineStr">
        <is>
          <t>Pass</t>
        </is>
      </c>
      <c r="K56" s="46" t="inlineStr">
        <is>
          <t>Pass</t>
        </is>
      </c>
      <c r="L56" s="46" t="inlineStr">
        <is>
          <t>Pass</t>
        </is>
      </c>
      <c r="M56" s="46" t="inlineStr">
        <is>
          <t>Pass</t>
        </is>
      </c>
      <c r="N56" s="46" t="inlineStr">
        <is>
          <t>Pass</t>
        </is>
      </c>
      <c r="O56" s="46" t="inlineStr">
        <is>
          <t>Pass</t>
        </is>
      </c>
      <c r="P56" s="46" t="inlineStr">
        <is>
          <t>Pass</t>
        </is>
      </c>
      <c r="Q56" s="46" t="inlineStr">
        <is>
          <t>Pass</t>
        </is>
      </c>
      <c r="R56" s="46" t="inlineStr">
        <is>
          <t>Pass</t>
        </is>
      </c>
      <c r="S56" s="46" t="inlineStr">
        <is>
          <t>Pass</t>
        </is>
      </c>
      <c r="T56" s="46" t="inlineStr">
        <is>
          <t>Pass</t>
        </is>
      </c>
      <c r="U56" s="46" t="inlineStr">
        <is>
          <t>Pass</t>
        </is>
      </c>
      <c r="V56" s="46" t="inlineStr">
        <is>
          <t>Pass</t>
        </is>
      </c>
      <c r="W56" s="46" t="inlineStr">
        <is>
          <t>Pass</t>
        </is>
      </c>
      <c r="X56" s="46" t="inlineStr">
        <is>
          <t>Pass</t>
        </is>
      </c>
      <c r="Y56" s="46" t="inlineStr">
        <is>
          <t>Pass</t>
        </is>
      </c>
      <c r="Z56" s="26">
        <f>IF(B56="","",IF(COUNTIF(F56:G56,"Fail")&gt;0,1,0))</f>
        <v/>
      </c>
      <c r="AA56" s="26">
        <f>IF(B56="","",IF(COUNTIF(H56:S56,"Fail")&gt;0,1,0))</f>
        <v/>
      </c>
      <c r="AB56" s="26">
        <f>IF(B56="","",IF(COUNTIF(T56:Y56,"Fail")&gt;0,1,0))</f>
        <v/>
      </c>
      <c r="AC56" s="27">
        <f>IF(B56="","",0.1*Z56+0.8*AA56+0.1*AB56)</f>
        <v/>
      </c>
      <c r="AD56" s="27">
        <f>IF(B56="","",IF(C56="Batch 1",0.3,0.2))</f>
        <v/>
      </c>
      <c r="AE56" s="19">
        <f>IF(B56="","",IF(AC56&lt;=AD56,"Đạt","Không đạt"))</f>
        <v/>
      </c>
      <c r="AF56" s="43" t="inlineStr">
        <is>
          <t>Đạt toàn bộ tiêu chí.</t>
        </is>
      </c>
    </row>
    <row r="57" ht="30" customHeight="1" s="36">
      <c r="A57" s="17" t="n">
        <v>69</v>
      </c>
      <c r="B57" s="44" t="inlineStr">
        <is>
          <t>TCKH.LD_FTP_RATE</t>
        </is>
      </c>
      <c r="C57" s="45" t="inlineStr">
        <is>
          <t>Batch 2</t>
        </is>
      </c>
      <c r="D57" s="45" t="inlineStr">
        <is>
          <t>PHAT</t>
        </is>
      </c>
      <c r="E57" s="45" t="inlineStr">
        <is>
          <t>2026-08-11</t>
        </is>
      </c>
      <c r="F57" s="46" t="inlineStr">
        <is>
          <t>Pass</t>
        </is>
      </c>
      <c r="G57" s="46" t="inlineStr">
        <is>
          <t>Pass</t>
        </is>
      </c>
      <c r="H57" s="46" t="inlineStr">
        <is>
          <t>Pass</t>
        </is>
      </c>
      <c r="I57" s="46" t="inlineStr">
        <is>
          <t>Pass</t>
        </is>
      </c>
      <c r="J57" s="46" t="inlineStr">
        <is>
          <t>Pass</t>
        </is>
      </c>
      <c r="K57" s="46" t="inlineStr">
        <is>
          <t>Pass</t>
        </is>
      </c>
      <c r="L57" s="46" t="inlineStr">
        <is>
          <t>Pass</t>
        </is>
      </c>
      <c r="M57" s="46" t="inlineStr">
        <is>
          <t>Pass</t>
        </is>
      </c>
      <c r="N57" s="46" t="inlineStr">
        <is>
          <t>Pass</t>
        </is>
      </c>
      <c r="O57" s="46" t="inlineStr">
        <is>
          <t>Pass</t>
        </is>
      </c>
      <c r="P57" s="46" t="inlineStr">
        <is>
          <t>Pass</t>
        </is>
      </c>
      <c r="Q57" s="46" t="inlineStr">
        <is>
          <t>Pass</t>
        </is>
      </c>
      <c r="R57" s="46" t="inlineStr">
        <is>
          <t>Pass</t>
        </is>
      </c>
      <c r="S57" s="46" t="inlineStr">
        <is>
          <t>Pass</t>
        </is>
      </c>
      <c r="T57" s="46" t="inlineStr">
        <is>
          <t>Pass</t>
        </is>
      </c>
      <c r="U57" s="46" t="inlineStr">
        <is>
          <t>Pass</t>
        </is>
      </c>
      <c r="V57" s="46" t="inlineStr">
        <is>
          <t>Pass</t>
        </is>
      </c>
      <c r="W57" s="46" t="inlineStr">
        <is>
          <t>Pass</t>
        </is>
      </c>
      <c r="X57" s="46" t="inlineStr">
        <is>
          <t>Pass</t>
        </is>
      </c>
      <c r="Y57" s="46" t="inlineStr">
        <is>
          <t>Pass</t>
        </is>
      </c>
      <c r="Z57" s="26">
        <f>IF(B57="","",IF(COUNTIF(F57:G57,"Fail")&gt;0,1,0))</f>
        <v/>
      </c>
      <c r="AA57" s="26">
        <f>IF(B57="","",IF(COUNTIF(H57:S57,"Fail")&gt;0,1,0))</f>
        <v/>
      </c>
      <c r="AB57" s="26">
        <f>IF(B57="","",IF(COUNTIF(T57:Y57,"Fail")&gt;0,1,0))</f>
        <v/>
      </c>
      <c r="AC57" s="27">
        <f>IF(B57="","",0.1*Z57+0.8*AA57+0.1*AB57)</f>
        <v/>
      </c>
      <c r="AD57" s="27">
        <f>IF(B57="","",IF(C57="Batch 1",0.3,0.2))</f>
        <v/>
      </c>
      <c r="AE57" s="19">
        <f>IF(B57="","",IF(AC57&lt;=AD57,"Đạt","Không đạt"))</f>
        <v/>
      </c>
      <c r="AF57" s="43" t="inlineStr">
        <is>
          <t>Đạt toàn bộ tiêu chí.</t>
        </is>
      </c>
    </row>
    <row r="58" ht="30" customHeight="1" s="36">
      <c r="A58" s="17" t="n">
        <v>70</v>
      </c>
      <c r="B58" s="44" t="inlineStr">
        <is>
          <t>TCKH.OPEX_DTL</t>
        </is>
      </c>
      <c r="C58" s="45" t="inlineStr">
        <is>
          <t>Batch 2</t>
        </is>
      </c>
      <c r="D58" s="45" t="inlineStr">
        <is>
          <t>HOP</t>
        </is>
      </c>
      <c r="E58" s="45" t="inlineStr">
        <is>
          <t>2026-08-11</t>
        </is>
      </c>
      <c r="F58" s="46" t="inlineStr">
        <is>
          <t>Pass</t>
        </is>
      </c>
      <c r="G58" s="46" t="inlineStr">
        <is>
          <t>Pass</t>
        </is>
      </c>
      <c r="H58" s="46" t="inlineStr">
        <is>
          <t>Pass</t>
        </is>
      </c>
      <c r="I58" s="46" t="inlineStr">
        <is>
          <t>Pass</t>
        </is>
      </c>
      <c r="J58" s="46" t="inlineStr">
        <is>
          <t>Pass</t>
        </is>
      </c>
      <c r="K58" s="46" t="inlineStr">
        <is>
          <t>Pass</t>
        </is>
      </c>
      <c r="L58" s="46" t="inlineStr">
        <is>
          <t>Pass</t>
        </is>
      </c>
      <c r="M58" s="46" t="inlineStr">
        <is>
          <t>Pass</t>
        </is>
      </c>
      <c r="N58" s="46" t="inlineStr">
        <is>
          <t>Pass</t>
        </is>
      </c>
      <c r="O58" s="46" t="inlineStr">
        <is>
          <t>Pass</t>
        </is>
      </c>
      <c r="P58" s="46" t="inlineStr">
        <is>
          <t>Pass</t>
        </is>
      </c>
      <c r="Q58" s="46" t="inlineStr">
        <is>
          <t>Pass</t>
        </is>
      </c>
      <c r="R58" s="46" t="inlineStr">
        <is>
          <t>Pass</t>
        </is>
      </c>
      <c r="S58" s="46" t="inlineStr">
        <is>
          <t>Pass</t>
        </is>
      </c>
      <c r="T58" s="46" t="inlineStr">
        <is>
          <t>Pass</t>
        </is>
      </c>
      <c r="U58" s="46" t="inlineStr">
        <is>
          <t>Pass</t>
        </is>
      </c>
      <c r="V58" s="46" t="inlineStr">
        <is>
          <t>Pass</t>
        </is>
      </c>
      <c r="W58" s="46" t="inlineStr">
        <is>
          <t>Pass</t>
        </is>
      </c>
      <c r="X58" s="46" t="inlineStr">
        <is>
          <t>Pass</t>
        </is>
      </c>
      <c r="Y58" s="46" t="inlineStr">
        <is>
          <t>Pass</t>
        </is>
      </c>
      <c r="Z58" s="26">
        <f>IF(B58="","",IF(COUNTIF(F58:G58,"Fail")&gt;0,1,0))</f>
        <v/>
      </c>
      <c r="AA58" s="26">
        <f>IF(B58="","",IF(COUNTIF(H58:S58,"Fail")&gt;0,1,0))</f>
        <v/>
      </c>
      <c r="AB58" s="26">
        <f>IF(B58="","",IF(COUNTIF(T58:Y58,"Fail")&gt;0,1,0))</f>
        <v/>
      </c>
      <c r="AC58" s="27">
        <f>IF(B58="","",0.1*Z58+0.8*AA58+0.1*AB58)</f>
        <v/>
      </c>
      <c r="AD58" s="27">
        <f>IF(B58="","",IF(C58="Batch 1",0.3,0.2))</f>
        <v/>
      </c>
      <c r="AE58" s="19">
        <f>IF(B58="","",IF(AC58&lt;=AD58,"Đạt","Không đạt"))</f>
        <v/>
      </c>
      <c r="AF58" s="43" t="inlineStr">
        <is>
          <t>Đạt toàn bộ tiêu chí.</t>
        </is>
      </c>
    </row>
    <row r="59" ht="30" customHeight="1" s="36">
      <c r="A59" s="17" t="n">
        <v>72</v>
      </c>
      <c r="B59" s="44" t="inlineStr">
        <is>
          <t>TCKH.PST_ENTR_FCT</t>
        </is>
      </c>
      <c r="C59" s="45" t="inlineStr">
        <is>
          <t>Batch 2</t>
        </is>
      </c>
      <c r="D59" s="45" t="inlineStr">
        <is>
          <t>QUANG</t>
        </is>
      </c>
      <c r="E59" s="45" t="inlineStr">
        <is>
          <t>2026-08-11</t>
        </is>
      </c>
      <c r="F59" s="46" t="inlineStr">
        <is>
          <t>Pass</t>
        </is>
      </c>
      <c r="G59" s="46" t="inlineStr">
        <is>
          <t>Pass</t>
        </is>
      </c>
      <c r="H59" s="46" t="inlineStr">
        <is>
          <t>Pass</t>
        </is>
      </c>
      <c r="I59" s="46" t="inlineStr">
        <is>
          <t>Pass</t>
        </is>
      </c>
      <c r="J59" s="46" t="inlineStr">
        <is>
          <t>Pass</t>
        </is>
      </c>
      <c r="K59" s="46" t="inlineStr">
        <is>
          <t>Pass</t>
        </is>
      </c>
      <c r="L59" s="46" t="inlineStr">
        <is>
          <t>Pass</t>
        </is>
      </c>
      <c r="M59" s="46" t="inlineStr">
        <is>
          <t>Pass</t>
        </is>
      </c>
      <c r="N59" s="46" t="inlineStr">
        <is>
          <t>Pass</t>
        </is>
      </c>
      <c r="O59" s="46" t="inlineStr">
        <is>
          <t>Pass</t>
        </is>
      </c>
      <c r="P59" s="46" t="inlineStr">
        <is>
          <t>Pass</t>
        </is>
      </c>
      <c r="Q59" s="46" t="inlineStr">
        <is>
          <t>Pass</t>
        </is>
      </c>
      <c r="R59" s="46" t="inlineStr">
        <is>
          <t>Pass</t>
        </is>
      </c>
      <c r="S59" s="46" t="inlineStr">
        <is>
          <t>Pass</t>
        </is>
      </c>
      <c r="T59" s="46" t="inlineStr">
        <is>
          <t>Pass</t>
        </is>
      </c>
      <c r="U59" s="46" t="inlineStr">
        <is>
          <t>Pass</t>
        </is>
      </c>
      <c r="V59" s="46" t="inlineStr">
        <is>
          <t>Pass</t>
        </is>
      </c>
      <c r="W59" s="46" t="inlineStr">
        <is>
          <t>Pass</t>
        </is>
      </c>
      <c r="X59" s="46" t="inlineStr">
        <is>
          <t>Pass</t>
        </is>
      </c>
      <c r="Y59" s="46" t="inlineStr">
        <is>
          <t>Pass</t>
        </is>
      </c>
      <c r="Z59" s="26">
        <f>IF(B59="","",IF(COUNTIF(F59:G59,"Fail")&gt;0,1,0))</f>
        <v/>
      </c>
      <c r="AA59" s="26">
        <f>IF(B59="","",IF(COUNTIF(H59:S59,"Fail")&gt;0,1,0))</f>
        <v/>
      </c>
      <c r="AB59" s="26">
        <f>IF(B59="","",IF(COUNTIF(T59:Y59,"Fail")&gt;0,1,0))</f>
        <v/>
      </c>
      <c r="AC59" s="27">
        <f>IF(B59="","",0.1*Z59+0.8*AA59+0.1*AB59)</f>
        <v/>
      </c>
      <c r="AD59" s="27">
        <f>IF(B59="","",IF(C59="Batch 1",0.3,0.2))</f>
        <v/>
      </c>
      <c r="AE59" s="19">
        <f>IF(B59="","",IF(AC59&lt;=AD59,"Đạt","Không đạt"))</f>
        <v/>
      </c>
      <c r="AF59" s="43" t="inlineStr">
        <is>
          <t>Đạt toàn bộ tiêu chí.</t>
        </is>
      </c>
    </row>
    <row r="60" ht="30" customHeight="1" s="36">
      <c r="A60" s="17" t="n">
        <v>73</v>
      </c>
      <c r="B60" s="44" t="inlineStr">
        <is>
          <t>TCKH.T24_USER</t>
        </is>
      </c>
      <c r="C60" s="45" t="inlineStr">
        <is>
          <t>Batch 2</t>
        </is>
      </c>
      <c r="D60" s="45" t="inlineStr">
        <is>
          <t>BAOANH</t>
        </is>
      </c>
      <c r="E60" s="45" t="inlineStr">
        <is>
          <t>2026-08-11</t>
        </is>
      </c>
      <c r="F60" s="46" t="inlineStr">
        <is>
          <t>Pass</t>
        </is>
      </c>
      <c r="G60" s="46" t="inlineStr">
        <is>
          <t>Pass</t>
        </is>
      </c>
      <c r="H60" s="46" t="inlineStr">
        <is>
          <t>Pass</t>
        </is>
      </c>
      <c r="I60" s="46" t="inlineStr">
        <is>
          <t>Pass</t>
        </is>
      </c>
      <c r="J60" s="46" t="inlineStr">
        <is>
          <t>Pass</t>
        </is>
      </c>
      <c r="K60" s="46" t="inlineStr">
        <is>
          <t>Pass</t>
        </is>
      </c>
      <c r="L60" s="46" t="inlineStr">
        <is>
          <t>Pass</t>
        </is>
      </c>
      <c r="M60" s="46" t="inlineStr">
        <is>
          <t>Pass</t>
        </is>
      </c>
      <c r="N60" s="46" t="inlineStr">
        <is>
          <t>Pass</t>
        </is>
      </c>
      <c r="O60" s="46" t="inlineStr">
        <is>
          <t>Pass</t>
        </is>
      </c>
      <c r="P60" s="46" t="inlineStr">
        <is>
          <t>Pass</t>
        </is>
      </c>
      <c r="Q60" s="46" t="inlineStr">
        <is>
          <t>Pass</t>
        </is>
      </c>
      <c r="R60" s="46" t="inlineStr">
        <is>
          <t>Pass</t>
        </is>
      </c>
      <c r="S60" s="46" t="inlineStr">
        <is>
          <t>Pass</t>
        </is>
      </c>
      <c r="T60" s="46" t="inlineStr">
        <is>
          <t>Pass</t>
        </is>
      </c>
      <c r="U60" s="46" t="inlineStr">
        <is>
          <t>Pass</t>
        </is>
      </c>
      <c r="V60" s="46" t="inlineStr">
        <is>
          <t>Pass</t>
        </is>
      </c>
      <c r="W60" s="46" t="inlineStr">
        <is>
          <t>Pass</t>
        </is>
      </c>
      <c r="X60" s="46" t="inlineStr">
        <is>
          <t>Pass</t>
        </is>
      </c>
      <c r="Y60" s="46" t="inlineStr">
        <is>
          <t>Pass</t>
        </is>
      </c>
      <c r="Z60" s="26">
        <f>IF(B60="","",IF(COUNTIF(F60:G60,"Fail")&gt;0,1,0))</f>
        <v/>
      </c>
      <c r="AA60" s="26">
        <f>IF(B60="","",IF(COUNTIF(H60:S60,"Fail")&gt;0,1,0))</f>
        <v/>
      </c>
      <c r="AB60" s="26">
        <f>IF(B60="","",IF(COUNTIF(T60:Y60,"Fail")&gt;0,1,0))</f>
        <v/>
      </c>
      <c r="AC60" s="27">
        <f>IF(B60="","",0.1*Z60+0.8*AA60+0.1*AB60)</f>
        <v/>
      </c>
      <c r="AD60" s="27">
        <f>IF(B60="","",IF(C60="Batch 1",0.3,0.2))</f>
        <v/>
      </c>
      <c r="AE60" s="19">
        <f>IF(B60="","",IF(AC60&lt;=AD60,"Đạt","Không đạt"))</f>
        <v/>
      </c>
      <c r="AF60" s="43" t="inlineStr">
        <is>
          <t>Đạt toàn bộ tiêu chí.</t>
        </is>
      </c>
    </row>
    <row r="61" ht="30" customHeight="1" s="36">
      <c r="A61" s="17" t="n">
        <v>74</v>
      </c>
      <c r="B61" s="44" t="inlineStr">
        <is>
          <t>TCKH.TB_BCN085_THUNO_DTL</t>
        </is>
      </c>
      <c r="C61" s="45" t="inlineStr">
        <is>
          <t>Batch 2</t>
        </is>
      </c>
      <c r="D61" s="45" t="inlineStr">
        <is>
          <t>QUANG</t>
        </is>
      </c>
      <c r="E61" s="45" t="inlineStr">
        <is>
          <t>2026-08-11</t>
        </is>
      </c>
      <c r="F61" s="46" t="inlineStr">
        <is>
          <t>Pass</t>
        </is>
      </c>
      <c r="G61" s="46" t="inlineStr">
        <is>
          <t>Pass</t>
        </is>
      </c>
      <c r="H61" s="46" t="inlineStr">
        <is>
          <t>Pass</t>
        </is>
      </c>
      <c r="I61" s="46" t="inlineStr">
        <is>
          <t>Pass</t>
        </is>
      </c>
      <c r="J61" s="46" t="inlineStr">
        <is>
          <t>Pass</t>
        </is>
      </c>
      <c r="K61" s="46" t="inlineStr">
        <is>
          <t>Pass</t>
        </is>
      </c>
      <c r="L61" s="46" t="inlineStr">
        <is>
          <t>Pass</t>
        </is>
      </c>
      <c r="M61" s="46" t="inlineStr">
        <is>
          <t>Pass</t>
        </is>
      </c>
      <c r="N61" s="46" t="inlineStr">
        <is>
          <t>Pass</t>
        </is>
      </c>
      <c r="O61" s="46" t="inlineStr">
        <is>
          <t>Pass</t>
        </is>
      </c>
      <c r="P61" s="46" t="inlineStr">
        <is>
          <t>Pass</t>
        </is>
      </c>
      <c r="Q61" s="46" t="inlineStr">
        <is>
          <t>Pass</t>
        </is>
      </c>
      <c r="R61" s="46" t="inlineStr">
        <is>
          <t>Pass</t>
        </is>
      </c>
      <c r="S61" s="46" t="inlineStr">
        <is>
          <t>Pass</t>
        </is>
      </c>
      <c r="T61" s="46" t="inlineStr">
        <is>
          <t>Pass</t>
        </is>
      </c>
      <c r="U61" s="46" t="inlineStr">
        <is>
          <t>WARN</t>
        </is>
      </c>
      <c r="V61" s="46" t="inlineStr">
        <is>
          <t>WARN</t>
        </is>
      </c>
      <c r="W61" s="46" t="inlineStr">
        <is>
          <t>WARN</t>
        </is>
      </c>
      <c r="X61" s="46" t="inlineStr">
        <is>
          <t>Pass</t>
        </is>
      </c>
      <c r="Y61" s="46" t="inlineStr">
        <is>
          <t>Pass</t>
        </is>
      </c>
      <c r="Z61" s="26">
        <f>IF(B61="","",IF(COUNTIF(F61:G61,"Fail")&gt;0,1,0))</f>
        <v/>
      </c>
      <c r="AA61" s="26">
        <f>IF(B61="","",IF(COUNTIF(H61:S61,"Fail")&gt;0,1,0))</f>
        <v/>
      </c>
      <c r="AB61" s="26">
        <f>IF(B61="","",IF(COUNTIF(T61:Y61,"Fail")&gt;0,1,0))</f>
        <v/>
      </c>
      <c r="AC61" s="27">
        <f>IF(B61="","",0.1*Z61+0.8*AA61+0.1*AB61)</f>
        <v/>
      </c>
      <c r="AD61" s="27">
        <f>IF(B61="","",IF(C61="Batch 1",0.3,0.2))</f>
        <v/>
      </c>
      <c r="AE61" s="19">
        <f>IF(B61="","",IF(AC61&lt;=AD61,"Đạt","Không đạt"))</f>
        <v/>
      </c>
      <c r="AF61" s="43" t="inlineStr">
        <is>
          <t>╔══ WARN: 3 tiêu chí — 3.2, 3.3, 3.4
▼ 3.2 — CTE không bị scan lại nhiều lần
   • CTE bị tham chiếu lại nhiều lần: prev_wd x7, br_raw x2, cust_grp x2, lsl_snap x4
▼ 3.3 — Filter trước khi join, tận dụng partition pruning
   • 1 bảng join trực tiếp mà không có filter riêng: customer_custgroup_map (m)
▼ 3.4 — Sử dụng CACHE cho query lặp lại trong cùng luồng
   • 4 CTE nặng dùng lại &gt;= 2 lần mà không có CACHE: br_raw, cust_grp, lsl_snap, prev_wd</t>
        </is>
      </c>
    </row>
    <row r="62" ht="30" customHeight="1" s="36">
      <c r="A62" s="17" t="n">
        <v>75</v>
      </c>
      <c r="B62" s="44" t="inlineStr">
        <is>
          <t>TCKH.TXN_TP_DIM</t>
        </is>
      </c>
      <c r="C62" s="45" t="inlineStr">
        <is>
          <t>Batch 2</t>
        </is>
      </c>
      <c r="D62" s="45" t="inlineStr">
        <is>
          <t>HOP</t>
        </is>
      </c>
      <c r="E62" s="45" t="inlineStr">
        <is>
          <t>2026-08-11</t>
        </is>
      </c>
      <c r="F62" s="46" t="inlineStr">
        <is>
          <t>Pass</t>
        </is>
      </c>
      <c r="G62" s="46" t="inlineStr">
        <is>
          <t>Pass</t>
        </is>
      </c>
      <c r="H62" s="46" t="inlineStr">
        <is>
          <t>Pass</t>
        </is>
      </c>
      <c r="I62" s="46" t="inlineStr">
        <is>
          <t>Pass</t>
        </is>
      </c>
      <c r="J62" s="46" t="inlineStr">
        <is>
          <t>Pass</t>
        </is>
      </c>
      <c r="K62" s="46" t="inlineStr">
        <is>
          <t>Pass</t>
        </is>
      </c>
      <c r="L62" s="46" t="inlineStr">
        <is>
          <t>Pass</t>
        </is>
      </c>
      <c r="M62" s="46" t="inlineStr">
        <is>
          <t>Pass</t>
        </is>
      </c>
      <c r="N62" s="46" t="inlineStr">
        <is>
          <t>Pass</t>
        </is>
      </c>
      <c r="O62" s="46" t="inlineStr">
        <is>
          <t>Pass</t>
        </is>
      </c>
      <c r="P62" s="46" t="inlineStr">
        <is>
          <t>Pass</t>
        </is>
      </c>
      <c r="Q62" s="46" t="inlineStr">
        <is>
          <t>Pass</t>
        </is>
      </c>
      <c r="R62" s="46" t="inlineStr">
        <is>
          <t>Pass</t>
        </is>
      </c>
      <c r="S62" s="46" t="inlineStr">
        <is>
          <t>Pass</t>
        </is>
      </c>
      <c r="T62" s="46" t="inlineStr">
        <is>
          <t>Pass</t>
        </is>
      </c>
      <c r="U62" s="46" t="inlineStr">
        <is>
          <t>Pass</t>
        </is>
      </c>
      <c r="V62" s="46" t="inlineStr">
        <is>
          <t>Pass</t>
        </is>
      </c>
      <c r="W62" s="46" t="inlineStr">
        <is>
          <t>Pass</t>
        </is>
      </c>
      <c r="X62" s="46" t="inlineStr">
        <is>
          <t>Pass</t>
        </is>
      </c>
      <c r="Y62" s="46" t="inlineStr">
        <is>
          <t>Pass</t>
        </is>
      </c>
      <c r="Z62" s="26">
        <f>IF(B62="","",IF(COUNTIF(F62:G62,"Fail")&gt;0,1,0))</f>
        <v/>
      </c>
      <c r="AA62" s="26">
        <f>IF(B62="","",IF(COUNTIF(H62:S62,"Fail")&gt;0,1,0))</f>
        <v/>
      </c>
      <c r="AB62" s="26">
        <f>IF(B62="","",IF(COUNTIF(T62:Y62,"Fail")&gt;0,1,0))</f>
        <v/>
      </c>
      <c r="AC62" s="27">
        <f>IF(B62="","",0.1*Z62+0.8*AA62+0.1*AB62)</f>
        <v/>
      </c>
      <c r="AD62" s="27">
        <f>IF(B62="","",IF(C62="Batch 1",0.3,0.2))</f>
        <v/>
      </c>
      <c r="AE62" s="19">
        <f>IF(B62="","",IF(AC62&lt;=AD62,"Đạt","Không đạt"))</f>
        <v/>
      </c>
      <c r="AF62" s="43" t="inlineStr">
        <is>
          <t>Đạt toàn bộ tiêu chí.</t>
        </is>
      </c>
    </row>
    <row r="63" ht="30" customHeight="1" s="36">
      <c r="A63" s="17" t="n">
        <v>77</v>
      </c>
      <c r="B63" s="44" t="inlineStr">
        <is>
          <t>TCKH.LOAN_SUMMARY_LIST</t>
        </is>
      </c>
      <c r="C63" s="45" t="inlineStr">
        <is>
          <t>Batch 2</t>
        </is>
      </c>
      <c r="D63" s="45" t="inlineStr">
        <is>
          <t>PHAT</t>
        </is>
      </c>
      <c r="E63" s="45" t="inlineStr">
        <is>
          <t>2026-08-11</t>
        </is>
      </c>
      <c r="F63" s="46" t="inlineStr">
        <is>
          <t>Pass</t>
        </is>
      </c>
      <c r="G63" s="46" t="inlineStr">
        <is>
          <t>Pass</t>
        </is>
      </c>
      <c r="H63" s="46" t="inlineStr">
        <is>
          <t>Pass</t>
        </is>
      </c>
      <c r="I63" s="46" t="inlineStr">
        <is>
          <t>Pass</t>
        </is>
      </c>
      <c r="J63" s="46" t="inlineStr">
        <is>
          <t>Pass</t>
        </is>
      </c>
      <c r="K63" s="46" t="inlineStr">
        <is>
          <t>Pass</t>
        </is>
      </c>
      <c r="L63" s="46" t="inlineStr">
        <is>
          <t>Pass</t>
        </is>
      </c>
      <c r="M63" s="46" t="inlineStr">
        <is>
          <t>Pass</t>
        </is>
      </c>
      <c r="N63" s="46" t="inlineStr">
        <is>
          <t>Pass</t>
        </is>
      </c>
      <c r="O63" s="46" t="inlineStr">
        <is>
          <t>Pass</t>
        </is>
      </c>
      <c r="P63" s="46" t="inlineStr">
        <is>
          <t>Pass</t>
        </is>
      </c>
      <c r="Q63" s="46" t="inlineStr">
        <is>
          <t>WARN</t>
        </is>
      </c>
      <c r="R63" s="46" t="inlineStr">
        <is>
          <t>Pass</t>
        </is>
      </c>
      <c r="S63" s="46" t="inlineStr">
        <is>
          <t>Pass</t>
        </is>
      </c>
      <c r="T63" s="46" t="inlineStr">
        <is>
          <t>Pass</t>
        </is>
      </c>
      <c r="U63" s="46" t="inlineStr">
        <is>
          <t>WARN</t>
        </is>
      </c>
      <c r="V63" s="46" t="inlineStr">
        <is>
          <t>Pass</t>
        </is>
      </c>
      <c r="W63" s="46" t="inlineStr">
        <is>
          <t>WARN</t>
        </is>
      </c>
      <c r="X63" s="46" t="inlineStr">
        <is>
          <t>Fail</t>
        </is>
      </c>
      <c r="Y63" s="46" t="inlineStr">
        <is>
          <t>WARN</t>
        </is>
      </c>
      <c r="Z63" s="26">
        <f>IF(B63="","",IF(COUNTIF(F63:G63,"Fail")&gt;0,1,0))</f>
        <v/>
      </c>
      <c r="AA63" s="26">
        <f>IF(B63="","",IF(COUNTIF(H63:S63,"Fail")&gt;0,1,0))</f>
        <v/>
      </c>
      <c r="AB63" s="26">
        <f>IF(B63="","",IF(COUNTIF(T63:Y63,"Fail")&gt;0,1,0))</f>
        <v/>
      </c>
      <c r="AC63" s="27">
        <f>IF(B63="","",0.1*Z63+0.8*AA63+0.1*AB63)</f>
        <v/>
      </c>
      <c r="AD63" s="27">
        <f>IF(B63="","",IF(C63="Batch 1",0.3,0.2))</f>
        <v/>
      </c>
      <c r="AE63" s="19">
        <f>IF(B63="","",IF(AC63&lt;=AD63,"Đạt","Không đạt"))</f>
        <v/>
      </c>
      <c r="AF63" s="43" t="inlineStr">
        <is>
          <t>╔══ FAIL: 1 tiêu chí — 3.5
▼ 3.5 — Ưu tiên MAX_BY + QUALIFY thay ROW_NUMBER() + WHERE rn = 1
   • Lý do: 2 block ≤5 cột vẫn dùng ROW_NUMBER=1 (dòng [248]) — ít cột thì MAX_BY đơn giản hơn, pattern chuẩn đã chốt là MAX_BY (Issue log #5)
   → Cách sửa: 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
╔══ WARN: 4 tiêu chí — 2.10, 3.2, 3.4, 3.6
▼ 2.10 — Aggregation kèm filter date range chính xác
   • 2 khối tổng hợp không thấy filter theo ngày/tham số: payment_due_sv, avi
▼ 3.2 — CTE không bị scan lại nhiều lần
   • CTE bị tham chiếu lại nhiều lần: del_limit x5, del_collateral x2, del_collateral_right x2, customer_active x4, cust_cls_cur x3, ln_cust_cur x2, ofcr_active x2, ofcr_info_cur x2, ln_limit_cur x2, limit_info_cur x2, pd_over_cur x2, ln_pd_cur x2, comb_hub_raw x2, coll_rl_cur x2, coll_cr_cur x2, coll_info_cur x2, sched_cur x2, rt_base x2, ld_hub x4, ou x7, cust x2, exg x2, ref_category x2, ref_purpose x3, ref_custgroup x2, ref_sector x2, ref_industry x4
▼ 3.4 — Sử dụng CACHE cho query lặp lại trong cùng luồng
   • 27 CTE nặng dùng lại &gt;= 2 lần mà không có CACHE: coll_cr_cur, coll_info_cur, coll_rl_cur, comb_hub_raw, cust, cust_cls_cur, customer_active, del_collateral, del_collateral_right, del_limit, exg, ld_hub, limit_info_cur, ln_cust_cur, ln_limit_cur, ln_pd_cur, ofcr_active, ofcr_info_cur, ou, pd_over_cur, ref_category, ref_custgroup, ref_industry, ref_purpose, ref_sector, rt_base, sched_cur
▼ 3.6 — Không lạm dụng window function; có comment khi dùng
   • 5/5 window function không có comment giải thích, ở dòng [248, 258, 667, 669, 782]</t>
        </is>
      </c>
    </row>
    <row r="64" ht="30" customHeight="1" s="36">
      <c r="A64" s="17" t="n">
        <v>78</v>
      </c>
      <c r="B64" s="44" t="inlineStr">
        <is>
          <t>TCKH.CB_OU_DIM</t>
        </is>
      </c>
      <c r="C64" s="45" t="inlineStr">
        <is>
          <t>Batch 2</t>
        </is>
      </c>
      <c r="D64" s="45" t="inlineStr">
        <is>
          <t>HOP</t>
        </is>
      </c>
      <c r="E64" s="45" t="inlineStr">
        <is>
          <t>2026-08-11</t>
        </is>
      </c>
      <c r="F64" s="46" t="inlineStr">
        <is>
          <t>Pass</t>
        </is>
      </c>
      <c r="G64" s="46" t="inlineStr">
        <is>
          <t>Pass</t>
        </is>
      </c>
      <c r="H64" s="46" t="inlineStr">
        <is>
          <t>Pass</t>
        </is>
      </c>
      <c r="I64" s="46" t="inlineStr">
        <is>
          <t>Pass</t>
        </is>
      </c>
      <c r="J64" s="46" t="inlineStr">
        <is>
          <t>Pass</t>
        </is>
      </c>
      <c r="K64" s="46" t="inlineStr">
        <is>
          <t>Pass</t>
        </is>
      </c>
      <c r="L64" s="46" t="inlineStr">
        <is>
          <t>Pass</t>
        </is>
      </c>
      <c r="M64" s="46" t="inlineStr">
        <is>
          <t>Pass</t>
        </is>
      </c>
      <c r="N64" s="46" t="inlineStr">
        <is>
          <t>Pass</t>
        </is>
      </c>
      <c r="O64" s="46" t="inlineStr">
        <is>
          <t>Pass</t>
        </is>
      </c>
      <c r="P64" s="46" t="inlineStr">
        <is>
          <t>Pass</t>
        </is>
      </c>
      <c r="Q64" s="46" t="inlineStr">
        <is>
          <t>Pass</t>
        </is>
      </c>
      <c r="R64" s="46" t="inlineStr">
        <is>
          <t>Pass</t>
        </is>
      </c>
      <c r="S64" s="46" t="inlineStr">
        <is>
          <t>Pass</t>
        </is>
      </c>
      <c r="T64" s="46" t="inlineStr">
        <is>
          <t>Pass</t>
        </is>
      </c>
      <c r="U64" s="46" t="inlineStr">
        <is>
          <t>WARN</t>
        </is>
      </c>
      <c r="V64" s="46" t="inlineStr">
        <is>
          <t>Pass</t>
        </is>
      </c>
      <c r="W64" s="46" t="inlineStr">
        <is>
          <t>WARN</t>
        </is>
      </c>
      <c r="X64" s="46" t="inlineStr">
        <is>
          <t>Pass</t>
        </is>
      </c>
      <c r="Y64" s="46" t="inlineStr">
        <is>
          <t>Pass</t>
        </is>
      </c>
      <c r="Z64" s="26">
        <f>IF(B64="","",IF(COUNTIF(F64:G64,"Fail")&gt;0,1,0))</f>
        <v/>
      </c>
      <c r="AA64" s="26">
        <f>IF(B64="","",IF(COUNTIF(H64:S64,"Fail")&gt;0,1,0))</f>
        <v/>
      </c>
      <c r="AB64" s="26">
        <f>IF(B64="","",IF(COUNTIF(T64:Y64,"Fail")&gt;0,1,0))</f>
        <v/>
      </c>
      <c r="AC64" s="27">
        <f>IF(B64="","",0.1*Z64+0.8*AA64+0.1*AB64)</f>
        <v/>
      </c>
      <c r="AD64" s="27">
        <f>IF(B64="","",IF(C64="Batch 1",0.3,0.2))</f>
        <v/>
      </c>
      <c r="AE64" s="19">
        <f>IF(B64="","",IF(AC64&lt;=AD64,"Đạt","Không đạt"))</f>
        <v/>
      </c>
      <c r="AF64" s="43" t="inlineStr">
        <is>
          <t>╔══ WARN: 2 tiêu chí — 3.2, 3.4
▼ 3.2 — CTE không bị scan lại nhiều lần
   • CTE bị tham chiếu lại nhiều lần: hub_active x2, sat_latest x2, changed x2
▼ 3.4 — Sử dụng CACHE cho query lặp lại trong cùng luồng
   • 3 CTE nặng dùng lại &gt;= 2 lần mà không có CACHE: changed, hub_active, sat_latest</t>
        </is>
      </c>
    </row>
    <row r="65" ht="30" customHeight="1" s="36">
      <c r="A65" s="17" t="n">
        <v>79</v>
      </c>
      <c r="B65" s="44" t="inlineStr">
        <is>
          <t>TCKH.V_DATE_OF_WORK</t>
        </is>
      </c>
      <c r="C65" s="45" t="inlineStr">
        <is>
          <t>Batch 2</t>
        </is>
      </c>
      <c r="D65" s="45" t="inlineStr">
        <is>
          <t>HOP</t>
        </is>
      </c>
      <c r="E65" s="45" t="inlineStr">
        <is>
          <t>2026-08-11</t>
        </is>
      </c>
      <c r="F65" s="46" t="inlineStr">
        <is>
          <t>Pass</t>
        </is>
      </c>
      <c r="G65" s="46" t="inlineStr">
        <is>
          <t>Pass</t>
        </is>
      </c>
      <c r="H65" s="46" t="inlineStr">
        <is>
          <t>Pass</t>
        </is>
      </c>
      <c r="I65" s="46" t="inlineStr">
        <is>
          <t>Pass</t>
        </is>
      </c>
      <c r="J65" s="46" t="inlineStr">
        <is>
          <t>Pass</t>
        </is>
      </c>
      <c r="K65" s="46" t="inlineStr">
        <is>
          <t>Pass</t>
        </is>
      </c>
      <c r="L65" s="46" t="inlineStr">
        <is>
          <t>Pass</t>
        </is>
      </c>
      <c r="M65" s="46" t="inlineStr">
        <is>
          <t>Pass</t>
        </is>
      </c>
      <c r="N65" s="46" t="inlineStr">
        <is>
          <t>Pass</t>
        </is>
      </c>
      <c r="O65" s="46" t="inlineStr">
        <is>
          <t>Pass</t>
        </is>
      </c>
      <c r="P65" s="46" t="inlineStr">
        <is>
          <t>Pass</t>
        </is>
      </c>
      <c r="Q65" s="46" t="inlineStr">
        <is>
          <t>Pass</t>
        </is>
      </c>
      <c r="R65" s="46" t="inlineStr">
        <is>
          <t>Pass</t>
        </is>
      </c>
      <c r="S65" s="46" t="inlineStr">
        <is>
          <t>Pass</t>
        </is>
      </c>
      <c r="T65" s="46" t="inlineStr">
        <is>
          <t>Pass</t>
        </is>
      </c>
      <c r="U65" s="46" t="inlineStr">
        <is>
          <t>Pass</t>
        </is>
      </c>
      <c r="V65" s="46" t="inlineStr">
        <is>
          <t>Pass</t>
        </is>
      </c>
      <c r="W65" s="46" t="inlineStr">
        <is>
          <t>Pass</t>
        </is>
      </c>
      <c r="X65" s="46" t="inlineStr">
        <is>
          <t>Pass</t>
        </is>
      </c>
      <c r="Y65" s="46" t="inlineStr">
        <is>
          <t>Pass</t>
        </is>
      </c>
      <c r="Z65" s="26">
        <f>IF(B65="","",IF(COUNTIF(F65:G65,"Fail")&gt;0,1,0))</f>
        <v/>
      </c>
      <c r="AA65" s="26">
        <f>IF(B65="","",IF(COUNTIF(H65:S65,"Fail")&gt;0,1,0))</f>
        <v/>
      </c>
      <c r="AB65" s="26">
        <f>IF(B65="","",IF(COUNTIF(T65:Y65,"Fail")&gt;0,1,0))</f>
        <v/>
      </c>
      <c r="AC65" s="27">
        <f>IF(B65="","",0.1*Z65+0.8*AA65+0.1*AB65)</f>
        <v/>
      </c>
      <c r="AD65" s="27">
        <f>IF(B65="","",IF(C65="Batch 1",0.3,0.2))</f>
        <v/>
      </c>
      <c r="AE65" s="19">
        <f>IF(B65="","",IF(AC65&lt;=AD65,"Đạt","Không đạt"))</f>
        <v/>
      </c>
      <c r="AF65" s="43" t="inlineStr">
        <is>
          <t>Đạt toàn bộ tiêu chí.</t>
        </is>
      </c>
    </row>
    <row r="66" ht="30" customHeight="1" s="36">
      <c r="A66" s="17" t="n">
        <v>80</v>
      </c>
      <c r="B66" s="44" t="inlineStr">
        <is>
          <t>TCKH.V_LD_FTP_RATE</t>
        </is>
      </c>
      <c r="C66" s="45" t="inlineStr">
        <is>
          <t>Batch 2</t>
        </is>
      </c>
      <c r="D66" s="45" t="inlineStr">
        <is>
          <t>PHAT</t>
        </is>
      </c>
      <c r="E66" s="45" t="inlineStr">
        <is>
          <t>2026-08-11</t>
        </is>
      </c>
      <c r="F66" s="46" t="inlineStr">
        <is>
          <t>Pass</t>
        </is>
      </c>
      <c r="G66" s="46" t="inlineStr">
        <is>
          <t>Pass</t>
        </is>
      </c>
      <c r="H66" s="46" t="inlineStr">
        <is>
          <t>Pass</t>
        </is>
      </c>
      <c r="I66" s="46" t="inlineStr">
        <is>
          <t>Pass</t>
        </is>
      </c>
      <c r="J66" s="46" t="inlineStr">
        <is>
          <t>Pass</t>
        </is>
      </c>
      <c r="K66" s="46" t="inlineStr">
        <is>
          <t>Pass</t>
        </is>
      </c>
      <c r="L66" s="46" t="inlineStr">
        <is>
          <t>Pass</t>
        </is>
      </c>
      <c r="M66" s="46" t="inlineStr">
        <is>
          <t>Pass</t>
        </is>
      </c>
      <c r="N66" s="46" t="inlineStr">
        <is>
          <t>Pass</t>
        </is>
      </c>
      <c r="O66" s="46" t="inlineStr">
        <is>
          <t>WARN</t>
        </is>
      </c>
      <c r="P66" s="46" t="inlineStr">
        <is>
          <t>Pass</t>
        </is>
      </c>
      <c r="Q66" s="46" t="inlineStr">
        <is>
          <t>WARN</t>
        </is>
      </c>
      <c r="R66" s="46" t="inlineStr">
        <is>
          <t>Pass</t>
        </is>
      </c>
      <c r="S66" s="46" t="inlineStr">
        <is>
          <t>Pass</t>
        </is>
      </c>
      <c r="T66" s="46" t="inlineStr">
        <is>
          <t>Pass</t>
        </is>
      </c>
      <c r="U66" s="46" t="inlineStr">
        <is>
          <t>Pass</t>
        </is>
      </c>
      <c r="V66" s="46" t="inlineStr">
        <is>
          <t>Pass</t>
        </is>
      </c>
      <c r="W66" s="46" t="inlineStr">
        <is>
          <t>Pass</t>
        </is>
      </c>
      <c r="X66" s="46" t="inlineStr">
        <is>
          <t>Pass</t>
        </is>
      </c>
      <c r="Y66" s="46" t="inlineStr">
        <is>
          <t>Pass</t>
        </is>
      </c>
      <c r="Z66" s="26">
        <f>IF(B66="","",IF(COUNTIF(F66:G66,"Fail")&gt;0,1,0))</f>
        <v/>
      </c>
      <c r="AA66" s="26">
        <f>IF(B66="","",IF(COUNTIF(H66:S66,"Fail")&gt;0,1,0))</f>
        <v/>
      </c>
      <c r="AB66" s="26">
        <f>IF(B66="","",IF(COUNTIF(T66:Y66,"Fail")&gt;0,1,0))</f>
        <v/>
      </c>
      <c r="AC66" s="27">
        <f>IF(B66="","",0.1*Z66+0.8*AA66+0.1*AB66)</f>
        <v/>
      </c>
      <c r="AD66" s="27">
        <f>IF(B66="","",IF(C66="Batch 1",0.3,0.2))</f>
        <v/>
      </c>
      <c r="AE66" s="19">
        <f>IF(B66="","",IF(AC66&lt;=AD66,"Đạt","Không đạt"))</f>
        <v/>
      </c>
      <c r="AF66" s="43" t="inlineStr">
        <is>
          <t>╔══ WARN: 2 tiêu chí — 2.8, 2.10
▼ 2.8 — Cột SUM/COUNT được COALESCE/NVL hợp lý
   • 2 biểu thức tổng hợp chưa coalesce: SUM(CASE WHEN SUBSTRING(h.REF_NO, 1, 2) &lt;&gt; 'PD' AND h.SYSTEM; SUM(CASE WHEN SUBSTRING(h.REF_NO, 1, 2) = 'PD' THEN 0 ELSE h
   • khi đối soát với hệ thống cũ phải bọc NVL/ISNULL CẢ HAI phía để không lệch khi trừ (Checklist RVN-OCB #11)
▼ 2.10 — Aggregation kèm filter date range chính xác
   • 1 khối tổng hợp không thấy filter theo ngày/tham số: SELECT tu FTP_CONTRACT_HIST</t>
        </is>
      </c>
    </row>
    <row r="67" ht="30" customHeight="1" s="36">
      <c r="A67" s="17" t="n">
        <v>81</v>
      </c>
      <c r="B67" s="44" t="inlineStr">
        <is>
          <t>GSTX.GSTX_INTF_DUPL_CIF</t>
        </is>
      </c>
      <c r="C67" s="45" t="inlineStr">
        <is>
          <t>Batch 2</t>
        </is>
      </c>
      <c r="D67" s="45" t="inlineStr">
        <is>
          <t>Huy</t>
        </is>
      </c>
      <c r="E67" s="45" t="inlineStr">
        <is>
          <t>2026-08-11</t>
        </is>
      </c>
      <c r="F67" s="46" t="inlineStr">
        <is>
          <t>Pass</t>
        </is>
      </c>
      <c r="G67" s="46" t="inlineStr">
        <is>
          <t>Pass</t>
        </is>
      </c>
      <c r="H67" s="46" t="inlineStr">
        <is>
          <t>Pass</t>
        </is>
      </c>
      <c r="I67" s="46" t="inlineStr">
        <is>
          <t>Pass</t>
        </is>
      </c>
      <c r="J67" s="46" t="inlineStr">
        <is>
          <t>Pass</t>
        </is>
      </c>
      <c r="K67" s="46" t="inlineStr">
        <is>
          <t>Pass</t>
        </is>
      </c>
      <c r="L67" s="46" t="inlineStr">
        <is>
          <t>Pass</t>
        </is>
      </c>
      <c r="M67" s="46" t="inlineStr">
        <is>
          <t>Pass</t>
        </is>
      </c>
      <c r="N67" s="46" t="inlineStr">
        <is>
          <t>Pass</t>
        </is>
      </c>
      <c r="O67" s="46" t="inlineStr">
        <is>
          <t>Pass</t>
        </is>
      </c>
      <c r="P67" s="46" t="inlineStr">
        <is>
          <t>Pass</t>
        </is>
      </c>
      <c r="Q67" s="46" t="inlineStr">
        <is>
          <t>Pass</t>
        </is>
      </c>
      <c r="R67" s="46" t="inlineStr">
        <is>
          <t>Pass</t>
        </is>
      </c>
      <c r="S67" s="46" t="inlineStr">
        <is>
          <t>Pass</t>
        </is>
      </c>
      <c r="T67" s="46" t="inlineStr">
        <is>
          <t>Pass</t>
        </is>
      </c>
      <c r="U67" s="46" t="inlineStr">
        <is>
          <t>WARN</t>
        </is>
      </c>
      <c r="V67" s="46" t="inlineStr">
        <is>
          <t>Pass</t>
        </is>
      </c>
      <c r="W67" s="46" t="inlineStr">
        <is>
          <t>WARN</t>
        </is>
      </c>
      <c r="X67" s="46" t="inlineStr">
        <is>
          <t>WARN</t>
        </is>
      </c>
      <c r="Y67" s="46" t="inlineStr">
        <is>
          <t>Pass</t>
        </is>
      </c>
      <c r="Z67" s="26">
        <f>IF(B67="","",IF(COUNTIF(F67:G67,"Fail")&gt;0,1,0))</f>
        <v/>
      </c>
      <c r="AA67" s="26">
        <f>IF(B67="","",IF(COUNTIF(H67:S67,"Fail")&gt;0,1,0))</f>
        <v/>
      </c>
      <c r="AB67" s="26">
        <f>IF(B67="","",IF(COUNTIF(T67:Y67,"Fail")&gt;0,1,0))</f>
        <v/>
      </c>
      <c r="AC67" s="27">
        <f>IF(B67="","",0.1*Z67+0.8*AA67+0.1*AB67)</f>
        <v/>
      </c>
      <c r="AD67" s="27">
        <f>IF(B67="","",IF(C67="Batch 1",0.3,0.2))</f>
        <v/>
      </c>
      <c r="AE67" s="19">
        <f>IF(B67="","",IF(AC67&lt;=AD67,"Đạt","Không đạt"))</f>
        <v/>
      </c>
      <c r="AF67" s="43" t="inlineStr">
        <is>
          <t>╔══ WARN: 3 tiêu chí — 3.2, 3.4, 3.5
▼ 3.2 — CTE không bị scan lại nhiều lần
   • CTE bị tham chiếu lại nhiều lần: cust_acct_link x2
▼ 3.4 — Sử dụng CACHE cho query lặp lại trong cùng luồng
   • 1 CTE nặng dùng lại &gt;= 2 lần mà không có CACHE: cust_acct_link
▼ 3.5 — Ưu tiên MAX_BY + QUALIFY thay ROW_NUMBER() + WHERE rn = 1
   • 1 khối dùng MAX_BY độc lập cho &gt;5 cột (dòng 20, [11]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68" ht="30" customHeight="1" s="36">
      <c r="A68" s="17" t="n">
        <v>82</v>
      </c>
      <c r="B68" s="44" t="inlineStr">
        <is>
          <t>GSTX.GSTX_INTF_NOT_UPLOADED_CIF</t>
        </is>
      </c>
      <c r="C68" s="45" t="inlineStr">
        <is>
          <t>Batch 2</t>
        </is>
      </c>
      <c r="D68" s="45" t="inlineStr">
        <is>
          <t>Huy</t>
        </is>
      </c>
      <c r="E68" s="45" t="inlineStr">
        <is>
          <t>2026-08-11</t>
        </is>
      </c>
      <c r="F68" s="46" t="inlineStr">
        <is>
          <t>Pass</t>
        </is>
      </c>
      <c r="G68" s="46" t="inlineStr">
        <is>
          <t>Pass</t>
        </is>
      </c>
      <c r="H68" s="46" t="inlineStr">
        <is>
          <t>Pass</t>
        </is>
      </c>
      <c r="I68" s="46" t="inlineStr">
        <is>
          <t>Pass</t>
        </is>
      </c>
      <c r="J68" s="46" t="inlineStr">
        <is>
          <t>Pass</t>
        </is>
      </c>
      <c r="K68" s="46" t="inlineStr">
        <is>
          <t>Pass</t>
        </is>
      </c>
      <c r="L68" s="46" t="inlineStr">
        <is>
          <t>Pass</t>
        </is>
      </c>
      <c r="M68" s="46" t="inlineStr">
        <is>
          <t>Pass</t>
        </is>
      </c>
      <c r="N68" s="46" t="inlineStr">
        <is>
          <t>Pass</t>
        </is>
      </c>
      <c r="O68" s="46" t="inlineStr">
        <is>
          <t>Pass</t>
        </is>
      </c>
      <c r="P68" s="46" t="inlineStr">
        <is>
          <t>Pass</t>
        </is>
      </c>
      <c r="Q68" s="46" t="inlineStr">
        <is>
          <t>Pass</t>
        </is>
      </c>
      <c r="R68" s="46" t="inlineStr">
        <is>
          <t>Pass</t>
        </is>
      </c>
      <c r="S68" s="46" t="inlineStr">
        <is>
          <t>Pass</t>
        </is>
      </c>
      <c r="T68" s="46" t="inlineStr">
        <is>
          <t>Pass</t>
        </is>
      </c>
      <c r="U68" s="46" t="inlineStr">
        <is>
          <t>WARN</t>
        </is>
      </c>
      <c r="V68" s="46" t="inlineStr">
        <is>
          <t>Pass</t>
        </is>
      </c>
      <c r="W68" s="46" t="inlineStr">
        <is>
          <t>WARN</t>
        </is>
      </c>
      <c r="X68" s="46" t="inlineStr">
        <is>
          <t>Pass</t>
        </is>
      </c>
      <c r="Y68" s="46" t="inlineStr">
        <is>
          <t>Pass</t>
        </is>
      </c>
      <c r="Z68" s="26">
        <f>IF(B68="","",IF(COUNTIF(F68:G68,"Fail")&gt;0,1,0))</f>
        <v/>
      </c>
      <c r="AA68" s="26">
        <f>IF(B68="","",IF(COUNTIF(H68:S68,"Fail")&gt;0,1,0))</f>
        <v/>
      </c>
      <c r="AB68" s="26">
        <f>IF(B68="","",IF(COUNTIF(T68:Y68,"Fail")&gt;0,1,0))</f>
        <v/>
      </c>
      <c r="AC68" s="27">
        <f>IF(B68="","",0.1*Z68+0.8*AA68+0.1*AB68)</f>
        <v/>
      </c>
      <c r="AD68" s="27">
        <f>IF(B68="","",IF(C68="Batch 1",0.3,0.2))</f>
        <v/>
      </c>
      <c r="AE68" s="19">
        <f>IF(B68="","",IF(AC68&lt;=AD68,"Đạt","Không đạt"))</f>
        <v/>
      </c>
      <c r="AF68" s="43" t="inlineStr">
        <is>
          <t>╔══ WARN: 2 tiêu chí — 3.2, 3.4
▼ 3.2 — CTE không bị scan lại nhiều lần
   • CTE bị tham chiếu lại nhiều lần: branch_dim x3, user_dir x2, users_logon_dir x2
▼ 3.4 — Sử dụng CACHE cho query lặp lại trong cùng luồng
   • 3 CTE nặng dùng lại &gt;= 2 lần mà không có CACHE: branch_dim, user_dir, users_logon_dir</t>
        </is>
      </c>
    </row>
    <row r="69" ht="30" customHeight="1" s="36">
      <c r="A69" s="17" t="n">
        <v>83</v>
      </c>
      <c r="B69" s="44" t="inlineStr">
        <is>
          <t>GSTX.GSTX_INTF_WRONG_DEP</t>
        </is>
      </c>
      <c r="C69" s="45" t="inlineStr">
        <is>
          <t>Batch 2</t>
        </is>
      </c>
      <c r="D69" s="45" t="inlineStr">
        <is>
          <t>Huy</t>
        </is>
      </c>
      <c r="E69" s="45" t="inlineStr">
        <is>
          <t>2026-08-11</t>
        </is>
      </c>
      <c r="F69" s="46" t="inlineStr">
        <is>
          <t>WARN</t>
        </is>
      </c>
      <c r="G69" s="46" t="inlineStr">
        <is>
          <t>Fail</t>
        </is>
      </c>
      <c r="H69" s="46" t="inlineStr">
        <is>
          <t>Pass</t>
        </is>
      </c>
      <c r="I69" s="46" t="inlineStr">
        <is>
          <t>Pass</t>
        </is>
      </c>
      <c r="J69" s="46" t="inlineStr">
        <is>
          <t>Pass</t>
        </is>
      </c>
      <c r="K69" s="46" t="inlineStr">
        <is>
          <t>Pass</t>
        </is>
      </c>
      <c r="L69" s="46" t="inlineStr">
        <is>
          <t>Pass</t>
        </is>
      </c>
      <c r="M69" s="46" t="inlineStr">
        <is>
          <t>Pass</t>
        </is>
      </c>
      <c r="N69" s="46" t="inlineStr">
        <is>
          <t>Pass</t>
        </is>
      </c>
      <c r="O69" s="46" t="inlineStr">
        <is>
          <t>Pass</t>
        </is>
      </c>
      <c r="P69" s="46" t="inlineStr">
        <is>
          <t>Pass</t>
        </is>
      </c>
      <c r="Q69" s="46" t="inlineStr">
        <is>
          <t>Pass</t>
        </is>
      </c>
      <c r="R69" s="46" t="inlineStr">
        <is>
          <t>Pass</t>
        </is>
      </c>
      <c r="S69" s="46" t="inlineStr">
        <is>
          <t>Pass</t>
        </is>
      </c>
      <c r="T69" s="46" t="inlineStr">
        <is>
          <t>Pass</t>
        </is>
      </c>
      <c r="U69" s="46" t="inlineStr">
        <is>
          <t>Pass</t>
        </is>
      </c>
      <c r="V69" s="46" t="inlineStr">
        <is>
          <t>Pass</t>
        </is>
      </c>
      <c r="W69" s="46" t="inlineStr">
        <is>
          <t>Pass</t>
        </is>
      </c>
      <c r="X69" s="46" t="inlineStr">
        <is>
          <t>Pass</t>
        </is>
      </c>
      <c r="Y69" s="46" t="inlineStr">
        <is>
          <t>Pass</t>
        </is>
      </c>
      <c r="Z69" s="26">
        <f>IF(B69="","",IF(COUNTIF(F69:G69,"Fail")&gt;0,1,0))</f>
        <v/>
      </c>
      <c r="AA69" s="26">
        <f>IF(B69="","",IF(COUNTIF(H69:S69,"Fail")&gt;0,1,0))</f>
        <v/>
      </c>
      <c r="AB69" s="26">
        <f>IF(B69="","",IF(COUNTIF(T69:Y69,"Fail")&gt;0,1,0))</f>
        <v/>
      </c>
      <c r="AC69" s="27">
        <f>IF(B69="","",0.1*Z69+0.8*AA69+0.1*AB69)</f>
        <v/>
      </c>
      <c r="AD69" s="27">
        <f>IF(B69="","",IF(C69="Batch 1",0.3,0.2))</f>
        <v/>
      </c>
      <c r="AE69" s="19">
        <f>IF(B69="","",IF(AC69&lt;=AD69,"Đạt","Không đạt"))</f>
        <v/>
      </c>
      <c r="AF69" s="43" t="inlineStr">
        <is>
          <t>╔══ FAIL: 1 tiêu chí — 1.2
▼ 1.2 — Danh sách bảng/view Gold khớp tài liệu thiết kế đã duyệt
   • Lý do: GSTX_INTF_WRONG_DEP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1 tiêu chí — 1.1
▼ 1.1 — Đầy đủ mapping từ Silver/manual sang Gold
   • KHÔNG TÌM THẤY workbook thiết kế cho object GSTX_INTF_WRONG_DEP nên không đối chiếu được danh sách cột (SQL có 33 cột đầu ra)</t>
        </is>
      </c>
    </row>
    <row r="70" ht="30" customHeight="1" s="36">
      <c r="A70" s="17" t="n">
        <v>84</v>
      </c>
      <c r="B70" s="44" t="inlineStr">
        <is>
          <t>GSTX.GSTX_INTF_WRONG_DEP_INT</t>
        </is>
      </c>
      <c r="C70" s="45" t="inlineStr">
        <is>
          <t>Batch 2</t>
        </is>
      </c>
      <c r="D70" s="45" t="inlineStr">
        <is>
          <t>Huy</t>
        </is>
      </c>
      <c r="E70" s="45" t="inlineStr">
        <is>
          <t>2026-08-11</t>
        </is>
      </c>
      <c r="F70" s="46" t="inlineStr">
        <is>
          <t>Pass</t>
        </is>
      </c>
      <c r="G70" s="46" t="inlineStr">
        <is>
          <t>Pass</t>
        </is>
      </c>
      <c r="H70" s="46" t="inlineStr">
        <is>
          <t>Pass</t>
        </is>
      </c>
      <c r="I70" s="46" t="inlineStr">
        <is>
          <t>Pass</t>
        </is>
      </c>
      <c r="J70" s="46" t="inlineStr">
        <is>
          <t>Pass</t>
        </is>
      </c>
      <c r="K70" s="46" t="inlineStr">
        <is>
          <t>Pass</t>
        </is>
      </c>
      <c r="L70" s="46" t="inlineStr">
        <is>
          <t>Pass</t>
        </is>
      </c>
      <c r="M70" s="46" t="inlineStr">
        <is>
          <t>Pass</t>
        </is>
      </c>
      <c r="N70" s="46" t="inlineStr">
        <is>
          <t>Pass</t>
        </is>
      </c>
      <c r="O70" s="46" t="inlineStr">
        <is>
          <t>Pass</t>
        </is>
      </c>
      <c r="P70" s="46" t="inlineStr">
        <is>
          <t>Pass</t>
        </is>
      </c>
      <c r="Q70" s="46" t="inlineStr">
        <is>
          <t>Pass</t>
        </is>
      </c>
      <c r="R70" s="46" t="inlineStr">
        <is>
          <t>Pass</t>
        </is>
      </c>
      <c r="S70" s="46" t="inlineStr">
        <is>
          <t>Pass</t>
        </is>
      </c>
      <c r="T70" s="46" t="inlineStr">
        <is>
          <t>Pass</t>
        </is>
      </c>
      <c r="U70" s="46" t="inlineStr">
        <is>
          <t>WARN</t>
        </is>
      </c>
      <c r="V70" s="46" t="inlineStr">
        <is>
          <t>Pass</t>
        </is>
      </c>
      <c r="W70" s="46" t="inlineStr">
        <is>
          <t>WARN</t>
        </is>
      </c>
      <c r="X70" s="46" t="inlineStr">
        <is>
          <t>WARN</t>
        </is>
      </c>
      <c r="Y70" s="46" t="inlineStr">
        <is>
          <t>Pass</t>
        </is>
      </c>
      <c r="Z70" s="26">
        <f>IF(B70="","",IF(COUNTIF(F70:G70,"Fail")&gt;0,1,0))</f>
        <v/>
      </c>
      <c r="AA70" s="26">
        <f>IF(B70="","",IF(COUNTIF(H70:S70,"Fail")&gt;0,1,0))</f>
        <v/>
      </c>
      <c r="AB70" s="26">
        <f>IF(B70="","",IF(COUNTIF(T70:Y70,"Fail")&gt;0,1,0))</f>
        <v/>
      </c>
      <c r="AC70" s="27">
        <f>IF(B70="","",0.1*Z70+0.8*AA70+0.1*AB70)</f>
        <v/>
      </c>
      <c r="AD70" s="27">
        <f>IF(B70="","",IF(C70="Batch 1",0.3,0.2))</f>
        <v/>
      </c>
      <c r="AE70" s="19">
        <f>IF(B70="","",IF(AC70&lt;=AD70,"Đạt","Không đạt"))</f>
        <v/>
      </c>
      <c r="AF70" s="43" t="inlineStr">
        <is>
          <t>╔══ WARN: 3 tiêu chí — 3.2, 3.4, 3.5
▼ 3.2 — CTE không bị scan lại nhiều lần
   • CTE bị tham chiếu lại nhiều lần: branch_dim x2
▼ 3.4 — Sử dụng CACHE cho query lặp lại trong cùng luồng
   • 1 CTE nặng dùng lại &gt;= 2 lần mà không có CACHE: branch_dim
▼ 3.5 — Ưu tiên MAX_BY + QUALIFY thay ROW_NUMBER() + WHERE rn = 1
   • 1 khối dùng MAX_BY độc lập cho &gt;5 cột (dòng 58,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71" ht="30" customHeight="1" s="36">
      <c r="A71" s="17" t="n">
        <v>85</v>
      </c>
      <c r="B71" s="44" t="inlineStr">
        <is>
          <t>GSTX.GSTX_INTF_WRONG_INFO_CIF</t>
        </is>
      </c>
      <c r="C71" s="45" t="inlineStr">
        <is>
          <t>Batch 2</t>
        </is>
      </c>
      <c r="D71" s="45" t="inlineStr">
        <is>
          <t>Huy</t>
        </is>
      </c>
      <c r="E71" s="45" t="inlineStr">
        <is>
          <t>2026-08-11</t>
        </is>
      </c>
      <c r="F71" s="46" t="inlineStr">
        <is>
          <t>Pass</t>
        </is>
      </c>
      <c r="G71" s="46" t="inlineStr">
        <is>
          <t>Pass</t>
        </is>
      </c>
      <c r="H71" s="46" t="inlineStr">
        <is>
          <t>Pass</t>
        </is>
      </c>
      <c r="I71" s="46" t="inlineStr">
        <is>
          <t>Pass</t>
        </is>
      </c>
      <c r="J71" s="46" t="inlineStr">
        <is>
          <t>Pass</t>
        </is>
      </c>
      <c r="K71" s="46" t="inlineStr">
        <is>
          <t>Pass</t>
        </is>
      </c>
      <c r="L71" s="46" t="inlineStr">
        <is>
          <t>Pass</t>
        </is>
      </c>
      <c r="M71" s="46" t="inlineStr">
        <is>
          <t>Pass</t>
        </is>
      </c>
      <c r="N71" s="46" t="inlineStr">
        <is>
          <t>Pass</t>
        </is>
      </c>
      <c r="O71" s="46" t="inlineStr">
        <is>
          <t>Pass</t>
        </is>
      </c>
      <c r="P71" s="46" t="inlineStr">
        <is>
          <t>Pass</t>
        </is>
      </c>
      <c r="Q71" s="46" t="inlineStr">
        <is>
          <t>Pass</t>
        </is>
      </c>
      <c r="R71" s="46" t="inlineStr">
        <is>
          <t>Pass</t>
        </is>
      </c>
      <c r="S71" s="46" t="inlineStr">
        <is>
          <t>Pass</t>
        </is>
      </c>
      <c r="T71" s="46" t="inlineStr">
        <is>
          <t>Pass</t>
        </is>
      </c>
      <c r="U71" s="46" t="inlineStr">
        <is>
          <t>WARN</t>
        </is>
      </c>
      <c r="V71" s="46" t="inlineStr">
        <is>
          <t>Pass</t>
        </is>
      </c>
      <c r="W71" s="46" t="inlineStr">
        <is>
          <t>WARN</t>
        </is>
      </c>
      <c r="X71" s="46" t="inlineStr">
        <is>
          <t>WARN</t>
        </is>
      </c>
      <c r="Y71" s="46" t="inlineStr">
        <is>
          <t>Pass</t>
        </is>
      </c>
      <c r="Z71" s="26">
        <f>IF(B71="","",IF(COUNTIF(F71:G71,"Fail")&gt;0,1,0))</f>
        <v/>
      </c>
      <c r="AA71" s="26">
        <f>IF(B71="","",IF(COUNTIF(H71:S71,"Fail")&gt;0,1,0))</f>
        <v/>
      </c>
      <c r="AB71" s="26">
        <f>IF(B71="","",IF(COUNTIF(T71:Y71,"Fail")&gt;0,1,0))</f>
        <v/>
      </c>
      <c r="AC71" s="27">
        <f>IF(B71="","",0.1*Z71+0.8*AA71+0.1*AB71)</f>
        <v/>
      </c>
      <c r="AD71" s="27">
        <f>IF(B71="","",IF(C71="Batch 1",0.3,0.2))</f>
        <v/>
      </c>
      <c r="AE71" s="19">
        <f>IF(B71="","",IF(AC71&lt;=AD71,"Đạt","Không đạt"))</f>
        <v/>
      </c>
      <c r="AF71" s="43" t="inlineStr">
        <is>
          <t>╔══ WARN: 3 tiêu chí — 3.2, 3.4, 3.5
▼ 3.2 — CTE không bị scan lại nhiều lần
   • CTE bị tham chiếu lại nhiều lần: cust_info x3, cust_contact x4, cust_kyc x4, branch_dim x3, user_dir x2
▼ 3.4 — Sử dụng CACHE cho query lặp lại trong cùng luồng
   • 5 CTE nặng dùng lại &gt;= 2 lần mà không có CACHE: branch_dim, cust_contact, cust_info, cust_kyc, user_dir
▼ 3.5 — Ưu tiên MAX_BY + QUALIFY thay ROW_NUMBER() + WHERE rn = 1
   • 3 khối dùng MAX_BY độc lập cho &gt;5 cột (dòng 38, [7, 12,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72" ht="30" customHeight="1" s="36">
      <c r="A72" s="17" t="n">
        <v>86</v>
      </c>
      <c r="B72" s="44" t="inlineStr">
        <is>
          <t>GSTX.TBL_BPM_QLNS</t>
        </is>
      </c>
      <c r="C72" s="45" t="inlineStr">
        <is>
          <t>Batch 2</t>
        </is>
      </c>
      <c r="D72" s="45" t="inlineStr">
        <is>
          <t>LINH</t>
        </is>
      </c>
      <c r="E72" s="45" t="inlineStr">
        <is>
          <t>2026-08-11</t>
        </is>
      </c>
      <c r="F72" s="46" t="inlineStr">
        <is>
          <t>Pass</t>
        </is>
      </c>
      <c r="G72" s="46" t="inlineStr">
        <is>
          <t>Pass</t>
        </is>
      </c>
      <c r="H72" s="46" t="inlineStr">
        <is>
          <t>Pass</t>
        </is>
      </c>
      <c r="I72" s="46" t="inlineStr">
        <is>
          <t>Pass</t>
        </is>
      </c>
      <c r="J72" s="46" t="inlineStr">
        <is>
          <t>Pass</t>
        </is>
      </c>
      <c r="K72" s="46" t="inlineStr">
        <is>
          <t>Pass</t>
        </is>
      </c>
      <c r="L72" s="46" t="inlineStr">
        <is>
          <t>Pass</t>
        </is>
      </c>
      <c r="M72" s="46" t="inlineStr">
        <is>
          <t>Pass</t>
        </is>
      </c>
      <c r="N72" s="46" t="inlineStr">
        <is>
          <t>Pass</t>
        </is>
      </c>
      <c r="O72" s="46" t="inlineStr">
        <is>
          <t>Pass</t>
        </is>
      </c>
      <c r="P72" s="46" t="inlineStr">
        <is>
          <t>Pass</t>
        </is>
      </c>
      <c r="Q72" s="46" t="inlineStr">
        <is>
          <t>Pass</t>
        </is>
      </c>
      <c r="R72" s="46" t="inlineStr">
        <is>
          <t>Pass</t>
        </is>
      </c>
      <c r="S72" s="46" t="inlineStr">
        <is>
          <t>Pass</t>
        </is>
      </c>
      <c r="T72" s="46" t="inlineStr">
        <is>
          <t>Pass</t>
        </is>
      </c>
      <c r="U72" s="46" t="inlineStr">
        <is>
          <t>Pass</t>
        </is>
      </c>
      <c r="V72" s="46" t="inlineStr">
        <is>
          <t>Pass</t>
        </is>
      </c>
      <c r="W72" s="46" t="inlineStr">
        <is>
          <t>Pass</t>
        </is>
      </c>
      <c r="X72" s="46" t="inlineStr">
        <is>
          <t>WARN</t>
        </is>
      </c>
      <c r="Y72" s="46" t="inlineStr">
        <is>
          <t>Pass</t>
        </is>
      </c>
      <c r="Z72" s="26">
        <f>IF(B72="","",IF(COUNTIF(F72:G72,"Fail")&gt;0,1,0))</f>
        <v/>
      </c>
      <c r="AA72" s="26">
        <f>IF(B72="","",IF(COUNTIF(H72:S72,"Fail")&gt;0,1,0))</f>
        <v/>
      </c>
      <c r="AB72" s="26">
        <f>IF(B72="","",IF(COUNTIF(T72:Y72,"Fail")&gt;0,1,0))</f>
        <v/>
      </c>
      <c r="AC72" s="27">
        <f>IF(B72="","",0.1*Z72+0.8*AA72+0.1*AB72)</f>
        <v/>
      </c>
      <c r="AD72" s="27">
        <f>IF(B72="","",IF(C72="Batch 1",0.3,0.2))</f>
        <v/>
      </c>
      <c r="AE72" s="19">
        <f>IF(B72="","",IF(AC72&lt;=AD72,"Đạt","Không đạt"))</f>
        <v/>
      </c>
      <c r="AF72" s="43" t="inlineStr">
        <is>
          <t>╔══ WARN: 1 tiêu chí — 3.5
▼ 3.5 — Ưu tiên MAX_BY + QUALIFY thay ROW_NUMBER() + WHERE rn = 1
   • 2 khối dùng MAX_BY độc lập cho &gt;5 cột (dòng 14, [6, 14]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73" ht="30" customHeight="1" s="36">
      <c r="A73" s="17" t="n">
        <v>87</v>
      </c>
      <c r="B73" s="44" t="inlineStr">
        <is>
          <t>GSTX.TBL_BPM_TCDV</t>
        </is>
      </c>
      <c r="C73" s="45" t="inlineStr">
        <is>
          <t>Batch 2</t>
        </is>
      </c>
      <c r="D73" s="45" t="inlineStr">
        <is>
          <t>LINH</t>
        </is>
      </c>
      <c r="E73" s="45" t="inlineStr">
        <is>
          <t>2026-08-11</t>
        </is>
      </c>
      <c r="F73" s="46" t="inlineStr">
        <is>
          <t>Pass</t>
        </is>
      </c>
      <c r="G73" s="46" t="inlineStr">
        <is>
          <t>Pass</t>
        </is>
      </c>
      <c r="H73" s="46" t="inlineStr">
        <is>
          <t>Pass</t>
        </is>
      </c>
      <c r="I73" s="46" t="inlineStr">
        <is>
          <t>Pass</t>
        </is>
      </c>
      <c r="J73" s="46" t="inlineStr">
        <is>
          <t>Pass</t>
        </is>
      </c>
      <c r="K73" s="46" t="inlineStr">
        <is>
          <t>Pass</t>
        </is>
      </c>
      <c r="L73" s="46" t="inlineStr">
        <is>
          <t>Pass</t>
        </is>
      </c>
      <c r="M73" s="46" t="inlineStr">
        <is>
          <t>Pass</t>
        </is>
      </c>
      <c r="N73" s="46" t="inlineStr">
        <is>
          <t>Pass</t>
        </is>
      </c>
      <c r="O73" s="46" t="inlineStr">
        <is>
          <t>Pass</t>
        </is>
      </c>
      <c r="P73" s="46" t="inlineStr">
        <is>
          <t>Pass</t>
        </is>
      </c>
      <c r="Q73" s="46" t="inlineStr">
        <is>
          <t>Pass</t>
        </is>
      </c>
      <c r="R73" s="46" t="inlineStr">
        <is>
          <t>Pass</t>
        </is>
      </c>
      <c r="S73" s="46" t="inlineStr">
        <is>
          <t>Pass</t>
        </is>
      </c>
      <c r="T73" s="46" t="inlineStr">
        <is>
          <t>Pass</t>
        </is>
      </c>
      <c r="U73" s="46" t="inlineStr">
        <is>
          <t>Pass</t>
        </is>
      </c>
      <c r="V73" s="46" t="inlineStr">
        <is>
          <t>Pass</t>
        </is>
      </c>
      <c r="W73" s="46" t="inlineStr">
        <is>
          <t>Pass</t>
        </is>
      </c>
      <c r="X73" s="46" t="inlineStr">
        <is>
          <t>WARN</t>
        </is>
      </c>
      <c r="Y73" s="46" t="inlineStr">
        <is>
          <t>Pass</t>
        </is>
      </c>
      <c r="Z73" s="26">
        <f>IF(B73="","",IF(COUNTIF(F73:G73,"Fail")&gt;0,1,0))</f>
        <v/>
      </c>
      <c r="AA73" s="26">
        <f>IF(B73="","",IF(COUNTIF(H73:S73,"Fail")&gt;0,1,0))</f>
        <v/>
      </c>
      <c r="AB73" s="26">
        <f>IF(B73="","",IF(COUNTIF(T73:Y73,"Fail")&gt;0,1,0))</f>
        <v/>
      </c>
      <c r="AC73" s="27">
        <f>IF(B73="","",0.1*Z73+0.8*AA73+0.1*AB73)</f>
        <v/>
      </c>
      <c r="AD73" s="27">
        <f>IF(B73="","",IF(C73="Batch 1",0.3,0.2))</f>
        <v/>
      </c>
      <c r="AE73" s="19">
        <f>IF(B73="","",IF(AC73&lt;=AD73,"Đạt","Không đạt"))</f>
        <v/>
      </c>
      <c r="AF73" s="43" t="inlineStr">
        <is>
          <t>╔══ WARN: 1 tiêu chí — 3.5
▼ 3.5 — Ưu tiên MAX_BY + QUALIFY thay ROW_NUMBER() + WHERE rn = 1
   • 1 khối dùng MAX_BY độc lập cho &gt;5 cột (dòng 14, [13]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74" ht="30" customHeight="1" s="36">
      <c r="A74" s="17" t="n">
        <v>88</v>
      </c>
      <c r="B74" s="44" t="inlineStr">
        <is>
          <t>GSTX.TBL_BPM_TCDV_KV</t>
        </is>
      </c>
      <c r="C74" s="45" t="inlineStr">
        <is>
          <t>Batch 2</t>
        </is>
      </c>
      <c r="D74" s="45" t="inlineStr">
        <is>
          <t>LINH</t>
        </is>
      </c>
      <c r="E74" s="45" t="inlineStr">
        <is>
          <t>2026-08-11</t>
        </is>
      </c>
      <c r="F74" s="46" t="inlineStr">
        <is>
          <t>Pass</t>
        </is>
      </c>
      <c r="G74" s="46" t="inlineStr">
        <is>
          <t>Pass</t>
        </is>
      </c>
      <c r="H74" s="46" t="inlineStr">
        <is>
          <t>Pass</t>
        </is>
      </c>
      <c r="I74" s="46" t="inlineStr">
        <is>
          <t>Pass</t>
        </is>
      </c>
      <c r="J74" s="46" t="inlineStr">
        <is>
          <t>Pass</t>
        </is>
      </c>
      <c r="K74" s="46" t="inlineStr">
        <is>
          <t>Pass</t>
        </is>
      </c>
      <c r="L74" s="46" t="inlineStr">
        <is>
          <t>Pass</t>
        </is>
      </c>
      <c r="M74" s="46" t="inlineStr">
        <is>
          <t>Pass</t>
        </is>
      </c>
      <c r="N74" s="46" t="inlineStr">
        <is>
          <t>Pass</t>
        </is>
      </c>
      <c r="O74" s="46" t="inlineStr">
        <is>
          <t>Pass</t>
        </is>
      </c>
      <c r="P74" s="46" t="inlineStr">
        <is>
          <t>Pass</t>
        </is>
      </c>
      <c r="Q74" s="46" t="inlineStr">
        <is>
          <t>Pass</t>
        </is>
      </c>
      <c r="R74" s="46" t="inlineStr">
        <is>
          <t>Pass</t>
        </is>
      </c>
      <c r="S74" s="46" t="inlineStr">
        <is>
          <t>Pass</t>
        </is>
      </c>
      <c r="T74" s="46" t="inlineStr">
        <is>
          <t>Pass</t>
        </is>
      </c>
      <c r="U74" s="46" t="inlineStr">
        <is>
          <t>Pass</t>
        </is>
      </c>
      <c r="V74" s="46" t="inlineStr">
        <is>
          <t>Pass</t>
        </is>
      </c>
      <c r="W74" s="46" t="inlineStr">
        <is>
          <t>Pass</t>
        </is>
      </c>
      <c r="X74" s="46" t="inlineStr">
        <is>
          <t>Pass</t>
        </is>
      </c>
      <c r="Y74" s="46" t="inlineStr">
        <is>
          <t>Pass</t>
        </is>
      </c>
      <c r="Z74" s="26">
        <f>IF(B74="","",IF(COUNTIF(F74:G74,"Fail")&gt;0,1,0))</f>
        <v/>
      </c>
      <c r="AA74" s="26">
        <f>IF(B74="","",IF(COUNTIF(H74:S74,"Fail")&gt;0,1,0))</f>
        <v/>
      </c>
      <c r="AB74" s="26">
        <f>IF(B74="","",IF(COUNTIF(T74:Y74,"Fail")&gt;0,1,0))</f>
        <v/>
      </c>
      <c r="AC74" s="27">
        <f>IF(B74="","",0.1*Z74+0.8*AA74+0.1*AB74)</f>
        <v/>
      </c>
      <c r="AD74" s="27">
        <f>IF(B74="","",IF(C74="Batch 1",0.3,0.2))</f>
        <v/>
      </c>
      <c r="AE74" s="19">
        <f>IF(B74="","",IF(AC74&lt;=AD74,"Đạt","Không đạt"))</f>
        <v/>
      </c>
      <c r="AF74" s="43" t="inlineStr">
        <is>
          <t>Đạt toàn bộ tiêu chí.</t>
        </is>
      </c>
    </row>
    <row r="75" ht="30" customHeight="1" s="36">
      <c r="A75" s="17" t="n">
        <v>89</v>
      </c>
      <c r="B75" s="44" t="inlineStr">
        <is>
          <t>GSTX.TBL_BPM_TCDV_LINK</t>
        </is>
      </c>
      <c r="C75" s="45" t="inlineStr">
        <is>
          <t>Batch 2</t>
        </is>
      </c>
      <c r="D75" s="45" t="inlineStr">
        <is>
          <t>LINH</t>
        </is>
      </c>
      <c r="E75" s="45" t="inlineStr">
        <is>
          <t>2026-08-11</t>
        </is>
      </c>
      <c r="F75" s="46" t="inlineStr">
        <is>
          <t>Pass</t>
        </is>
      </c>
      <c r="G75" s="46" t="inlineStr">
        <is>
          <t>Pass</t>
        </is>
      </c>
      <c r="H75" s="46" t="inlineStr">
        <is>
          <t>Pass</t>
        </is>
      </c>
      <c r="I75" s="46" t="inlineStr">
        <is>
          <t>Pass</t>
        </is>
      </c>
      <c r="J75" s="46" t="inlineStr">
        <is>
          <t>Pass</t>
        </is>
      </c>
      <c r="K75" s="46" t="inlineStr">
        <is>
          <t>Pass</t>
        </is>
      </c>
      <c r="L75" s="46" t="inlineStr">
        <is>
          <t>Pass</t>
        </is>
      </c>
      <c r="M75" s="46" t="inlineStr">
        <is>
          <t>Pass</t>
        </is>
      </c>
      <c r="N75" s="46" t="inlineStr">
        <is>
          <t>Pass</t>
        </is>
      </c>
      <c r="O75" s="46" t="inlineStr">
        <is>
          <t>Pass</t>
        </is>
      </c>
      <c r="P75" s="46" t="inlineStr">
        <is>
          <t>Pass</t>
        </is>
      </c>
      <c r="Q75" s="46" t="inlineStr">
        <is>
          <t>Pass</t>
        </is>
      </c>
      <c r="R75" s="46" t="inlineStr">
        <is>
          <t>Pass</t>
        </is>
      </c>
      <c r="S75" s="46" t="inlineStr">
        <is>
          <t>Pass</t>
        </is>
      </c>
      <c r="T75" s="46" t="inlineStr">
        <is>
          <t>Pass</t>
        </is>
      </c>
      <c r="U75" s="46" t="inlineStr">
        <is>
          <t>Pass</t>
        </is>
      </c>
      <c r="V75" s="46" t="inlineStr">
        <is>
          <t>Pass</t>
        </is>
      </c>
      <c r="W75" s="46" t="inlineStr">
        <is>
          <t>Pass</t>
        </is>
      </c>
      <c r="X75" s="46" t="inlineStr">
        <is>
          <t>Pass</t>
        </is>
      </c>
      <c r="Y75" s="46" t="inlineStr">
        <is>
          <t>Pass</t>
        </is>
      </c>
      <c r="Z75" s="26">
        <f>IF(B75="","",IF(COUNTIF(F75:G75,"Fail")&gt;0,1,0))</f>
        <v/>
      </c>
      <c r="AA75" s="26">
        <f>IF(B75="","",IF(COUNTIF(H75:S75,"Fail")&gt;0,1,0))</f>
        <v/>
      </c>
      <c r="AB75" s="26">
        <f>IF(B75="","",IF(COUNTIF(T75:Y75,"Fail")&gt;0,1,0))</f>
        <v/>
      </c>
      <c r="AC75" s="27">
        <f>IF(B75="","",0.1*Z75+0.8*AA75+0.1*AB75)</f>
        <v/>
      </c>
      <c r="AD75" s="27">
        <f>IF(B75="","",IF(C75="Batch 1",0.3,0.2))</f>
        <v/>
      </c>
      <c r="AE75" s="19">
        <f>IF(B75="","",IF(AC75&lt;=AD75,"Đạt","Không đạt"))</f>
        <v/>
      </c>
      <c r="AF75" s="43" t="inlineStr">
        <is>
          <t>Đạt toàn bộ tiêu chí.</t>
        </is>
      </c>
    </row>
    <row r="76" ht="30" customHeight="1" s="36">
      <c r="A76" s="17" t="n">
        <v>95</v>
      </c>
      <c r="B76" s="44" t="inlineStr">
        <is>
          <t>TCIMPORT.DIM_CUSTOMER</t>
        </is>
      </c>
      <c r="C76" s="45" t="inlineStr">
        <is>
          <t>Batch 2</t>
        </is>
      </c>
      <c r="D76" s="45" t="inlineStr">
        <is>
          <t>Huy</t>
        </is>
      </c>
      <c r="E76" s="45" t="inlineStr">
        <is>
          <t>2026-08-11</t>
        </is>
      </c>
      <c r="F76" s="46" t="inlineStr">
        <is>
          <t>Pass</t>
        </is>
      </c>
      <c r="G76" s="46" t="inlineStr">
        <is>
          <t>Pass</t>
        </is>
      </c>
      <c r="H76" s="46" t="inlineStr">
        <is>
          <t>Pass</t>
        </is>
      </c>
      <c r="I76" s="46" t="inlineStr">
        <is>
          <t>Pass</t>
        </is>
      </c>
      <c r="J76" s="46" t="inlineStr">
        <is>
          <t>Pass</t>
        </is>
      </c>
      <c r="K76" s="46" t="inlineStr">
        <is>
          <t>Pass</t>
        </is>
      </c>
      <c r="L76" s="46" t="inlineStr">
        <is>
          <t>Pass</t>
        </is>
      </c>
      <c r="M76" s="46" t="inlineStr">
        <is>
          <t>Pass</t>
        </is>
      </c>
      <c r="N76" s="46" t="inlineStr">
        <is>
          <t>Pass</t>
        </is>
      </c>
      <c r="O76" s="46" t="inlineStr">
        <is>
          <t>Pass</t>
        </is>
      </c>
      <c r="P76" s="46" t="inlineStr">
        <is>
          <t>Pass</t>
        </is>
      </c>
      <c r="Q76" s="46" t="inlineStr">
        <is>
          <t>Pass</t>
        </is>
      </c>
      <c r="R76" s="46" t="inlineStr">
        <is>
          <t>Pass</t>
        </is>
      </c>
      <c r="S76" s="46" t="inlineStr">
        <is>
          <t>Pass</t>
        </is>
      </c>
      <c r="T76" s="46" t="inlineStr">
        <is>
          <t>Pass</t>
        </is>
      </c>
      <c r="U76" s="46" t="inlineStr">
        <is>
          <t>Pass</t>
        </is>
      </c>
      <c r="V76" s="46" t="inlineStr">
        <is>
          <t>Pass</t>
        </is>
      </c>
      <c r="W76" s="46" t="inlineStr">
        <is>
          <t>Pass</t>
        </is>
      </c>
      <c r="X76" s="46" t="inlineStr">
        <is>
          <t>WARN</t>
        </is>
      </c>
      <c r="Y76" s="46" t="inlineStr">
        <is>
          <t>Pass</t>
        </is>
      </c>
      <c r="Z76" s="26">
        <f>IF(B76="","",IF(COUNTIF(F76:G76,"Fail")&gt;0,1,0))</f>
        <v/>
      </c>
      <c r="AA76" s="26">
        <f>IF(B76="","",IF(COUNTIF(H76:S76,"Fail")&gt;0,1,0))</f>
        <v/>
      </c>
      <c r="AB76" s="26">
        <f>IF(B76="","",IF(COUNTIF(T76:Y76,"Fail")&gt;0,1,0))</f>
        <v/>
      </c>
      <c r="AC76" s="27">
        <f>IF(B76="","",0.1*Z76+0.8*AA76+0.1*AB76)</f>
        <v/>
      </c>
      <c r="AD76" s="27">
        <f>IF(B76="","",IF(C76="Batch 1",0.3,0.2))</f>
        <v/>
      </c>
      <c r="AE76" s="19">
        <f>IF(B76="","",IF(AC76&lt;=AD76,"Đạt","Không đạt"))</f>
        <v/>
      </c>
      <c r="AF76" s="43" t="inlineStr">
        <is>
          <t>╔══ WARN: 1 tiêu chí — 3.5
▼ 3.5 — Ưu tiên MAX_BY + QUALIFY thay ROW_NUMBER() + WHERE rn = 1
   • 3 khối dùng MAX_BY độc lập cho &gt;5 cột (dòng 35, [11, 6,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77" ht="30" customHeight="1" s="36">
      <c r="A77" s="17" t="n">
        <v>96</v>
      </c>
      <c r="B77" s="44" t="inlineStr">
        <is>
          <t>TCIMPORT.FACT_ACCT_ENTRY</t>
        </is>
      </c>
      <c r="C77" s="45" t="inlineStr">
        <is>
          <t>Batch 2</t>
        </is>
      </c>
      <c r="D77" s="45" t="inlineStr">
        <is>
          <t>Huy</t>
        </is>
      </c>
      <c r="E77" s="45" t="inlineStr">
        <is>
          <t>2026-08-11</t>
        </is>
      </c>
      <c r="F77" s="46" t="inlineStr">
        <is>
          <t>Pass</t>
        </is>
      </c>
      <c r="G77" s="46" t="inlineStr">
        <is>
          <t>Pass</t>
        </is>
      </c>
      <c r="H77" s="46" t="inlineStr">
        <is>
          <t>Pass</t>
        </is>
      </c>
      <c r="I77" s="46" t="inlineStr">
        <is>
          <t>Pass</t>
        </is>
      </c>
      <c r="J77" s="46" t="inlineStr">
        <is>
          <t>Pass</t>
        </is>
      </c>
      <c r="K77" s="46" t="inlineStr">
        <is>
          <t>Pass</t>
        </is>
      </c>
      <c r="L77" s="46" t="inlineStr">
        <is>
          <t>Pass</t>
        </is>
      </c>
      <c r="M77" s="46" t="inlineStr">
        <is>
          <t>Pass</t>
        </is>
      </c>
      <c r="N77" s="46" t="inlineStr">
        <is>
          <t>Pass</t>
        </is>
      </c>
      <c r="O77" s="46" t="inlineStr">
        <is>
          <t>Pass</t>
        </is>
      </c>
      <c r="P77" s="46" t="inlineStr">
        <is>
          <t>Pass</t>
        </is>
      </c>
      <c r="Q77" s="46" t="inlineStr">
        <is>
          <t>Pass</t>
        </is>
      </c>
      <c r="R77" s="46" t="inlineStr">
        <is>
          <t>Pass</t>
        </is>
      </c>
      <c r="S77" s="46" t="inlineStr">
        <is>
          <t>Pass</t>
        </is>
      </c>
      <c r="T77" s="46" t="inlineStr">
        <is>
          <t>Pass</t>
        </is>
      </c>
      <c r="U77" s="46" t="inlineStr">
        <is>
          <t>WARN</t>
        </is>
      </c>
      <c r="V77" s="46" t="inlineStr">
        <is>
          <t>Pass</t>
        </is>
      </c>
      <c r="W77" s="46" t="inlineStr">
        <is>
          <t>WARN</t>
        </is>
      </c>
      <c r="X77" s="46" t="inlineStr">
        <is>
          <t>WARN</t>
        </is>
      </c>
      <c r="Y77" s="46" t="inlineStr">
        <is>
          <t>Pass</t>
        </is>
      </c>
      <c r="Z77" s="26">
        <f>IF(B77="","",IF(COUNTIF(F77:G77,"Fail")&gt;0,1,0))</f>
        <v/>
      </c>
      <c r="AA77" s="26">
        <f>IF(B77="","",IF(COUNTIF(H77:S77,"Fail")&gt;0,1,0))</f>
        <v/>
      </c>
      <c r="AB77" s="26">
        <f>IF(B77="","",IF(COUNTIF(T77:Y77,"Fail")&gt;0,1,0))</f>
        <v/>
      </c>
      <c r="AC77" s="27">
        <f>IF(B77="","",0.1*Z77+0.8*AA77+0.1*AB77)</f>
        <v/>
      </c>
      <c r="AD77" s="27">
        <f>IF(B77="","",IF(C77="Batch 1",0.3,0.2))</f>
        <v/>
      </c>
      <c r="AE77" s="19">
        <f>IF(B77="","",IF(AC77&lt;=AD77,"Đạt","Không đạt"))</f>
        <v/>
      </c>
      <c r="AF77" s="43" t="inlineStr">
        <is>
          <t>╔══ WARN: 3 tiêu chí — 3.2, 3.4, 3.5
▼ 3.2 — CTE không bị scan lại nhiều lần
   • CTE bị tham chiếu lại nhiều lần: branch_dim x3, branch_parent x3, cust_dim x4, custgrp x3, ref_line x3, lm_hub x3, lm_xref x3
▼ 3.4 — Sử dụng CACHE cho query lặp lại trong cùng luồng
   • 7 CTE nặng dùng lại &gt;= 2 lần mà không có CACHE: branch_dim, branch_parent, cust_dim, custgrp, lm_hub, lm_xref, ref_line
▼ 3.5 — Ưu tiên MAX_BY + QUALIFY thay ROW_NUMBER() + WHERE rn = 1
   • 3 khối dùng MAX_BY độc lập cho &gt;5 cột (dòng 10, [10, 7,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78" ht="30" customHeight="1" s="36">
      <c r="A78" s="17" t="n">
        <v>97</v>
      </c>
      <c r="B78" s="44" t="inlineStr">
        <is>
          <t>TCIMPORT.FACT_FUND_TRANS</t>
        </is>
      </c>
      <c r="C78" s="45" t="inlineStr">
        <is>
          <t>Batch 2</t>
        </is>
      </c>
      <c r="D78" s="45" t="inlineStr">
        <is>
          <t>Huy</t>
        </is>
      </c>
      <c r="E78" s="45" t="inlineStr">
        <is>
          <t>2026-08-11</t>
        </is>
      </c>
      <c r="F78" s="46" t="inlineStr">
        <is>
          <t>Pass</t>
        </is>
      </c>
      <c r="G78" s="46" t="inlineStr">
        <is>
          <t>Pass</t>
        </is>
      </c>
      <c r="H78" s="46" t="inlineStr">
        <is>
          <t>Pass</t>
        </is>
      </c>
      <c r="I78" s="46" t="inlineStr">
        <is>
          <t>Pass</t>
        </is>
      </c>
      <c r="J78" s="46" t="inlineStr">
        <is>
          <t>Pass</t>
        </is>
      </c>
      <c r="K78" s="46" t="inlineStr">
        <is>
          <t>Pass</t>
        </is>
      </c>
      <c r="L78" s="46" t="inlineStr">
        <is>
          <t>Pass</t>
        </is>
      </c>
      <c r="M78" s="46" t="inlineStr">
        <is>
          <t>Pass</t>
        </is>
      </c>
      <c r="N78" s="46" t="inlineStr">
        <is>
          <t>Pass</t>
        </is>
      </c>
      <c r="O78" s="46" t="inlineStr">
        <is>
          <t>Pass</t>
        </is>
      </c>
      <c r="P78" s="46" t="inlineStr">
        <is>
          <t>Pass</t>
        </is>
      </c>
      <c r="Q78" s="46" t="inlineStr">
        <is>
          <t>Pass</t>
        </is>
      </c>
      <c r="R78" s="46" t="inlineStr">
        <is>
          <t>Pass</t>
        </is>
      </c>
      <c r="S78" s="46" t="inlineStr">
        <is>
          <t>Pass</t>
        </is>
      </c>
      <c r="T78" s="46" t="inlineStr">
        <is>
          <t>Pass</t>
        </is>
      </c>
      <c r="U78" s="46" t="inlineStr">
        <is>
          <t>WARN</t>
        </is>
      </c>
      <c r="V78" s="46" t="inlineStr">
        <is>
          <t>Pass</t>
        </is>
      </c>
      <c r="W78" s="46" t="inlineStr">
        <is>
          <t>WARN</t>
        </is>
      </c>
      <c r="X78" s="46" t="inlineStr">
        <is>
          <t>WARN</t>
        </is>
      </c>
      <c r="Y78" s="46" t="inlineStr">
        <is>
          <t>Pass</t>
        </is>
      </c>
      <c r="Z78" s="26">
        <f>IF(B78="","",IF(COUNTIF(F78:G78,"Fail")&gt;0,1,0))</f>
        <v/>
      </c>
      <c r="AA78" s="26">
        <f>IF(B78="","",IF(COUNTIF(H78:S78,"Fail")&gt;0,1,0))</f>
        <v/>
      </c>
      <c r="AB78" s="26">
        <f>IF(B78="","",IF(COUNTIF(T78:Y78,"Fail")&gt;0,1,0))</f>
        <v/>
      </c>
      <c r="AC78" s="27">
        <f>IF(B78="","",0.1*Z78+0.8*AA78+0.1*AB78)</f>
        <v/>
      </c>
      <c r="AD78" s="27">
        <f>IF(B78="","",IF(C78="Batch 1",0.3,0.2))</f>
        <v/>
      </c>
      <c r="AE78" s="19">
        <f>IF(B78="","",IF(AC78&lt;=AD78,"Đạt","Không đạt"))</f>
        <v/>
      </c>
      <c r="AF78" s="43" t="inlineStr">
        <is>
          <t>╔══ WARN: 3 tiêu chí — 3.2, 3.4, 3.5
▼ 3.2 — CTE không bị scan lại nhiều lần
   • CTE bị tham chiếu lại nhiều lần: si x34, sa x10, sf x7, sp x17, so x8, sys x8, cur x3, ref_bic x3
▼ 3.4 — Sử dụng CACHE cho query lặp lại trong cùng luồng
   • 8 CTE nặng dùng lại &gt;= 2 lần mà không có CACHE: cur, ref_bic, sa, sf, si, so, sp, sys
▼ 3.5 — Ưu tiên MAX_BY + QUALIFY thay ROW_NUMBER() + WHERE rn = 1
   • 2 khối dùng MAX_BY độc lập cho &gt;5 cột (dòng 15, [15, 10]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79" ht="30" customHeight="1" s="36">
      <c r="A79" s="17" t="n">
        <v>98</v>
      </c>
      <c r="B79" s="44" t="inlineStr">
        <is>
          <t>TCIMPORT.DIM_BRANCH</t>
        </is>
      </c>
      <c r="C79" s="45" t="inlineStr">
        <is>
          <t>Batch 2</t>
        </is>
      </c>
      <c r="D79" s="45" t="inlineStr">
        <is>
          <t>Huy</t>
        </is>
      </c>
      <c r="E79" s="45" t="inlineStr">
        <is>
          <t>2026-08-11</t>
        </is>
      </c>
      <c r="F79" s="46" t="inlineStr">
        <is>
          <t>Pass</t>
        </is>
      </c>
      <c r="G79" s="46" t="inlineStr">
        <is>
          <t>Pass</t>
        </is>
      </c>
      <c r="H79" s="46" t="inlineStr">
        <is>
          <t>Pass</t>
        </is>
      </c>
      <c r="I79" s="46" t="inlineStr">
        <is>
          <t>Pass</t>
        </is>
      </c>
      <c r="J79" s="46" t="inlineStr">
        <is>
          <t>Pass</t>
        </is>
      </c>
      <c r="K79" s="46" t="inlineStr">
        <is>
          <t>Pass</t>
        </is>
      </c>
      <c r="L79" s="46" t="inlineStr">
        <is>
          <t>Pass</t>
        </is>
      </c>
      <c r="M79" s="46" t="inlineStr">
        <is>
          <t>Pass</t>
        </is>
      </c>
      <c r="N79" s="46" t="inlineStr">
        <is>
          <t>Pass</t>
        </is>
      </c>
      <c r="O79" s="46" t="inlineStr">
        <is>
          <t>Pass</t>
        </is>
      </c>
      <c r="P79" s="46" t="inlineStr">
        <is>
          <t>Pass</t>
        </is>
      </c>
      <c r="Q79" s="46" t="inlineStr">
        <is>
          <t>Pass</t>
        </is>
      </c>
      <c r="R79" s="46" t="inlineStr">
        <is>
          <t>Pass</t>
        </is>
      </c>
      <c r="S79" s="46" t="inlineStr">
        <is>
          <t>Pass</t>
        </is>
      </c>
      <c r="T79" s="46" t="inlineStr">
        <is>
          <t>Pass</t>
        </is>
      </c>
      <c r="U79" s="46" t="inlineStr">
        <is>
          <t>WARN</t>
        </is>
      </c>
      <c r="V79" s="46" t="inlineStr">
        <is>
          <t>Pass</t>
        </is>
      </c>
      <c r="W79" s="46" t="inlineStr">
        <is>
          <t>WARN</t>
        </is>
      </c>
      <c r="X79" s="46" t="inlineStr">
        <is>
          <t>Pass</t>
        </is>
      </c>
      <c r="Y79" s="46" t="inlineStr">
        <is>
          <t>Pass</t>
        </is>
      </c>
      <c r="Z79" s="26">
        <f>IF(B79="","",IF(COUNTIF(F79:G79,"Fail")&gt;0,1,0))</f>
        <v/>
      </c>
      <c r="AA79" s="26">
        <f>IF(B79="","",IF(COUNTIF(H79:S79,"Fail")&gt;0,1,0))</f>
        <v/>
      </c>
      <c r="AB79" s="26">
        <f>IF(B79="","",IF(COUNTIF(T79:Y79,"Fail")&gt;0,1,0))</f>
        <v/>
      </c>
      <c r="AC79" s="27">
        <f>IF(B79="","",0.1*Z79+0.8*AA79+0.1*AB79)</f>
        <v/>
      </c>
      <c r="AD79" s="27">
        <f>IF(B79="","",IF(C79="Batch 1",0.3,0.2))</f>
        <v/>
      </c>
      <c r="AE79" s="19">
        <f>IF(B79="","",IF(AC79&lt;=AD79,"Đạt","Không đạt"))</f>
        <v/>
      </c>
      <c r="AF79" s="43" t="inlineStr">
        <is>
          <t>╔══ WARN: 2 tiêu chí — 3.2, 3.4
▼ 3.2 — CTE không bị scan lại nhiều lần
   • CTE bị tham chiếu lại nhiều lần: branch_active x2, branch_info x2
▼ 3.4 — Sử dụng CACHE cho query lặp lại trong cùng luồng
   • 2 CTE nặng dùng lại &gt;= 2 lần mà không có CACHE: branch_active, branch_info</t>
        </is>
      </c>
    </row>
    <row r="80" ht="30" customHeight="1" s="36">
      <c r="A80" s="17" t="n">
        <v>99</v>
      </c>
      <c r="B80" s="44" t="inlineStr">
        <is>
          <t>TCIMPORT.DIM_DEPOSIT</t>
        </is>
      </c>
      <c r="C80" s="45" t="inlineStr">
        <is>
          <t>Batch 2</t>
        </is>
      </c>
      <c r="D80" s="45" t="inlineStr">
        <is>
          <t>Huy</t>
        </is>
      </c>
      <c r="E80" s="45" t="inlineStr">
        <is>
          <t>2026-08-11</t>
        </is>
      </c>
      <c r="F80" s="46" t="inlineStr">
        <is>
          <t>Pass</t>
        </is>
      </c>
      <c r="G80" s="46" t="inlineStr">
        <is>
          <t>Pass</t>
        </is>
      </c>
      <c r="H80" s="46" t="inlineStr">
        <is>
          <t>Pass</t>
        </is>
      </c>
      <c r="I80" s="46" t="inlineStr">
        <is>
          <t>Pass</t>
        </is>
      </c>
      <c r="J80" s="46" t="inlineStr">
        <is>
          <t>Pass</t>
        </is>
      </c>
      <c r="K80" s="46" t="inlineStr">
        <is>
          <t>Pass</t>
        </is>
      </c>
      <c r="L80" s="46" t="inlineStr">
        <is>
          <t>Pass</t>
        </is>
      </c>
      <c r="M80" s="46" t="inlineStr">
        <is>
          <t>Pass</t>
        </is>
      </c>
      <c r="N80" s="46" t="inlineStr">
        <is>
          <t>Pass</t>
        </is>
      </c>
      <c r="O80" s="46" t="inlineStr">
        <is>
          <t>Pass</t>
        </is>
      </c>
      <c r="P80" s="46" t="inlineStr">
        <is>
          <t>Pass</t>
        </is>
      </c>
      <c r="Q80" s="46" t="inlineStr">
        <is>
          <t>Pass</t>
        </is>
      </c>
      <c r="R80" s="46" t="inlineStr">
        <is>
          <t>Pass</t>
        </is>
      </c>
      <c r="S80" s="46" t="inlineStr">
        <is>
          <t>Pass</t>
        </is>
      </c>
      <c r="T80" s="46" t="inlineStr">
        <is>
          <t>Pass</t>
        </is>
      </c>
      <c r="U80" s="46" t="inlineStr">
        <is>
          <t>WARN</t>
        </is>
      </c>
      <c r="V80" s="46" t="inlineStr">
        <is>
          <t>Pass</t>
        </is>
      </c>
      <c r="W80" s="46" t="inlineStr">
        <is>
          <t>WARN</t>
        </is>
      </c>
      <c r="X80" s="46" t="inlineStr">
        <is>
          <t>Pass</t>
        </is>
      </c>
      <c r="Y80" s="46" t="inlineStr">
        <is>
          <t>Pass</t>
        </is>
      </c>
      <c r="Z80" s="26">
        <f>IF(B80="","",IF(COUNTIF(F80:G80,"Fail")&gt;0,1,0))</f>
        <v/>
      </c>
      <c r="AA80" s="26">
        <f>IF(B80="","",IF(COUNTIF(H80:S80,"Fail")&gt;0,1,0))</f>
        <v/>
      </c>
      <c r="AB80" s="26">
        <f>IF(B80="","",IF(COUNTIF(T80:Y80,"Fail")&gt;0,1,0))</f>
        <v/>
      </c>
      <c r="AC80" s="27">
        <f>IF(B80="","",0.1*Z80+0.8*AA80+0.1*AB80)</f>
        <v/>
      </c>
      <c r="AD80" s="27">
        <f>IF(B80="","",IF(C80="Batch 1",0.3,0.2))</f>
        <v/>
      </c>
      <c r="AE80" s="19">
        <f>IF(B80="","",IF(AC80&lt;=AD80,"Đạt","Không đạt"))</f>
        <v/>
      </c>
      <c r="AF80" s="43" t="inlineStr">
        <is>
          <t>╔══ WARN: 2 tiêu chí — 3.2, 3.4
▼ 3.2 — CTE không bị scan lại nhiều lần
   • CTE bị tham chiếu lại nhiều lần: officer_hub x2
▼ 3.4 — Sử dụng CACHE cho query lặp lại trong cùng luồng
   • 1 CTE nặng dùng lại &gt;= 2 lần mà không có CACHE: officer_hub</t>
        </is>
      </c>
    </row>
    <row r="81" ht="30" customHeight="1" s="36">
      <c r="A81" s="17" t="n">
        <v>100</v>
      </c>
      <c r="B81" s="44" t="inlineStr">
        <is>
          <t>TCIMPORT.FACT_DEPOSIT</t>
        </is>
      </c>
      <c r="C81" s="45" t="inlineStr">
        <is>
          <t>Batch 2</t>
        </is>
      </c>
      <c r="D81" s="45" t="inlineStr">
        <is>
          <t>Huy</t>
        </is>
      </c>
      <c r="E81" s="45" t="inlineStr">
        <is>
          <t>2026-08-11</t>
        </is>
      </c>
      <c r="F81" s="46" t="inlineStr">
        <is>
          <t>Pass</t>
        </is>
      </c>
      <c r="G81" s="46" t="inlineStr">
        <is>
          <t>Pass</t>
        </is>
      </c>
      <c r="H81" s="46" t="inlineStr">
        <is>
          <t>Pass</t>
        </is>
      </c>
      <c r="I81" s="46" t="inlineStr">
        <is>
          <t>Pass</t>
        </is>
      </c>
      <c r="J81" s="46" t="inlineStr">
        <is>
          <t>Pass</t>
        </is>
      </c>
      <c r="K81" s="46" t="inlineStr">
        <is>
          <t>Pass</t>
        </is>
      </c>
      <c r="L81" s="46" t="inlineStr">
        <is>
          <t>Pass</t>
        </is>
      </c>
      <c r="M81" s="46" t="inlineStr">
        <is>
          <t>Pass</t>
        </is>
      </c>
      <c r="N81" s="46" t="inlineStr">
        <is>
          <t>Pass</t>
        </is>
      </c>
      <c r="O81" s="46" t="inlineStr">
        <is>
          <t>Pass</t>
        </is>
      </c>
      <c r="P81" s="46" t="inlineStr">
        <is>
          <t>Pass</t>
        </is>
      </c>
      <c r="Q81" s="46" t="inlineStr">
        <is>
          <t>Pass</t>
        </is>
      </c>
      <c r="R81" s="46" t="inlineStr">
        <is>
          <t>Pass</t>
        </is>
      </c>
      <c r="S81" s="46" t="inlineStr">
        <is>
          <t>Pass</t>
        </is>
      </c>
      <c r="T81" s="46" t="inlineStr">
        <is>
          <t>Pass</t>
        </is>
      </c>
      <c r="U81" s="46" t="inlineStr">
        <is>
          <t>WARN</t>
        </is>
      </c>
      <c r="V81" s="46" t="inlineStr">
        <is>
          <t>Pass</t>
        </is>
      </c>
      <c r="W81" s="46" t="inlineStr">
        <is>
          <t>WARN</t>
        </is>
      </c>
      <c r="X81" s="46" t="inlineStr">
        <is>
          <t>Pass</t>
        </is>
      </c>
      <c r="Y81" s="46" t="inlineStr">
        <is>
          <t>Pass</t>
        </is>
      </c>
      <c r="Z81" s="26">
        <f>IF(B81="","",IF(COUNTIF(F81:G81,"Fail")&gt;0,1,0))</f>
        <v/>
      </c>
      <c r="AA81" s="26">
        <f>IF(B81="","",IF(COUNTIF(H81:S81,"Fail")&gt;0,1,0))</f>
        <v/>
      </c>
      <c r="AB81" s="26">
        <f>IF(B81="","",IF(COUNTIF(T81:Y81,"Fail")&gt;0,1,0))</f>
        <v/>
      </c>
      <c r="AC81" s="27">
        <f>IF(B81="","",0.1*Z81+0.8*AA81+0.1*AB81)</f>
        <v/>
      </c>
      <c r="AD81" s="27">
        <f>IF(B81="","",IF(C81="Batch 1",0.3,0.2))</f>
        <v/>
      </c>
      <c r="AE81" s="19">
        <f>IF(B81="","",IF(AC81&lt;=AD81,"Đạt","Không đạt"))</f>
        <v/>
      </c>
      <c r="AF81" s="43" t="inlineStr">
        <is>
          <t>╔══ WARN: 2 tiêu chí — 3.2, 3.4
▼ 3.2 — CTE không bị scan lại nhiều lần
   • CTE bị tham chiếu lại nhiều lần: crb_all x2, crb_bal_all x2
▼ 3.4 — Sử dụng CACHE cho query lặp lại trong cùng luồng
   • 2 CTE nặng dùng lại &gt;= 2 lần mà không có CACHE: crb_all, crb_bal_all</t>
        </is>
      </c>
    </row>
    <row r="82" ht="30" customHeight="1" s="36">
      <c r="A82" s="17" t="n">
        <v>111</v>
      </c>
      <c r="B82" s="44" t="inlineStr">
        <is>
          <t>TCKH.SECTOR_LIST</t>
        </is>
      </c>
      <c r="C82" s="45" t="inlineStr">
        <is>
          <t>Batch 2</t>
        </is>
      </c>
      <c r="D82" s="45" t="inlineStr">
        <is>
          <t>HOP</t>
        </is>
      </c>
      <c r="E82" s="45" t="inlineStr">
        <is>
          <t>2026-08-11</t>
        </is>
      </c>
      <c r="F82" s="46" t="inlineStr">
        <is>
          <t>Pass</t>
        </is>
      </c>
      <c r="G82" s="46" t="inlineStr">
        <is>
          <t>Pass</t>
        </is>
      </c>
      <c r="H82" s="46" t="inlineStr">
        <is>
          <t>Pass</t>
        </is>
      </c>
      <c r="I82" s="46" t="inlineStr">
        <is>
          <t>Pass</t>
        </is>
      </c>
      <c r="J82" s="46" t="inlineStr">
        <is>
          <t>Pass</t>
        </is>
      </c>
      <c r="K82" s="46" t="inlineStr">
        <is>
          <t>Pass</t>
        </is>
      </c>
      <c r="L82" s="46" t="inlineStr">
        <is>
          <t>Pass</t>
        </is>
      </c>
      <c r="M82" s="46" t="inlineStr">
        <is>
          <t>Pass</t>
        </is>
      </c>
      <c r="N82" s="46" t="inlineStr">
        <is>
          <t>Pass</t>
        </is>
      </c>
      <c r="O82" s="46" t="inlineStr">
        <is>
          <t>Pass</t>
        </is>
      </c>
      <c r="P82" s="46" t="inlineStr">
        <is>
          <t>Pass</t>
        </is>
      </c>
      <c r="Q82" s="46" t="inlineStr">
        <is>
          <t>Pass</t>
        </is>
      </c>
      <c r="R82" s="46" t="inlineStr">
        <is>
          <t>Pass</t>
        </is>
      </c>
      <c r="S82" s="46" t="inlineStr">
        <is>
          <t>Pass</t>
        </is>
      </c>
      <c r="T82" s="46" t="inlineStr">
        <is>
          <t>Pass</t>
        </is>
      </c>
      <c r="U82" s="46" t="inlineStr">
        <is>
          <t>Pass</t>
        </is>
      </c>
      <c r="V82" s="46" t="inlineStr">
        <is>
          <t>Pass</t>
        </is>
      </c>
      <c r="W82" s="46" t="inlineStr">
        <is>
          <t>Pass</t>
        </is>
      </c>
      <c r="X82" s="46" t="inlineStr">
        <is>
          <t>Pass</t>
        </is>
      </c>
      <c r="Y82" s="46" t="inlineStr">
        <is>
          <t>Pass</t>
        </is>
      </c>
      <c r="Z82" s="26">
        <f>IF(B82="","",IF(COUNTIF(F82:G82,"Fail")&gt;0,1,0))</f>
        <v/>
      </c>
      <c r="AA82" s="26">
        <f>IF(B82="","",IF(COUNTIF(H82:S82,"Fail")&gt;0,1,0))</f>
        <v/>
      </c>
      <c r="AB82" s="26">
        <f>IF(B82="","",IF(COUNTIF(T82:Y82,"Fail")&gt;0,1,0))</f>
        <v/>
      </c>
      <c r="AC82" s="27">
        <f>IF(B82="","",0.1*Z82+0.8*AA82+0.1*AB82)</f>
        <v/>
      </c>
      <c r="AD82" s="27">
        <f>IF(B82="","",IF(C82="Batch 1",0.3,0.2))</f>
        <v/>
      </c>
      <c r="AE82" s="19">
        <f>IF(B82="","",IF(AC82&lt;=AD82,"Đạt","Không đạt"))</f>
        <v/>
      </c>
      <c r="AF82" s="43" t="inlineStr">
        <is>
          <t>Đạt toàn bộ tiêu chí.</t>
        </is>
      </c>
    </row>
    <row r="83" ht="30" customHeight="1" s="36">
      <c r="A83" s="17" t="n">
        <v>81</v>
      </c>
      <c r="B83" s="44" t="inlineStr">
        <is>
          <t>BPM_FTR_XLGDTD</t>
        </is>
      </c>
      <c r="C83" s="45" t="inlineStr">
        <is>
          <t>Batch 2</t>
        </is>
      </c>
      <c r="D83" s="45" t="inlineStr">
        <is>
          <t>THU</t>
        </is>
      </c>
      <c r="E83" s="45" t="inlineStr">
        <is>
          <t>2026-08-11</t>
        </is>
      </c>
      <c r="F83" s="46" t="inlineStr">
        <is>
          <t>Pass</t>
        </is>
      </c>
      <c r="G83" s="46" t="inlineStr">
        <is>
          <t>Pass</t>
        </is>
      </c>
      <c r="H83" s="46" t="inlineStr">
        <is>
          <t>Pass</t>
        </is>
      </c>
      <c r="I83" s="46" t="inlineStr">
        <is>
          <t>Pass</t>
        </is>
      </c>
      <c r="J83" s="46" t="inlineStr">
        <is>
          <t>Pass</t>
        </is>
      </c>
      <c r="K83" s="46" t="inlineStr">
        <is>
          <t>Pass</t>
        </is>
      </c>
      <c r="L83" s="46" t="inlineStr">
        <is>
          <t>Pass</t>
        </is>
      </c>
      <c r="M83" s="46" t="inlineStr">
        <is>
          <t>Pass</t>
        </is>
      </c>
      <c r="N83" s="46" t="inlineStr">
        <is>
          <t>Pass</t>
        </is>
      </c>
      <c r="O83" s="46" t="inlineStr">
        <is>
          <t>WARN</t>
        </is>
      </c>
      <c r="P83" s="46" t="inlineStr">
        <is>
          <t>Pass</t>
        </is>
      </c>
      <c r="Q83" s="46" t="inlineStr">
        <is>
          <t>Pass</t>
        </is>
      </c>
      <c r="R83" s="46" t="inlineStr">
        <is>
          <t>Pass</t>
        </is>
      </c>
      <c r="S83" s="46" t="inlineStr">
        <is>
          <t>Pass</t>
        </is>
      </c>
      <c r="T83" s="46" t="inlineStr">
        <is>
          <t>Pass</t>
        </is>
      </c>
      <c r="U83" s="46" t="inlineStr">
        <is>
          <t>WARN</t>
        </is>
      </c>
      <c r="V83" s="46" t="inlineStr">
        <is>
          <t>Pass</t>
        </is>
      </c>
      <c r="W83" s="46" t="inlineStr">
        <is>
          <t>WARN</t>
        </is>
      </c>
      <c r="X83" s="46" t="inlineStr">
        <is>
          <t>Pass</t>
        </is>
      </c>
      <c r="Y83" s="46" t="inlineStr">
        <is>
          <t>Pass</t>
        </is>
      </c>
      <c r="Z83" s="26">
        <f>IF(B83="","",IF(COUNTIF(F83:G83,"Fail")&gt;0,1,0))</f>
        <v/>
      </c>
      <c r="AA83" s="26">
        <f>IF(B83="","",IF(COUNTIF(H83:S83,"Fail")&gt;0,1,0))</f>
        <v/>
      </c>
      <c r="AB83" s="26">
        <f>IF(B83="","",IF(COUNTIF(T83:Y83,"Fail")&gt;0,1,0))</f>
        <v/>
      </c>
      <c r="AC83" s="27">
        <f>IF(B83="","",0.1*Z83+0.8*AA83+0.1*AB83)</f>
        <v/>
      </c>
      <c r="AD83" s="27">
        <f>IF(B83="","",IF(C83="Batch 1",0.3,0.2))</f>
        <v/>
      </c>
      <c r="AE83" s="19">
        <f>IF(B83="","",IF(AC83&lt;=AD83,"Đạt","Không đạt"))</f>
        <v/>
      </c>
      <c r="AF83" s="43" t="inlineStr">
        <is>
          <t>╔══ WARN: 3 tiêu chí — 2.8, 3.2, 3.4
▼ 2.8 — Cột SUM/COUNT được COALESCE/NVL hợp lý
   • 2 biểu thức tổng hợp chưa coalesce: COUNT(ct.gd_chitiet_id); COUNT(ls.ket_qua_xu_ly_user)
   • khi đối soát với hệ thống cũ phải bọc NVL/ISNULL CẢ HAI phía để không lệch khi trừ (Checklist RVN-OCB #11)
▼ 3.2 — CTE không bị scan lại nhiều lần
   • CTE bị tham chiếu lại nhiều lần: kh_hub x3, dv_hub x3, sat_dvktpd x7, sat_qt x4, sat_cbdg x3, sat_kh x3, ref_dm x3
▼ 3.4 — Sử dụng CACHE cho query lặp lại trong cùng luồng
   • 7 CTE nặng dùng lại &gt;= 2 lần mà không có CACHE: dv_hub, kh_hub, ref_dm, sat_cbdg, sat_dvktpd, sat_kh, sat_qt</t>
        </is>
      </c>
    </row>
    <row r="84" ht="30" customHeight="1" s="36">
      <c r="A84" s="17" t="n">
        <v>82</v>
      </c>
      <c r="B84" s="44" t="inlineStr">
        <is>
          <t>BPM_TDCN_NVCT</t>
        </is>
      </c>
      <c r="C84" s="45" t="inlineStr">
        <is>
          <t>Batch 2</t>
        </is>
      </c>
      <c r="D84" s="45" t="inlineStr">
        <is>
          <t>THU</t>
        </is>
      </c>
      <c r="E84" s="45" t="inlineStr">
        <is>
          <t>2026-08-11</t>
        </is>
      </c>
      <c r="F84" s="46" t="inlineStr">
        <is>
          <t>Pass</t>
        </is>
      </c>
      <c r="G84" s="46" t="inlineStr">
        <is>
          <t>Pass</t>
        </is>
      </c>
      <c r="H84" s="46" t="inlineStr">
        <is>
          <t>Pass</t>
        </is>
      </c>
      <c r="I84" s="46" t="inlineStr">
        <is>
          <t>Pass</t>
        </is>
      </c>
      <c r="J84" s="46" t="inlineStr">
        <is>
          <t>Pass</t>
        </is>
      </c>
      <c r="K84" s="46" t="inlineStr">
        <is>
          <t>Pass</t>
        </is>
      </c>
      <c r="L84" s="46" t="inlineStr">
        <is>
          <t>Pass</t>
        </is>
      </c>
      <c r="M84" s="46" t="inlineStr">
        <is>
          <t>Pass</t>
        </is>
      </c>
      <c r="N84" s="46" t="inlineStr">
        <is>
          <t>Pass</t>
        </is>
      </c>
      <c r="O84" s="46" t="inlineStr">
        <is>
          <t>Pass</t>
        </is>
      </c>
      <c r="P84" s="46" t="inlineStr">
        <is>
          <t>Pass</t>
        </is>
      </c>
      <c r="Q84" s="46" t="inlineStr">
        <is>
          <t>Pass</t>
        </is>
      </c>
      <c r="R84" s="46" t="inlineStr">
        <is>
          <t>Pass</t>
        </is>
      </c>
      <c r="S84" s="46" t="inlineStr">
        <is>
          <t>Pass</t>
        </is>
      </c>
      <c r="T84" s="46" t="inlineStr">
        <is>
          <t>Pass</t>
        </is>
      </c>
      <c r="U84" s="46" t="inlineStr">
        <is>
          <t>Pass</t>
        </is>
      </c>
      <c r="V84" s="46" t="inlineStr">
        <is>
          <t>Pass</t>
        </is>
      </c>
      <c r="W84" s="46" t="inlineStr">
        <is>
          <t>Pass</t>
        </is>
      </c>
      <c r="X84" s="46" t="inlineStr">
        <is>
          <t>Pass</t>
        </is>
      </c>
      <c r="Y84" s="46" t="inlineStr">
        <is>
          <t>Pass</t>
        </is>
      </c>
      <c r="Z84" s="26">
        <f>IF(B84="","",IF(COUNTIF(F84:G84,"Fail")&gt;0,1,0))</f>
        <v/>
      </c>
      <c r="AA84" s="26">
        <f>IF(B84="","",IF(COUNTIF(H84:S84,"Fail")&gt;0,1,0))</f>
        <v/>
      </c>
      <c r="AB84" s="26">
        <f>IF(B84="","",IF(COUNTIF(T84:Y84,"Fail")&gt;0,1,0))</f>
        <v/>
      </c>
      <c r="AC84" s="27">
        <f>IF(B84="","",0.1*Z84+0.8*AA84+0.1*AB84)</f>
        <v/>
      </c>
      <c r="AD84" s="27">
        <f>IF(B84="","",IF(C84="Batch 1",0.3,0.2))</f>
        <v/>
      </c>
      <c r="AE84" s="19">
        <f>IF(B84="","",IF(AC84&lt;=AD84,"Đạt","Không đạt"))</f>
        <v/>
      </c>
      <c r="AF84" s="43" t="inlineStr">
        <is>
          <t>Đạt toàn bộ tiêu chí.</t>
        </is>
      </c>
    </row>
    <row r="85" ht="30" customHeight="1" s="36">
      <c r="A85" s="17" t="n">
        <v>83</v>
      </c>
      <c r="B85" s="44" t="inlineStr">
        <is>
          <t>BPM_TDCN_YCBS</t>
        </is>
      </c>
      <c r="C85" s="45" t="inlineStr">
        <is>
          <t>Batch 2</t>
        </is>
      </c>
      <c r="D85" s="45" t="inlineStr">
        <is>
          <t>THU</t>
        </is>
      </c>
      <c r="E85" s="45" t="inlineStr">
        <is>
          <t>2026-08-11</t>
        </is>
      </c>
      <c r="F85" s="46" t="inlineStr">
        <is>
          <t>Pass</t>
        </is>
      </c>
      <c r="G85" s="46" t="inlineStr">
        <is>
          <t>Pass</t>
        </is>
      </c>
      <c r="H85" s="46" t="inlineStr">
        <is>
          <t>Pass</t>
        </is>
      </c>
      <c r="I85" s="46" t="inlineStr">
        <is>
          <t>Pass</t>
        </is>
      </c>
      <c r="J85" s="46" t="inlineStr">
        <is>
          <t>Pass</t>
        </is>
      </c>
      <c r="K85" s="46" t="inlineStr">
        <is>
          <t>Pass</t>
        </is>
      </c>
      <c r="L85" s="46" t="inlineStr">
        <is>
          <t>Pass</t>
        </is>
      </c>
      <c r="M85" s="46" t="inlineStr">
        <is>
          <t>Pass</t>
        </is>
      </c>
      <c r="N85" s="46" t="inlineStr">
        <is>
          <t>Pass</t>
        </is>
      </c>
      <c r="O85" s="46" t="inlineStr">
        <is>
          <t>WARN</t>
        </is>
      </c>
      <c r="P85" s="46" t="inlineStr">
        <is>
          <t>Pass</t>
        </is>
      </c>
      <c r="Q85" s="46" t="inlineStr">
        <is>
          <t>Pass</t>
        </is>
      </c>
      <c r="R85" s="46" t="inlineStr">
        <is>
          <t>Pass</t>
        </is>
      </c>
      <c r="S85" s="46" t="inlineStr">
        <is>
          <t>Pass</t>
        </is>
      </c>
      <c r="T85" s="46" t="inlineStr">
        <is>
          <t>Pass</t>
        </is>
      </c>
      <c r="U85" s="46" t="inlineStr">
        <is>
          <t>Pass</t>
        </is>
      </c>
      <c r="V85" s="46" t="inlineStr">
        <is>
          <t>Pass</t>
        </is>
      </c>
      <c r="W85" s="46" t="inlineStr">
        <is>
          <t>Pass</t>
        </is>
      </c>
      <c r="X85" s="46" t="inlineStr">
        <is>
          <t>Pass</t>
        </is>
      </c>
      <c r="Y85" s="46" t="inlineStr">
        <is>
          <t>Pass</t>
        </is>
      </c>
      <c r="Z85" s="26">
        <f>IF(B85="","",IF(COUNTIF(F85:G85,"Fail")&gt;0,1,0))</f>
        <v/>
      </c>
      <c r="AA85" s="26">
        <f>IF(B85="","",IF(COUNTIF(H85:S85,"Fail")&gt;0,1,0))</f>
        <v/>
      </c>
      <c r="AB85" s="26">
        <f>IF(B85="","",IF(COUNTIF(T85:Y85,"Fail")&gt;0,1,0))</f>
        <v/>
      </c>
      <c r="AC85" s="27">
        <f>IF(B85="","",0.1*Z85+0.8*AA85+0.1*AB85)</f>
        <v/>
      </c>
      <c r="AD85" s="27">
        <f>IF(B85="","",IF(C85="Batch 1",0.3,0.2))</f>
        <v/>
      </c>
      <c r="AE85" s="19">
        <f>IF(B85="","",IF(AC85&lt;=AD85,"Đạt","Không đạt"))</f>
        <v/>
      </c>
      <c r="AF85" s="43" t="inlineStr">
        <is>
          <t>╔══ WARN: 1 tiêu chí — 2.8
▼ 2.8 — Cột SUM/COUNT được COALESCE/NVL hợp lý
   • 2 biểu thức tổng hợp chưa coalesce: YCBS_DVTD_ST = SUM(CASE WHEN A.vai_tro_nguoi_xl = 448 THEN 1 ELSE 0 END); YCBS_DVTD_XL = SUM(CASE WHEN A.vai_tro_nguoi_xl = 450 THEN 1 ELSE 0 END)
   • khi đối soát với hệ thống cũ phải bọc NVL/ISNULL CẢ HAI phía để không lệch khi trừ (Checklist RVN-OCB #11)</t>
        </is>
      </c>
    </row>
    <row r="86" ht="30" customHeight="1" s="36">
      <c r="A86" s="17" t="n">
        <v>84</v>
      </c>
      <c r="B86" s="44" t="inlineStr">
        <is>
          <t>BPM_VOLUME_CTGD</t>
        </is>
      </c>
      <c r="C86" s="45" t="inlineStr">
        <is>
          <t>Batch 2</t>
        </is>
      </c>
      <c r="D86" s="45" t="inlineStr">
        <is>
          <t>THU</t>
        </is>
      </c>
      <c r="E86" s="45" t="inlineStr">
        <is>
          <t>2026-08-11</t>
        </is>
      </c>
      <c r="F86" s="46" t="inlineStr">
        <is>
          <t>Pass</t>
        </is>
      </c>
      <c r="G86" s="46" t="inlineStr">
        <is>
          <t>Pass</t>
        </is>
      </c>
      <c r="H86" s="46" t="inlineStr">
        <is>
          <t>Pass</t>
        </is>
      </c>
      <c r="I86" s="46" t="inlineStr">
        <is>
          <t>Pass</t>
        </is>
      </c>
      <c r="J86" s="46" t="inlineStr">
        <is>
          <t>Pass</t>
        </is>
      </c>
      <c r="K86" s="46" t="inlineStr">
        <is>
          <t>Pass</t>
        </is>
      </c>
      <c r="L86" s="46" t="inlineStr">
        <is>
          <t>Pass</t>
        </is>
      </c>
      <c r="M86" s="46" t="inlineStr">
        <is>
          <t>Pass</t>
        </is>
      </c>
      <c r="N86" s="46" t="inlineStr">
        <is>
          <t>Pass</t>
        </is>
      </c>
      <c r="O86" s="46" t="inlineStr">
        <is>
          <t>Pass</t>
        </is>
      </c>
      <c r="P86" s="46" t="inlineStr">
        <is>
          <t>Pass</t>
        </is>
      </c>
      <c r="Q86" s="46" t="inlineStr">
        <is>
          <t>Pass</t>
        </is>
      </c>
      <c r="R86" s="46" t="inlineStr">
        <is>
          <t>Pass</t>
        </is>
      </c>
      <c r="S86" s="46" t="inlineStr">
        <is>
          <t>Pass</t>
        </is>
      </c>
      <c r="T86" s="46" t="inlineStr">
        <is>
          <t>Pass</t>
        </is>
      </c>
      <c r="U86" s="46" t="inlineStr">
        <is>
          <t>WARN</t>
        </is>
      </c>
      <c r="V86" s="46" t="inlineStr">
        <is>
          <t>Pass</t>
        </is>
      </c>
      <c r="W86" s="46" t="inlineStr">
        <is>
          <t>WARN</t>
        </is>
      </c>
      <c r="X86" s="46" t="inlineStr">
        <is>
          <t>Pass</t>
        </is>
      </c>
      <c r="Y86" s="46" t="inlineStr">
        <is>
          <t>Pass</t>
        </is>
      </c>
      <c r="Z86" s="26">
        <f>IF(B86="","",IF(COUNTIF(F86:G86,"Fail")&gt;0,1,0))</f>
        <v/>
      </c>
      <c r="AA86" s="26">
        <f>IF(B86="","",IF(COUNTIF(H86:S86,"Fail")&gt;0,1,0))</f>
        <v/>
      </c>
      <c r="AB86" s="26">
        <f>IF(B86="","",IF(COUNTIF(T86:Y86,"Fail")&gt;0,1,0))</f>
        <v/>
      </c>
      <c r="AC86" s="27">
        <f>IF(B86="","",0.1*Z86+0.8*AA86+0.1*AB86)</f>
        <v/>
      </c>
      <c r="AD86" s="27">
        <f>IF(B86="","",IF(C86="Batch 1",0.3,0.2))</f>
        <v/>
      </c>
      <c r="AE86" s="19">
        <f>IF(B86="","",IF(AC86&lt;=AD86,"Đạt","Không đạt"))</f>
        <v/>
      </c>
      <c r="AF86" s="43" t="inlineStr">
        <is>
          <t>╔══ WARN: 2 tiêu chí — 3.2, 3.4
▼ 3.2 — CTE không bị scan lại nhiều lần
   • CTE bị tham chiếu lại nhiều lần: kh_hub x3, ref_dm x9
▼ 3.4 — Sử dụng CACHE cho query lặp lại trong cùng luồng
   • 2 CTE nặng dùng lại &gt;= 2 lần mà không có CACHE: kh_hub, ref_dm</t>
        </is>
      </c>
    </row>
    <row r="87" ht="30" customHeight="1" s="36">
      <c r="A87" s="17" t="n">
        <v>85</v>
      </c>
      <c r="B87" s="44" t="inlineStr">
        <is>
          <t>BPM_VOLUME_TDCN</t>
        </is>
      </c>
      <c r="C87" s="45" t="inlineStr">
        <is>
          <t>Batch 2</t>
        </is>
      </c>
      <c r="D87" s="45" t="inlineStr">
        <is>
          <t>THU</t>
        </is>
      </c>
      <c r="E87" s="45" t="inlineStr">
        <is>
          <t>2026-08-11</t>
        </is>
      </c>
      <c r="F87" s="46" t="inlineStr">
        <is>
          <t>Pass</t>
        </is>
      </c>
      <c r="G87" s="46" t="inlineStr">
        <is>
          <t>Pass</t>
        </is>
      </c>
      <c r="H87" s="46" t="inlineStr">
        <is>
          <t>Pass</t>
        </is>
      </c>
      <c r="I87" s="46" t="inlineStr">
        <is>
          <t>Pass</t>
        </is>
      </c>
      <c r="J87" s="46" t="inlineStr">
        <is>
          <t>Pass</t>
        </is>
      </c>
      <c r="K87" s="46" t="inlineStr">
        <is>
          <t>Pass</t>
        </is>
      </c>
      <c r="L87" s="46" t="inlineStr">
        <is>
          <t>Pass</t>
        </is>
      </c>
      <c r="M87" s="46" t="inlineStr">
        <is>
          <t>Pass</t>
        </is>
      </c>
      <c r="N87" s="46" t="inlineStr">
        <is>
          <t>Pass</t>
        </is>
      </c>
      <c r="O87" s="46" t="inlineStr">
        <is>
          <t>Pass</t>
        </is>
      </c>
      <c r="P87" s="46" t="inlineStr">
        <is>
          <t>Pass</t>
        </is>
      </c>
      <c r="Q87" s="46" t="inlineStr">
        <is>
          <t>Pass</t>
        </is>
      </c>
      <c r="R87" s="46" t="inlineStr">
        <is>
          <t>Pass</t>
        </is>
      </c>
      <c r="S87" s="46" t="inlineStr">
        <is>
          <t>Pass</t>
        </is>
      </c>
      <c r="T87" s="46" t="inlineStr">
        <is>
          <t>Pass</t>
        </is>
      </c>
      <c r="U87" s="46" t="inlineStr">
        <is>
          <t>WARN</t>
        </is>
      </c>
      <c r="V87" s="46" t="inlineStr">
        <is>
          <t>Pass</t>
        </is>
      </c>
      <c r="W87" s="46" t="inlineStr">
        <is>
          <t>WARN</t>
        </is>
      </c>
      <c r="X87" s="46" t="inlineStr">
        <is>
          <t>WARN</t>
        </is>
      </c>
      <c r="Y87" s="46" t="inlineStr">
        <is>
          <t>Pass</t>
        </is>
      </c>
      <c r="Z87" s="26">
        <f>IF(B87="","",IF(COUNTIF(F87:G87,"Fail")&gt;0,1,0))</f>
        <v/>
      </c>
      <c r="AA87" s="26">
        <f>IF(B87="","",IF(COUNTIF(H87:S87,"Fail")&gt;0,1,0))</f>
        <v/>
      </c>
      <c r="AB87" s="26">
        <f>IF(B87="","",IF(COUNTIF(T87:Y87,"Fail")&gt;0,1,0))</f>
        <v/>
      </c>
      <c r="AC87" s="27">
        <f>IF(B87="","",0.1*Z87+0.8*AA87+0.1*AB87)</f>
        <v/>
      </c>
      <c r="AD87" s="27">
        <f>IF(B87="","",IF(C87="Batch 1",0.3,0.2))</f>
        <v/>
      </c>
      <c r="AE87" s="19">
        <f>IF(B87="","",IF(AC87&lt;=AD87,"Đạt","Không đạt"))</f>
        <v/>
      </c>
      <c r="AF87" s="43" t="inlineStr">
        <is>
          <t>╔══ WARN: 3 tiêu chí — 3.2, 3.4, 3.5
▼ 3.2 — CTE không bị scan lại nhiều lần
   • CTE bị tham chiếu lại nhiều lần: sat_gd_tsbd x2, ref_dm x4
▼ 3.4 — Sử dụng CACHE cho query lặp lại trong cùng luồng
   • 2 CTE nặng dùng lại &gt;= 2 lần mà không có CACHE: ref_dm, sat_gd_tsbd
▼ 3.5 — Ưu tiên MAX_BY + QUALIFY thay ROW_NUMBER() + WHERE rn = 1
   • 2 khối dùng MAX_BY độc lập cho &gt;5 cột (dòng 25, [10,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88" ht="30" customHeight="1" s="36">
      <c r="A88" s="17" t="n">
        <v>86</v>
      </c>
      <c r="B88" s="44" t="inlineStr">
        <is>
          <t>DMBPM.BPM_VOLUME_XLGDTD</t>
        </is>
      </c>
      <c r="C88" s="45" t="inlineStr">
        <is>
          <t>Batch 2</t>
        </is>
      </c>
      <c r="D88" s="45" t="inlineStr">
        <is>
          <t>LINH</t>
        </is>
      </c>
      <c r="E88" s="45" t="inlineStr">
        <is>
          <t>2026-08-11</t>
        </is>
      </c>
      <c r="F88" s="46" t="inlineStr">
        <is>
          <t>Pass</t>
        </is>
      </c>
      <c r="G88" s="46" t="inlineStr">
        <is>
          <t>Pass</t>
        </is>
      </c>
      <c r="H88" s="46" t="inlineStr">
        <is>
          <t>Pass</t>
        </is>
      </c>
      <c r="I88" s="46" t="inlineStr">
        <is>
          <t>Pass</t>
        </is>
      </c>
      <c r="J88" s="46" t="inlineStr">
        <is>
          <t>Pass</t>
        </is>
      </c>
      <c r="K88" s="46" t="inlineStr">
        <is>
          <t>Pass</t>
        </is>
      </c>
      <c r="L88" s="46" t="inlineStr">
        <is>
          <t>Pass</t>
        </is>
      </c>
      <c r="M88" s="46" t="inlineStr">
        <is>
          <t>Pass</t>
        </is>
      </c>
      <c r="N88" s="46" t="inlineStr">
        <is>
          <t>Pass</t>
        </is>
      </c>
      <c r="O88" s="46" t="inlineStr">
        <is>
          <t>Pass</t>
        </is>
      </c>
      <c r="P88" s="46" t="inlineStr">
        <is>
          <t>Pass</t>
        </is>
      </c>
      <c r="Q88" s="46" t="inlineStr">
        <is>
          <t>Pass</t>
        </is>
      </c>
      <c r="R88" s="46" t="inlineStr">
        <is>
          <t>Pass</t>
        </is>
      </c>
      <c r="S88" s="46" t="inlineStr">
        <is>
          <t>Pass</t>
        </is>
      </c>
      <c r="T88" s="46" t="inlineStr">
        <is>
          <t>Pass</t>
        </is>
      </c>
      <c r="U88" s="46" t="inlineStr">
        <is>
          <t>WARN</t>
        </is>
      </c>
      <c r="V88" s="46" t="inlineStr">
        <is>
          <t>Pass</t>
        </is>
      </c>
      <c r="W88" s="46" t="inlineStr">
        <is>
          <t>WARN</t>
        </is>
      </c>
      <c r="X88" s="46" t="inlineStr">
        <is>
          <t>Pass</t>
        </is>
      </c>
      <c r="Y88" s="46" t="inlineStr">
        <is>
          <t>WARN</t>
        </is>
      </c>
      <c r="Z88" s="26">
        <f>IF(B88="","",IF(COUNTIF(F88:G88,"Fail")&gt;0,1,0))</f>
        <v/>
      </c>
      <c r="AA88" s="26">
        <f>IF(B88="","",IF(COUNTIF(H88:S88,"Fail")&gt;0,1,0))</f>
        <v/>
      </c>
      <c r="AB88" s="26">
        <f>IF(B88="","",IF(COUNTIF(T88:Y88,"Fail")&gt;0,1,0))</f>
        <v/>
      </c>
      <c r="AC88" s="27">
        <f>IF(B88="","",0.1*Z88+0.8*AA88+0.1*AB88)</f>
        <v/>
      </c>
      <c r="AD88" s="27">
        <f>IF(B88="","",IF(C88="Batch 1",0.3,0.2))</f>
        <v/>
      </c>
      <c r="AE88" s="19">
        <f>IF(B88="","",IF(AC88&lt;=AD88,"Đạt","Không đạt"))</f>
        <v/>
      </c>
      <c r="AF88" s="43" t="inlineStr">
        <is>
          <t>╔══ WARN: 3 tiêu chí — 3.2, 3.4, 3.6
▼ 3.2 — CTE không bị scan lại nhiều lần
   • CTE bị tham chiếu lại nhiều lần: bc_inf x27, bc_detail x139, h_chung x3, hub_don_vi x2, sat_don_vi x2, link x3
▼ 3.4 — Sử dụng CACHE cho query lặp lại trong cùng luồng
   • 6 CTE nặng dùng lại &gt;= 2 lần mà không có CACHE: bc_detail, bc_inf, h_chung, hub_don_vi, link, sat_don_vi
▼ 3.6 — Không lạm dụng window function; có comment khi dùng
   • 2/2 window function không có comment giải thích, ở dòng [17, 82]</t>
        </is>
      </c>
    </row>
    <row r="89" ht="30" customHeight="1" s="36">
      <c r="A89" s="17" t="n">
        <v>87</v>
      </c>
      <c r="B89" s="44" t="inlineStr">
        <is>
          <t>TCIMPORT.DIM_BPM_CV</t>
        </is>
      </c>
      <c r="C89" s="45" t="inlineStr">
        <is>
          <t>Batch 2</t>
        </is>
      </c>
      <c r="D89" s="45" t="inlineStr">
        <is>
          <t>LINH</t>
        </is>
      </c>
      <c r="E89" s="45" t="inlineStr">
        <is>
          <t>2026-08-11</t>
        </is>
      </c>
      <c r="F89" s="46" t="inlineStr">
        <is>
          <t>Pass</t>
        </is>
      </c>
      <c r="G89" s="46" t="inlineStr">
        <is>
          <t>Pass</t>
        </is>
      </c>
      <c r="H89" s="46" t="inlineStr">
        <is>
          <t>Pass</t>
        </is>
      </c>
      <c r="I89" s="46" t="inlineStr">
        <is>
          <t>Pass</t>
        </is>
      </c>
      <c r="J89" s="46" t="inlineStr">
        <is>
          <t>Pass</t>
        </is>
      </c>
      <c r="K89" s="46" t="inlineStr">
        <is>
          <t>Pass</t>
        </is>
      </c>
      <c r="L89" s="46" t="inlineStr">
        <is>
          <t>Pass</t>
        </is>
      </c>
      <c r="M89" s="46" t="inlineStr">
        <is>
          <t>Pass</t>
        </is>
      </c>
      <c r="N89" s="46" t="inlineStr">
        <is>
          <t>Pass</t>
        </is>
      </c>
      <c r="O89" s="46" t="inlineStr">
        <is>
          <t>Pass</t>
        </is>
      </c>
      <c r="P89" s="46" t="inlineStr">
        <is>
          <t>Pass</t>
        </is>
      </c>
      <c r="Q89" s="46" t="inlineStr">
        <is>
          <t>WARN</t>
        </is>
      </c>
      <c r="R89" s="46" t="inlineStr">
        <is>
          <t>Pass</t>
        </is>
      </c>
      <c r="S89" s="46" t="inlineStr">
        <is>
          <t>Pass</t>
        </is>
      </c>
      <c r="T89" s="46" t="inlineStr">
        <is>
          <t>Pass</t>
        </is>
      </c>
      <c r="U89" s="46" t="inlineStr">
        <is>
          <t>WARN</t>
        </is>
      </c>
      <c r="V89" s="46" t="inlineStr">
        <is>
          <t>Pass</t>
        </is>
      </c>
      <c r="W89" s="46" t="inlineStr">
        <is>
          <t>WARN</t>
        </is>
      </c>
      <c r="X89" s="46" t="inlineStr">
        <is>
          <t>Pass</t>
        </is>
      </c>
      <c r="Y89" s="46" t="inlineStr">
        <is>
          <t>Pass</t>
        </is>
      </c>
      <c r="Z89" s="26">
        <f>IF(B89="","",IF(COUNTIF(F89:G89,"Fail")&gt;0,1,0))</f>
        <v/>
      </c>
      <c r="AA89" s="26">
        <f>IF(B89="","",IF(COUNTIF(H89:S89,"Fail")&gt;0,1,0))</f>
        <v/>
      </c>
      <c r="AB89" s="26">
        <f>IF(B89="","",IF(COUNTIF(T89:Y89,"Fail")&gt;0,1,0))</f>
        <v/>
      </c>
      <c r="AC89" s="27">
        <f>IF(B89="","",0.1*Z89+0.8*AA89+0.1*AB89)</f>
        <v/>
      </c>
      <c r="AD89" s="27">
        <f>IF(B89="","",IF(C89="Batch 1",0.3,0.2))</f>
        <v/>
      </c>
      <c r="AE89" s="19">
        <f>IF(B89="","",IF(AC89&lt;=AD89,"Đạt","Không đạt"))</f>
        <v/>
      </c>
      <c r="AF89" s="43" t="inlineStr">
        <is>
          <t>╔══ WARN: 3 tiêu chí — 2.10, 3.2, 3.4
▼ 2.10 — Aggregation kèm filter date range chính xác
   • 1 khối tổng hợp không thấy filter theo ngày/tham số: max_id
▼ 3.2 — CTE không bị scan lại nhiều lần
   • CTE bị tham chiếu lại nhiều lần: danh_muc_ref x2
▼ 3.4 — Sử dụng CACHE cho query lặp lại trong cùng luồng
   • 1 CTE nặng dùng lại &gt;= 2 lần mà không có CACHE: danh_muc_ref</t>
        </is>
      </c>
    </row>
    <row r="90" ht="30" customHeight="1" s="36">
      <c r="A90" s="17" t="n">
        <v>88</v>
      </c>
      <c r="B90" s="44" t="inlineStr">
        <is>
          <t>TCIMPORT.FACT_BPM_APPLICATION</t>
        </is>
      </c>
      <c r="C90" s="45" t="inlineStr">
        <is>
          <t>Batch 2</t>
        </is>
      </c>
      <c r="D90" s="45" t="inlineStr">
        <is>
          <t>LINH</t>
        </is>
      </c>
      <c r="E90" s="45" t="inlineStr">
        <is>
          <t>2026-08-11</t>
        </is>
      </c>
      <c r="F90" s="46" t="inlineStr">
        <is>
          <t>Pass</t>
        </is>
      </c>
      <c r="G90" s="46" t="inlineStr">
        <is>
          <t>Pass</t>
        </is>
      </c>
      <c r="H90" s="46" t="inlineStr">
        <is>
          <t>Pass</t>
        </is>
      </c>
      <c r="I90" s="46" t="inlineStr">
        <is>
          <t>Pass</t>
        </is>
      </c>
      <c r="J90" s="46" t="inlineStr">
        <is>
          <t>Pass</t>
        </is>
      </c>
      <c r="K90" s="46" t="inlineStr">
        <is>
          <t>Pass</t>
        </is>
      </c>
      <c r="L90" s="46" t="inlineStr">
        <is>
          <t>Pass</t>
        </is>
      </c>
      <c r="M90" s="46" t="inlineStr">
        <is>
          <t>Pass</t>
        </is>
      </c>
      <c r="N90" s="46" t="inlineStr">
        <is>
          <t>Pass</t>
        </is>
      </c>
      <c r="O90" s="46" t="inlineStr">
        <is>
          <t>Pass</t>
        </is>
      </c>
      <c r="P90" s="46" t="inlineStr">
        <is>
          <t>Pass</t>
        </is>
      </c>
      <c r="Q90" s="46" t="inlineStr">
        <is>
          <t>Pass</t>
        </is>
      </c>
      <c r="R90" s="46" t="inlineStr">
        <is>
          <t>Pass</t>
        </is>
      </c>
      <c r="S90" s="46" t="inlineStr">
        <is>
          <t>Pass</t>
        </is>
      </c>
      <c r="T90" s="46" t="inlineStr">
        <is>
          <t>Pass</t>
        </is>
      </c>
      <c r="U90" s="46" t="inlineStr">
        <is>
          <t>WARN</t>
        </is>
      </c>
      <c r="V90" s="46" t="inlineStr">
        <is>
          <t>Pass</t>
        </is>
      </c>
      <c r="W90" s="46" t="inlineStr">
        <is>
          <t>WARN</t>
        </is>
      </c>
      <c r="X90" s="46" t="inlineStr">
        <is>
          <t>Pass</t>
        </is>
      </c>
      <c r="Y90" s="46" t="inlineStr">
        <is>
          <t>Pass</t>
        </is>
      </c>
      <c r="Z90" s="26">
        <f>IF(B90="","",IF(COUNTIF(F90:G90,"Fail")&gt;0,1,0))</f>
        <v/>
      </c>
      <c r="AA90" s="26">
        <f>IF(B90="","",IF(COUNTIF(H90:S90,"Fail")&gt;0,1,0))</f>
        <v/>
      </c>
      <c r="AB90" s="26">
        <f>IF(B90="","",IF(COUNTIF(T90:Y90,"Fail")&gt;0,1,0))</f>
        <v/>
      </c>
      <c r="AC90" s="27">
        <f>IF(B90="","",0.1*Z90+0.8*AA90+0.1*AB90)</f>
        <v/>
      </c>
      <c r="AD90" s="27">
        <f>IF(B90="","",IF(C90="Batch 1",0.3,0.2))</f>
        <v/>
      </c>
      <c r="AE90" s="19">
        <f>IF(B90="","",IF(AC90&lt;=AD90,"Đạt","Không đạt"))</f>
        <v/>
      </c>
      <c r="AF90" s="43" t="inlineStr">
        <is>
          <t>╔══ WARN: 2 tiêu chí — 3.2, 3.4
▼ 3.2 — CTE không bị scan lại nhiều lần
   • CTE bị tham chiếu lại nhiều lần: gd_active x2
▼ 3.4 — Sử dụng CACHE cho query lặp lại trong cùng luồng
   • 1 CTE nặng dùng lại &gt;= 2 lần mà không có CACHE: gd_active</t>
        </is>
      </c>
    </row>
    <row r="91" ht="30" customHeight="1" s="36">
      <c r="A91" s="17" t="n">
        <v>89</v>
      </c>
      <c r="B91" s="44" t="inlineStr">
        <is>
          <t>TCIMPORT.FACT_BPM_AP_AVY</t>
        </is>
      </c>
      <c r="C91" s="45" t="inlineStr">
        <is>
          <t>Batch 2</t>
        </is>
      </c>
      <c r="D91" s="45" t="inlineStr">
        <is>
          <t>LINH</t>
        </is>
      </c>
      <c r="E91" s="45" t="inlineStr">
        <is>
          <t>2026-08-11</t>
        </is>
      </c>
      <c r="F91" s="46" t="inlineStr">
        <is>
          <t>Pass</t>
        </is>
      </c>
      <c r="G91" s="46" t="inlineStr">
        <is>
          <t>Pass</t>
        </is>
      </c>
      <c r="H91" s="46" t="inlineStr">
        <is>
          <t>Pass</t>
        </is>
      </c>
      <c r="I91" s="46" t="inlineStr">
        <is>
          <t>Pass</t>
        </is>
      </c>
      <c r="J91" s="46" t="inlineStr">
        <is>
          <t>Pass</t>
        </is>
      </c>
      <c r="K91" s="46" t="inlineStr">
        <is>
          <t>Pass</t>
        </is>
      </c>
      <c r="L91" s="46" t="inlineStr">
        <is>
          <t>Pass</t>
        </is>
      </c>
      <c r="M91" s="46" t="inlineStr">
        <is>
          <t>Pass</t>
        </is>
      </c>
      <c r="N91" s="46" t="inlineStr">
        <is>
          <t>Pass</t>
        </is>
      </c>
      <c r="O91" s="46" t="inlineStr">
        <is>
          <t>Pass</t>
        </is>
      </c>
      <c r="P91" s="46" t="inlineStr">
        <is>
          <t>Pass</t>
        </is>
      </c>
      <c r="Q91" s="46" t="inlineStr">
        <is>
          <t>Pass</t>
        </is>
      </c>
      <c r="R91" s="46" t="inlineStr">
        <is>
          <t>Pass</t>
        </is>
      </c>
      <c r="S91" s="46" t="inlineStr">
        <is>
          <t>Pass</t>
        </is>
      </c>
      <c r="T91" s="46" t="inlineStr">
        <is>
          <t>Pass</t>
        </is>
      </c>
      <c r="U91" s="46" t="inlineStr">
        <is>
          <t>WARN</t>
        </is>
      </c>
      <c r="V91" s="46" t="inlineStr">
        <is>
          <t>Pass</t>
        </is>
      </c>
      <c r="W91" s="46" t="inlineStr">
        <is>
          <t>WARN</t>
        </is>
      </c>
      <c r="X91" s="46" t="inlineStr">
        <is>
          <t>WARN</t>
        </is>
      </c>
      <c r="Y91" s="46" t="inlineStr">
        <is>
          <t>Pass</t>
        </is>
      </c>
      <c r="Z91" s="26">
        <f>IF(B91="","",IF(COUNTIF(F91:G91,"Fail")&gt;0,1,0))</f>
        <v/>
      </c>
      <c r="AA91" s="26">
        <f>IF(B91="","",IF(COUNTIF(H91:S91,"Fail")&gt;0,1,0))</f>
        <v/>
      </c>
      <c r="AB91" s="26">
        <f>IF(B91="","",IF(COUNTIF(T91:Y91,"Fail")&gt;0,1,0))</f>
        <v/>
      </c>
      <c r="AC91" s="27">
        <f>IF(B91="","",0.1*Z91+0.8*AA91+0.1*AB91)</f>
        <v/>
      </c>
      <c r="AD91" s="27">
        <f>IF(B91="","",IF(C91="Batch 1",0.3,0.2))</f>
        <v/>
      </c>
      <c r="AE91" s="19">
        <f>IF(B91="","",IF(AC91&lt;=AD91,"Đạt","Không đạt"))</f>
        <v/>
      </c>
      <c r="AF91" s="43" t="inlineStr">
        <is>
          <t>╔══ WARN: 3 tiêu chí — 3.2, 3.4, 3.5
▼ 3.2 — CTE không bị scan lại nhiều lần
   • CTE bị tham chiếu lại nhiều lần: auth_nv x3, ksgn_active x2, ksgn_dv x2, ksgnct x3, c_danh_muc_ref x2, danh_muc_ref x4
▼ 3.4 — Sử dụng CACHE cho query lặp lại trong cùng luồng
   • 6 CTE nặng dùng lại &gt;= 2 lần mà không có CACHE: auth_nv, c_danh_muc_ref, danh_muc_ref, ksgn_active, ksgn_dv, ksgnct
▼ 3.5 — Ưu tiên MAX_BY + QUALIFY thay ROW_NUMBER() + WHERE rn = 1
   • 4 khối dùng MAX_BY độc lập cho &gt;5 cột (dòng 10, [10, 11, 9,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92" ht="30" customHeight="1" s="36">
      <c r="A92" s="17" t="n">
        <v>90</v>
      </c>
      <c r="B92" s="44" t="inlineStr">
        <is>
          <t>TCIMPORT.FACT_BPM_AP_SLA</t>
        </is>
      </c>
      <c r="C92" s="45" t="inlineStr">
        <is>
          <t>Batch 2</t>
        </is>
      </c>
      <c r="D92" s="45" t="inlineStr">
        <is>
          <t>LINH</t>
        </is>
      </c>
      <c r="E92" s="45" t="inlineStr">
        <is>
          <t>2026-08-11</t>
        </is>
      </c>
      <c r="F92" s="46" t="inlineStr">
        <is>
          <t>Pass</t>
        </is>
      </c>
      <c r="G92" s="46" t="inlineStr">
        <is>
          <t>Pass</t>
        </is>
      </c>
      <c r="H92" s="46" t="inlineStr">
        <is>
          <t>Pass</t>
        </is>
      </c>
      <c r="I92" s="46" t="inlineStr">
        <is>
          <t>Pass</t>
        </is>
      </c>
      <c r="J92" s="46" t="inlineStr">
        <is>
          <t>Pass</t>
        </is>
      </c>
      <c r="K92" s="46" t="inlineStr">
        <is>
          <t>Pass</t>
        </is>
      </c>
      <c r="L92" s="46" t="inlineStr">
        <is>
          <t>Pass</t>
        </is>
      </c>
      <c r="M92" s="46" t="inlineStr">
        <is>
          <t>Pass</t>
        </is>
      </c>
      <c r="N92" s="46" t="inlineStr">
        <is>
          <t>Pass</t>
        </is>
      </c>
      <c r="O92" s="46" t="inlineStr">
        <is>
          <t>Pass</t>
        </is>
      </c>
      <c r="P92" s="46" t="inlineStr">
        <is>
          <t>Pass</t>
        </is>
      </c>
      <c r="Q92" s="46" t="inlineStr">
        <is>
          <t>Pass</t>
        </is>
      </c>
      <c r="R92" s="46" t="inlineStr">
        <is>
          <t>Pass</t>
        </is>
      </c>
      <c r="S92" s="46" t="inlineStr">
        <is>
          <t>Pass</t>
        </is>
      </c>
      <c r="T92" s="46" t="inlineStr">
        <is>
          <t>Pass</t>
        </is>
      </c>
      <c r="U92" s="46" t="inlineStr">
        <is>
          <t>Pass</t>
        </is>
      </c>
      <c r="V92" s="46" t="inlineStr">
        <is>
          <t>WARN</t>
        </is>
      </c>
      <c r="W92" s="46" t="inlineStr">
        <is>
          <t>Pass</t>
        </is>
      </c>
      <c r="X92" s="46" t="inlineStr">
        <is>
          <t>WARN</t>
        </is>
      </c>
      <c r="Y92" s="46" t="inlineStr">
        <is>
          <t>Pass</t>
        </is>
      </c>
      <c r="Z92" s="26">
        <f>IF(B92="","",IF(COUNTIF(F92:G92,"Fail")&gt;0,1,0))</f>
        <v/>
      </c>
      <c r="AA92" s="26">
        <f>IF(B92="","",IF(COUNTIF(H92:S92,"Fail")&gt;0,1,0))</f>
        <v/>
      </c>
      <c r="AB92" s="26">
        <f>IF(B92="","",IF(COUNTIF(T92:Y92,"Fail")&gt;0,1,0))</f>
        <v/>
      </c>
      <c r="AC92" s="27">
        <f>IF(B92="","",0.1*Z92+0.8*AA92+0.1*AB92)</f>
        <v/>
      </c>
      <c r="AD92" s="27">
        <f>IF(B92="","",IF(C92="Batch 1",0.3,0.2))</f>
        <v/>
      </c>
      <c r="AE92" s="19">
        <f>IF(B92="","",IF(AC92&lt;=AD92,"Đạt","Không đạt"))</f>
        <v/>
      </c>
      <c r="AF92" s="43" t="inlineStr">
        <is>
          <t>╔══ WARN: 2 tiêu chí — 3.3, 3.5
▼ 3.3 — Filter trước khi join, tận dụng partition pruning
   • 1 bảng join trực tiếp mà không có filter riêng: BPM_V_APPLICATION (ap)
▼ 3.5 — Ưu tiên MAX_BY + QUALIFY thay ROW_NUMBER() + WHERE rn = 1
   • 1 khối dùng MAX_BY độc lập cho &gt;5 cột (dòng 12, [28]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93" ht="30" customHeight="1" s="36">
      <c r="A93" s="17" t="n">
        <v>91</v>
      </c>
      <c r="B93" s="44" t="inlineStr">
        <is>
          <t>TCIMPORT.FACT_BPM_AP_TAT</t>
        </is>
      </c>
      <c r="C93" s="45" t="inlineStr">
        <is>
          <t>Batch 2</t>
        </is>
      </c>
      <c r="D93" s="45" t="inlineStr">
        <is>
          <t>LINH</t>
        </is>
      </c>
      <c r="E93" s="45" t="inlineStr">
        <is>
          <t>2026-08-11</t>
        </is>
      </c>
      <c r="F93" s="46" t="inlineStr">
        <is>
          <t>Pass</t>
        </is>
      </c>
      <c r="G93" s="46" t="inlineStr">
        <is>
          <t>Pass</t>
        </is>
      </c>
      <c r="H93" s="46" t="inlineStr">
        <is>
          <t>Pass</t>
        </is>
      </c>
      <c r="I93" s="46" t="inlineStr">
        <is>
          <t>Pass</t>
        </is>
      </c>
      <c r="J93" s="46" t="inlineStr">
        <is>
          <t>Pass</t>
        </is>
      </c>
      <c r="K93" s="46" t="inlineStr">
        <is>
          <t>Pass</t>
        </is>
      </c>
      <c r="L93" s="46" t="inlineStr">
        <is>
          <t>Pass</t>
        </is>
      </c>
      <c r="M93" s="46" t="inlineStr">
        <is>
          <t>Pass</t>
        </is>
      </c>
      <c r="N93" s="46" t="inlineStr">
        <is>
          <t>Pass</t>
        </is>
      </c>
      <c r="O93" s="46" t="inlineStr">
        <is>
          <t>Pass</t>
        </is>
      </c>
      <c r="P93" s="46" t="inlineStr">
        <is>
          <t>Pass</t>
        </is>
      </c>
      <c r="Q93" s="46" t="inlineStr">
        <is>
          <t>Pass</t>
        </is>
      </c>
      <c r="R93" s="46" t="inlineStr">
        <is>
          <t>Pass</t>
        </is>
      </c>
      <c r="S93" s="46" t="inlineStr">
        <is>
          <t>Pass</t>
        </is>
      </c>
      <c r="T93" s="46" t="inlineStr">
        <is>
          <t>Pass</t>
        </is>
      </c>
      <c r="U93" s="46" t="inlineStr">
        <is>
          <t>Pass</t>
        </is>
      </c>
      <c r="V93" s="46" t="inlineStr">
        <is>
          <t>WARN</t>
        </is>
      </c>
      <c r="W93" s="46" t="inlineStr">
        <is>
          <t>Pass</t>
        </is>
      </c>
      <c r="X93" s="46" t="inlineStr">
        <is>
          <t>Pass</t>
        </is>
      </c>
      <c r="Y93" s="46" t="inlineStr">
        <is>
          <t>Pass</t>
        </is>
      </c>
      <c r="Z93" s="26">
        <f>IF(B93="","",IF(COUNTIF(F93:G93,"Fail")&gt;0,1,0))</f>
        <v/>
      </c>
      <c r="AA93" s="26">
        <f>IF(B93="","",IF(COUNTIF(H93:S93,"Fail")&gt;0,1,0))</f>
        <v/>
      </c>
      <c r="AB93" s="26">
        <f>IF(B93="","",IF(COUNTIF(T93:Y93,"Fail")&gt;0,1,0))</f>
        <v/>
      </c>
      <c r="AC93" s="27">
        <f>IF(B93="","",0.1*Z93+0.8*AA93+0.1*AB93)</f>
        <v/>
      </c>
      <c r="AD93" s="27">
        <f>IF(B93="","",IF(C93="Batch 1",0.3,0.2))</f>
        <v/>
      </c>
      <c r="AE93" s="19">
        <f>IF(B93="","",IF(AC93&lt;=AD93,"Đạt","Không đạt"))</f>
        <v/>
      </c>
      <c r="AF93" s="43" t="inlineStr">
        <is>
          <t>╔══ WARN: 1 tiêu chí — 3.3
▼ 3.3 — Filter trước khi join, tận dụng partition pruning
   • 1 bảng join trực tiếp mà không có filter riêng: bpm_v_application (app)</t>
        </is>
      </c>
    </row>
    <row r="94" ht="30" customHeight="1" s="36">
      <c r="A94" s="17" t="n">
        <v>92</v>
      </c>
      <c r="B94" s="18" t="n"/>
      <c r="C94" s="17" t="n"/>
      <c r="D94" s="17" t="n"/>
      <c r="E94" s="17" t="n"/>
      <c r="F94" s="26" t="n"/>
      <c r="G94" s="26" t="n"/>
      <c r="H94" s="26" t="n"/>
      <c r="I94" s="26" t="n"/>
      <c r="J94" s="26" t="n"/>
      <c r="K94" s="26" t="n"/>
      <c r="L94" s="26" t="n"/>
      <c r="M94" s="26" t="n"/>
      <c r="N94" s="26" t="n"/>
      <c r="O94" s="26" t="n"/>
      <c r="P94" s="26" t="n"/>
      <c r="Q94" s="26" t="n"/>
      <c r="R94" s="26" t="n"/>
      <c r="S94" s="26" t="n"/>
      <c r="T94" s="26" t="n"/>
      <c r="U94" s="26" t="n"/>
      <c r="V94" s="26" t="n"/>
      <c r="W94" s="26" t="n"/>
      <c r="X94" s="26" t="n"/>
      <c r="Y94" s="26" t="n"/>
      <c r="Z94" s="26">
        <f>IF(B94="","",IF(COUNTIF(F94:G94,"Fail")&gt;0,1,0))</f>
        <v/>
      </c>
      <c r="AA94" s="26">
        <f>IF(B94="","",IF(COUNTIF(H94:S94,"Fail")&gt;0,1,0))</f>
        <v/>
      </c>
      <c r="AB94" s="26">
        <f>IF(B94="","",IF(COUNTIF(T94:Y94,"Fail")&gt;0,1,0))</f>
        <v/>
      </c>
      <c r="AC94" s="27">
        <f>IF(B94="","",0.1*Z94+0.8*AA94+0.1*AB94)</f>
        <v/>
      </c>
      <c r="AD94" s="27">
        <f>IF(B94="","",IF(C94="Batch 1",0.3,0.2))</f>
        <v/>
      </c>
      <c r="AE94" s="19">
        <f>IF(B94="","",IF(AC94&lt;=AD94,"Đạt","Không đạt"))</f>
        <v/>
      </c>
      <c r="AF94" s="28" t="n"/>
    </row>
    <row r="95" ht="30" customHeight="1" s="36">
      <c r="A95" s="17" t="n">
        <v>93</v>
      </c>
      <c r="B95" s="18" t="n"/>
      <c r="C95" s="17" t="n"/>
      <c r="D95" s="17" t="n"/>
      <c r="E95" s="17" t="n"/>
      <c r="F95" s="26" t="n"/>
      <c r="G95" s="26" t="n"/>
      <c r="H95" s="26" t="n"/>
      <c r="I95" s="26" t="n"/>
      <c r="J95" s="26" t="n"/>
      <c r="K95" s="26" t="n"/>
      <c r="L95" s="26" t="n"/>
      <c r="M95" s="26" t="n"/>
      <c r="N95" s="26" t="n"/>
      <c r="O95" s="26" t="n"/>
      <c r="P95" s="26" t="n"/>
      <c r="Q95" s="26" t="n"/>
      <c r="R95" s="26" t="n"/>
      <c r="S95" s="26" t="n"/>
      <c r="T95" s="26" t="n"/>
      <c r="U95" s="26" t="n"/>
      <c r="V95" s="26" t="n"/>
      <c r="W95" s="26" t="n"/>
      <c r="X95" s="26" t="n"/>
      <c r="Y95" s="26" t="n"/>
      <c r="Z95" s="26">
        <f>IF(B95="","",IF(COUNTIF(F95:G95,"Fail")&gt;0,1,0))</f>
        <v/>
      </c>
      <c r="AA95" s="26">
        <f>IF(B95="","",IF(COUNTIF(H95:S95,"Fail")&gt;0,1,0))</f>
        <v/>
      </c>
      <c r="AB95" s="26">
        <f>IF(B95="","",IF(COUNTIF(T95:Y95,"Fail")&gt;0,1,0))</f>
        <v/>
      </c>
      <c r="AC95" s="27">
        <f>IF(B95="","",0.1*Z95+0.8*AA95+0.1*AB95)</f>
        <v/>
      </c>
      <c r="AD95" s="27">
        <f>IF(B95="","",IF(C95="Batch 1",0.3,0.2))</f>
        <v/>
      </c>
      <c r="AE95" s="19">
        <f>IF(B95="","",IF(AC95&lt;=AD95,"Đạt","Không đạt"))</f>
        <v/>
      </c>
      <c r="AF95" s="28" t="n"/>
    </row>
    <row r="96" ht="30" customHeight="1" s="36">
      <c r="A96" s="17" t="n">
        <v>94</v>
      </c>
      <c r="B96" s="18" t="n"/>
      <c r="C96" s="17" t="n"/>
      <c r="D96" s="17" t="n"/>
      <c r="E96" s="17" t="n"/>
      <c r="F96" s="26" t="n"/>
      <c r="G96" s="26" t="n"/>
      <c r="H96" s="26" t="n"/>
      <c r="I96" s="26" t="n"/>
      <c r="J96" s="26" t="n"/>
      <c r="K96" s="26" t="n"/>
      <c r="L96" s="26" t="n"/>
      <c r="M96" s="26" t="n"/>
      <c r="N96" s="26" t="n"/>
      <c r="O96" s="26" t="n"/>
      <c r="P96" s="26" t="n"/>
      <c r="Q96" s="26" t="n"/>
      <c r="R96" s="26" t="n"/>
      <c r="S96" s="26" t="n"/>
      <c r="T96" s="26" t="n"/>
      <c r="U96" s="26" t="n"/>
      <c r="V96" s="26" t="n"/>
      <c r="W96" s="26" t="n"/>
      <c r="X96" s="26" t="n"/>
      <c r="Y96" s="26" t="n"/>
      <c r="Z96" s="26">
        <f>IF(B96="","",IF(COUNTIF(F96:G96,"Fail")&gt;0,1,0))</f>
        <v/>
      </c>
      <c r="AA96" s="26">
        <f>IF(B96="","",IF(COUNTIF(H96:S96,"Fail")&gt;0,1,0))</f>
        <v/>
      </c>
      <c r="AB96" s="26">
        <f>IF(B96="","",IF(COUNTIF(T96:Y96,"Fail")&gt;0,1,0))</f>
        <v/>
      </c>
      <c r="AC96" s="27">
        <f>IF(B96="","",0.1*Z96+0.8*AA96+0.1*AB96)</f>
        <v/>
      </c>
      <c r="AD96" s="27">
        <f>IF(B96="","",IF(C96="Batch 1",0.3,0.2))</f>
        <v/>
      </c>
      <c r="AE96" s="19">
        <f>IF(B96="","",IF(AC96&lt;=AD96,"Đạt","Không đạt"))</f>
        <v/>
      </c>
      <c r="AF96" s="28" t="n"/>
    </row>
    <row r="97" ht="30" customHeight="1" s="36">
      <c r="A97" s="17" t="n">
        <v>95</v>
      </c>
      <c r="B97" s="18" t="n"/>
      <c r="C97" s="17" t="n"/>
      <c r="D97" s="17" t="n"/>
      <c r="E97" s="17" t="n"/>
      <c r="F97" s="26" t="n"/>
      <c r="G97" s="26" t="n"/>
      <c r="H97" s="26" t="n"/>
      <c r="I97" s="26" t="n"/>
      <c r="J97" s="26" t="n"/>
      <c r="K97" s="26" t="n"/>
      <c r="L97" s="26" t="n"/>
      <c r="M97" s="26" t="n"/>
      <c r="N97" s="26" t="n"/>
      <c r="O97" s="26" t="n"/>
      <c r="P97" s="26" t="n"/>
      <c r="Q97" s="26" t="n"/>
      <c r="R97" s="26" t="n"/>
      <c r="S97" s="26" t="n"/>
      <c r="T97" s="26" t="n"/>
      <c r="U97" s="26" t="n"/>
      <c r="V97" s="26" t="n"/>
      <c r="W97" s="26" t="n"/>
      <c r="X97" s="26" t="n"/>
      <c r="Y97" s="26" t="n"/>
      <c r="Z97" s="26">
        <f>IF(B97="","",IF(COUNTIF(F97:G97,"Fail")&gt;0,1,0))</f>
        <v/>
      </c>
      <c r="AA97" s="26">
        <f>IF(B97="","",IF(COUNTIF(H97:S97,"Fail")&gt;0,1,0))</f>
        <v/>
      </c>
      <c r="AB97" s="26">
        <f>IF(B97="","",IF(COUNTIF(T97:Y97,"Fail")&gt;0,1,0))</f>
        <v/>
      </c>
      <c r="AC97" s="27">
        <f>IF(B97="","",0.1*Z97+0.8*AA97+0.1*AB97)</f>
        <v/>
      </c>
      <c r="AD97" s="27">
        <f>IF(B97="","",IF(C97="Batch 1",0.3,0.2))</f>
        <v/>
      </c>
      <c r="AE97" s="19">
        <f>IF(B97="","",IF(AC97&lt;=AD97,"Đạt","Không đạt"))</f>
        <v/>
      </c>
      <c r="AF97" s="28" t="n"/>
    </row>
    <row r="98" ht="30" customHeight="1" s="36">
      <c r="A98" s="17" t="n">
        <v>96</v>
      </c>
      <c r="B98" s="18" t="n"/>
      <c r="C98" s="17" t="n"/>
      <c r="D98" s="17" t="n"/>
      <c r="E98" s="17" t="n"/>
      <c r="F98" s="26" t="n"/>
      <c r="G98" s="26" t="n"/>
      <c r="H98" s="26" t="n"/>
      <c r="I98" s="26" t="n"/>
      <c r="J98" s="26" t="n"/>
      <c r="K98" s="26" t="n"/>
      <c r="L98" s="26" t="n"/>
      <c r="M98" s="26" t="n"/>
      <c r="N98" s="26" t="n"/>
      <c r="O98" s="26" t="n"/>
      <c r="P98" s="26" t="n"/>
      <c r="Q98" s="26" t="n"/>
      <c r="R98" s="26" t="n"/>
      <c r="S98" s="26" t="n"/>
      <c r="T98" s="26" t="n"/>
      <c r="U98" s="26" t="n"/>
      <c r="V98" s="26" t="n"/>
      <c r="W98" s="26" t="n"/>
      <c r="X98" s="26" t="n"/>
      <c r="Y98" s="26" t="n"/>
      <c r="Z98" s="26">
        <f>IF(B98="","",IF(COUNTIF(F98:G98,"Fail")&gt;0,1,0))</f>
        <v/>
      </c>
      <c r="AA98" s="26">
        <f>IF(B98="","",IF(COUNTIF(H98:S98,"Fail")&gt;0,1,0))</f>
        <v/>
      </c>
      <c r="AB98" s="26">
        <f>IF(B98="","",IF(COUNTIF(T98:Y98,"Fail")&gt;0,1,0))</f>
        <v/>
      </c>
      <c r="AC98" s="27">
        <f>IF(B98="","",0.1*Z98+0.8*AA98+0.1*AB98)</f>
        <v/>
      </c>
      <c r="AD98" s="27">
        <f>IF(B98="","",IF(C98="Batch 1",0.3,0.2))</f>
        <v/>
      </c>
      <c r="AE98" s="19">
        <f>IF(B98="","",IF(AC98&lt;=AD98,"Đạt","Không đạt"))</f>
        <v/>
      </c>
      <c r="AF98" s="28" t="n"/>
    </row>
    <row r="99" ht="30" customHeight="1" s="36">
      <c r="A99" s="17" t="n">
        <v>97</v>
      </c>
      <c r="B99" s="18" t="n"/>
      <c r="C99" s="17" t="n"/>
      <c r="D99" s="17" t="n"/>
      <c r="E99" s="17" t="n"/>
      <c r="F99" s="26" t="n"/>
      <c r="G99" s="26" t="n"/>
      <c r="H99" s="26" t="n"/>
      <c r="I99" s="26" t="n"/>
      <c r="J99" s="26" t="n"/>
      <c r="K99" s="26" t="n"/>
      <c r="L99" s="26" t="n"/>
      <c r="M99" s="26" t="n"/>
      <c r="N99" s="26" t="n"/>
      <c r="O99" s="26" t="n"/>
      <c r="P99" s="26" t="n"/>
      <c r="Q99" s="26" t="n"/>
      <c r="R99" s="26" t="n"/>
      <c r="S99" s="26" t="n"/>
      <c r="T99" s="26" t="n"/>
      <c r="U99" s="26" t="n"/>
      <c r="V99" s="26" t="n"/>
      <c r="W99" s="26" t="n"/>
      <c r="X99" s="26" t="n"/>
      <c r="Y99" s="26" t="n"/>
      <c r="Z99" s="26">
        <f>IF(B99="","",IF(COUNTIF(F99:G99,"Fail")&gt;0,1,0))</f>
        <v/>
      </c>
      <c r="AA99" s="26">
        <f>IF(B99="","",IF(COUNTIF(H99:S99,"Fail")&gt;0,1,0))</f>
        <v/>
      </c>
      <c r="AB99" s="26">
        <f>IF(B99="","",IF(COUNTIF(T99:Y99,"Fail")&gt;0,1,0))</f>
        <v/>
      </c>
      <c r="AC99" s="27">
        <f>IF(B99="","",0.1*Z99+0.8*AA99+0.1*AB99)</f>
        <v/>
      </c>
      <c r="AD99" s="27">
        <f>IF(B99="","",IF(C99="Batch 1",0.3,0.2))</f>
        <v/>
      </c>
      <c r="AE99" s="19">
        <f>IF(B99="","",IF(AC99&lt;=AD99,"Đạt","Không đạt"))</f>
        <v/>
      </c>
      <c r="AF99" s="28" t="n"/>
    </row>
    <row r="100" ht="30" customHeight="1" s="36">
      <c r="A100" s="17" t="n">
        <v>98</v>
      </c>
      <c r="B100" s="18" t="n"/>
      <c r="C100" s="17" t="n"/>
      <c r="D100" s="17" t="n"/>
      <c r="E100" s="17" t="n"/>
      <c r="F100" s="26" t="n"/>
      <c r="G100" s="26" t="n"/>
      <c r="H100" s="26" t="n"/>
      <c r="I100" s="26" t="n"/>
      <c r="J100" s="26" t="n"/>
      <c r="K100" s="26" t="n"/>
      <c r="L100" s="26" t="n"/>
      <c r="M100" s="26" t="n"/>
      <c r="N100" s="26" t="n"/>
      <c r="O100" s="26" t="n"/>
      <c r="P100" s="26" t="n"/>
      <c r="Q100" s="26" t="n"/>
      <c r="R100" s="26" t="n"/>
      <c r="S100" s="26" t="n"/>
      <c r="T100" s="26" t="n"/>
      <c r="U100" s="26" t="n"/>
      <c r="V100" s="26" t="n"/>
      <c r="W100" s="26" t="n"/>
      <c r="X100" s="26" t="n"/>
      <c r="Y100" s="26" t="n"/>
      <c r="Z100" s="26">
        <f>IF(B100="","",IF(COUNTIF(F100:G100,"Fail")&gt;0,1,0))</f>
        <v/>
      </c>
      <c r="AA100" s="26">
        <f>IF(B100="","",IF(COUNTIF(H100:S100,"Fail")&gt;0,1,0))</f>
        <v/>
      </c>
      <c r="AB100" s="26">
        <f>IF(B100="","",IF(COUNTIF(T100:Y100,"Fail")&gt;0,1,0))</f>
        <v/>
      </c>
      <c r="AC100" s="27">
        <f>IF(B100="","",0.1*Z100+0.8*AA100+0.1*AB100)</f>
        <v/>
      </c>
      <c r="AD100" s="27">
        <f>IF(B100="","",IF(C100="Batch 1",0.3,0.2))</f>
        <v/>
      </c>
      <c r="AE100" s="19">
        <f>IF(B100="","",IF(AC100&lt;=AD100,"Đạt","Không đạt"))</f>
        <v/>
      </c>
      <c r="AF100" s="28" t="n"/>
    </row>
    <row r="101" ht="30" customHeight="1" s="36">
      <c r="A101" s="17" t="n">
        <v>99</v>
      </c>
      <c r="B101" s="18" t="n"/>
      <c r="C101" s="17" t="n"/>
      <c r="D101" s="17" t="n"/>
      <c r="E101" s="17" t="n"/>
      <c r="F101" s="26" t="n"/>
      <c r="G101" s="26" t="n"/>
      <c r="H101" s="26" t="n"/>
      <c r="I101" s="26" t="n"/>
      <c r="J101" s="26" t="n"/>
      <c r="K101" s="26" t="n"/>
      <c r="L101" s="26" t="n"/>
      <c r="M101" s="26" t="n"/>
      <c r="N101" s="26" t="n"/>
      <c r="O101" s="26" t="n"/>
      <c r="P101" s="26" t="n"/>
      <c r="Q101" s="26" t="n"/>
      <c r="R101" s="26" t="n"/>
      <c r="S101" s="26" t="n"/>
      <c r="T101" s="26" t="n"/>
      <c r="U101" s="26" t="n"/>
      <c r="V101" s="26" t="n"/>
      <c r="W101" s="26" t="n"/>
      <c r="X101" s="26" t="n"/>
      <c r="Y101" s="26" t="n"/>
      <c r="Z101" s="26">
        <f>IF(B101="","",IF(COUNTIF(F101:G101,"Fail")&gt;0,1,0))</f>
        <v/>
      </c>
      <c r="AA101" s="26">
        <f>IF(B101="","",IF(COUNTIF(H101:S101,"Fail")&gt;0,1,0))</f>
        <v/>
      </c>
      <c r="AB101" s="26">
        <f>IF(B101="","",IF(COUNTIF(T101:Y101,"Fail")&gt;0,1,0))</f>
        <v/>
      </c>
      <c r="AC101" s="27">
        <f>IF(B101="","",0.1*Z101+0.8*AA101+0.1*AB101)</f>
        <v/>
      </c>
      <c r="AD101" s="27">
        <f>IF(B101="","",IF(C101="Batch 1",0.3,0.2))</f>
        <v/>
      </c>
      <c r="AE101" s="19">
        <f>IF(B101="","",IF(AC101&lt;=AD101,"Đạt","Không đạt"))</f>
        <v/>
      </c>
      <c r="AF101" s="28" t="n"/>
    </row>
    <row r="102" ht="30" customHeight="1" s="36">
      <c r="A102" s="17" t="n">
        <v>100</v>
      </c>
      <c r="B102" s="18" t="n"/>
      <c r="C102" s="17" t="n"/>
      <c r="D102" s="17" t="n"/>
      <c r="E102" s="17" t="n"/>
      <c r="F102" s="26" t="n"/>
      <c r="G102" s="26" t="n"/>
      <c r="H102" s="26" t="n"/>
      <c r="I102" s="26" t="n"/>
      <c r="J102" s="26" t="n"/>
      <c r="K102" s="26" t="n"/>
      <c r="L102" s="26" t="n"/>
      <c r="M102" s="26" t="n"/>
      <c r="N102" s="26" t="n"/>
      <c r="O102" s="26" t="n"/>
      <c r="P102" s="26" t="n"/>
      <c r="Q102" s="26" t="n"/>
      <c r="R102" s="26" t="n"/>
      <c r="S102" s="26" t="n"/>
      <c r="T102" s="26" t="n"/>
      <c r="U102" s="26" t="n"/>
      <c r="V102" s="26" t="n"/>
      <c r="W102" s="26" t="n"/>
      <c r="X102" s="26" t="n"/>
      <c r="Y102" s="26" t="n"/>
      <c r="Z102" s="26">
        <f>IF(B102="","",IF(COUNTIF(F102:G102,"Fail")&gt;0,1,0))</f>
        <v/>
      </c>
      <c r="AA102" s="26">
        <f>IF(B102="","",IF(COUNTIF(H102:S102,"Fail")&gt;0,1,0))</f>
        <v/>
      </c>
      <c r="AB102" s="26">
        <f>IF(B102="","",IF(COUNTIF(T102:Y102,"Fail")&gt;0,1,0))</f>
        <v/>
      </c>
      <c r="AC102" s="27">
        <f>IF(B102="","",0.1*Z102+0.8*AA102+0.1*AB102)</f>
        <v/>
      </c>
      <c r="AD102" s="27">
        <f>IF(B102="","",IF(C102="Batch 1",0.3,0.2))</f>
        <v/>
      </c>
      <c r="AE102" s="19">
        <f>IF(B102="","",IF(AC102&lt;=AD102,"Đạt","Không đạt"))</f>
        <v/>
      </c>
      <c r="AF102" s="28" t="n"/>
    </row>
    <row r="103" ht="30" customHeight="1" s="36">
      <c r="A103" s="17" t="n">
        <v>101</v>
      </c>
      <c r="B103" s="18" t="n"/>
      <c r="C103" s="17" t="n"/>
      <c r="D103" s="17" t="n"/>
      <c r="E103" s="17" t="n"/>
      <c r="F103" s="26" t="n"/>
      <c r="G103" s="26" t="n"/>
      <c r="H103" s="26" t="n"/>
      <c r="I103" s="26" t="n"/>
      <c r="J103" s="26" t="n"/>
      <c r="K103" s="26" t="n"/>
      <c r="L103" s="26" t="n"/>
      <c r="M103" s="26" t="n"/>
      <c r="N103" s="26" t="n"/>
      <c r="O103" s="26" t="n"/>
      <c r="P103" s="26" t="n"/>
      <c r="Q103" s="26" t="n"/>
      <c r="R103" s="26" t="n"/>
      <c r="S103" s="26" t="n"/>
      <c r="T103" s="26" t="n"/>
      <c r="U103" s="26" t="n"/>
      <c r="V103" s="26" t="n"/>
      <c r="W103" s="26" t="n"/>
      <c r="X103" s="26" t="n"/>
      <c r="Y103" s="26" t="n"/>
      <c r="Z103" s="26">
        <f>IF(B103="","",IF(COUNTIF(F103:G103,"Fail")&gt;0,1,0))</f>
        <v/>
      </c>
      <c r="AA103" s="26">
        <f>IF(B103="","",IF(COUNTIF(H103:S103,"Fail")&gt;0,1,0))</f>
        <v/>
      </c>
      <c r="AB103" s="26">
        <f>IF(B103="","",IF(COUNTIF(T103:Y103,"Fail")&gt;0,1,0))</f>
        <v/>
      </c>
      <c r="AC103" s="27">
        <f>IF(B103="","",0.1*Z103+0.8*AA103+0.1*AB103)</f>
        <v/>
      </c>
      <c r="AD103" s="27">
        <f>IF(B103="","",IF(C103="Batch 1",0.3,0.2))</f>
        <v/>
      </c>
      <c r="AE103" s="19">
        <f>IF(B103="","",IF(AC103&lt;=AD103,"Đạt","Không đạt"))</f>
        <v/>
      </c>
      <c r="AF103" s="28" t="n"/>
    </row>
    <row r="104" ht="30" customHeight="1" s="36">
      <c r="A104" s="17" t="n">
        <v>102</v>
      </c>
      <c r="B104" s="18" t="n"/>
      <c r="C104" s="17" t="n"/>
      <c r="D104" s="17" t="n"/>
      <c r="E104" s="17" t="n"/>
      <c r="F104" s="26" t="n"/>
      <c r="G104" s="26" t="n"/>
      <c r="H104" s="26" t="n"/>
      <c r="I104" s="26" t="n"/>
      <c r="J104" s="26" t="n"/>
      <c r="K104" s="26" t="n"/>
      <c r="L104" s="26" t="n"/>
      <c r="M104" s="26" t="n"/>
      <c r="N104" s="26" t="n"/>
      <c r="O104" s="26" t="n"/>
      <c r="P104" s="26" t="n"/>
      <c r="Q104" s="26" t="n"/>
      <c r="R104" s="26" t="n"/>
      <c r="S104" s="26" t="n"/>
      <c r="T104" s="26" t="n"/>
      <c r="U104" s="26" t="n"/>
      <c r="V104" s="26" t="n"/>
      <c r="W104" s="26" t="n"/>
      <c r="X104" s="26" t="n"/>
      <c r="Y104" s="26" t="n"/>
      <c r="Z104" s="26">
        <f>IF(B104="","",IF(COUNTIF(F104:G104,"Fail")&gt;0,1,0))</f>
        <v/>
      </c>
      <c r="AA104" s="26">
        <f>IF(B104="","",IF(COUNTIF(H104:S104,"Fail")&gt;0,1,0))</f>
        <v/>
      </c>
      <c r="AB104" s="26">
        <f>IF(B104="","",IF(COUNTIF(T104:Y104,"Fail")&gt;0,1,0))</f>
        <v/>
      </c>
      <c r="AC104" s="27">
        <f>IF(B104="","",0.1*Z104+0.8*AA104+0.1*AB104)</f>
        <v/>
      </c>
      <c r="AD104" s="27">
        <f>IF(B104="","",IF(C104="Batch 1",0.3,0.2))</f>
        <v/>
      </c>
      <c r="AE104" s="19">
        <f>IF(B104="","",IF(AC104&lt;=AD104,"Đạt","Không đạt"))</f>
        <v/>
      </c>
      <c r="AF104" s="28" t="n"/>
    </row>
    <row r="105" ht="30" customHeight="1" s="36">
      <c r="A105" s="17" t="n">
        <v>103</v>
      </c>
      <c r="B105" s="18" t="n"/>
      <c r="C105" s="17" t="n"/>
      <c r="D105" s="17" t="n"/>
      <c r="E105" s="17" t="n"/>
      <c r="F105" s="26" t="n"/>
      <c r="G105" s="26" t="n"/>
      <c r="H105" s="26" t="n"/>
      <c r="I105" s="26" t="n"/>
      <c r="J105" s="26" t="n"/>
      <c r="K105" s="26" t="n"/>
      <c r="L105" s="26" t="n"/>
      <c r="M105" s="26" t="n"/>
      <c r="N105" s="26" t="n"/>
      <c r="O105" s="26" t="n"/>
      <c r="P105" s="26" t="n"/>
      <c r="Q105" s="26" t="n"/>
      <c r="R105" s="26" t="n"/>
      <c r="S105" s="26" t="n"/>
      <c r="T105" s="26" t="n"/>
      <c r="U105" s="26" t="n"/>
      <c r="V105" s="26" t="n"/>
      <c r="W105" s="26" t="n"/>
      <c r="X105" s="26" t="n"/>
      <c r="Y105" s="26" t="n"/>
      <c r="Z105" s="26">
        <f>IF(B105="","",IF(COUNTIF(F105:G105,"Fail")&gt;0,1,0))</f>
        <v/>
      </c>
      <c r="AA105" s="26">
        <f>IF(B105="","",IF(COUNTIF(H105:S105,"Fail")&gt;0,1,0))</f>
        <v/>
      </c>
      <c r="AB105" s="26">
        <f>IF(B105="","",IF(COUNTIF(T105:Y105,"Fail")&gt;0,1,0))</f>
        <v/>
      </c>
      <c r="AC105" s="27">
        <f>IF(B105="","",0.1*Z105+0.8*AA105+0.1*AB105)</f>
        <v/>
      </c>
      <c r="AD105" s="27">
        <f>IF(B105="","",IF(C105="Batch 1",0.3,0.2))</f>
        <v/>
      </c>
      <c r="AE105" s="19">
        <f>IF(B105="","",IF(AC105&lt;=AD105,"Đạt","Không đạt"))</f>
        <v/>
      </c>
      <c r="AF105" s="28" t="n"/>
    </row>
    <row r="106" ht="30" customHeight="1" s="36">
      <c r="A106" s="17" t="n">
        <v>104</v>
      </c>
      <c r="B106" s="18" t="n"/>
      <c r="C106" s="17" t="n"/>
      <c r="D106" s="17" t="n"/>
      <c r="E106" s="17" t="n"/>
      <c r="F106" s="26" t="n"/>
      <c r="G106" s="26" t="n"/>
      <c r="H106" s="26" t="n"/>
      <c r="I106" s="26" t="n"/>
      <c r="J106" s="26" t="n"/>
      <c r="K106" s="26" t="n"/>
      <c r="L106" s="26" t="n"/>
      <c r="M106" s="26" t="n"/>
      <c r="N106" s="26" t="n"/>
      <c r="O106" s="26" t="n"/>
      <c r="P106" s="26" t="n"/>
      <c r="Q106" s="26" t="n"/>
      <c r="R106" s="26" t="n"/>
      <c r="S106" s="26" t="n"/>
      <c r="T106" s="26" t="n"/>
      <c r="U106" s="26" t="n"/>
      <c r="V106" s="26" t="n"/>
      <c r="W106" s="26" t="n"/>
      <c r="X106" s="26" t="n"/>
      <c r="Y106" s="26" t="n"/>
      <c r="Z106" s="26">
        <f>IF(B106="","",IF(COUNTIF(F106:G106,"Fail")&gt;0,1,0))</f>
        <v/>
      </c>
      <c r="AA106" s="26">
        <f>IF(B106="","",IF(COUNTIF(H106:S106,"Fail")&gt;0,1,0))</f>
        <v/>
      </c>
      <c r="AB106" s="26">
        <f>IF(B106="","",IF(COUNTIF(T106:Y106,"Fail")&gt;0,1,0))</f>
        <v/>
      </c>
      <c r="AC106" s="27">
        <f>IF(B106="","",0.1*Z106+0.8*AA106+0.1*AB106)</f>
        <v/>
      </c>
      <c r="AD106" s="27">
        <f>IF(B106="","",IF(C106="Batch 1",0.3,0.2))</f>
        <v/>
      </c>
      <c r="AE106" s="19">
        <f>IF(B106="","",IF(AC106&lt;=AD106,"Đạt","Không đạt"))</f>
        <v/>
      </c>
      <c r="AF106" s="28" t="n"/>
    </row>
    <row r="107" ht="30" customHeight="1" s="36">
      <c r="A107" s="17" t="n">
        <v>105</v>
      </c>
      <c r="B107" s="18" t="n"/>
      <c r="C107" s="17" t="n"/>
      <c r="D107" s="17" t="n"/>
      <c r="E107" s="17" t="n"/>
      <c r="F107" s="26" t="n"/>
      <c r="G107" s="26" t="n"/>
      <c r="H107" s="26" t="n"/>
      <c r="I107" s="26" t="n"/>
      <c r="J107" s="26" t="n"/>
      <c r="K107" s="26" t="n"/>
      <c r="L107" s="26" t="n"/>
      <c r="M107" s="26" t="n"/>
      <c r="N107" s="26" t="n"/>
      <c r="O107" s="26" t="n"/>
      <c r="P107" s="26" t="n"/>
      <c r="Q107" s="26" t="n"/>
      <c r="R107" s="26" t="n"/>
      <c r="S107" s="26" t="n"/>
      <c r="T107" s="26" t="n"/>
      <c r="U107" s="26" t="n"/>
      <c r="V107" s="26" t="n"/>
      <c r="W107" s="26" t="n"/>
      <c r="X107" s="26" t="n"/>
      <c r="Y107" s="26" t="n"/>
      <c r="Z107" s="26">
        <f>IF(B107="","",IF(COUNTIF(F107:G107,"Fail")&gt;0,1,0))</f>
        <v/>
      </c>
      <c r="AA107" s="26">
        <f>IF(B107="","",IF(COUNTIF(H107:S107,"Fail")&gt;0,1,0))</f>
        <v/>
      </c>
      <c r="AB107" s="26">
        <f>IF(B107="","",IF(COUNTIF(T107:Y107,"Fail")&gt;0,1,0))</f>
        <v/>
      </c>
      <c r="AC107" s="27">
        <f>IF(B107="","",0.1*Z107+0.8*AA107+0.1*AB107)</f>
        <v/>
      </c>
      <c r="AD107" s="27">
        <f>IF(B107="","",IF(C107="Batch 1",0.3,0.2))</f>
        <v/>
      </c>
      <c r="AE107" s="19">
        <f>IF(B107="","",IF(AC107&lt;=AD107,"Đạt","Không đạt"))</f>
        <v/>
      </c>
      <c r="AF107" s="28" t="n"/>
    </row>
    <row r="108" ht="30" customHeight="1" s="36">
      <c r="A108" s="17" t="n">
        <v>106</v>
      </c>
      <c r="B108" s="18" t="n"/>
      <c r="C108" s="17" t="n"/>
      <c r="D108" s="17" t="n"/>
      <c r="E108" s="17" t="n"/>
      <c r="F108" s="26" t="n"/>
      <c r="G108" s="26" t="n"/>
      <c r="H108" s="26" t="n"/>
      <c r="I108" s="26" t="n"/>
      <c r="J108" s="26" t="n"/>
      <c r="K108" s="26" t="n"/>
      <c r="L108" s="26" t="n"/>
      <c r="M108" s="26" t="n"/>
      <c r="N108" s="26" t="n"/>
      <c r="O108" s="26" t="n"/>
      <c r="P108" s="26" t="n"/>
      <c r="Q108" s="26" t="n"/>
      <c r="R108" s="26" t="n"/>
      <c r="S108" s="26" t="n"/>
      <c r="T108" s="26" t="n"/>
      <c r="U108" s="26" t="n"/>
      <c r="V108" s="26" t="n"/>
      <c r="W108" s="26" t="n"/>
      <c r="X108" s="26" t="n"/>
      <c r="Y108" s="26" t="n"/>
      <c r="Z108" s="26">
        <f>IF(B108="","",IF(COUNTIF(F108:G108,"Fail")&gt;0,1,0))</f>
        <v/>
      </c>
      <c r="AA108" s="26">
        <f>IF(B108="","",IF(COUNTIF(H108:S108,"Fail")&gt;0,1,0))</f>
        <v/>
      </c>
      <c r="AB108" s="26">
        <f>IF(B108="","",IF(COUNTIF(T108:Y108,"Fail")&gt;0,1,0))</f>
        <v/>
      </c>
      <c r="AC108" s="27">
        <f>IF(B108="","",0.1*Z108+0.8*AA108+0.1*AB108)</f>
        <v/>
      </c>
      <c r="AD108" s="27">
        <f>IF(B108="","",IF(C108="Batch 1",0.3,0.2))</f>
        <v/>
      </c>
      <c r="AE108" s="19">
        <f>IF(B108="","",IF(AC108&lt;=AD108,"Đạt","Không đạt"))</f>
        <v/>
      </c>
      <c r="AF108" s="28" t="n"/>
    </row>
    <row r="109" ht="30" customHeight="1" s="36">
      <c r="A109" s="17" t="n">
        <v>107</v>
      </c>
      <c r="B109" s="18" t="n"/>
      <c r="C109" s="17" t="n"/>
      <c r="D109" s="17" t="n"/>
      <c r="E109" s="17" t="n"/>
      <c r="F109" s="26" t="n"/>
      <c r="G109" s="26" t="n"/>
      <c r="H109" s="26" t="n"/>
      <c r="I109" s="26" t="n"/>
      <c r="J109" s="26" t="n"/>
      <c r="K109" s="26" t="n"/>
      <c r="L109" s="26" t="n"/>
      <c r="M109" s="26" t="n"/>
      <c r="N109" s="26" t="n"/>
      <c r="O109" s="26" t="n"/>
      <c r="P109" s="26" t="n"/>
      <c r="Q109" s="26" t="n"/>
      <c r="R109" s="26" t="n"/>
      <c r="S109" s="26" t="n"/>
      <c r="T109" s="26" t="n"/>
      <c r="U109" s="26" t="n"/>
      <c r="V109" s="26" t="n"/>
      <c r="W109" s="26" t="n"/>
      <c r="X109" s="26" t="n"/>
      <c r="Y109" s="26" t="n"/>
      <c r="Z109" s="26">
        <f>IF(B109="","",IF(COUNTIF(F109:G109,"Fail")&gt;0,1,0))</f>
        <v/>
      </c>
      <c r="AA109" s="26">
        <f>IF(B109="","",IF(COUNTIF(H109:S109,"Fail")&gt;0,1,0))</f>
        <v/>
      </c>
      <c r="AB109" s="26">
        <f>IF(B109="","",IF(COUNTIF(T109:Y109,"Fail")&gt;0,1,0))</f>
        <v/>
      </c>
      <c r="AC109" s="27">
        <f>IF(B109="","",0.1*Z109+0.8*AA109+0.1*AB109)</f>
        <v/>
      </c>
      <c r="AD109" s="27">
        <f>IF(B109="","",IF(C109="Batch 1",0.3,0.2))</f>
        <v/>
      </c>
      <c r="AE109" s="19">
        <f>IF(B109="","",IF(AC109&lt;=AD109,"Đạt","Không đạt"))</f>
        <v/>
      </c>
      <c r="AF109" s="28" t="n"/>
    </row>
    <row r="110" ht="30" customHeight="1" s="36">
      <c r="A110" s="17" t="n">
        <v>108</v>
      </c>
      <c r="B110" s="18" t="n"/>
      <c r="C110" s="17" t="n"/>
      <c r="D110" s="17" t="n"/>
      <c r="E110" s="17" t="n"/>
      <c r="F110" s="26" t="n"/>
      <c r="G110" s="26" t="n"/>
      <c r="H110" s="26" t="n"/>
      <c r="I110" s="26" t="n"/>
      <c r="J110" s="26" t="n"/>
      <c r="K110" s="26" t="n"/>
      <c r="L110" s="26" t="n"/>
      <c r="M110" s="26" t="n"/>
      <c r="N110" s="26" t="n"/>
      <c r="O110" s="26" t="n"/>
      <c r="P110" s="26" t="n"/>
      <c r="Q110" s="26" t="n"/>
      <c r="R110" s="26" t="n"/>
      <c r="S110" s="26" t="n"/>
      <c r="T110" s="26" t="n"/>
      <c r="U110" s="26" t="n"/>
      <c r="V110" s="26" t="n"/>
      <c r="W110" s="26" t="n"/>
      <c r="X110" s="26" t="n"/>
      <c r="Y110" s="26" t="n"/>
      <c r="Z110" s="26">
        <f>IF(B110="","",IF(COUNTIF(F110:G110,"Fail")&gt;0,1,0))</f>
        <v/>
      </c>
      <c r="AA110" s="26">
        <f>IF(B110="","",IF(COUNTIF(H110:S110,"Fail")&gt;0,1,0))</f>
        <v/>
      </c>
      <c r="AB110" s="26">
        <f>IF(B110="","",IF(COUNTIF(T110:Y110,"Fail")&gt;0,1,0))</f>
        <v/>
      </c>
      <c r="AC110" s="27">
        <f>IF(B110="","",0.1*Z110+0.8*AA110+0.1*AB110)</f>
        <v/>
      </c>
      <c r="AD110" s="27">
        <f>IF(B110="","",IF(C110="Batch 1",0.3,0.2))</f>
        <v/>
      </c>
      <c r="AE110" s="19">
        <f>IF(B110="","",IF(AC110&lt;=AD110,"Đạt","Không đạt"))</f>
        <v/>
      </c>
      <c r="AF110" s="28" t="n"/>
    </row>
    <row r="111" ht="30" customHeight="1" s="36">
      <c r="A111" s="17" t="n">
        <v>109</v>
      </c>
      <c r="B111" s="18" t="n"/>
      <c r="C111" s="17" t="n"/>
      <c r="D111" s="17" t="n"/>
      <c r="E111" s="17" t="n"/>
      <c r="F111" s="26" t="n"/>
      <c r="G111" s="26" t="n"/>
      <c r="H111" s="26" t="n"/>
      <c r="I111" s="26" t="n"/>
      <c r="J111" s="26" t="n"/>
      <c r="K111" s="26" t="n"/>
      <c r="L111" s="26" t="n"/>
      <c r="M111" s="26" t="n"/>
      <c r="N111" s="26" t="n"/>
      <c r="O111" s="26" t="n"/>
      <c r="P111" s="26" t="n"/>
      <c r="Q111" s="26" t="n"/>
      <c r="R111" s="26" t="n"/>
      <c r="S111" s="26" t="n"/>
      <c r="T111" s="26" t="n"/>
      <c r="U111" s="26" t="n"/>
      <c r="V111" s="26" t="n"/>
      <c r="W111" s="26" t="n"/>
      <c r="X111" s="26" t="n"/>
      <c r="Y111" s="26" t="n"/>
      <c r="Z111" s="26">
        <f>IF(B111="","",IF(COUNTIF(F111:G111,"Fail")&gt;0,1,0))</f>
        <v/>
      </c>
      <c r="AA111" s="26">
        <f>IF(B111="","",IF(COUNTIF(H111:S111,"Fail")&gt;0,1,0))</f>
        <v/>
      </c>
      <c r="AB111" s="26">
        <f>IF(B111="","",IF(COUNTIF(T111:Y111,"Fail")&gt;0,1,0))</f>
        <v/>
      </c>
      <c r="AC111" s="27">
        <f>IF(B111="","",0.1*Z111+0.8*AA111+0.1*AB111)</f>
        <v/>
      </c>
      <c r="AD111" s="27">
        <f>IF(B111="","",IF(C111="Batch 1",0.3,0.2))</f>
        <v/>
      </c>
      <c r="AE111" s="19">
        <f>IF(B111="","",IF(AC111&lt;=AD111,"Đạt","Không đạt"))</f>
        <v/>
      </c>
      <c r="AF111" s="28" t="n"/>
    </row>
    <row r="112" ht="30" customHeight="1" s="36">
      <c r="A112" s="17" t="n">
        <v>110</v>
      </c>
      <c r="B112" s="18" t="n"/>
      <c r="C112" s="17" t="n"/>
      <c r="D112" s="17" t="n"/>
      <c r="E112" s="17" t="n"/>
      <c r="F112" s="26" t="n"/>
      <c r="G112" s="26" t="n"/>
      <c r="H112" s="26" t="n"/>
      <c r="I112" s="26" t="n"/>
      <c r="J112" s="26" t="n"/>
      <c r="K112" s="26" t="n"/>
      <c r="L112" s="26" t="n"/>
      <c r="M112" s="26" t="n"/>
      <c r="N112" s="26" t="n"/>
      <c r="O112" s="26" t="n"/>
      <c r="P112" s="26" t="n"/>
      <c r="Q112" s="26" t="n"/>
      <c r="R112" s="26" t="n"/>
      <c r="S112" s="26" t="n"/>
      <c r="T112" s="26" t="n"/>
      <c r="U112" s="26" t="n"/>
      <c r="V112" s="26" t="n"/>
      <c r="W112" s="26" t="n"/>
      <c r="X112" s="26" t="n"/>
      <c r="Y112" s="26" t="n"/>
      <c r="Z112" s="26">
        <f>IF(B112="","",IF(COUNTIF(F112:G112,"Fail")&gt;0,1,0))</f>
        <v/>
      </c>
      <c r="AA112" s="26">
        <f>IF(B112="","",IF(COUNTIF(H112:S112,"Fail")&gt;0,1,0))</f>
        <v/>
      </c>
      <c r="AB112" s="26">
        <f>IF(B112="","",IF(COUNTIF(T112:Y112,"Fail")&gt;0,1,0))</f>
        <v/>
      </c>
      <c r="AC112" s="27">
        <f>IF(B112="","",0.1*Z112+0.8*AA112+0.1*AB112)</f>
        <v/>
      </c>
      <c r="AD112" s="27">
        <f>IF(B112="","",IF(C112="Batch 1",0.3,0.2))</f>
        <v/>
      </c>
      <c r="AE112" s="19">
        <f>IF(B112="","",IF(AC112&lt;=AD112,"Đạt","Không đạt"))</f>
        <v/>
      </c>
      <c r="AF112" s="28" t="n"/>
    </row>
    <row r="113" ht="30" customHeight="1" s="36">
      <c r="A113" s="17" t="n">
        <v>111</v>
      </c>
      <c r="B113" s="18" t="n"/>
      <c r="C113" s="17" t="n"/>
      <c r="D113" s="17" t="n"/>
      <c r="E113" s="17" t="n"/>
      <c r="F113" s="26" t="n"/>
      <c r="G113" s="26" t="n"/>
      <c r="H113" s="26" t="n"/>
      <c r="I113" s="26" t="n"/>
      <c r="J113" s="26" t="n"/>
      <c r="K113" s="26" t="n"/>
      <c r="L113" s="26" t="n"/>
      <c r="M113" s="26" t="n"/>
      <c r="N113" s="26" t="n"/>
      <c r="O113" s="26" t="n"/>
      <c r="P113" s="26" t="n"/>
      <c r="Q113" s="26" t="n"/>
      <c r="R113" s="26" t="n"/>
      <c r="S113" s="26" t="n"/>
      <c r="T113" s="26" t="n"/>
      <c r="U113" s="26" t="n"/>
      <c r="V113" s="26" t="n"/>
      <c r="W113" s="26" t="n"/>
      <c r="X113" s="26" t="n"/>
      <c r="Y113" s="26" t="n"/>
      <c r="Z113" s="26">
        <f>IF(B113="","",IF(COUNTIF(F113:G113,"Fail")&gt;0,1,0))</f>
        <v/>
      </c>
      <c r="AA113" s="26">
        <f>IF(B113="","",IF(COUNTIF(H113:S113,"Fail")&gt;0,1,0))</f>
        <v/>
      </c>
      <c r="AB113" s="26">
        <f>IF(B113="","",IF(COUNTIF(T113:Y113,"Fail")&gt;0,1,0))</f>
        <v/>
      </c>
      <c r="AC113" s="27">
        <f>IF(B113="","",0.1*Z113+0.8*AA113+0.1*AB113)</f>
        <v/>
      </c>
      <c r="AD113" s="27">
        <f>IF(B113="","",IF(C113="Batch 1",0.3,0.2))</f>
        <v/>
      </c>
      <c r="AE113" s="19">
        <f>IF(B113="","",IF(AC113&lt;=AD113,"Đạt","Không đạt"))</f>
        <v/>
      </c>
      <c r="AF113" s="28" t="n"/>
    </row>
    <row r="114" ht="30" customHeight="1" s="36">
      <c r="A114" s="17" t="n">
        <v>112</v>
      </c>
      <c r="B114" s="18" t="n"/>
      <c r="C114" s="17" t="n"/>
      <c r="D114" s="17" t="n"/>
      <c r="E114" s="17" t="n"/>
      <c r="F114" s="26" t="n"/>
      <c r="G114" s="26" t="n"/>
      <c r="H114" s="26" t="n"/>
      <c r="I114" s="26" t="n"/>
      <c r="J114" s="26" t="n"/>
      <c r="K114" s="26" t="n"/>
      <c r="L114" s="26" t="n"/>
      <c r="M114" s="26" t="n"/>
      <c r="N114" s="26" t="n"/>
      <c r="O114" s="26" t="n"/>
      <c r="P114" s="26" t="n"/>
      <c r="Q114" s="26" t="n"/>
      <c r="R114" s="26" t="n"/>
      <c r="S114" s="26" t="n"/>
      <c r="T114" s="26" t="n"/>
      <c r="U114" s="26" t="n"/>
      <c r="V114" s="26" t="n"/>
      <c r="W114" s="26" t="n"/>
      <c r="X114" s="26" t="n"/>
      <c r="Y114" s="26" t="n"/>
      <c r="Z114" s="26">
        <f>IF(B114="","",IF(COUNTIF(F114:G114,"Fail")&gt;0,1,0))</f>
        <v/>
      </c>
      <c r="AA114" s="26">
        <f>IF(B114="","",IF(COUNTIF(H114:S114,"Fail")&gt;0,1,0))</f>
        <v/>
      </c>
      <c r="AB114" s="26">
        <f>IF(B114="","",IF(COUNTIF(T114:Y114,"Fail")&gt;0,1,0))</f>
        <v/>
      </c>
      <c r="AC114" s="27">
        <f>IF(B114="","",0.1*Z114+0.8*AA114+0.1*AB114)</f>
        <v/>
      </c>
      <c r="AD114" s="27">
        <f>IF(B114="","",IF(C114="Batch 1",0.3,0.2))</f>
        <v/>
      </c>
      <c r="AE114" s="19">
        <f>IF(B114="","",IF(AC114&lt;=AD114,"Đạt","Không đạt"))</f>
        <v/>
      </c>
      <c r="AF114" s="28" t="n"/>
    </row>
    <row r="115" ht="30" customHeight="1" s="36">
      <c r="A115" s="17" t="n">
        <v>113</v>
      </c>
      <c r="B115" s="18" t="n"/>
      <c r="C115" s="17" t="n"/>
      <c r="D115" s="17" t="n"/>
      <c r="E115" s="17" t="n"/>
      <c r="F115" s="26" t="n"/>
      <c r="G115" s="26" t="n"/>
      <c r="H115" s="26" t="n"/>
      <c r="I115" s="26" t="n"/>
      <c r="J115" s="26" t="n"/>
      <c r="K115" s="26" t="n"/>
      <c r="L115" s="26" t="n"/>
      <c r="M115" s="26" t="n"/>
      <c r="N115" s="26" t="n"/>
      <c r="O115" s="26" t="n"/>
      <c r="P115" s="26" t="n"/>
      <c r="Q115" s="26" t="n"/>
      <c r="R115" s="26" t="n"/>
      <c r="S115" s="26" t="n"/>
      <c r="T115" s="26" t="n"/>
      <c r="U115" s="26" t="n"/>
      <c r="V115" s="26" t="n"/>
      <c r="W115" s="26" t="n"/>
      <c r="X115" s="26" t="n"/>
      <c r="Y115" s="26" t="n"/>
      <c r="Z115" s="26">
        <f>IF(B115="","",IF(COUNTIF(F115:G115,"Fail")&gt;0,1,0))</f>
        <v/>
      </c>
      <c r="AA115" s="26">
        <f>IF(B115="","",IF(COUNTIF(H115:S115,"Fail")&gt;0,1,0))</f>
        <v/>
      </c>
      <c r="AB115" s="26">
        <f>IF(B115="","",IF(COUNTIF(T115:Y115,"Fail")&gt;0,1,0))</f>
        <v/>
      </c>
      <c r="AC115" s="27">
        <f>IF(B115="","",0.1*Z115+0.8*AA115+0.1*AB115)</f>
        <v/>
      </c>
      <c r="AD115" s="27">
        <f>IF(B115="","",IF(C115="Batch 1",0.3,0.2))</f>
        <v/>
      </c>
      <c r="AE115" s="19">
        <f>IF(B115="","",IF(AC115&lt;=AD115,"Đạt","Không đạt"))</f>
        <v/>
      </c>
      <c r="AF115" s="28" t="n"/>
    </row>
    <row r="116" ht="30" customHeight="1" s="36">
      <c r="A116" s="17" t="n">
        <v>114</v>
      </c>
      <c r="B116" s="18" t="n"/>
      <c r="C116" s="17" t="n"/>
      <c r="D116" s="17" t="n"/>
      <c r="E116" s="17" t="n"/>
      <c r="F116" s="26" t="n"/>
      <c r="G116" s="26" t="n"/>
      <c r="H116" s="26" t="n"/>
      <c r="I116" s="26" t="n"/>
      <c r="J116" s="26" t="n"/>
      <c r="K116" s="26" t="n"/>
      <c r="L116" s="26" t="n"/>
      <c r="M116" s="26" t="n"/>
      <c r="N116" s="26" t="n"/>
      <c r="O116" s="26" t="n"/>
      <c r="P116" s="26" t="n"/>
      <c r="Q116" s="26" t="n"/>
      <c r="R116" s="26" t="n"/>
      <c r="S116" s="26" t="n"/>
      <c r="T116" s="26" t="n"/>
      <c r="U116" s="26" t="n"/>
      <c r="V116" s="26" t="n"/>
      <c r="W116" s="26" t="n"/>
      <c r="X116" s="26" t="n"/>
      <c r="Y116" s="26" t="n"/>
      <c r="Z116" s="26">
        <f>IF(B116="","",IF(COUNTIF(F116:G116,"Fail")&gt;0,1,0))</f>
        <v/>
      </c>
      <c r="AA116" s="26">
        <f>IF(B116="","",IF(COUNTIF(H116:S116,"Fail")&gt;0,1,0))</f>
        <v/>
      </c>
      <c r="AB116" s="26">
        <f>IF(B116="","",IF(COUNTIF(T116:Y116,"Fail")&gt;0,1,0))</f>
        <v/>
      </c>
      <c r="AC116" s="27">
        <f>IF(B116="","",0.1*Z116+0.8*AA116+0.1*AB116)</f>
        <v/>
      </c>
      <c r="AD116" s="27">
        <f>IF(B116="","",IF(C116="Batch 1",0.3,0.2))</f>
        <v/>
      </c>
      <c r="AE116" s="19">
        <f>IF(B116="","",IF(AC116&lt;=AD116,"Đạt","Không đạt"))</f>
        <v/>
      </c>
      <c r="AF116" s="28" t="n"/>
    </row>
    <row r="117" ht="30" customHeight="1" s="36">
      <c r="A117" s="17" t="n">
        <v>115</v>
      </c>
      <c r="B117" s="18" t="n"/>
      <c r="C117" s="17" t="n"/>
      <c r="D117" s="17" t="n"/>
      <c r="E117" s="17" t="n"/>
      <c r="F117" s="26" t="n"/>
      <c r="G117" s="26" t="n"/>
      <c r="H117" s="26" t="n"/>
      <c r="I117" s="26" t="n"/>
      <c r="J117" s="26" t="n"/>
      <c r="K117" s="26" t="n"/>
      <c r="L117" s="26" t="n"/>
      <c r="M117" s="26" t="n"/>
      <c r="N117" s="26" t="n"/>
      <c r="O117" s="26" t="n"/>
      <c r="P117" s="26" t="n"/>
      <c r="Q117" s="26" t="n"/>
      <c r="R117" s="26" t="n"/>
      <c r="S117" s="26" t="n"/>
      <c r="T117" s="26" t="n"/>
      <c r="U117" s="26" t="n"/>
      <c r="V117" s="26" t="n"/>
      <c r="W117" s="26" t="n"/>
      <c r="X117" s="26" t="n"/>
      <c r="Y117" s="26" t="n"/>
      <c r="Z117" s="26">
        <f>IF(B117="","",IF(COUNTIF(F117:G117,"Fail")&gt;0,1,0))</f>
        <v/>
      </c>
      <c r="AA117" s="26">
        <f>IF(B117="","",IF(COUNTIF(H117:S117,"Fail")&gt;0,1,0))</f>
        <v/>
      </c>
      <c r="AB117" s="26">
        <f>IF(B117="","",IF(COUNTIF(T117:Y117,"Fail")&gt;0,1,0))</f>
        <v/>
      </c>
      <c r="AC117" s="27">
        <f>IF(B117="","",0.1*Z117+0.8*AA117+0.1*AB117)</f>
        <v/>
      </c>
      <c r="AD117" s="27">
        <f>IF(B117="","",IF(C117="Batch 1",0.3,0.2))</f>
        <v/>
      </c>
      <c r="AE117" s="19">
        <f>IF(B117="","",IF(AC117&lt;=AD117,"Đạt","Không đạt"))</f>
        <v/>
      </c>
      <c r="AF117" s="28" t="n"/>
    </row>
    <row r="118" ht="30" customHeight="1" s="36">
      <c r="A118" s="17" t="n">
        <v>116</v>
      </c>
      <c r="B118" s="18" t="n"/>
      <c r="C118" s="17" t="n"/>
      <c r="D118" s="17" t="n"/>
      <c r="E118" s="17" t="n"/>
      <c r="F118" s="26" t="n"/>
      <c r="G118" s="26" t="n"/>
      <c r="H118" s="26" t="n"/>
      <c r="I118" s="26" t="n"/>
      <c r="J118" s="26" t="n"/>
      <c r="K118" s="26" t="n"/>
      <c r="L118" s="26" t="n"/>
      <c r="M118" s="26" t="n"/>
      <c r="N118" s="26" t="n"/>
      <c r="O118" s="26" t="n"/>
      <c r="P118" s="26" t="n"/>
      <c r="Q118" s="26" t="n"/>
      <c r="R118" s="26" t="n"/>
      <c r="S118" s="26" t="n"/>
      <c r="T118" s="26" t="n"/>
      <c r="U118" s="26" t="n"/>
      <c r="V118" s="26" t="n"/>
      <c r="W118" s="26" t="n"/>
      <c r="X118" s="26" t="n"/>
      <c r="Y118" s="26" t="n"/>
      <c r="Z118" s="26">
        <f>IF(B118="","",IF(COUNTIF(F118:G118,"Fail")&gt;0,1,0))</f>
        <v/>
      </c>
      <c r="AA118" s="26">
        <f>IF(B118="","",IF(COUNTIF(H118:S118,"Fail")&gt;0,1,0))</f>
        <v/>
      </c>
      <c r="AB118" s="26">
        <f>IF(B118="","",IF(COUNTIF(T118:Y118,"Fail")&gt;0,1,0))</f>
        <v/>
      </c>
      <c r="AC118" s="27">
        <f>IF(B118="","",0.1*Z118+0.8*AA118+0.1*AB118)</f>
        <v/>
      </c>
      <c r="AD118" s="27">
        <f>IF(B118="","",IF(C118="Batch 1",0.3,0.2))</f>
        <v/>
      </c>
      <c r="AE118" s="19">
        <f>IF(B118="","",IF(AC118&lt;=AD118,"Đạt","Không đạt"))</f>
        <v/>
      </c>
      <c r="AF118" s="28" t="n"/>
    </row>
    <row r="119" ht="30" customHeight="1" s="36">
      <c r="A119" s="17" t="n">
        <v>117</v>
      </c>
      <c r="B119" s="18" t="n"/>
      <c r="C119" s="17" t="n"/>
      <c r="D119" s="17" t="n"/>
      <c r="E119" s="17" t="n"/>
      <c r="F119" s="26" t="n"/>
      <c r="G119" s="26" t="n"/>
      <c r="H119" s="26" t="n"/>
      <c r="I119" s="26" t="n"/>
      <c r="J119" s="26" t="n"/>
      <c r="K119" s="26" t="n"/>
      <c r="L119" s="26" t="n"/>
      <c r="M119" s="26" t="n"/>
      <c r="N119" s="26" t="n"/>
      <c r="O119" s="26" t="n"/>
      <c r="P119" s="26" t="n"/>
      <c r="Q119" s="26" t="n"/>
      <c r="R119" s="26" t="n"/>
      <c r="S119" s="26" t="n"/>
      <c r="T119" s="26" t="n"/>
      <c r="U119" s="26" t="n"/>
      <c r="V119" s="26" t="n"/>
      <c r="W119" s="26" t="n"/>
      <c r="X119" s="26" t="n"/>
      <c r="Y119" s="26" t="n"/>
      <c r="Z119" s="26">
        <f>IF(B119="","",IF(COUNTIF(F119:G119,"Fail")&gt;0,1,0))</f>
        <v/>
      </c>
      <c r="AA119" s="26">
        <f>IF(B119="","",IF(COUNTIF(H119:S119,"Fail")&gt;0,1,0))</f>
        <v/>
      </c>
      <c r="AB119" s="26">
        <f>IF(B119="","",IF(COUNTIF(T119:Y119,"Fail")&gt;0,1,0))</f>
        <v/>
      </c>
      <c r="AC119" s="27">
        <f>IF(B119="","",0.1*Z119+0.8*AA119+0.1*AB119)</f>
        <v/>
      </c>
      <c r="AD119" s="27">
        <f>IF(B119="","",IF(C119="Batch 1",0.3,0.2))</f>
        <v/>
      </c>
      <c r="AE119" s="19">
        <f>IF(B119="","",IF(AC119&lt;=AD119,"Đạt","Không đạt"))</f>
        <v/>
      </c>
      <c r="AF119" s="28" t="n"/>
    </row>
    <row r="120" ht="30" customHeight="1" s="36">
      <c r="A120" s="17" t="n">
        <v>118</v>
      </c>
      <c r="B120" s="18" t="n"/>
      <c r="C120" s="17" t="n"/>
      <c r="D120" s="17" t="n"/>
      <c r="E120" s="17" t="n"/>
      <c r="F120" s="26" t="n"/>
      <c r="G120" s="26" t="n"/>
      <c r="H120" s="26" t="n"/>
      <c r="I120" s="26" t="n"/>
      <c r="J120" s="26" t="n"/>
      <c r="K120" s="26" t="n"/>
      <c r="L120" s="26" t="n"/>
      <c r="M120" s="26" t="n"/>
      <c r="N120" s="26" t="n"/>
      <c r="O120" s="26" t="n"/>
      <c r="P120" s="26" t="n"/>
      <c r="Q120" s="26" t="n"/>
      <c r="R120" s="26" t="n"/>
      <c r="S120" s="26" t="n"/>
      <c r="T120" s="26" t="n"/>
      <c r="U120" s="26" t="n"/>
      <c r="V120" s="26" t="n"/>
      <c r="W120" s="26" t="n"/>
      <c r="X120" s="26" t="n"/>
      <c r="Y120" s="26" t="n"/>
      <c r="Z120" s="26">
        <f>IF(B120="","",IF(COUNTIF(F120:G120,"Fail")&gt;0,1,0))</f>
        <v/>
      </c>
      <c r="AA120" s="26">
        <f>IF(B120="","",IF(COUNTIF(H120:S120,"Fail")&gt;0,1,0))</f>
        <v/>
      </c>
      <c r="AB120" s="26">
        <f>IF(B120="","",IF(COUNTIF(T120:Y120,"Fail")&gt;0,1,0))</f>
        <v/>
      </c>
      <c r="AC120" s="27">
        <f>IF(B120="","",0.1*Z120+0.8*AA120+0.1*AB120)</f>
        <v/>
      </c>
      <c r="AD120" s="27">
        <f>IF(B120="","",IF(C120="Batch 1",0.3,0.2))</f>
        <v/>
      </c>
      <c r="AE120" s="19">
        <f>IF(B120="","",IF(AC120&lt;=AD120,"Đạt","Không đạt"))</f>
        <v/>
      </c>
      <c r="AF120" s="28" t="n"/>
    </row>
    <row r="121" ht="30" customHeight="1" s="36">
      <c r="A121" s="17" t="n">
        <v>119</v>
      </c>
      <c r="B121" s="18" t="n"/>
      <c r="C121" s="17" t="n"/>
      <c r="D121" s="17" t="n"/>
      <c r="E121" s="17" t="n"/>
      <c r="F121" s="26" t="n"/>
      <c r="G121" s="26" t="n"/>
      <c r="H121" s="26" t="n"/>
      <c r="I121" s="26" t="n"/>
      <c r="J121" s="26" t="n"/>
      <c r="K121" s="26" t="n"/>
      <c r="L121" s="26" t="n"/>
      <c r="M121" s="26" t="n"/>
      <c r="N121" s="26" t="n"/>
      <c r="O121" s="26" t="n"/>
      <c r="P121" s="26" t="n"/>
      <c r="Q121" s="26" t="n"/>
      <c r="R121" s="26" t="n"/>
      <c r="S121" s="26" t="n"/>
      <c r="T121" s="26" t="n"/>
      <c r="U121" s="26" t="n"/>
      <c r="V121" s="26" t="n"/>
      <c r="W121" s="26" t="n"/>
      <c r="X121" s="26" t="n"/>
      <c r="Y121" s="26" t="n"/>
      <c r="Z121" s="26">
        <f>IF(B121="","",IF(COUNTIF(F121:G121,"Fail")&gt;0,1,0))</f>
        <v/>
      </c>
      <c r="AA121" s="26">
        <f>IF(B121="","",IF(COUNTIF(H121:S121,"Fail")&gt;0,1,0))</f>
        <v/>
      </c>
      <c r="AB121" s="26">
        <f>IF(B121="","",IF(COUNTIF(T121:Y121,"Fail")&gt;0,1,0))</f>
        <v/>
      </c>
      <c r="AC121" s="27">
        <f>IF(B121="","",0.1*Z121+0.8*AA121+0.1*AB121)</f>
        <v/>
      </c>
      <c r="AD121" s="27">
        <f>IF(B121="","",IF(C121="Batch 1",0.3,0.2))</f>
        <v/>
      </c>
      <c r="AE121" s="19">
        <f>IF(B121="","",IF(AC121&lt;=AD121,"Đạt","Không đạt"))</f>
        <v/>
      </c>
      <c r="AF121" s="28" t="n"/>
    </row>
    <row r="122" ht="30" customHeight="1" s="36">
      <c r="A122" s="17" t="n">
        <v>120</v>
      </c>
      <c r="B122" s="18" t="n"/>
      <c r="C122" s="17" t="n"/>
      <c r="D122" s="17" t="n"/>
      <c r="E122" s="17" t="n"/>
      <c r="F122" s="26" t="n"/>
      <c r="G122" s="26" t="n"/>
      <c r="H122" s="26" t="n"/>
      <c r="I122" s="26" t="n"/>
      <c r="J122" s="26" t="n"/>
      <c r="K122" s="26" t="n"/>
      <c r="L122" s="26" t="n"/>
      <c r="M122" s="26" t="n"/>
      <c r="N122" s="26" t="n"/>
      <c r="O122" s="26" t="n"/>
      <c r="P122" s="26" t="n"/>
      <c r="Q122" s="26" t="n"/>
      <c r="R122" s="26" t="n"/>
      <c r="S122" s="26" t="n"/>
      <c r="T122" s="26" t="n"/>
      <c r="U122" s="26" t="n"/>
      <c r="V122" s="26" t="n"/>
      <c r="W122" s="26" t="n"/>
      <c r="X122" s="26" t="n"/>
      <c r="Y122" s="26" t="n"/>
      <c r="Z122" s="26">
        <f>IF(B122="","",IF(COUNTIF(F122:G122,"Fail")&gt;0,1,0))</f>
        <v/>
      </c>
      <c r="AA122" s="26">
        <f>IF(B122="","",IF(COUNTIF(H122:S122,"Fail")&gt;0,1,0))</f>
        <v/>
      </c>
      <c r="AB122" s="26">
        <f>IF(B122="","",IF(COUNTIF(T122:Y122,"Fail")&gt;0,1,0))</f>
        <v/>
      </c>
      <c r="AC122" s="27">
        <f>IF(B122="","",0.1*Z122+0.8*AA122+0.1*AB122)</f>
        <v/>
      </c>
      <c r="AD122" s="27">
        <f>IF(B122="","",IF(C122="Batch 1",0.3,0.2))</f>
        <v/>
      </c>
      <c r="AE122" s="19">
        <f>IF(B122="","",IF(AC122&lt;=AD122,"Đạt","Không đạt"))</f>
        <v/>
      </c>
      <c r="AF122" s="28" t="n"/>
    </row>
    <row r="123" ht="30" customHeight="1" s="36">
      <c r="A123" s="17" t="n">
        <v>121</v>
      </c>
      <c r="B123" s="18" t="n"/>
      <c r="C123" s="17" t="n"/>
      <c r="D123" s="17" t="n"/>
      <c r="E123" s="17" t="n"/>
      <c r="F123" s="26" t="n"/>
      <c r="G123" s="26" t="n"/>
      <c r="H123" s="26" t="n"/>
      <c r="I123" s="26" t="n"/>
      <c r="J123" s="26" t="n"/>
      <c r="K123" s="26" t="n"/>
      <c r="L123" s="26" t="n"/>
      <c r="M123" s="26" t="n"/>
      <c r="N123" s="26" t="n"/>
      <c r="O123" s="26" t="n"/>
      <c r="P123" s="26" t="n"/>
      <c r="Q123" s="26" t="n"/>
      <c r="R123" s="26" t="n"/>
      <c r="S123" s="26" t="n"/>
      <c r="T123" s="26" t="n"/>
      <c r="U123" s="26" t="n"/>
      <c r="V123" s="26" t="n"/>
      <c r="W123" s="26" t="n"/>
      <c r="X123" s="26" t="n"/>
      <c r="Y123" s="26" t="n"/>
      <c r="Z123" s="26">
        <f>IF(B123="","",IF(COUNTIF(F123:G123,"Fail")&gt;0,1,0))</f>
        <v/>
      </c>
      <c r="AA123" s="26">
        <f>IF(B123="","",IF(COUNTIF(H123:S123,"Fail")&gt;0,1,0))</f>
        <v/>
      </c>
      <c r="AB123" s="26">
        <f>IF(B123="","",IF(COUNTIF(T123:Y123,"Fail")&gt;0,1,0))</f>
        <v/>
      </c>
      <c r="AC123" s="27">
        <f>IF(B123="","",0.1*Z123+0.8*AA123+0.1*AB123)</f>
        <v/>
      </c>
      <c r="AD123" s="27">
        <f>IF(B123="","",IF(C123="Batch 1",0.3,0.2))</f>
        <v/>
      </c>
      <c r="AE123" s="19">
        <f>IF(B123="","",IF(AC123&lt;=AD123,"Đạt","Không đạt"))</f>
        <v/>
      </c>
      <c r="AF123" s="28" t="n"/>
    </row>
    <row r="124" ht="30" customHeight="1" s="36">
      <c r="A124" s="17" t="n">
        <v>122</v>
      </c>
      <c r="B124" s="18" t="n"/>
      <c r="C124" s="17" t="n"/>
      <c r="D124" s="17" t="n"/>
      <c r="E124" s="17" t="n"/>
      <c r="F124" s="26" t="n"/>
      <c r="G124" s="26" t="n"/>
      <c r="H124" s="26" t="n"/>
      <c r="I124" s="26" t="n"/>
      <c r="J124" s="26" t="n"/>
      <c r="K124" s="26" t="n"/>
      <c r="L124" s="26" t="n"/>
      <c r="M124" s="26" t="n"/>
      <c r="N124" s="26" t="n"/>
      <c r="O124" s="26" t="n"/>
      <c r="P124" s="26" t="n"/>
      <c r="Q124" s="26" t="n"/>
      <c r="R124" s="26" t="n"/>
      <c r="S124" s="26" t="n"/>
      <c r="T124" s="26" t="n"/>
      <c r="U124" s="26" t="n"/>
      <c r="V124" s="26" t="n"/>
      <c r="W124" s="26" t="n"/>
      <c r="X124" s="26" t="n"/>
      <c r="Y124" s="26" t="n"/>
      <c r="Z124" s="26">
        <f>IF(B124="","",IF(COUNTIF(F124:G124,"Fail")&gt;0,1,0))</f>
        <v/>
      </c>
      <c r="AA124" s="26">
        <f>IF(B124="","",IF(COUNTIF(H124:S124,"Fail")&gt;0,1,0))</f>
        <v/>
      </c>
      <c r="AB124" s="26">
        <f>IF(B124="","",IF(COUNTIF(T124:Y124,"Fail")&gt;0,1,0))</f>
        <v/>
      </c>
      <c r="AC124" s="27">
        <f>IF(B124="","",0.1*Z124+0.8*AA124+0.1*AB124)</f>
        <v/>
      </c>
      <c r="AD124" s="27">
        <f>IF(B124="","",IF(C124="Batch 1",0.3,0.2))</f>
        <v/>
      </c>
      <c r="AE124" s="19">
        <f>IF(B124="","",IF(AC124&lt;=AD124,"Đạt","Không đạt"))</f>
        <v/>
      </c>
      <c r="AF124" s="28" t="n"/>
    </row>
    <row r="125" ht="30" customHeight="1" s="36">
      <c r="A125" s="17" t="n">
        <v>123</v>
      </c>
      <c r="B125" s="18" t="n"/>
      <c r="C125" s="17" t="n"/>
      <c r="D125" s="17" t="n"/>
      <c r="E125" s="17" t="n"/>
      <c r="F125" s="26" t="n"/>
      <c r="G125" s="26" t="n"/>
      <c r="H125" s="26" t="n"/>
      <c r="I125" s="26" t="n"/>
      <c r="J125" s="26" t="n"/>
      <c r="K125" s="26" t="n"/>
      <c r="L125" s="26" t="n"/>
      <c r="M125" s="26" t="n"/>
      <c r="N125" s="26" t="n"/>
      <c r="O125" s="26" t="n"/>
      <c r="P125" s="26" t="n"/>
      <c r="Q125" s="26" t="n"/>
      <c r="R125" s="26" t="n"/>
      <c r="S125" s="26" t="n"/>
      <c r="T125" s="26" t="n"/>
      <c r="U125" s="26" t="n"/>
      <c r="V125" s="26" t="n"/>
      <c r="W125" s="26" t="n"/>
      <c r="X125" s="26" t="n"/>
      <c r="Y125" s="26" t="n"/>
      <c r="Z125" s="26">
        <f>IF(B125="","",IF(COUNTIF(F125:G125,"Fail")&gt;0,1,0))</f>
        <v/>
      </c>
      <c r="AA125" s="26">
        <f>IF(B125="","",IF(COUNTIF(H125:S125,"Fail")&gt;0,1,0))</f>
        <v/>
      </c>
      <c r="AB125" s="26">
        <f>IF(B125="","",IF(COUNTIF(T125:Y125,"Fail")&gt;0,1,0))</f>
        <v/>
      </c>
      <c r="AC125" s="27">
        <f>IF(B125="","",0.1*Z125+0.8*AA125+0.1*AB125)</f>
        <v/>
      </c>
      <c r="AD125" s="27">
        <f>IF(B125="","",IF(C125="Batch 1",0.3,0.2))</f>
        <v/>
      </c>
      <c r="AE125" s="19">
        <f>IF(B125="","",IF(AC125&lt;=AD125,"Đạt","Không đạt"))</f>
        <v/>
      </c>
      <c r="AF125" s="28" t="n"/>
    </row>
    <row r="126" ht="30" customHeight="1" s="36">
      <c r="A126" s="17" t="n">
        <v>124</v>
      </c>
      <c r="B126" s="18" t="n"/>
      <c r="C126" s="17" t="n"/>
      <c r="D126" s="17" t="n"/>
      <c r="E126" s="17" t="n"/>
      <c r="F126" s="26" t="n"/>
      <c r="G126" s="26" t="n"/>
      <c r="H126" s="26" t="n"/>
      <c r="I126" s="26" t="n"/>
      <c r="J126" s="26" t="n"/>
      <c r="K126" s="26" t="n"/>
      <c r="L126" s="26" t="n"/>
      <c r="M126" s="26" t="n"/>
      <c r="N126" s="26" t="n"/>
      <c r="O126" s="26" t="n"/>
      <c r="P126" s="26" t="n"/>
      <c r="Q126" s="26" t="n"/>
      <c r="R126" s="26" t="n"/>
      <c r="S126" s="26" t="n"/>
      <c r="T126" s="26" t="n"/>
      <c r="U126" s="26" t="n"/>
      <c r="V126" s="26" t="n"/>
      <c r="W126" s="26" t="n"/>
      <c r="X126" s="26" t="n"/>
      <c r="Y126" s="26" t="n"/>
      <c r="Z126" s="26">
        <f>IF(B126="","",IF(COUNTIF(F126:G126,"Fail")&gt;0,1,0))</f>
        <v/>
      </c>
      <c r="AA126" s="26">
        <f>IF(B126="","",IF(COUNTIF(H126:S126,"Fail")&gt;0,1,0))</f>
        <v/>
      </c>
      <c r="AB126" s="26">
        <f>IF(B126="","",IF(COUNTIF(T126:Y126,"Fail")&gt;0,1,0))</f>
        <v/>
      </c>
      <c r="AC126" s="27">
        <f>IF(B126="","",0.1*Z126+0.8*AA126+0.1*AB126)</f>
        <v/>
      </c>
      <c r="AD126" s="27">
        <f>IF(B126="","",IF(C126="Batch 1",0.3,0.2))</f>
        <v/>
      </c>
      <c r="AE126" s="19">
        <f>IF(B126="","",IF(AC126&lt;=AD126,"Đạt","Không đạt"))</f>
        <v/>
      </c>
      <c r="AF126" s="28" t="n"/>
    </row>
    <row r="127" ht="30" customHeight="1" s="36">
      <c r="A127" s="17" t="n">
        <v>125</v>
      </c>
      <c r="B127" s="18" t="n"/>
      <c r="C127" s="17" t="n"/>
      <c r="D127" s="17" t="n"/>
      <c r="E127" s="17" t="n"/>
      <c r="F127" s="26" t="n"/>
      <c r="G127" s="26" t="n"/>
      <c r="H127" s="26" t="n"/>
      <c r="I127" s="26" t="n"/>
      <c r="J127" s="26" t="n"/>
      <c r="K127" s="26" t="n"/>
      <c r="L127" s="26" t="n"/>
      <c r="M127" s="26" t="n"/>
      <c r="N127" s="26" t="n"/>
      <c r="O127" s="26" t="n"/>
      <c r="P127" s="26" t="n"/>
      <c r="Q127" s="26" t="n"/>
      <c r="R127" s="26" t="n"/>
      <c r="S127" s="26" t="n"/>
      <c r="T127" s="26" t="n"/>
      <c r="U127" s="26" t="n"/>
      <c r="V127" s="26" t="n"/>
      <c r="W127" s="26" t="n"/>
      <c r="X127" s="26" t="n"/>
      <c r="Y127" s="26" t="n"/>
      <c r="Z127" s="26">
        <f>IF(B127="","",IF(COUNTIF(F127:G127,"Fail")&gt;0,1,0))</f>
        <v/>
      </c>
      <c r="AA127" s="26">
        <f>IF(B127="","",IF(COUNTIF(H127:S127,"Fail")&gt;0,1,0))</f>
        <v/>
      </c>
      <c r="AB127" s="26">
        <f>IF(B127="","",IF(COUNTIF(T127:Y127,"Fail")&gt;0,1,0))</f>
        <v/>
      </c>
      <c r="AC127" s="27">
        <f>IF(B127="","",0.1*Z127+0.8*AA127+0.1*AB127)</f>
        <v/>
      </c>
      <c r="AD127" s="27">
        <f>IF(B127="","",IF(C127="Batch 1",0.3,0.2))</f>
        <v/>
      </c>
      <c r="AE127" s="19">
        <f>IF(B127="","",IF(AC127&lt;=AD127,"Đạt","Không đạt"))</f>
        <v/>
      </c>
      <c r="AF127" s="28" t="n"/>
    </row>
    <row r="128" ht="30" customHeight="1" s="36">
      <c r="A128" s="17" t="n">
        <v>126</v>
      </c>
      <c r="B128" s="18" t="n"/>
      <c r="C128" s="17" t="n"/>
      <c r="D128" s="17" t="n"/>
      <c r="E128" s="17" t="n"/>
      <c r="F128" s="26" t="n"/>
      <c r="G128" s="26" t="n"/>
      <c r="H128" s="26" t="n"/>
      <c r="I128" s="26" t="n"/>
      <c r="J128" s="26" t="n"/>
      <c r="K128" s="26" t="n"/>
      <c r="L128" s="26" t="n"/>
      <c r="M128" s="26" t="n"/>
      <c r="N128" s="26" t="n"/>
      <c r="O128" s="26" t="n"/>
      <c r="P128" s="26" t="n"/>
      <c r="Q128" s="26" t="n"/>
      <c r="R128" s="26" t="n"/>
      <c r="S128" s="26" t="n"/>
      <c r="T128" s="26" t="n"/>
      <c r="U128" s="26" t="n"/>
      <c r="V128" s="26" t="n"/>
      <c r="W128" s="26" t="n"/>
      <c r="X128" s="26" t="n"/>
      <c r="Y128" s="26" t="n"/>
      <c r="Z128" s="26">
        <f>IF(B128="","",IF(COUNTIF(F128:G128,"Fail")&gt;0,1,0))</f>
        <v/>
      </c>
      <c r="AA128" s="26">
        <f>IF(B128="","",IF(COUNTIF(H128:S128,"Fail")&gt;0,1,0))</f>
        <v/>
      </c>
      <c r="AB128" s="26">
        <f>IF(B128="","",IF(COUNTIF(T128:Y128,"Fail")&gt;0,1,0))</f>
        <v/>
      </c>
      <c r="AC128" s="27">
        <f>IF(B128="","",0.1*Z128+0.8*AA128+0.1*AB128)</f>
        <v/>
      </c>
      <c r="AD128" s="27">
        <f>IF(B128="","",IF(C128="Batch 1",0.3,0.2))</f>
        <v/>
      </c>
      <c r="AE128" s="19">
        <f>IF(B128="","",IF(AC128&lt;=AD128,"Đạt","Không đạt"))</f>
        <v/>
      </c>
      <c r="AF128" s="28" t="n"/>
    </row>
    <row r="129" ht="30" customHeight="1" s="36">
      <c r="A129" s="17" t="n">
        <v>127</v>
      </c>
      <c r="B129" s="18" t="n"/>
      <c r="C129" s="17" t="n"/>
      <c r="D129" s="17" t="n"/>
      <c r="E129" s="17" t="n"/>
      <c r="F129" s="26" t="n"/>
      <c r="G129" s="26" t="n"/>
      <c r="H129" s="26" t="n"/>
      <c r="I129" s="26" t="n"/>
      <c r="J129" s="26" t="n"/>
      <c r="K129" s="26" t="n"/>
      <c r="L129" s="26" t="n"/>
      <c r="M129" s="26" t="n"/>
      <c r="N129" s="26" t="n"/>
      <c r="O129" s="26" t="n"/>
      <c r="P129" s="26" t="n"/>
      <c r="Q129" s="26" t="n"/>
      <c r="R129" s="26" t="n"/>
      <c r="S129" s="26" t="n"/>
      <c r="T129" s="26" t="n"/>
      <c r="U129" s="26" t="n"/>
      <c r="V129" s="26" t="n"/>
      <c r="W129" s="26" t="n"/>
      <c r="X129" s="26" t="n"/>
      <c r="Y129" s="26" t="n"/>
      <c r="Z129" s="26">
        <f>IF(B129="","",IF(COUNTIF(F129:G129,"Fail")&gt;0,1,0))</f>
        <v/>
      </c>
      <c r="AA129" s="26">
        <f>IF(B129="","",IF(COUNTIF(H129:S129,"Fail")&gt;0,1,0))</f>
        <v/>
      </c>
      <c r="AB129" s="26">
        <f>IF(B129="","",IF(COUNTIF(T129:Y129,"Fail")&gt;0,1,0))</f>
        <v/>
      </c>
      <c r="AC129" s="27">
        <f>IF(B129="","",0.1*Z129+0.8*AA129+0.1*AB129)</f>
        <v/>
      </c>
      <c r="AD129" s="27">
        <f>IF(B129="","",IF(C129="Batch 1",0.3,0.2))</f>
        <v/>
      </c>
      <c r="AE129" s="19">
        <f>IF(B129="","",IF(AC129&lt;=AD129,"Đạt","Không đạt"))</f>
        <v/>
      </c>
      <c r="AF129" s="28" t="n"/>
    </row>
    <row r="130" ht="30" customHeight="1" s="36">
      <c r="A130" s="17" t="n">
        <v>128</v>
      </c>
      <c r="B130" s="18" t="n"/>
      <c r="C130" s="17" t="n"/>
      <c r="D130" s="17" t="n"/>
      <c r="E130" s="17" t="n"/>
      <c r="F130" s="26" t="n"/>
      <c r="G130" s="26" t="n"/>
      <c r="H130" s="26" t="n"/>
      <c r="I130" s="26" t="n"/>
      <c r="J130" s="26" t="n"/>
      <c r="K130" s="26" t="n"/>
      <c r="L130" s="26" t="n"/>
      <c r="M130" s="26" t="n"/>
      <c r="N130" s="26" t="n"/>
      <c r="O130" s="26" t="n"/>
      <c r="P130" s="26" t="n"/>
      <c r="Q130" s="26" t="n"/>
      <c r="R130" s="26" t="n"/>
      <c r="S130" s="26" t="n"/>
      <c r="T130" s="26" t="n"/>
      <c r="U130" s="26" t="n"/>
      <c r="V130" s="26" t="n"/>
      <c r="W130" s="26" t="n"/>
      <c r="X130" s="26" t="n"/>
      <c r="Y130" s="26" t="n"/>
      <c r="Z130" s="26">
        <f>IF(B130="","",IF(COUNTIF(F130:G130,"Fail")&gt;0,1,0))</f>
        <v/>
      </c>
      <c r="AA130" s="26">
        <f>IF(B130="","",IF(COUNTIF(H130:S130,"Fail")&gt;0,1,0))</f>
        <v/>
      </c>
      <c r="AB130" s="26">
        <f>IF(B130="","",IF(COUNTIF(T130:Y130,"Fail")&gt;0,1,0))</f>
        <v/>
      </c>
      <c r="AC130" s="27">
        <f>IF(B130="","",0.1*Z130+0.8*AA130+0.1*AB130)</f>
        <v/>
      </c>
      <c r="AD130" s="27">
        <f>IF(B130="","",IF(C130="Batch 1",0.3,0.2))</f>
        <v/>
      </c>
      <c r="AE130" s="19">
        <f>IF(B130="","",IF(AC130&lt;=AD130,"Đạt","Không đạt"))</f>
        <v/>
      </c>
      <c r="AF130" s="28" t="n"/>
    </row>
    <row r="131" ht="30" customHeight="1" s="36">
      <c r="A131" s="17" t="n">
        <v>129</v>
      </c>
      <c r="B131" s="18" t="n"/>
      <c r="C131" s="17" t="n"/>
      <c r="D131" s="17" t="n"/>
      <c r="E131" s="17" t="n"/>
      <c r="F131" s="26" t="n"/>
      <c r="G131" s="26" t="n"/>
      <c r="H131" s="26" t="n"/>
      <c r="I131" s="26" t="n"/>
      <c r="J131" s="26" t="n"/>
      <c r="K131" s="26" t="n"/>
      <c r="L131" s="26" t="n"/>
      <c r="M131" s="26" t="n"/>
      <c r="N131" s="26" t="n"/>
      <c r="O131" s="26" t="n"/>
      <c r="P131" s="26" t="n"/>
      <c r="Q131" s="26" t="n"/>
      <c r="R131" s="26" t="n"/>
      <c r="S131" s="26" t="n"/>
      <c r="T131" s="26" t="n"/>
      <c r="U131" s="26" t="n"/>
      <c r="V131" s="26" t="n"/>
      <c r="W131" s="26" t="n"/>
      <c r="X131" s="26" t="n"/>
      <c r="Y131" s="26" t="n"/>
      <c r="Z131" s="26">
        <f>IF(B131="","",IF(COUNTIF(F131:G131,"Fail")&gt;0,1,0))</f>
        <v/>
      </c>
      <c r="AA131" s="26">
        <f>IF(B131="","",IF(COUNTIF(H131:S131,"Fail")&gt;0,1,0))</f>
        <v/>
      </c>
      <c r="AB131" s="26">
        <f>IF(B131="","",IF(COUNTIF(T131:Y131,"Fail")&gt;0,1,0))</f>
        <v/>
      </c>
      <c r="AC131" s="27">
        <f>IF(B131="","",0.1*Z131+0.8*AA131+0.1*AB131)</f>
        <v/>
      </c>
      <c r="AD131" s="27">
        <f>IF(B131="","",IF(C131="Batch 1",0.3,0.2))</f>
        <v/>
      </c>
      <c r="AE131" s="19">
        <f>IF(B131="","",IF(AC131&lt;=AD131,"Đạt","Không đạt"))</f>
        <v/>
      </c>
      <c r="AF131" s="28" t="n"/>
    </row>
    <row r="132" ht="30" customHeight="1" s="36">
      <c r="A132" s="17" t="n">
        <v>130</v>
      </c>
      <c r="B132" s="18" t="n"/>
      <c r="C132" s="17" t="n"/>
      <c r="D132" s="17" t="n"/>
      <c r="E132" s="17" t="n"/>
      <c r="F132" s="26" t="n"/>
      <c r="G132" s="26" t="n"/>
      <c r="H132" s="26" t="n"/>
      <c r="I132" s="26" t="n"/>
      <c r="J132" s="26" t="n"/>
      <c r="K132" s="26" t="n"/>
      <c r="L132" s="26" t="n"/>
      <c r="M132" s="26" t="n"/>
      <c r="N132" s="26" t="n"/>
      <c r="O132" s="26" t="n"/>
      <c r="P132" s="26" t="n"/>
      <c r="Q132" s="26" t="n"/>
      <c r="R132" s="26" t="n"/>
      <c r="S132" s="26" t="n"/>
      <c r="T132" s="26" t="n"/>
      <c r="U132" s="26" t="n"/>
      <c r="V132" s="26" t="n"/>
      <c r="W132" s="26" t="n"/>
      <c r="X132" s="26" t="n"/>
      <c r="Y132" s="26" t="n"/>
      <c r="Z132" s="26">
        <f>IF(B132="","",IF(COUNTIF(F132:G132,"Fail")&gt;0,1,0))</f>
        <v/>
      </c>
      <c r="AA132" s="26">
        <f>IF(B132="","",IF(COUNTIF(H132:S132,"Fail")&gt;0,1,0))</f>
        <v/>
      </c>
      <c r="AB132" s="26">
        <f>IF(B132="","",IF(COUNTIF(T132:Y132,"Fail")&gt;0,1,0))</f>
        <v/>
      </c>
      <c r="AC132" s="27">
        <f>IF(B132="","",0.1*Z132+0.8*AA132+0.1*AB132)</f>
        <v/>
      </c>
      <c r="AD132" s="27">
        <f>IF(B132="","",IF(C132="Batch 1",0.3,0.2))</f>
        <v/>
      </c>
      <c r="AE132" s="19">
        <f>IF(B132="","",IF(AC132&lt;=AD132,"Đạt","Không đạt"))</f>
        <v/>
      </c>
      <c r="AF132" s="28" t="n"/>
    </row>
    <row r="133" ht="30" customHeight="1" s="36">
      <c r="A133" s="17" t="n">
        <v>131</v>
      </c>
      <c r="B133" s="18" t="n"/>
      <c r="C133" s="17" t="n"/>
      <c r="D133" s="17" t="n"/>
      <c r="E133" s="17" t="n"/>
      <c r="F133" s="26" t="n"/>
      <c r="G133" s="26" t="n"/>
      <c r="H133" s="26" t="n"/>
      <c r="I133" s="26" t="n"/>
      <c r="J133" s="26" t="n"/>
      <c r="K133" s="26" t="n"/>
      <c r="L133" s="26" t="n"/>
      <c r="M133" s="26" t="n"/>
      <c r="N133" s="26" t="n"/>
      <c r="O133" s="26" t="n"/>
      <c r="P133" s="26" t="n"/>
      <c r="Q133" s="26" t="n"/>
      <c r="R133" s="26" t="n"/>
      <c r="S133" s="26" t="n"/>
      <c r="T133" s="26" t="n"/>
      <c r="U133" s="26" t="n"/>
      <c r="V133" s="26" t="n"/>
      <c r="W133" s="26" t="n"/>
      <c r="X133" s="26" t="n"/>
      <c r="Y133" s="26" t="n"/>
      <c r="Z133" s="26">
        <f>IF(B133="","",IF(COUNTIF(F133:G133,"Fail")&gt;0,1,0))</f>
        <v/>
      </c>
      <c r="AA133" s="26">
        <f>IF(B133="","",IF(COUNTIF(H133:S133,"Fail")&gt;0,1,0))</f>
        <v/>
      </c>
      <c r="AB133" s="26">
        <f>IF(B133="","",IF(COUNTIF(T133:Y133,"Fail")&gt;0,1,0))</f>
        <v/>
      </c>
      <c r="AC133" s="27">
        <f>IF(B133="","",0.1*Z133+0.8*AA133+0.1*AB133)</f>
        <v/>
      </c>
      <c r="AD133" s="27">
        <f>IF(B133="","",IF(C133="Batch 1",0.3,0.2))</f>
        <v/>
      </c>
      <c r="AE133" s="19">
        <f>IF(B133="","",IF(AC133&lt;=AD133,"Đạt","Không đạt"))</f>
        <v/>
      </c>
      <c r="AF133" s="28" t="n"/>
    </row>
    <row r="134" ht="30" customHeight="1" s="36">
      <c r="A134" s="17" t="n">
        <v>132</v>
      </c>
      <c r="B134" s="18" t="n"/>
      <c r="C134" s="17" t="n"/>
      <c r="D134" s="17" t="n"/>
      <c r="E134" s="17" t="n"/>
      <c r="F134" s="26" t="n"/>
      <c r="G134" s="26" t="n"/>
      <c r="H134" s="26" t="n"/>
      <c r="I134" s="26" t="n"/>
      <c r="J134" s="26" t="n"/>
      <c r="K134" s="26" t="n"/>
      <c r="L134" s="26" t="n"/>
      <c r="M134" s="26" t="n"/>
      <c r="N134" s="26" t="n"/>
      <c r="O134" s="26" t="n"/>
      <c r="P134" s="26" t="n"/>
      <c r="Q134" s="26" t="n"/>
      <c r="R134" s="26" t="n"/>
      <c r="S134" s="26" t="n"/>
      <c r="T134" s="26" t="n"/>
      <c r="U134" s="26" t="n"/>
      <c r="V134" s="26" t="n"/>
      <c r="W134" s="26" t="n"/>
      <c r="X134" s="26" t="n"/>
      <c r="Y134" s="26" t="n"/>
      <c r="Z134" s="26">
        <f>IF(B134="","",IF(COUNTIF(F134:G134,"Fail")&gt;0,1,0))</f>
        <v/>
      </c>
      <c r="AA134" s="26">
        <f>IF(B134="","",IF(COUNTIF(H134:S134,"Fail")&gt;0,1,0))</f>
        <v/>
      </c>
      <c r="AB134" s="26">
        <f>IF(B134="","",IF(COUNTIF(T134:Y134,"Fail")&gt;0,1,0))</f>
        <v/>
      </c>
      <c r="AC134" s="27">
        <f>IF(B134="","",0.1*Z134+0.8*AA134+0.1*AB134)</f>
        <v/>
      </c>
      <c r="AD134" s="27">
        <f>IF(B134="","",IF(C134="Batch 1",0.3,0.2))</f>
        <v/>
      </c>
      <c r="AE134" s="19">
        <f>IF(B134="","",IF(AC134&lt;=AD134,"Đạt","Không đạt"))</f>
        <v/>
      </c>
      <c r="AF134" s="28" t="n"/>
    </row>
    <row r="135" ht="30" customHeight="1" s="36">
      <c r="A135" s="17" t="n">
        <v>133</v>
      </c>
      <c r="B135" s="18" t="n"/>
      <c r="C135" s="17" t="n"/>
      <c r="D135" s="17" t="n"/>
      <c r="E135" s="17" t="n"/>
      <c r="F135" s="26" t="n"/>
      <c r="G135" s="26" t="n"/>
      <c r="H135" s="26" t="n"/>
      <c r="I135" s="26" t="n"/>
      <c r="J135" s="26" t="n"/>
      <c r="K135" s="26" t="n"/>
      <c r="L135" s="26" t="n"/>
      <c r="M135" s="26" t="n"/>
      <c r="N135" s="26" t="n"/>
      <c r="O135" s="26" t="n"/>
      <c r="P135" s="26" t="n"/>
      <c r="Q135" s="26" t="n"/>
      <c r="R135" s="26" t="n"/>
      <c r="S135" s="26" t="n"/>
      <c r="T135" s="26" t="n"/>
      <c r="U135" s="26" t="n"/>
      <c r="V135" s="26" t="n"/>
      <c r="W135" s="26" t="n"/>
      <c r="X135" s="26" t="n"/>
      <c r="Y135" s="26" t="n"/>
      <c r="Z135" s="26">
        <f>IF(B135="","",IF(COUNTIF(F135:G135,"Fail")&gt;0,1,0))</f>
        <v/>
      </c>
      <c r="AA135" s="26">
        <f>IF(B135="","",IF(COUNTIF(H135:S135,"Fail")&gt;0,1,0))</f>
        <v/>
      </c>
      <c r="AB135" s="26">
        <f>IF(B135="","",IF(COUNTIF(T135:Y135,"Fail")&gt;0,1,0))</f>
        <v/>
      </c>
      <c r="AC135" s="27">
        <f>IF(B135="","",0.1*Z135+0.8*AA135+0.1*AB135)</f>
        <v/>
      </c>
      <c r="AD135" s="27">
        <f>IF(B135="","",IF(C135="Batch 1",0.3,0.2))</f>
        <v/>
      </c>
      <c r="AE135" s="19">
        <f>IF(B135="","",IF(AC135&lt;=AD135,"Đạt","Không đạt"))</f>
        <v/>
      </c>
      <c r="AF135" s="28" t="n"/>
    </row>
    <row r="136" ht="30" customHeight="1" s="36">
      <c r="A136" s="17" t="n">
        <v>134</v>
      </c>
      <c r="B136" s="18" t="n"/>
      <c r="C136" s="17" t="n"/>
      <c r="D136" s="17" t="n"/>
      <c r="E136" s="17" t="n"/>
      <c r="F136" s="26" t="n"/>
      <c r="G136" s="26" t="n"/>
      <c r="H136" s="26" t="n"/>
      <c r="I136" s="26" t="n"/>
      <c r="J136" s="26" t="n"/>
      <c r="K136" s="26" t="n"/>
      <c r="L136" s="26" t="n"/>
      <c r="M136" s="26" t="n"/>
      <c r="N136" s="26" t="n"/>
      <c r="O136" s="26" t="n"/>
      <c r="P136" s="26" t="n"/>
      <c r="Q136" s="26" t="n"/>
      <c r="R136" s="26" t="n"/>
      <c r="S136" s="26" t="n"/>
      <c r="T136" s="26" t="n"/>
      <c r="U136" s="26" t="n"/>
      <c r="V136" s="26" t="n"/>
      <c r="W136" s="26" t="n"/>
      <c r="X136" s="26" t="n"/>
      <c r="Y136" s="26" t="n"/>
      <c r="Z136" s="26">
        <f>IF(B136="","",IF(COUNTIF(F136:G136,"Fail")&gt;0,1,0))</f>
        <v/>
      </c>
      <c r="AA136" s="26">
        <f>IF(B136="","",IF(COUNTIF(H136:S136,"Fail")&gt;0,1,0))</f>
        <v/>
      </c>
      <c r="AB136" s="26">
        <f>IF(B136="","",IF(COUNTIF(T136:Y136,"Fail")&gt;0,1,0))</f>
        <v/>
      </c>
      <c r="AC136" s="27">
        <f>IF(B136="","",0.1*Z136+0.8*AA136+0.1*AB136)</f>
        <v/>
      </c>
      <c r="AD136" s="27">
        <f>IF(B136="","",IF(C136="Batch 1",0.3,0.2))</f>
        <v/>
      </c>
      <c r="AE136" s="19">
        <f>IF(B136="","",IF(AC136&lt;=AD136,"Đạt","Không đạt"))</f>
        <v/>
      </c>
      <c r="AF136" s="28" t="n"/>
    </row>
    <row r="137" ht="30" customHeight="1" s="36">
      <c r="A137" s="17" t="n">
        <v>135</v>
      </c>
      <c r="B137" s="18" t="n"/>
      <c r="C137" s="17" t="n"/>
      <c r="D137" s="17" t="n"/>
      <c r="E137" s="17" t="n"/>
      <c r="F137" s="26" t="n"/>
      <c r="G137" s="26" t="n"/>
      <c r="H137" s="26" t="n"/>
      <c r="I137" s="26" t="n"/>
      <c r="J137" s="26" t="n"/>
      <c r="K137" s="26" t="n"/>
      <c r="L137" s="26" t="n"/>
      <c r="M137" s="26" t="n"/>
      <c r="N137" s="26" t="n"/>
      <c r="O137" s="26" t="n"/>
      <c r="P137" s="26" t="n"/>
      <c r="Q137" s="26" t="n"/>
      <c r="R137" s="26" t="n"/>
      <c r="S137" s="26" t="n"/>
      <c r="T137" s="26" t="n"/>
      <c r="U137" s="26" t="n"/>
      <c r="V137" s="26" t="n"/>
      <c r="W137" s="26" t="n"/>
      <c r="X137" s="26" t="n"/>
      <c r="Y137" s="26" t="n"/>
      <c r="Z137" s="26">
        <f>IF(B137="","",IF(COUNTIF(F137:G137,"Fail")&gt;0,1,0))</f>
        <v/>
      </c>
      <c r="AA137" s="26">
        <f>IF(B137="","",IF(COUNTIF(H137:S137,"Fail")&gt;0,1,0))</f>
        <v/>
      </c>
      <c r="AB137" s="26">
        <f>IF(B137="","",IF(COUNTIF(T137:Y137,"Fail")&gt;0,1,0))</f>
        <v/>
      </c>
      <c r="AC137" s="27">
        <f>IF(B137="","",0.1*Z137+0.8*AA137+0.1*AB137)</f>
        <v/>
      </c>
      <c r="AD137" s="27">
        <f>IF(B137="","",IF(C137="Batch 1",0.3,0.2))</f>
        <v/>
      </c>
      <c r="AE137" s="19">
        <f>IF(B137="","",IF(AC137&lt;=AD137,"Đạt","Không đạt"))</f>
        <v/>
      </c>
      <c r="AF137" s="28" t="n"/>
    </row>
    <row r="138" ht="30" customHeight="1" s="36">
      <c r="A138" s="17" t="n">
        <v>136</v>
      </c>
      <c r="B138" s="18" t="n"/>
      <c r="C138" s="17" t="n"/>
      <c r="D138" s="17" t="n"/>
      <c r="E138" s="17" t="n"/>
      <c r="F138" s="26" t="n"/>
      <c r="G138" s="26" t="n"/>
      <c r="H138" s="26" t="n"/>
      <c r="I138" s="26" t="n"/>
      <c r="J138" s="26" t="n"/>
      <c r="K138" s="26" t="n"/>
      <c r="L138" s="26" t="n"/>
      <c r="M138" s="26" t="n"/>
      <c r="N138" s="26" t="n"/>
      <c r="O138" s="26" t="n"/>
      <c r="P138" s="26" t="n"/>
      <c r="Q138" s="26" t="n"/>
      <c r="R138" s="26" t="n"/>
      <c r="S138" s="26" t="n"/>
      <c r="T138" s="26" t="n"/>
      <c r="U138" s="26" t="n"/>
      <c r="V138" s="26" t="n"/>
      <c r="W138" s="26" t="n"/>
      <c r="X138" s="26" t="n"/>
      <c r="Y138" s="26" t="n"/>
      <c r="Z138" s="26">
        <f>IF(B138="","",IF(COUNTIF(F138:G138,"Fail")&gt;0,1,0))</f>
        <v/>
      </c>
      <c r="AA138" s="26">
        <f>IF(B138="","",IF(COUNTIF(H138:S138,"Fail")&gt;0,1,0))</f>
        <v/>
      </c>
      <c r="AB138" s="26">
        <f>IF(B138="","",IF(COUNTIF(T138:Y138,"Fail")&gt;0,1,0))</f>
        <v/>
      </c>
      <c r="AC138" s="27">
        <f>IF(B138="","",0.1*Z138+0.8*AA138+0.1*AB138)</f>
        <v/>
      </c>
      <c r="AD138" s="27">
        <f>IF(B138="","",IF(C138="Batch 1",0.3,0.2))</f>
        <v/>
      </c>
      <c r="AE138" s="19">
        <f>IF(B138="","",IF(AC138&lt;=AD138,"Đạt","Không đạt"))</f>
        <v/>
      </c>
      <c r="AF138" s="28" t="n"/>
    </row>
    <row r="139" ht="30" customHeight="1" s="36">
      <c r="A139" s="17" t="n">
        <v>137</v>
      </c>
      <c r="B139" s="18" t="n"/>
      <c r="C139" s="17" t="n"/>
      <c r="D139" s="17" t="n"/>
      <c r="E139" s="17" t="n"/>
      <c r="F139" s="26" t="n"/>
      <c r="G139" s="26" t="n"/>
      <c r="H139" s="26" t="n"/>
      <c r="I139" s="26" t="n"/>
      <c r="J139" s="26" t="n"/>
      <c r="K139" s="26" t="n"/>
      <c r="L139" s="26" t="n"/>
      <c r="M139" s="26" t="n"/>
      <c r="N139" s="26" t="n"/>
      <c r="O139" s="26" t="n"/>
      <c r="P139" s="26" t="n"/>
      <c r="Q139" s="26" t="n"/>
      <c r="R139" s="26" t="n"/>
      <c r="S139" s="26" t="n"/>
      <c r="T139" s="26" t="n"/>
      <c r="U139" s="26" t="n"/>
      <c r="V139" s="26" t="n"/>
      <c r="W139" s="26" t="n"/>
      <c r="X139" s="26" t="n"/>
      <c r="Y139" s="26" t="n"/>
      <c r="Z139" s="26">
        <f>IF(B139="","",IF(COUNTIF(F139:G139,"Fail")&gt;0,1,0))</f>
        <v/>
      </c>
      <c r="AA139" s="26">
        <f>IF(B139="","",IF(COUNTIF(H139:S139,"Fail")&gt;0,1,0))</f>
        <v/>
      </c>
      <c r="AB139" s="26">
        <f>IF(B139="","",IF(COUNTIF(T139:Y139,"Fail")&gt;0,1,0))</f>
        <v/>
      </c>
      <c r="AC139" s="27">
        <f>IF(B139="","",0.1*Z139+0.8*AA139+0.1*AB139)</f>
        <v/>
      </c>
      <c r="AD139" s="27">
        <f>IF(B139="","",IF(C139="Batch 1",0.3,0.2))</f>
        <v/>
      </c>
      <c r="AE139" s="19">
        <f>IF(B139="","",IF(AC139&lt;=AD139,"Đạt","Không đạt"))</f>
        <v/>
      </c>
      <c r="AF139" s="28" t="n"/>
    </row>
    <row r="140" ht="30" customHeight="1" s="36">
      <c r="A140" s="17" t="n">
        <v>138</v>
      </c>
      <c r="B140" s="18" t="n"/>
      <c r="C140" s="17" t="n"/>
      <c r="D140" s="17" t="n"/>
      <c r="E140" s="17" t="n"/>
      <c r="F140" s="26" t="n"/>
      <c r="G140" s="26" t="n"/>
      <c r="H140" s="26" t="n"/>
      <c r="I140" s="26" t="n"/>
      <c r="J140" s="26" t="n"/>
      <c r="K140" s="26" t="n"/>
      <c r="L140" s="26" t="n"/>
      <c r="M140" s="26" t="n"/>
      <c r="N140" s="26" t="n"/>
      <c r="O140" s="26" t="n"/>
      <c r="P140" s="26" t="n"/>
      <c r="Q140" s="26" t="n"/>
      <c r="R140" s="26" t="n"/>
      <c r="S140" s="26" t="n"/>
      <c r="T140" s="26" t="n"/>
      <c r="U140" s="26" t="n"/>
      <c r="V140" s="26" t="n"/>
      <c r="W140" s="26" t="n"/>
      <c r="X140" s="26" t="n"/>
      <c r="Y140" s="26" t="n"/>
      <c r="Z140" s="26">
        <f>IF(B140="","",IF(COUNTIF(F140:G140,"Fail")&gt;0,1,0))</f>
        <v/>
      </c>
      <c r="AA140" s="26">
        <f>IF(B140="","",IF(COUNTIF(H140:S140,"Fail")&gt;0,1,0))</f>
        <v/>
      </c>
      <c r="AB140" s="26">
        <f>IF(B140="","",IF(COUNTIF(T140:Y140,"Fail")&gt;0,1,0))</f>
        <v/>
      </c>
      <c r="AC140" s="27">
        <f>IF(B140="","",0.1*Z140+0.8*AA140+0.1*AB140)</f>
        <v/>
      </c>
      <c r="AD140" s="27">
        <f>IF(B140="","",IF(C140="Batch 1",0.3,0.2))</f>
        <v/>
      </c>
      <c r="AE140" s="19">
        <f>IF(B140="","",IF(AC140&lt;=AD140,"Đạt","Không đạt"))</f>
        <v/>
      </c>
      <c r="AF140" s="28" t="n"/>
    </row>
    <row r="141" ht="30" customHeight="1" s="36">
      <c r="A141" s="17" t="n">
        <v>139</v>
      </c>
      <c r="B141" s="18" t="n"/>
      <c r="C141" s="17" t="n"/>
      <c r="D141" s="17" t="n"/>
      <c r="E141" s="17" t="n"/>
      <c r="F141" s="26" t="n"/>
      <c r="G141" s="26" t="n"/>
      <c r="H141" s="26" t="n"/>
      <c r="I141" s="26" t="n"/>
      <c r="J141" s="26" t="n"/>
      <c r="K141" s="26" t="n"/>
      <c r="L141" s="26" t="n"/>
      <c r="M141" s="26" t="n"/>
      <c r="N141" s="26" t="n"/>
      <c r="O141" s="26" t="n"/>
      <c r="P141" s="26" t="n"/>
      <c r="Q141" s="26" t="n"/>
      <c r="R141" s="26" t="n"/>
      <c r="S141" s="26" t="n"/>
      <c r="T141" s="26" t="n"/>
      <c r="U141" s="26" t="n"/>
      <c r="V141" s="26" t="n"/>
      <c r="W141" s="26" t="n"/>
      <c r="X141" s="26" t="n"/>
      <c r="Y141" s="26" t="n"/>
      <c r="Z141" s="26">
        <f>IF(B141="","",IF(COUNTIF(F141:G141,"Fail")&gt;0,1,0))</f>
        <v/>
      </c>
      <c r="AA141" s="26">
        <f>IF(B141="","",IF(COUNTIF(H141:S141,"Fail")&gt;0,1,0))</f>
        <v/>
      </c>
      <c r="AB141" s="26">
        <f>IF(B141="","",IF(COUNTIF(T141:Y141,"Fail")&gt;0,1,0))</f>
        <v/>
      </c>
      <c r="AC141" s="27">
        <f>IF(B141="","",0.1*Z141+0.8*AA141+0.1*AB141)</f>
        <v/>
      </c>
      <c r="AD141" s="27">
        <f>IF(B141="","",IF(C141="Batch 1",0.3,0.2))</f>
        <v/>
      </c>
      <c r="AE141" s="19">
        <f>IF(B141="","",IF(AC141&lt;=AD141,"Đạt","Không đạt"))</f>
        <v/>
      </c>
      <c r="AF141" s="28" t="n"/>
    </row>
    <row r="142" ht="30" customHeight="1" s="36">
      <c r="A142" s="17" t="n">
        <v>140</v>
      </c>
      <c r="B142" s="18" t="n"/>
      <c r="C142" s="17" t="n"/>
      <c r="D142" s="17" t="n"/>
      <c r="E142" s="17" t="n"/>
      <c r="F142" s="26" t="n"/>
      <c r="G142" s="26" t="n"/>
      <c r="H142" s="26" t="n"/>
      <c r="I142" s="26" t="n"/>
      <c r="J142" s="26" t="n"/>
      <c r="K142" s="26" t="n"/>
      <c r="L142" s="26" t="n"/>
      <c r="M142" s="26" t="n"/>
      <c r="N142" s="26" t="n"/>
      <c r="O142" s="26" t="n"/>
      <c r="P142" s="26" t="n"/>
      <c r="Q142" s="26" t="n"/>
      <c r="R142" s="26" t="n"/>
      <c r="S142" s="26" t="n"/>
      <c r="T142" s="26" t="n"/>
      <c r="U142" s="26" t="n"/>
      <c r="V142" s="26" t="n"/>
      <c r="W142" s="26" t="n"/>
      <c r="X142" s="26" t="n"/>
      <c r="Y142" s="26" t="n"/>
      <c r="Z142" s="26">
        <f>IF(B142="","",IF(COUNTIF(F142:G142,"Fail")&gt;0,1,0))</f>
        <v/>
      </c>
      <c r="AA142" s="26">
        <f>IF(B142="","",IF(COUNTIF(H142:S142,"Fail")&gt;0,1,0))</f>
        <v/>
      </c>
      <c r="AB142" s="26">
        <f>IF(B142="","",IF(COUNTIF(T142:Y142,"Fail")&gt;0,1,0))</f>
        <v/>
      </c>
      <c r="AC142" s="27">
        <f>IF(B142="","",0.1*Z142+0.8*AA142+0.1*AB142)</f>
        <v/>
      </c>
      <c r="AD142" s="27">
        <f>IF(B142="","",IF(C142="Batch 1",0.3,0.2))</f>
        <v/>
      </c>
      <c r="AE142" s="19">
        <f>IF(B142="","",IF(AC142&lt;=AD142,"Đạt","Không đạt"))</f>
        <v/>
      </c>
      <c r="AF142" s="28" t="n"/>
    </row>
    <row r="143" ht="30" customHeight="1" s="36">
      <c r="A143" s="17" t="n">
        <v>141</v>
      </c>
      <c r="B143" s="18" t="n"/>
      <c r="C143" s="17" t="n"/>
      <c r="D143" s="17" t="n"/>
      <c r="E143" s="17" t="n"/>
      <c r="F143" s="26" t="n"/>
      <c r="G143" s="26" t="n"/>
      <c r="H143" s="26" t="n"/>
      <c r="I143" s="26" t="n"/>
      <c r="J143" s="26" t="n"/>
      <c r="K143" s="26" t="n"/>
      <c r="L143" s="26" t="n"/>
      <c r="M143" s="26" t="n"/>
      <c r="N143" s="26" t="n"/>
      <c r="O143" s="26" t="n"/>
      <c r="P143" s="26" t="n"/>
      <c r="Q143" s="26" t="n"/>
      <c r="R143" s="26" t="n"/>
      <c r="S143" s="26" t="n"/>
      <c r="T143" s="26" t="n"/>
      <c r="U143" s="26" t="n"/>
      <c r="V143" s="26" t="n"/>
      <c r="W143" s="26" t="n"/>
      <c r="X143" s="26" t="n"/>
      <c r="Y143" s="26" t="n"/>
      <c r="Z143" s="26">
        <f>IF(B143="","",IF(COUNTIF(F143:G143,"Fail")&gt;0,1,0))</f>
        <v/>
      </c>
      <c r="AA143" s="26">
        <f>IF(B143="","",IF(COUNTIF(H143:S143,"Fail")&gt;0,1,0))</f>
        <v/>
      </c>
      <c r="AB143" s="26">
        <f>IF(B143="","",IF(COUNTIF(T143:Y143,"Fail")&gt;0,1,0))</f>
        <v/>
      </c>
      <c r="AC143" s="27">
        <f>IF(B143="","",0.1*Z143+0.8*AA143+0.1*AB143)</f>
        <v/>
      </c>
      <c r="AD143" s="27">
        <f>IF(B143="","",IF(C143="Batch 1",0.3,0.2))</f>
        <v/>
      </c>
      <c r="AE143" s="19">
        <f>IF(B143="","",IF(AC143&lt;=AD143,"Đạt","Không đạt"))</f>
        <v/>
      </c>
      <c r="AF143" s="28" t="n"/>
    </row>
    <row r="144" ht="30" customHeight="1" s="36">
      <c r="A144" s="17" t="n">
        <v>142</v>
      </c>
      <c r="B144" s="18" t="n"/>
      <c r="C144" s="17" t="n"/>
      <c r="D144" s="17" t="n"/>
      <c r="E144" s="17" t="n"/>
      <c r="F144" s="26" t="n"/>
      <c r="G144" s="26" t="n"/>
      <c r="H144" s="26" t="n"/>
      <c r="I144" s="26" t="n"/>
      <c r="J144" s="26" t="n"/>
      <c r="K144" s="26" t="n"/>
      <c r="L144" s="26" t="n"/>
      <c r="M144" s="26" t="n"/>
      <c r="N144" s="26" t="n"/>
      <c r="O144" s="26" t="n"/>
      <c r="P144" s="26" t="n"/>
      <c r="Q144" s="26" t="n"/>
      <c r="R144" s="26" t="n"/>
      <c r="S144" s="26" t="n"/>
      <c r="T144" s="26" t="n"/>
      <c r="U144" s="26" t="n"/>
      <c r="V144" s="26" t="n"/>
      <c r="W144" s="26" t="n"/>
      <c r="X144" s="26" t="n"/>
      <c r="Y144" s="26" t="n"/>
      <c r="Z144" s="26">
        <f>IF(B144="","",IF(COUNTIF(F144:G144,"Fail")&gt;0,1,0))</f>
        <v/>
      </c>
      <c r="AA144" s="26">
        <f>IF(B144="","",IF(COUNTIF(H144:S144,"Fail")&gt;0,1,0))</f>
        <v/>
      </c>
      <c r="AB144" s="26">
        <f>IF(B144="","",IF(COUNTIF(T144:Y144,"Fail")&gt;0,1,0))</f>
        <v/>
      </c>
      <c r="AC144" s="27">
        <f>IF(B144="","",0.1*Z144+0.8*AA144+0.1*AB144)</f>
        <v/>
      </c>
      <c r="AD144" s="27">
        <f>IF(B144="","",IF(C144="Batch 1",0.3,0.2))</f>
        <v/>
      </c>
      <c r="AE144" s="19">
        <f>IF(B144="","",IF(AC144&lt;=AD144,"Đạt","Không đạt"))</f>
        <v/>
      </c>
      <c r="AF144" s="28" t="n"/>
    </row>
    <row r="145" ht="30" customHeight="1" s="36">
      <c r="A145" s="17" t="n">
        <v>143</v>
      </c>
      <c r="B145" s="18" t="n"/>
      <c r="C145" s="17" t="n"/>
      <c r="D145" s="17" t="n"/>
      <c r="E145" s="17" t="n"/>
      <c r="F145" s="26" t="n"/>
      <c r="G145" s="26" t="n"/>
      <c r="H145" s="26" t="n"/>
      <c r="I145" s="26" t="n"/>
      <c r="J145" s="26" t="n"/>
      <c r="K145" s="26" t="n"/>
      <c r="L145" s="26" t="n"/>
      <c r="M145" s="26" t="n"/>
      <c r="N145" s="26" t="n"/>
      <c r="O145" s="26" t="n"/>
      <c r="P145" s="26" t="n"/>
      <c r="Q145" s="26" t="n"/>
      <c r="R145" s="26" t="n"/>
      <c r="S145" s="26" t="n"/>
      <c r="T145" s="26" t="n"/>
      <c r="U145" s="26" t="n"/>
      <c r="V145" s="26" t="n"/>
      <c r="W145" s="26" t="n"/>
      <c r="X145" s="26" t="n"/>
      <c r="Y145" s="26" t="n"/>
      <c r="Z145" s="26">
        <f>IF(B145="","",IF(COUNTIF(F145:G145,"Fail")&gt;0,1,0))</f>
        <v/>
      </c>
      <c r="AA145" s="26">
        <f>IF(B145="","",IF(COUNTIF(H145:S145,"Fail")&gt;0,1,0))</f>
        <v/>
      </c>
      <c r="AB145" s="26">
        <f>IF(B145="","",IF(COUNTIF(T145:Y145,"Fail")&gt;0,1,0))</f>
        <v/>
      </c>
      <c r="AC145" s="27">
        <f>IF(B145="","",0.1*Z145+0.8*AA145+0.1*AB145)</f>
        <v/>
      </c>
      <c r="AD145" s="27">
        <f>IF(B145="","",IF(C145="Batch 1",0.3,0.2))</f>
        <v/>
      </c>
      <c r="AE145" s="19">
        <f>IF(B145="","",IF(AC145&lt;=AD145,"Đạt","Không đạt"))</f>
        <v/>
      </c>
      <c r="AF145" s="28" t="n"/>
    </row>
    <row r="146" ht="30" customHeight="1" s="36">
      <c r="A146" s="17" t="n">
        <v>144</v>
      </c>
      <c r="B146" s="18" t="n"/>
      <c r="C146" s="17" t="n"/>
      <c r="D146" s="17" t="n"/>
      <c r="E146" s="17" t="n"/>
      <c r="F146" s="26" t="n"/>
      <c r="G146" s="26" t="n"/>
      <c r="H146" s="26" t="n"/>
      <c r="I146" s="26" t="n"/>
      <c r="J146" s="26" t="n"/>
      <c r="K146" s="26" t="n"/>
      <c r="L146" s="26" t="n"/>
      <c r="M146" s="26" t="n"/>
      <c r="N146" s="26" t="n"/>
      <c r="O146" s="26" t="n"/>
      <c r="P146" s="26" t="n"/>
      <c r="Q146" s="26" t="n"/>
      <c r="R146" s="26" t="n"/>
      <c r="S146" s="26" t="n"/>
      <c r="T146" s="26" t="n"/>
      <c r="U146" s="26" t="n"/>
      <c r="V146" s="26" t="n"/>
      <c r="W146" s="26" t="n"/>
      <c r="X146" s="26" t="n"/>
      <c r="Y146" s="26" t="n"/>
      <c r="Z146" s="26">
        <f>IF(B146="","",IF(COUNTIF(F146:G146,"Fail")&gt;0,1,0))</f>
        <v/>
      </c>
      <c r="AA146" s="26">
        <f>IF(B146="","",IF(COUNTIF(H146:S146,"Fail")&gt;0,1,0))</f>
        <v/>
      </c>
      <c r="AB146" s="26">
        <f>IF(B146="","",IF(COUNTIF(T146:Y146,"Fail")&gt;0,1,0))</f>
        <v/>
      </c>
      <c r="AC146" s="27">
        <f>IF(B146="","",0.1*Z146+0.8*AA146+0.1*AB146)</f>
        <v/>
      </c>
      <c r="AD146" s="27">
        <f>IF(B146="","",IF(C146="Batch 1",0.3,0.2))</f>
        <v/>
      </c>
      <c r="AE146" s="19">
        <f>IF(B146="","",IF(AC146&lt;=AD146,"Đạt","Không đạt"))</f>
        <v/>
      </c>
      <c r="AF146" s="28" t="n"/>
    </row>
    <row r="147" ht="30" customHeight="1" s="36">
      <c r="A147" s="17" t="n">
        <v>145</v>
      </c>
      <c r="B147" s="18" t="n"/>
      <c r="C147" s="17" t="n"/>
      <c r="D147" s="17" t="n"/>
      <c r="E147" s="17" t="n"/>
      <c r="F147" s="26" t="n"/>
      <c r="G147" s="26" t="n"/>
      <c r="H147" s="26" t="n"/>
      <c r="I147" s="26" t="n"/>
      <c r="J147" s="26" t="n"/>
      <c r="K147" s="26" t="n"/>
      <c r="L147" s="26" t="n"/>
      <c r="M147" s="26" t="n"/>
      <c r="N147" s="26" t="n"/>
      <c r="O147" s="26" t="n"/>
      <c r="P147" s="26" t="n"/>
      <c r="Q147" s="26" t="n"/>
      <c r="R147" s="26" t="n"/>
      <c r="S147" s="26" t="n"/>
      <c r="T147" s="26" t="n"/>
      <c r="U147" s="26" t="n"/>
      <c r="V147" s="26" t="n"/>
      <c r="W147" s="26" t="n"/>
      <c r="X147" s="26" t="n"/>
      <c r="Y147" s="26" t="n"/>
      <c r="Z147" s="26">
        <f>IF(B147="","",IF(COUNTIF(F147:G147,"Fail")&gt;0,1,0))</f>
        <v/>
      </c>
      <c r="AA147" s="26">
        <f>IF(B147="","",IF(COUNTIF(H147:S147,"Fail")&gt;0,1,0))</f>
        <v/>
      </c>
      <c r="AB147" s="26">
        <f>IF(B147="","",IF(COUNTIF(T147:Y147,"Fail")&gt;0,1,0))</f>
        <v/>
      </c>
      <c r="AC147" s="27">
        <f>IF(B147="","",0.1*Z147+0.8*AA147+0.1*AB147)</f>
        <v/>
      </c>
      <c r="AD147" s="27">
        <f>IF(B147="","",IF(C147="Batch 1",0.3,0.2))</f>
        <v/>
      </c>
      <c r="AE147" s="19">
        <f>IF(B147="","",IF(AC147&lt;=AD147,"Đạt","Không đạt"))</f>
        <v/>
      </c>
      <c r="AF147" s="28" t="n"/>
    </row>
    <row r="148" ht="30" customHeight="1" s="36">
      <c r="A148" s="17" t="n">
        <v>146</v>
      </c>
      <c r="B148" s="18" t="n"/>
      <c r="C148" s="17" t="n"/>
      <c r="D148" s="17" t="n"/>
      <c r="E148" s="17" t="n"/>
      <c r="F148" s="26" t="n"/>
      <c r="G148" s="26" t="n"/>
      <c r="H148" s="26" t="n"/>
      <c r="I148" s="26" t="n"/>
      <c r="J148" s="26" t="n"/>
      <c r="K148" s="26" t="n"/>
      <c r="L148" s="26" t="n"/>
      <c r="M148" s="26" t="n"/>
      <c r="N148" s="26" t="n"/>
      <c r="O148" s="26" t="n"/>
      <c r="P148" s="26" t="n"/>
      <c r="Q148" s="26" t="n"/>
      <c r="R148" s="26" t="n"/>
      <c r="S148" s="26" t="n"/>
      <c r="T148" s="26" t="n"/>
      <c r="U148" s="26" t="n"/>
      <c r="V148" s="26" t="n"/>
      <c r="W148" s="26" t="n"/>
      <c r="X148" s="26" t="n"/>
      <c r="Y148" s="26" t="n"/>
      <c r="Z148" s="26">
        <f>IF(B148="","",IF(COUNTIF(F148:G148,"Fail")&gt;0,1,0))</f>
        <v/>
      </c>
      <c r="AA148" s="26">
        <f>IF(B148="","",IF(COUNTIF(H148:S148,"Fail")&gt;0,1,0))</f>
        <v/>
      </c>
      <c r="AB148" s="26">
        <f>IF(B148="","",IF(COUNTIF(T148:Y148,"Fail")&gt;0,1,0))</f>
        <v/>
      </c>
      <c r="AC148" s="27">
        <f>IF(B148="","",0.1*Z148+0.8*AA148+0.1*AB148)</f>
        <v/>
      </c>
      <c r="AD148" s="27">
        <f>IF(B148="","",IF(C148="Batch 1",0.3,0.2))</f>
        <v/>
      </c>
      <c r="AE148" s="19">
        <f>IF(B148="","",IF(AC148&lt;=AD148,"Đạt","Không đạt"))</f>
        <v/>
      </c>
      <c r="AF148" s="28" t="n"/>
    </row>
    <row r="149" ht="30" customHeight="1" s="36">
      <c r="A149" s="17" t="n">
        <v>147</v>
      </c>
      <c r="B149" s="18" t="n"/>
      <c r="C149" s="17" t="n"/>
      <c r="D149" s="17" t="n"/>
      <c r="E149" s="17" t="n"/>
      <c r="F149" s="26" t="n"/>
      <c r="G149" s="26" t="n"/>
      <c r="H149" s="26" t="n"/>
      <c r="I149" s="26" t="n"/>
      <c r="J149" s="26" t="n"/>
      <c r="K149" s="26" t="n"/>
      <c r="L149" s="26" t="n"/>
      <c r="M149" s="26" t="n"/>
      <c r="N149" s="26" t="n"/>
      <c r="O149" s="26" t="n"/>
      <c r="P149" s="26" t="n"/>
      <c r="Q149" s="26" t="n"/>
      <c r="R149" s="26" t="n"/>
      <c r="S149" s="26" t="n"/>
      <c r="T149" s="26" t="n"/>
      <c r="U149" s="26" t="n"/>
      <c r="V149" s="26" t="n"/>
      <c r="W149" s="26" t="n"/>
      <c r="X149" s="26" t="n"/>
      <c r="Y149" s="26" t="n"/>
      <c r="Z149" s="26">
        <f>IF(B149="","",IF(COUNTIF(F149:G149,"Fail")&gt;0,1,0))</f>
        <v/>
      </c>
      <c r="AA149" s="26">
        <f>IF(B149="","",IF(COUNTIF(H149:S149,"Fail")&gt;0,1,0))</f>
        <v/>
      </c>
      <c r="AB149" s="26">
        <f>IF(B149="","",IF(COUNTIF(T149:Y149,"Fail")&gt;0,1,0))</f>
        <v/>
      </c>
      <c r="AC149" s="27">
        <f>IF(B149="","",0.1*Z149+0.8*AA149+0.1*AB149)</f>
        <v/>
      </c>
      <c r="AD149" s="27">
        <f>IF(B149="","",IF(C149="Batch 1",0.3,0.2))</f>
        <v/>
      </c>
      <c r="AE149" s="19">
        <f>IF(B149="","",IF(AC149&lt;=AD149,"Đạt","Không đạt"))</f>
        <v/>
      </c>
      <c r="AF149" s="28" t="n"/>
    </row>
    <row r="150" ht="30" customHeight="1" s="36">
      <c r="A150" s="17" t="n">
        <v>148</v>
      </c>
      <c r="B150" s="18" t="n"/>
      <c r="C150" s="17" t="n"/>
      <c r="D150" s="17" t="n"/>
      <c r="E150" s="17" t="n"/>
      <c r="F150" s="26" t="n"/>
      <c r="G150" s="26" t="n"/>
      <c r="H150" s="26" t="n"/>
      <c r="I150" s="26" t="n"/>
      <c r="J150" s="26" t="n"/>
      <c r="K150" s="26" t="n"/>
      <c r="L150" s="26" t="n"/>
      <c r="M150" s="26" t="n"/>
      <c r="N150" s="26" t="n"/>
      <c r="O150" s="26" t="n"/>
      <c r="P150" s="26" t="n"/>
      <c r="Q150" s="26" t="n"/>
      <c r="R150" s="26" t="n"/>
      <c r="S150" s="26" t="n"/>
      <c r="T150" s="26" t="n"/>
      <c r="U150" s="26" t="n"/>
      <c r="V150" s="26" t="n"/>
      <c r="W150" s="26" t="n"/>
      <c r="X150" s="26" t="n"/>
      <c r="Y150" s="26" t="n"/>
      <c r="Z150" s="26">
        <f>IF(B150="","",IF(COUNTIF(F150:G150,"Fail")&gt;0,1,0))</f>
        <v/>
      </c>
      <c r="AA150" s="26">
        <f>IF(B150="","",IF(COUNTIF(H150:S150,"Fail")&gt;0,1,0))</f>
        <v/>
      </c>
      <c r="AB150" s="26">
        <f>IF(B150="","",IF(COUNTIF(T150:Y150,"Fail")&gt;0,1,0))</f>
        <v/>
      </c>
      <c r="AC150" s="27">
        <f>IF(B150="","",0.1*Z150+0.8*AA150+0.1*AB150)</f>
        <v/>
      </c>
      <c r="AD150" s="27">
        <f>IF(B150="","",IF(C150="Batch 1",0.3,0.2))</f>
        <v/>
      </c>
      <c r="AE150" s="19">
        <f>IF(B150="","",IF(AC150&lt;=AD150,"Đạt","Không đạt"))</f>
        <v/>
      </c>
      <c r="AF150" s="28" t="n"/>
    </row>
    <row r="151" ht="30" customHeight="1" s="36">
      <c r="A151" s="17" t="n">
        <v>149</v>
      </c>
      <c r="B151" s="18" t="n"/>
      <c r="C151" s="17" t="n"/>
      <c r="D151" s="17" t="n"/>
      <c r="E151" s="17" t="n"/>
      <c r="F151" s="26" t="n"/>
      <c r="G151" s="26" t="n"/>
      <c r="H151" s="26" t="n"/>
      <c r="I151" s="26" t="n"/>
      <c r="J151" s="26" t="n"/>
      <c r="K151" s="26" t="n"/>
      <c r="L151" s="26" t="n"/>
      <c r="M151" s="26" t="n"/>
      <c r="N151" s="26" t="n"/>
      <c r="O151" s="26" t="n"/>
      <c r="P151" s="26" t="n"/>
      <c r="Q151" s="26" t="n"/>
      <c r="R151" s="26" t="n"/>
      <c r="S151" s="26" t="n"/>
      <c r="T151" s="26" t="n"/>
      <c r="U151" s="26" t="n"/>
      <c r="V151" s="26" t="n"/>
      <c r="W151" s="26" t="n"/>
      <c r="X151" s="26" t="n"/>
      <c r="Y151" s="26" t="n"/>
      <c r="Z151" s="26">
        <f>IF(B151="","",IF(COUNTIF(F151:G151,"Fail")&gt;0,1,0))</f>
        <v/>
      </c>
      <c r="AA151" s="26">
        <f>IF(B151="","",IF(COUNTIF(H151:S151,"Fail")&gt;0,1,0))</f>
        <v/>
      </c>
      <c r="AB151" s="26">
        <f>IF(B151="","",IF(COUNTIF(T151:Y151,"Fail")&gt;0,1,0))</f>
        <v/>
      </c>
      <c r="AC151" s="27">
        <f>IF(B151="","",0.1*Z151+0.8*AA151+0.1*AB151)</f>
        <v/>
      </c>
      <c r="AD151" s="27">
        <f>IF(B151="","",IF(C151="Batch 1",0.3,0.2))</f>
        <v/>
      </c>
      <c r="AE151" s="19">
        <f>IF(B151="","",IF(AC151&lt;=AD151,"Đạt","Không đạt"))</f>
        <v/>
      </c>
      <c r="AF151" s="28" t="n"/>
    </row>
    <row r="152" ht="30" customHeight="1" s="36">
      <c r="A152" s="17" t="n">
        <v>150</v>
      </c>
      <c r="B152" s="18" t="n"/>
      <c r="C152" s="17" t="n"/>
      <c r="D152" s="17" t="n"/>
      <c r="E152" s="17" t="n"/>
      <c r="F152" s="26" t="n"/>
      <c r="G152" s="26" t="n"/>
      <c r="H152" s="26" t="n"/>
      <c r="I152" s="26" t="n"/>
      <c r="J152" s="26" t="n"/>
      <c r="K152" s="26" t="n"/>
      <c r="L152" s="26" t="n"/>
      <c r="M152" s="26" t="n"/>
      <c r="N152" s="26" t="n"/>
      <c r="O152" s="26" t="n"/>
      <c r="P152" s="26" t="n"/>
      <c r="Q152" s="26" t="n"/>
      <c r="R152" s="26" t="n"/>
      <c r="S152" s="26" t="n"/>
      <c r="T152" s="26" t="n"/>
      <c r="U152" s="26" t="n"/>
      <c r="V152" s="26" t="n"/>
      <c r="W152" s="26" t="n"/>
      <c r="X152" s="26" t="n"/>
      <c r="Y152" s="26" t="n"/>
      <c r="Z152" s="26">
        <f>IF(B152="","",IF(COUNTIF(F152:G152,"Fail")&gt;0,1,0))</f>
        <v/>
      </c>
      <c r="AA152" s="26">
        <f>IF(B152="","",IF(COUNTIF(H152:S152,"Fail")&gt;0,1,0))</f>
        <v/>
      </c>
      <c r="AB152" s="26">
        <f>IF(B152="","",IF(COUNTIF(T152:Y152,"Fail")&gt;0,1,0))</f>
        <v/>
      </c>
      <c r="AC152" s="27">
        <f>IF(B152="","",0.1*Z152+0.8*AA152+0.1*AB152)</f>
        <v/>
      </c>
      <c r="AD152" s="27">
        <f>IF(B152="","",IF(C152="Batch 1",0.3,0.2))</f>
        <v/>
      </c>
      <c r="AE152" s="19">
        <f>IF(B152="","",IF(AC152&lt;=AD152,"Đạt","Không đạt"))</f>
        <v/>
      </c>
      <c r="AF152" s="28" t="n"/>
    </row>
    <row r="153" ht="30" customHeight="1" s="36">
      <c r="A153" s="17" t="n">
        <v>151</v>
      </c>
      <c r="B153" s="18" t="n"/>
      <c r="C153" s="17" t="n"/>
      <c r="D153" s="17" t="n"/>
      <c r="E153" s="17" t="n"/>
      <c r="F153" s="26" t="n"/>
      <c r="G153" s="26" t="n"/>
      <c r="H153" s="26" t="n"/>
      <c r="I153" s="26" t="n"/>
      <c r="J153" s="26" t="n"/>
      <c r="K153" s="26" t="n"/>
      <c r="L153" s="26" t="n"/>
      <c r="M153" s="26" t="n"/>
      <c r="N153" s="26" t="n"/>
      <c r="O153" s="26" t="n"/>
      <c r="P153" s="26" t="n"/>
      <c r="Q153" s="26" t="n"/>
      <c r="R153" s="26" t="n"/>
      <c r="S153" s="26" t="n"/>
      <c r="T153" s="26" t="n"/>
      <c r="U153" s="26" t="n"/>
      <c r="V153" s="26" t="n"/>
      <c r="W153" s="26" t="n"/>
      <c r="X153" s="26" t="n"/>
      <c r="Y153" s="26" t="n"/>
      <c r="Z153" s="26">
        <f>IF(B153="","",IF(COUNTIF(F153:G153,"Fail")&gt;0,1,0))</f>
        <v/>
      </c>
      <c r="AA153" s="26">
        <f>IF(B153="","",IF(COUNTIF(H153:S153,"Fail")&gt;0,1,0))</f>
        <v/>
      </c>
      <c r="AB153" s="26">
        <f>IF(B153="","",IF(COUNTIF(T153:Y153,"Fail")&gt;0,1,0))</f>
        <v/>
      </c>
      <c r="AC153" s="27">
        <f>IF(B153="","",0.1*Z153+0.8*AA153+0.1*AB153)</f>
        <v/>
      </c>
      <c r="AD153" s="27">
        <f>IF(B153="","",IF(C153="Batch 1",0.3,0.2))</f>
        <v/>
      </c>
      <c r="AE153" s="19">
        <f>IF(B153="","",IF(AC153&lt;=AD153,"Đạt","Không đạt"))</f>
        <v/>
      </c>
      <c r="AF153" s="28" t="n"/>
    </row>
    <row r="154" ht="30" customHeight="1" s="36">
      <c r="A154" s="17" t="n">
        <v>152</v>
      </c>
      <c r="B154" s="18" t="n"/>
      <c r="C154" s="17" t="n"/>
      <c r="D154" s="17" t="n"/>
      <c r="E154" s="17" t="n"/>
      <c r="F154" s="26" t="n"/>
      <c r="G154" s="26" t="n"/>
      <c r="H154" s="26" t="n"/>
      <c r="I154" s="26" t="n"/>
      <c r="J154" s="26" t="n"/>
      <c r="K154" s="26" t="n"/>
      <c r="L154" s="26" t="n"/>
      <c r="M154" s="26" t="n"/>
      <c r="N154" s="26" t="n"/>
      <c r="O154" s="26" t="n"/>
      <c r="P154" s="26" t="n"/>
      <c r="Q154" s="26" t="n"/>
      <c r="R154" s="26" t="n"/>
      <c r="S154" s="26" t="n"/>
      <c r="T154" s="26" t="n"/>
      <c r="U154" s="26" t="n"/>
      <c r="V154" s="26" t="n"/>
      <c r="W154" s="26" t="n"/>
      <c r="X154" s="26" t="n"/>
      <c r="Y154" s="26" t="n"/>
      <c r="Z154" s="26">
        <f>IF(B154="","",IF(COUNTIF(F154:G154,"Fail")&gt;0,1,0))</f>
        <v/>
      </c>
      <c r="AA154" s="26">
        <f>IF(B154="","",IF(COUNTIF(H154:S154,"Fail")&gt;0,1,0))</f>
        <v/>
      </c>
      <c r="AB154" s="26">
        <f>IF(B154="","",IF(COUNTIF(T154:Y154,"Fail")&gt;0,1,0))</f>
        <v/>
      </c>
      <c r="AC154" s="27">
        <f>IF(B154="","",0.1*Z154+0.8*AA154+0.1*AB154)</f>
        <v/>
      </c>
      <c r="AD154" s="27">
        <f>IF(B154="","",IF(C154="Batch 1",0.3,0.2))</f>
        <v/>
      </c>
      <c r="AE154" s="19">
        <f>IF(B154="","",IF(AC154&lt;=AD154,"Đạt","Không đạt"))</f>
        <v/>
      </c>
      <c r="AF154" s="28" t="n"/>
    </row>
    <row r="155" ht="30" customHeight="1" s="36">
      <c r="A155" s="17" t="n">
        <v>153</v>
      </c>
      <c r="B155" s="18" t="n"/>
      <c r="C155" s="17" t="n"/>
      <c r="D155" s="17" t="n"/>
      <c r="E155" s="17" t="n"/>
      <c r="F155" s="26" t="n"/>
      <c r="G155" s="26" t="n"/>
      <c r="H155" s="26" t="n"/>
      <c r="I155" s="26" t="n"/>
      <c r="J155" s="26" t="n"/>
      <c r="K155" s="26" t="n"/>
      <c r="L155" s="26" t="n"/>
      <c r="M155" s="26" t="n"/>
      <c r="N155" s="26" t="n"/>
      <c r="O155" s="26" t="n"/>
      <c r="P155" s="26" t="n"/>
      <c r="Q155" s="26" t="n"/>
      <c r="R155" s="26" t="n"/>
      <c r="S155" s="26" t="n"/>
      <c r="T155" s="26" t="n"/>
      <c r="U155" s="26" t="n"/>
      <c r="V155" s="26" t="n"/>
      <c r="W155" s="26" t="n"/>
      <c r="X155" s="26" t="n"/>
      <c r="Y155" s="26" t="n"/>
      <c r="Z155" s="26">
        <f>IF(B155="","",IF(COUNTIF(F155:G155,"Fail")&gt;0,1,0))</f>
        <v/>
      </c>
      <c r="AA155" s="26">
        <f>IF(B155="","",IF(COUNTIF(H155:S155,"Fail")&gt;0,1,0))</f>
        <v/>
      </c>
      <c r="AB155" s="26">
        <f>IF(B155="","",IF(COUNTIF(T155:Y155,"Fail")&gt;0,1,0))</f>
        <v/>
      </c>
      <c r="AC155" s="27">
        <f>IF(B155="","",0.1*Z155+0.8*AA155+0.1*AB155)</f>
        <v/>
      </c>
      <c r="AD155" s="27">
        <f>IF(B155="","",IF(C155="Batch 1",0.3,0.2))</f>
        <v/>
      </c>
      <c r="AE155" s="19">
        <f>IF(B155="","",IF(AC155&lt;=AD155,"Đạt","Không đạt"))</f>
        <v/>
      </c>
      <c r="AF155" s="28" t="n"/>
    </row>
    <row r="156" ht="30" customHeight="1" s="36">
      <c r="A156" s="17" t="n">
        <v>154</v>
      </c>
      <c r="B156" s="18" t="n"/>
      <c r="C156" s="17" t="n"/>
      <c r="D156" s="17" t="n"/>
      <c r="E156" s="17" t="n"/>
      <c r="F156" s="26" t="n"/>
      <c r="G156" s="26" t="n"/>
      <c r="H156" s="26" t="n"/>
      <c r="I156" s="26" t="n"/>
      <c r="J156" s="26" t="n"/>
      <c r="K156" s="26" t="n"/>
      <c r="L156" s="26" t="n"/>
      <c r="M156" s="26" t="n"/>
      <c r="N156" s="26" t="n"/>
      <c r="O156" s="26" t="n"/>
      <c r="P156" s="26" t="n"/>
      <c r="Q156" s="26" t="n"/>
      <c r="R156" s="26" t="n"/>
      <c r="S156" s="26" t="n"/>
      <c r="T156" s="26" t="n"/>
      <c r="U156" s="26" t="n"/>
      <c r="V156" s="26" t="n"/>
      <c r="W156" s="26" t="n"/>
      <c r="X156" s="26" t="n"/>
      <c r="Y156" s="26" t="n"/>
      <c r="Z156" s="26">
        <f>IF(B156="","",IF(COUNTIF(F156:G156,"Fail")&gt;0,1,0))</f>
        <v/>
      </c>
      <c r="AA156" s="26">
        <f>IF(B156="","",IF(COUNTIF(H156:S156,"Fail")&gt;0,1,0))</f>
        <v/>
      </c>
      <c r="AB156" s="26">
        <f>IF(B156="","",IF(COUNTIF(T156:Y156,"Fail")&gt;0,1,0))</f>
        <v/>
      </c>
      <c r="AC156" s="27">
        <f>IF(B156="","",0.1*Z156+0.8*AA156+0.1*AB156)</f>
        <v/>
      </c>
      <c r="AD156" s="27">
        <f>IF(B156="","",IF(C156="Batch 1",0.3,0.2))</f>
        <v/>
      </c>
      <c r="AE156" s="19">
        <f>IF(B156="","",IF(AC156&lt;=AD156,"Đạt","Không đạt"))</f>
        <v/>
      </c>
      <c r="AF156" s="28" t="n"/>
    </row>
    <row r="157" ht="30" customHeight="1" s="36">
      <c r="A157" s="17" t="n">
        <v>155</v>
      </c>
      <c r="B157" s="18" t="n"/>
      <c r="C157" s="17" t="n"/>
      <c r="D157" s="17" t="n"/>
      <c r="E157" s="17" t="n"/>
      <c r="F157" s="26" t="n"/>
      <c r="G157" s="26" t="n"/>
      <c r="H157" s="26" t="n"/>
      <c r="I157" s="26" t="n"/>
      <c r="J157" s="26" t="n"/>
      <c r="K157" s="26" t="n"/>
      <c r="L157" s="26" t="n"/>
      <c r="M157" s="26" t="n"/>
      <c r="N157" s="26" t="n"/>
      <c r="O157" s="26" t="n"/>
      <c r="P157" s="26" t="n"/>
      <c r="Q157" s="26" t="n"/>
      <c r="R157" s="26" t="n"/>
      <c r="S157" s="26" t="n"/>
      <c r="T157" s="26" t="n"/>
      <c r="U157" s="26" t="n"/>
      <c r="V157" s="26" t="n"/>
      <c r="W157" s="26" t="n"/>
      <c r="X157" s="26" t="n"/>
      <c r="Y157" s="26" t="n"/>
      <c r="Z157" s="26">
        <f>IF(B157="","",IF(COUNTIF(F157:G157,"Fail")&gt;0,1,0))</f>
        <v/>
      </c>
      <c r="AA157" s="26">
        <f>IF(B157="","",IF(COUNTIF(H157:S157,"Fail")&gt;0,1,0))</f>
        <v/>
      </c>
      <c r="AB157" s="26">
        <f>IF(B157="","",IF(COUNTIF(T157:Y157,"Fail")&gt;0,1,0))</f>
        <v/>
      </c>
      <c r="AC157" s="27">
        <f>IF(B157="","",0.1*Z157+0.8*AA157+0.1*AB157)</f>
        <v/>
      </c>
      <c r="AD157" s="27">
        <f>IF(B157="","",IF(C157="Batch 1",0.3,0.2))</f>
        <v/>
      </c>
      <c r="AE157" s="19">
        <f>IF(B157="","",IF(AC157&lt;=AD157,"Đạt","Không đạt"))</f>
        <v/>
      </c>
      <c r="AF157" s="28" t="n"/>
    </row>
    <row r="158" ht="30" customHeight="1" s="36">
      <c r="A158" s="17" t="n">
        <v>156</v>
      </c>
      <c r="B158" s="18" t="n"/>
      <c r="C158" s="17" t="n"/>
      <c r="D158" s="17" t="n"/>
      <c r="E158" s="17" t="n"/>
      <c r="F158" s="26" t="n"/>
      <c r="G158" s="26" t="n"/>
      <c r="H158" s="26" t="n"/>
      <c r="I158" s="26" t="n"/>
      <c r="J158" s="26" t="n"/>
      <c r="K158" s="26" t="n"/>
      <c r="L158" s="26" t="n"/>
      <c r="M158" s="26" t="n"/>
      <c r="N158" s="26" t="n"/>
      <c r="O158" s="26" t="n"/>
      <c r="P158" s="26" t="n"/>
      <c r="Q158" s="26" t="n"/>
      <c r="R158" s="26" t="n"/>
      <c r="S158" s="26" t="n"/>
      <c r="T158" s="26" t="n"/>
      <c r="U158" s="26" t="n"/>
      <c r="V158" s="26" t="n"/>
      <c r="W158" s="26" t="n"/>
      <c r="X158" s="26" t="n"/>
      <c r="Y158" s="26" t="n"/>
      <c r="Z158" s="26">
        <f>IF(B158="","",IF(COUNTIF(F158:G158,"Fail")&gt;0,1,0))</f>
        <v/>
      </c>
      <c r="AA158" s="26">
        <f>IF(B158="","",IF(COUNTIF(H158:S158,"Fail")&gt;0,1,0))</f>
        <v/>
      </c>
      <c r="AB158" s="26">
        <f>IF(B158="","",IF(COUNTIF(T158:Y158,"Fail")&gt;0,1,0))</f>
        <v/>
      </c>
      <c r="AC158" s="27">
        <f>IF(B158="","",0.1*Z158+0.8*AA158+0.1*AB158)</f>
        <v/>
      </c>
      <c r="AD158" s="27">
        <f>IF(B158="","",IF(C158="Batch 1",0.3,0.2))</f>
        <v/>
      </c>
      <c r="AE158" s="19">
        <f>IF(B158="","",IF(AC158&lt;=AD158,"Đạt","Không đạt"))</f>
        <v/>
      </c>
      <c r="AF158" s="28" t="n"/>
    </row>
    <row r="159" ht="30" customHeight="1" s="36">
      <c r="A159" s="17" t="n">
        <v>157</v>
      </c>
      <c r="B159" s="18" t="n"/>
      <c r="C159" s="17" t="n"/>
      <c r="D159" s="17" t="n"/>
      <c r="E159" s="17" t="n"/>
      <c r="F159" s="26" t="n"/>
      <c r="G159" s="26" t="n"/>
      <c r="H159" s="26" t="n"/>
      <c r="I159" s="26" t="n"/>
      <c r="J159" s="26" t="n"/>
      <c r="K159" s="26" t="n"/>
      <c r="L159" s="26" t="n"/>
      <c r="M159" s="26" t="n"/>
      <c r="N159" s="26" t="n"/>
      <c r="O159" s="26" t="n"/>
      <c r="P159" s="26" t="n"/>
      <c r="Q159" s="26" t="n"/>
      <c r="R159" s="26" t="n"/>
      <c r="S159" s="26" t="n"/>
      <c r="T159" s="26" t="n"/>
      <c r="U159" s="26" t="n"/>
      <c r="V159" s="26" t="n"/>
      <c r="W159" s="26" t="n"/>
      <c r="X159" s="26" t="n"/>
      <c r="Y159" s="26" t="n"/>
      <c r="Z159" s="26">
        <f>IF(B159="","",IF(COUNTIF(F159:G159,"Fail")&gt;0,1,0))</f>
        <v/>
      </c>
      <c r="AA159" s="26">
        <f>IF(B159="","",IF(COUNTIF(H159:S159,"Fail")&gt;0,1,0))</f>
        <v/>
      </c>
      <c r="AB159" s="26">
        <f>IF(B159="","",IF(COUNTIF(T159:Y159,"Fail")&gt;0,1,0))</f>
        <v/>
      </c>
      <c r="AC159" s="27">
        <f>IF(B159="","",0.1*Z159+0.8*AA159+0.1*AB159)</f>
        <v/>
      </c>
      <c r="AD159" s="27">
        <f>IF(B159="","",IF(C159="Batch 1",0.3,0.2))</f>
        <v/>
      </c>
      <c r="AE159" s="19">
        <f>IF(B159="","",IF(AC159&lt;=AD159,"Đạt","Không đạt"))</f>
        <v/>
      </c>
      <c r="AF159" s="28" t="n"/>
    </row>
    <row r="160" ht="30" customHeight="1" s="36">
      <c r="A160" s="17" t="n">
        <v>158</v>
      </c>
      <c r="B160" s="18" t="n"/>
      <c r="C160" s="17" t="n"/>
      <c r="D160" s="17" t="n"/>
      <c r="E160" s="17" t="n"/>
      <c r="F160" s="26" t="n"/>
      <c r="G160" s="26" t="n"/>
      <c r="H160" s="26" t="n"/>
      <c r="I160" s="26" t="n"/>
      <c r="J160" s="26" t="n"/>
      <c r="K160" s="26" t="n"/>
      <c r="L160" s="26" t="n"/>
      <c r="M160" s="26" t="n"/>
      <c r="N160" s="26" t="n"/>
      <c r="O160" s="26" t="n"/>
      <c r="P160" s="26" t="n"/>
      <c r="Q160" s="26" t="n"/>
      <c r="R160" s="26" t="n"/>
      <c r="S160" s="26" t="n"/>
      <c r="T160" s="26" t="n"/>
      <c r="U160" s="26" t="n"/>
      <c r="V160" s="26" t="n"/>
      <c r="W160" s="26" t="n"/>
      <c r="X160" s="26" t="n"/>
      <c r="Y160" s="26" t="n"/>
      <c r="Z160" s="26">
        <f>IF(B160="","",IF(COUNTIF(F160:G160,"Fail")&gt;0,1,0))</f>
        <v/>
      </c>
      <c r="AA160" s="26">
        <f>IF(B160="","",IF(COUNTIF(H160:S160,"Fail")&gt;0,1,0))</f>
        <v/>
      </c>
      <c r="AB160" s="26">
        <f>IF(B160="","",IF(COUNTIF(T160:Y160,"Fail")&gt;0,1,0))</f>
        <v/>
      </c>
      <c r="AC160" s="27">
        <f>IF(B160="","",0.1*Z160+0.8*AA160+0.1*AB160)</f>
        <v/>
      </c>
      <c r="AD160" s="27">
        <f>IF(B160="","",IF(C160="Batch 1",0.3,0.2))</f>
        <v/>
      </c>
      <c r="AE160" s="19">
        <f>IF(B160="","",IF(AC160&lt;=AD160,"Đạt","Không đạt"))</f>
        <v/>
      </c>
      <c r="AF160" s="28" t="n"/>
    </row>
    <row r="161" ht="30" customHeight="1" s="36">
      <c r="A161" s="17" t="n">
        <v>159</v>
      </c>
      <c r="B161" s="18" t="n"/>
      <c r="C161" s="17" t="n"/>
      <c r="D161" s="17" t="n"/>
      <c r="E161" s="17" t="n"/>
      <c r="F161" s="26" t="n"/>
      <c r="G161" s="26" t="n"/>
      <c r="H161" s="26" t="n"/>
      <c r="I161" s="26" t="n"/>
      <c r="J161" s="26" t="n"/>
      <c r="K161" s="26" t="n"/>
      <c r="L161" s="26" t="n"/>
      <c r="M161" s="26" t="n"/>
      <c r="N161" s="26" t="n"/>
      <c r="O161" s="26" t="n"/>
      <c r="P161" s="26" t="n"/>
      <c r="Q161" s="26" t="n"/>
      <c r="R161" s="26" t="n"/>
      <c r="S161" s="26" t="n"/>
      <c r="T161" s="26" t="n"/>
      <c r="U161" s="26" t="n"/>
      <c r="V161" s="26" t="n"/>
      <c r="W161" s="26" t="n"/>
      <c r="X161" s="26" t="n"/>
      <c r="Y161" s="26" t="n"/>
      <c r="Z161" s="26">
        <f>IF(B161="","",IF(COUNTIF(F161:G161,"Fail")&gt;0,1,0))</f>
        <v/>
      </c>
      <c r="AA161" s="26">
        <f>IF(B161="","",IF(COUNTIF(H161:S161,"Fail")&gt;0,1,0))</f>
        <v/>
      </c>
      <c r="AB161" s="26">
        <f>IF(B161="","",IF(COUNTIF(T161:Y161,"Fail")&gt;0,1,0))</f>
        <v/>
      </c>
      <c r="AC161" s="27">
        <f>IF(B161="","",0.1*Z161+0.8*AA161+0.1*AB161)</f>
        <v/>
      </c>
      <c r="AD161" s="27">
        <f>IF(B161="","",IF(C161="Batch 1",0.3,0.2))</f>
        <v/>
      </c>
      <c r="AE161" s="19">
        <f>IF(B161="","",IF(AC161&lt;=AD161,"Đạt","Không đạt"))</f>
        <v/>
      </c>
      <c r="AF161" s="28" t="n"/>
    </row>
    <row r="162" ht="30" customHeight="1" s="36">
      <c r="A162" s="17" t="n">
        <v>160</v>
      </c>
      <c r="B162" s="18" t="n"/>
      <c r="C162" s="17" t="n"/>
      <c r="D162" s="17" t="n"/>
      <c r="E162" s="17" t="n"/>
      <c r="F162" s="26" t="n"/>
      <c r="G162" s="26" t="n"/>
      <c r="H162" s="26" t="n"/>
      <c r="I162" s="26" t="n"/>
      <c r="J162" s="26" t="n"/>
      <c r="K162" s="26" t="n"/>
      <c r="L162" s="26" t="n"/>
      <c r="M162" s="26" t="n"/>
      <c r="N162" s="26" t="n"/>
      <c r="O162" s="26" t="n"/>
      <c r="P162" s="26" t="n"/>
      <c r="Q162" s="26" t="n"/>
      <c r="R162" s="26" t="n"/>
      <c r="S162" s="26" t="n"/>
      <c r="T162" s="26" t="n"/>
      <c r="U162" s="26" t="n"/>
      <c r="V162" s="26" t="n"/>
      <c r="W162" s="26" t="n"/>
      <c r="X162" s="26" t="n"/>
      <c r="Y162" s="26" t="n"/>
      <c r="Z162" s="26">
        <f>IF(B162="","",IF(COUNTIF(F162:G162,"Fail")&gt;0,1,0))</f>
        <v/>
      </c>
      <c r="AA162" s="26">
        <f>IF(B162="","",IF(COUNTIF(H162:S162,"Fail")&gt;0,1,0))</f>
        <v/>
      </c>
      <c r="AB162" s="26">
        <f>IF(B162="","",IF(COUNTIF(T162:Y162,"Fail")&gt;0,1,0))</f>
        <v/>
      </c>
      <c r="AC162" s="27">
        <f>IF(B162="","",0.1*Z162+0.8*AA162+0.1*AB162)</f>
        <v/>
      </c>
      <c r="AD162" s="27">
        <f>IF(B162="","",IF(C162="Batch 1",0.3,0.2))</f>
        <v/>
      </c>
      <c r="AE162" s="19">
        <f>IF(B162="","",IF(AC162&lt;=AD162,"Đạt","Không đạt"))</f>
        <v/>
      </c>
      <c r="AF162" s="28" t="n"/>
    </row>
    <row r="163" ht="30" customHeight="1" s="36">
      <c r="A163" s="17" t="n">
        <v>161</v>
      </c>
      <c r="B163" s="18" t="n"/>
      <c r="C163" s="17" t="n"/>
      <c r="D163" s="17" t="n"/>
      <c r="E163" s="17" t="n"/>
      <c r="F163" s="26" t="n"/>
      <c r="G163" s="26" t="n"/>
      <c r="H163" s="26" t="n"/>
      <c r="I163" s="26" t="n"/>
      <c r="J163" s="26" t="n"/>
      <c r="K163" s="26" t="n"/>
      <c r="L163" s="26" t="n"/>
      <c r="M163" s="26" t="n"/>
      <c r="N163" s="26" t="n"/>
      <c r="O163" s="26" t="n"/>
      <c r="P163" s="26" t="n"/>
      <c r="Q163" s="26" t="n"/>
      <c r="R163" s="26" t="n"/>
      <c r="S163" s="26" t="n"/>
      <c r="T163" s="26" t="n"/>
      <c r="U163" s="26" t="n"/>
      <c r="V163" s="26" t="n"/>
      <c r="W163" s="26" t="n"/>
      <c r="X163" s="26" t="n"/>
      <c r="Y163" s="26" t="n"/>
      <c r="Z163" s="26">
        <f>IF(B163="","",IF(COUNTIF(F163:G163,"Fail")&gt;0,1,0))</f>
        <v/>
      </c>
      <c r="AA163" s="26">
        <f>IF(B163="","",IF(COUNTIF(H163:S163,"Fail")&gt;0,1,0))</f>
        <v/>
      </c>
      <c r="AB163" s="26">
        <f>IF(B163="","",IF(COUNTIF(T163:Y163,"Fail")&gt;0,1,0))</f>
        <v/>
      </c>
      <c r="AC163" s="27">
        <f>IF(B163="","",0.1*Z163+0.8*AA163+0.1*AB163)</f>
        <v/>
      </c>
      <c r="AD163" s="27">
        <f>IF(B163="","",IF(C163="Batch 1",0.3,0.2))</f>
        <v/>
      </c>
      <c r="AE163" s="19">
        <f>IF(B163="","",IF(AC163&lt;=AD163,"Đạt","Không đạt"))</f>
        <v/>
      </c>
      <c r="AF163" s="28" t="n"/>
    </row>
    <row r="164" ht="30" customHeight="1" s="36">
      <c r="A164" s="17" t="n">
        <v>162</v>
      </c>
      <c r="B164" s="18" t="n"/>
      <c r="C164" s="17" t="n"/>
      <c r="D164" s="17" t="n"/>
      <c r="E164" s="17" t="n"/>
      <c r="F164" s="26" t="n"/>
      <c r="G164" s="26" t="n"/>
      <c r="H164" s="26" t="n"/>
      <c r="I164" s="26" t="n"/>
      <c r="J164" s="26" t="n"/>
      <c r="K164" s="26" t="n"/>
      <c r="L164" s="26" t="n"/>
      <c r="M164" s="26" t="n"/>
      <c r="N164" s="26" t="n"/>
      <c r="O164" s="26" t="n"/>
      <c r="P164" s="26" t="n"/>
      <c r="Q164" s="26" t="n"/>
      <c r="R164" s="26" t="n"/>
      <c r="S164" s="26" t="n"/>
      <c r="T164" s="26" t="n"/>
      <c r="U164" s="26" t="n"/>
      <c r="V164" s="26" t="n"/>
      <c r="W164" s="26" t="n"/>
      <c r="X164" s="26" t="n"/>
      <c r="Y164" s="26" t="n"/>
      <c r="Z164" s="26">
        <f>IF(B164="","",IF(COUNTIF(F164:G164,"Fail")&gt;0,1,0))</f>
        <v/>
      </c>
      <c r="AA164" s="26">
        <f>IF(B164="","",IF(COUNTIF(H164:S164,"Fail")&gt;0,1,0))</f>
        <v/>
      </c>
      <c r="AB164" s="26">
        <f>IF(B164="","",IF(COUNTIF(T164:Y164,"Fail")&gt;0,1,0))</f>
        <v/>
      </c>
      <c r="AC164" s="27">
        <f>IF(B164="","",0.1*Z164+0.8*AA164+0.1*AB164)</f>
        <v/>
      </c>
      <c r="AD164" s="27">
        <f>IF(B164="","",IF(C164="Batch 1",0.3,0.2))</f>
        <v/>
      </c>
      <c r="AE164" s="19">
        <f>IF(B164="","",IF(AC164&lt;=AD164,"Đạt","Không đạt"))</f>
        <v/>
      </c>
      <c r="AF164" s="28" t="n"/>
    </row>
    <row r="165" ht="30" customHeight="1" s="36">
      <c r="A165" s="17" t="n">
        <v>163</v>
      </c>
      <c r="B165" s="18" t="n"/>
      <c r="C165" s="17" t="n"/>
      <c r="D165" s="17" t="n"/>
      <c r="E165" s="17" t="n"/>
      <c r="F165" s="26" t="n"/>
      <c r="G165" s="26" t="n"/>
      <c r="H165" s="26" t="n"/>
      <c r="I165" s="26" t="n"/>
      <c r="J165" s="26" t="n"/>
      <c r="K165" s="26" t="n"/>
      <c r="L165" s="26" t="n"/>
      <c r="M165" s="26" t="n"/>
      <c r="N165" s="26" t="n"/>
      <c r="O165" s="26" t="n"/>
      <c r="P165" s="26" t="n"/>
      <c r="Q165" s="26" t="n"/>
      <c r="R165" s="26" t="n"/>
      <c r="S165" s="26" t="n"/>
      <c r="T165" s="26" t="n"/>
      <c r="U165" s="26" t="n"/>
      <c r="V165" s="26" t="n"/>
      <c r="W165" s="26" t="n"/>
      <c r="X165" s="26" t="n"/>
      <c r="Y165" s="26" t="n"/>
      <c r="Z165" s="26">
        <f>IF(B165="","",IF(COUNTIF(F165:G165,"Fail")&gt;0,1,0))</f>
        <v/>
      </c>
      <c r="AA165" s="26">
        <f>IF(B165="","",IF(COUNTIF(H165:S165,"Fail")&gt;0,1,0))</f>
        <v/>
      </c>
      <c r="AB165" s="26">
        <f>IF(B165="","",IF(COUNTIF(T165:Y165,"Fail")&gt;0,1,0))</f>
        <v/>
      </c>
      <c r="AC165" s="27">
        <f>IF(B165="","",0.1*Z165+0.8*AA165+0.1*AB165)</f>
        <v/>
      </c>
      <c r="AD165" s="27">
        <f>IF(B165="","",IF(C165="Batch 1",0.3,0.2))</f>
        <v/>
      </c>
      <c r="AE165" s="19">
        <f>IF(B165="","",IF(AC165&lt;=AD165,"Đạt","Không đạt"))</f>
        <v/>
      </c>
      <c r="AF165" s="28" t="n"/>
    </row>
    <row r="166" ht="30" customHeight="1" s="36">
      <c r="A166" s="17" t="n">
        <v>164</v>
      </c>
      <c r="B166" s="18" t="n"/>
      <c r="C166" s="17" t="n"/>
      <c r="D166" s="17" t="n"/>
      <c r="E166" s="17" t="n"/>
      <c r="F166" s="26" t="n"/>
      <c r="G166" s="26" t="n"/>
      <c r="H166" s="26" t="n"/>
      <c r="I166" s="26" t="n"/>
      <c r="J166" s="26" t="n"/>
      <c r="K166" s="26" t="n"/>
      <c r="L166" s="26" t="n"/>
      <c r="M166" s="26" t="n"/>
      <c r="N166" s="26" t="n"/>
      <c r="O166" s="26" t="n"/>
      <c r="P166" s="26" t="n"/>
      <c r="Q166" s="26" t="n"/>
      <c r="R166" s="26" t="n"/>
      <c r="S166" s="26" t="n"/>
      <c r="T166" s="26" t="n"/>
      <c r="U166" s="26" t="n"/>
      <c r="V166" s="26" t="n"/>
      <c r="W166" s="26" t="n"/>
      <c r="X166" s="26" t="n"/>
      <c r="Y166" s="26" t="n"/>
      <c r="Z166" s="26">
        <f>IF(B166="","",IF(COUNTIF(F166:G166,"Fail")&gt;0,1,0))</f>
        <v/>
      </c>
      <c r="AA166" s="26">
        <f>IF(B166="","",IF(COUNTIF(H166:S166,"Fail")&gt;0,1,0))</f>
        <v/>
      </c>
      <c r="AB166" s="26">
        <f>IF(B166="","",IF(COUNTIF(T166:Y166,"Fail")&gt;0,1,0))</f>
        <v/>
      </c>
      <c r="AC166" s="27">
        <f>IF(B166="","",0.1*Z166+0.8*AA166+0.1*AB166)</f>
        <v/>
      </c>
      <c r="AD166" s="27">
        <f>IF(B166="","",IF(C166="Batch 1",0.3,0.2))</f>
        <v/>
      </c>
      <c r="AE166" s="19">
        <f>IF(B166="","",IF(AC166&lt;=AD166,"Đạt","Không đạt"))</f>
        <v/>
      </c>
      <c r="AF166" s="28" t="n"/>
    </row>
    <row r="167" ht="30" customHeight="1" s="36">
      <c r="A167" s="17" t="n">
        <v>165</v>
      </c>
      <c r="B167" s="18" t="n"/>
      <c r="C167" s="17" t="n"/>
      <c r="D167" s="17" t="n"/>
      <c r="E167" s="17" t="n"/>
      <c r="F167" s="26" t="n"/>
      <c r="G167" s="26" t="n"/>
      <c r="H167" s="26" t="n"/>
      <c r="I167" s="26" t="n"/>
      <c r="J167" s="26" t="n"/>
      <c r="K167" s="26" t="n"/>
      <c r="L167" s="26" t="n"/>
      <c r="M167" s="26" t="n"/>
      <c r="N167" s="26" t="n"/>
      <c r="O167" s="26" t="n"/>
      <c r="P167" s="26" t="n"/>
      <c r="Q167" s="26" t="n"/>
      <c r="R167" s="26" t="n"/>
      <c r="S167" s="26" t="n"/>
      <c r="T167" s="26" t="n"/>
      <c r="U167" s="26" t="n"/>
      <c r="V167" s="26" t="n"/>
      <c r="W167" s="26" t="n"/>
      <c r="X167" s="26" t="n"/>
      <c r="Y167" s="26" t="n"/>
      <c r="Z167" s="26">
        <f>IF(B167="","",IF(COUNTIF(F167:G167,"Fail")&gt;0,1,0))</f>
        <v/>
      </c>
      <c r="AA167" s="26">
        <f>IF(B167="","",IF(COUNTIF(H167:S167,"Fail")&gt;0,1,0))</f>
        <v/>
      </c>
      <c r="AB167" s="26">
        <f>IF(B167="","",IF(COUNTIF(T167:Y167,"Fail")&gt;0,1,0))</f>
        <v/>
      </c>
      <c r="AC167" s="27">
        <f>IF(B167="","",0.1*Z167+0.8*AA167+0.1*AB167)</f>
        <v/>
      </c>
      <c r="AD167" s="27">
        <f>IF(B167="","",IF(C167="Batch 1",0.3,0.2))</f>
        <v/>
      </c>
      <c r="AE167" s="19">
        <f>IF(B167="","",IF(AC167&lt;=AD167,"Đạt","Không đạt"))</f>
        <v/>
      </c>
      <c r="AF167" s="28" t="n"/>
    </row>
    <row r="168" ht="30" customHeight="1" s="36">
      <c r="A168" s="17" t="n">
        <v>166</v>
      </c>
      <c r="B168" s="18" t="n"/>
      <c r="C168" s="17" t="n"/>
      <c r="D168" s="17" t="n"/>
      <c r="E168" s="17" t="n"/>
      <c r="F168" s="26" t="n"/>
      <c r="G168" s="26" t="n"/>
      <c r="H168" s="26" t="n"/>
      <c r="I168" s="26" t="n"/>
      <c r="J168" s="26" t="n"/>
      <c r="K168" s="26" t="n"/>
      <c r="L168" s="26" t="n"/>
      <c r="M168" s="26" t="n"/>
      <c r="N168" s="26" t="n"/>
      <c r="O168" s="26" t="n"/>
      <c r="P168" s="26" t="n"/>
      <c r="Q168" s="26" t="n"/>
      <c r="R168" s="26" t="n"/>
      <c r="S168" s="26" t="n"/>
      <c r="T168" s="26" t="n"/>
      <c r="U168" s="26" t="n"/>
      <c r="V168" s="26" t="n"/>
      <c r="W168" s="26" t="n"/>
      <c r="X168" s="26" t="n"/>
      <c r="Y168" s="26" t="n"/>
      <c r="Z168" s="26">
        <f>IF(B168="","",IF(COUNTIF(F168:G168,"Fail")&gt;0,1,0))</f>
        <v/>
      </c>
      <c r="AA168" s="26">
        <f>IF(B168="","",IF(COUNTIF(H168:S168,"Fail")&gt;0,1,0))</f>
        <v/>
      </c>
      <c r="AB168" s="26">
        <f>IF(B168="","",IF(COUNTIF(T168:Y168,"Fail")&gt;0,1,0))</f>
        <v/>
      </c>
      <c r="AC168" s="27">
        <f>IF(B168="","",0.1*Z168+0.8*AA168+0.1*AB168)</f>
        <v/>
      </c>
      <c r="AD168" s="27">
        <f>IF(B168="","",IF(C168="Batch 1",0.3,0.2))</f>
        <v/>
      </c>
      <c r="AE168" s="19">
        <f>IF(B168="","",IF(AC168&lt;=AD168,"Đạt","Không đạt"))</f>
        <v/>
      </c>
      <c r="AF168" s="28" t="n"/>
    </row>
    <row r="169" ht="30" customHeight="1" s="36">
      <c r="A169" s="17" t="n">
        <v>167</v>
      </c>
      <c r="B169" s="18" t="n"/>
      <c r="C169" s="17" t="n"/>
      <c r="D169" s="17" t="n"/>
      <c r="E169" s="17" t="n"/>
      <c r="F169" s="26" t="n"/>
      <c r="G169" s="26" t="n"/>
      <c r="H169" s="26" t="n"/>
      <c r="I169" s="26" t="n"/>
      <c r="J169" s="26" t="n"/>
      <c r="K169" s="26" t="n"/>
      <c r="L169" s="26" t="n"/>
      <c r="M169" s="26" t="n"/>
      <c r="N169" s="26" t="n"/>
      <c r="O169" s="26" t="n"/>
      <c r="P169" s="26" t="n"/>
      <c r="Q169" s="26" t="n"/>
      <c r="R169" s="26" t="n"/>
      <c r="S169" s="26" t="n"/>
      <c r="T169" s="26" t="n"/>
      <c r="U169" s="26" t="n"/>
      <c r="V169" s="26" t="n"/>
      <c r="W169" s="26" t="n"/>
      <c r="X169" s="26" t="n"/>
      <c r="Y169" s="26" t="n"/>
      <c r="Z169" s="26">
        <f>IF(B169="","",IF(COUNTIF(F169:G169,"Fail")&gt;0,1,0))</f>
        <v/>
      </c>
      <c r="AA169" s="26">
        <f>IF(B169="","",IF(COUNTIF(H169:S169,"Fail")&gt;0,1,0))</f>
        <v/>
      </c>
      <c r="AB169" s="26">
        <f>IF(B169="","",IF(COUNTIF(T169:Y169,"Fail")&gt;0,1,0))</f>
        <v/>
      </c>
      <c r="AC169" s="27">
        <f>IF(B169="","",0.1*Z169+0.8*AA169+0.1*AB169)</f>
        <v/>
      </c>
      <c r="AD169" s="27">
        <f>IF(B169="","",IF(C169="Batch 1",0.3,0.2))</f>
        <v/>
      </c>
      <c r="AE169" s="19">
        <f>IF(B169="","",IF(AC169&lt;=AD169,"Đạt","Không đạt"))</f>
        <v/>
      </c>
      <c r="AF169" s="28" t="n"/>
    </row>
    <row r="170" ht="30" customHeight="1" s="36">
      <c r="A170" s="17" t="n">
        <v>168</v>
      </c>
      <c r="B170" s="18" t="n"/>
      <c r="C170" s="17" t="n"/>
      <c r="D170" s="17" t="n"/>
      <c r="E170" s="17" t="n"/>
      <c r="F170" s="26" t="n"/>
      <c r="G170" s="26" t="n"/>
      <c r="H170" s="26" t="n"/>
      <c r="I170" s="26" t="n"/>
      <c r="J170" s="26" t="n"/>
      <c r="K170" s="26" t="n"/>
      <c r="L170" s="26" t="n"/>
      <c r="M170" s="26" t="n"/>
      <c r="N170" s="26" t="n"/>
      <c r="O170" s="26" t="n"/>
      <c r="P170" s="26" t="n"/>
      <c r="Q170" s="26" t="n"/>
      <c r="R170" s="26" t="n"/>
      <c r="S170" s="26" t="n"/>
      <c r="T170" s="26" t="n"/>
      <c r="U170" s="26" t="n"/>
      <c r="V170" s="26" t="n"/>
      <c r="W170" s="26" t="n"/>
      <c r="X170" s="26" t="n"/>
      <c r="Y170" s="26" t="n"/>
      <c r="Z170" s="26">
        <f>IF(B170="","",IF(COUNTIF(F170:G170,"Fail")&gt;0,1,0))</f>
        <v/>
      </c>
      <c r="AA170" s="26">
        <f>IF(B170="","",IF(COUNTIF(H170:S170,"Fail")&gt;0,1,0))</f>
        <v/>
      </c>
      <c r="AB170" s="26">
        <f>IF(B170="","",IF(COUNTIF(T170:Y170,"Fail")&gt;0,1,0))</f>
        <v/>
      </c>
      <c r="AC170" s="27">
        <f>IF(B170="","",0.1*Z170+0.8*AA170+0.1*AB170)</f>
        <v/>
      </c>
      <c r="AD170" s="27">
        <f>IF(B170="","",IF(C170="Batch 1",0.3,0.2))</f>
        <v/>
      </c>
      <c r="AE170" s="19">
        <f>IF(B170="","",IF(AC170&lt;=AD170,"Đạt","Không đạt"))</f>
        <v/>
      </c>
      <c r="AF170" s="28" t="n"/>
    </row>
    <row r="171" ht="30" customHeight="1" s="36">
      <c r="A171" s="17" t="n">
        <v>169</v>
      </c>
      <c r="B171" s="18" t="n"/>
      <c r="C171" s="17" t="n"/>
      <c r="D171" s="17" t="n"/>
      <c r="E171" s="17" t="n"/>
      <c r="F171" s="26" t="n"/>
      <c r="G171" s="26" t="n"/>
      <c r="H171" s="26" t="n"/>
      <c r="I171" s="26" t="n"/>
      <c r="J171" s="26" t="n"/>
      <c r="K171" s="26" t="n"/>
      <c r="L171" s="26" t="n"/>
      <c r="M171" s="26" t="n"/>
      <c r="N171" s="26" t="n"/>
      <c r="O171" s="26" t="n"/>
      <c r="P171" s="26" t="n"/>
      <c r="Q171" s="26" t="n"/>
      <c r="R171" s="26" t="n"/>
      <c r="S171" s="26" t="n"/>
      <c r="T171" s="26" t="n"/>
      <c r="U171" s="26" t="n"/>
      <c r="V171" s="26" t="n"/>
      <c r="W171" s="26" t="n"/>
      <c r="X171" s="26" t="n"/>
      <c r="Y171" s="26" t="n"/>
      <c r="Z171" s="26">
        <f>IF(B171="","",IF(COUNTIF(F171:G171,"Fail")&gt;0,1,0))</f>
        <v/>
      </c>
      <c r="AA171" s="26">
        <f>IF(B171="","",IF(COUNTIF(H171:S171,"Fail")&gt;0,1,0))</f>
        <v/>
      </c>
      <c r="AB171" s="26">
        <f>IF(B171="","",IF(COUNTIF(T171:Y171,"Fail")&gt;0,1,0))</f>
        <v/>
      </c>
      <c r="AC171" s="27">
        <f>IF(B171="","",0.1*Z171+0.8*AA171+0.1*AB171)</f>
        <v/>
      </c>
      <c r="AD171" s="27">
        <f>IF(B171="","",IF(C171="Batch 1",0.3,0.2))</f>
        <v/>
      </c>
      <c r="AE171" s="19">
        <f>IF(B171="","",IF(AC171&lt;=AD171,"Đạt","Không đạt"))</f>
        <v/>
      </c>
      <c r="AF171" s="28" t="n"/>
    </row>
    <row r="172" ht="30" customHeight="1" s="36">
      <c r="A172" s="17" t="n">
        <v>170</v>
      </c>
      <c r="B172" s="18" t="n"/>
      <c r="C172" s="17" t="n"/>
      <c r="D172" s="17" t="n"/>
      <c r="E172" s="17" t="n"/>
      <c r="F172" s="26" t="n"/>
      <c r="G172" s="26" t="n"/>
      <c r="H172" s="26" t="n"/>
      <c r="I172" s="26" t="n"/>
      <c r="J172" s="26" t="n"/>
      <c r="K172" s="26" t="n"/>
      <c r="L172" s="26" t="n"/>
      <c r="M172" s="26" t="n"/>
      <c r="N172" s="26" t="n"/>
      <c r="O172" s="26" t="n"/>
      <c r="P172" s="26" t="n"/>
      <c r="Q172" s="26" t="n"/>
      <c r="R172" s="26" t="n"/>
      <c r="S172" s="26" t="n"/>
      <c r="T172" s="26" t="n"/>
      <c r="U172" s="26" t="n"/>
      <c r="V172" s="26" t="n"/>
      <c r="W172" s="26" t="n"/>
      <c r="X172" s="26" t="n"/>
      <c r="Y172" s="26" t="n"/>
      <c r="Z172" s="26">
        <f>IF(B172="","",IF(COUNTIF(F172:G172,"Fail")&gt;0,1,0))</f>
        <v/>
      </c>
      <c r="AA172" s="26">
        <f>IF(B172="","",IF(COUNTIF(H172:S172,"Fail")&gt;0,1,0))</f>
        <v/>
      </c>
      <c r="AB172" s="26">
        <f>IF(B172="","",IF(COUNTIF(T172:Y172,"Fail")&gt;0,1,0))</f>
        <v/>
      </c>
      <c r="AC172" s="27">
        <f>IF(B172="","",0.1*Z172+0.8*AA172+0.1*AB172)</f>
        <v/>
      </c>
      <c r="AD172" s="27">
        <f>IF(B172="","",IF(C172="Batch 1",0.3,0.2))</f>
        <v/>
      </c>
      <c r="AE172" s="19">
        <f>IF(B172="","",IF(AC172&lt;=AD172,"Đạt","Không đạt"))</f>
        <v/>
      </c>
      <c r="AF172" s="28" t="n"/>
    </row>
    <row r="173" ht="30" customHeight="1" s="36">
      <c r="A173" s="17" t="n">
        <v>171</v>
      </c>
      <c r="B173" s="18" t="n"/>
      <c r="C173" s="17" t="n"/>
      <c r="D173" s="17" t="n"/>
      <c r="E173" s="17" t="n"/>
      <c r="F173" s="26" t="n"/>
      <c r="G173" s="26" t="n"/>
      <c r="H173" s="26" t="n"/>
      <c r="I173" s="26" t="n"/>
      <c r="J173" s="26" t="n"/>
      <c r="K173" s="26" t="n"/>
      <c r="L173" s="26" t="n"/>
      <c r="M173" s="26" t="n"/>
      <c r="N173" s="26" t="n"/>
      <c r="O173" s="26" t="n"/>
      <c r="P173" s="26" t="n"/>
      <c r="Q173" s="26" t="n"/>
      <c r="R173" s="26" t="n"/>
      <c r="S173" s="26" t="n"/>
      <c r="T173" s="26" t="n"/>
      <c r="U173" s="26" t="n"/>
      <c r="V173" s="26" t="n"/>
      <c r="W173" s="26" t="n"/>
      <c r="X173" s="26" t="n"/>
      <c r="Y173" s="26" t="n"/>
      <c r="Z173" s="26">
        <f>IF(B173="","",IF(COUNTIF(F173:G173,"Fail")&gt;0,1,0))</f>
        <v/>
      </c>
      <c r="AA173" s="26">
        <f>IF(B173="","",IF(COUNTIF(H173:S173,"Fail")&gt;0,1,0))</f>
        <v/>
      </c>
      <c r="AB173" s="26">
        <f>IF(B173="","",IF(COUNTIF(T173:Y173,"Fail")&gt;0,1,0))</f>
        <v/>
      </c>
      <c r="AC173" s="27">
        <f>IF(B173="","",0.1*Z173+0.8*AA173+0.1*AB173)</f>
        <v/>
      </c>
      <c r="AD173" s="27">
        <f>IF(B173="","",IF(C173="Batch 1",0.3,0.2))</f>
        <v/>
      </c>
      <c r="AE173" s="19">
        <f>IF(B173="","",IF(AC173&lt;=AD173,"Đạt","Không đạt"))</f>
        <v/>
      </c>
      <c r="AF173" s="28" t="n"/>
    </row>
    <row r="174" ht="30" customHeight="1" s="36">
      <c r="A174" s="17" t="n">
        <v>172</v>
      </c>
      <c r="B174" s="18" t="n"/>
      <c r="C174" s="17" t="n"/>
      <c r="D174" s="17" t="n"/>
      <c r="E174" s="17" t="n"/>
      <c r="F174" s="26" t="n"/>
      <c r="G174" s="26" t="n"/>
      <c r="H174" s="26" t="n"/>
      <c r="I174" s="26" t="n"/>
      <c r="J174" s="26" t="n"/>
      <c r="K174" s="26" t="n"/>
      <c r="L174" s="26" t="n"/>
      <c r="M174" s="26" t="n"/>
      <c r="N174" s="26" t="n"/>
      <c r="O174" s="26" t="n"/>
      <c r="P174" s="26" t="n"/>
      <c r="Q174" s="26" t="n"/>
      <c r="R174" s="26" t="n"/>
      <c r="S174" s="26" t="n"/>
      <c r="T174" s="26" t="n"/>
      <c r="U174" s="26" t="n"/>
      <c r="V174" s="26" t="n"/>
      <c r="W174" s="26" t="n"/>
      <c r="X174" s="26" t="n"/>
      <c r="Y174" s="26" t="n"/>
      <c r="Z174" s="26">
        <f>IF(B174="","",IF(COUNTIF(F174:G174,"Fail")&gt;0,1,0))</f>
        <v/>
      </c>
      <c r="AA174" s="26">
        <f>IF(B174="","",IF(COUNTIF(H174:S174,"Fail")&gt;0,1,0))</f>
        <v/>
      </c>
      <c r="AB174" s="26">
        <f>IF(B174="","",IF(COUNTIF(T174:Y174,"Fail")&gt;0,1,0))</f>
        <v/>
      </c>
      <c r="AC174" s="27">
        <f>IF(B174="","",0.1*Z174+0.8*AA174+0.1*AB174)</f>
        <v/>
      </c>
      <c r="AD174" s="27">
        <f>IF(B174="","",IF(C174="Batch 1",0.3,0.2))</f>
        <v/>
      </c>
      <c r="AE174" s="19">
        <f>IF(B174="","",IF(AC174&lt;=AD174,"Đạt","Không đạt"))</f>
        <v/>
      </c>
      <c r="AF174" s="28" t="n"/>
    </row>
    <row r="175" ht="30" customHeight="1" s="36">
      <c r="A175" s="17" t="n">
        <v>173</v>
      </c>
      <c r="B175" s="18" t="n"/>
      <c r="C175" s="17" t="n"/>
      <c r="D175" s="17" t="n"/>
      <c r="E175" s="17" t="n"/>
      <c r="F175" s="26" t="n"/>
      <c r="G175" s="26" t="n"/>
      <c r="H175" s="26" t="n"/>
      <c r="I175" s="26" t="n"/>
      <c r="J175" s="26" t="n"/>
      <c r="K175" s="26" t="n"/>
      <c r="L175" s="26" t="n"/>
      <c r="M175" s="26" t="n"/>
      <c r="N175" s="26" t="n"/>
      <c r="O175" s="26" t="n"/>
      <c r="P175" s="26" t="n"/>
      <c r="Q175" s="26" t="n"/>
      <c r="R175" s="26" t="n"/>
      <c r="S175" s="26" t="n"/>
      <c r="T175" s="26" t="n"/>
      <c r="U175" s="26" t="n"/>
      <c r="V175" s="26" t="n"/>
      <c r="W175" s="26" t="n"/>
      <c r="X175" s="26" t="n"/>
      <c r="Y175" s="26" t="n"/>
      <c r="Z175" s="26">
        <f>IF(B175="","",IF(COUNTIF(F175:G175,"Fail")&gt;0,1,0))</f>
        <v/>
      </c>
      <c r="AA175" s="26">
        <f>IF(B175="","",IF(COUNTIF(H175:S175,"Fail")&gt;0,1,0))</f>
        <v/>
      </c>
      <c r="AB175" s="26">
        <f>IF(B175="","",IF(COUNTIF(T175:Y175,"Fail")&gt;0,1,0))</f>
        <v/>
      </c>
      <c r="AC175" s="27">
        <f>IF(B175="","",0.1*Z175+0.8*AA175+0.1*AB175)</f>
        <v/>
      </c>
      <c r="AD175" s="27">
        <f>IF(B175="","",IF(C175="Batch 1",0.3,0.2))</f>
        <v/>
      </c>
      <c r="AE175" s="19">
        <f>IF(B175="","",IF(AC175&lt;=AD175,"Đạt","Không đạt"))</f>
        <v/>
      </c>
      <c r="AF175" s="28" t="n"/>
    </row>
    <row r="176" ht="30" customHeight="1" s="36">
      <c r="A176" s="17" t="n">
        <v>174</v>
      </c>
      <c r="B176" s="18" t="n"/>
      <c r="C176" s="17" t="n"/>
      <c r="D176" s="17" t="n"/>
      <c r="E176" s="17" t="n"/>
      <c r="F176" s="26" t="n"/>
      <c r="G176" s="26" t="n"/>
      <c r="H176" s="26" t="n"/>
      <c r="I176" s="26" t="n"/>
      <c r="J176" s="26" t="n"/>
      <c r="K176" s="26" t="n"/>
      <c r="L176" s="26" t="n"/>
      <c r="M176" s="26" t="n"/>
      <c r="N176" s="26" t="n"/>
      <c r="O176" s="26" t="n"/>
      <c r="P176" s="26" t="n"/>
      <c r="Q176" s="26" t="n"/>
      <c r="R176" s="26" t="n"/>
      <c r="S176" s="26" t="n"/>
      <c r="T176" s="26" t="n"/>
      <c r="U176" s="26" t="n"/>
      <c r="V176" s="26" t="n"/>
      <c r="W176" s="26" t="n"/>
      <c r="X176" s="26" t="n"/>
      <c r="Y176" s="26" t="n"/>
      <c r="Z176" s="26">
        <f>IF(B176="","",IF(COUNTIF(F176:G176,"Fail")&gt;0,1,0))</f>
        <v/>
      </c>
      <c r="AA176" s="26">
        <f>IF(B176="","",IF(COUNTIF(H176:S176,"Fail")&gt;0,1,0))</f>
        <v/>
      </c>
      <c r="AB176" s="26">
        <f>IF(B176="","",IF(COUNTIF(T176:Y176,"Fail")&gt;0,1,0))</f>
        <v/>
      </c>
      <c r="AC176" s="27">
        <f>IF(B176="","",0.1*Z176+0.8*AA176+0.1*AB176)</f>
        <v/>
      </c>
      <c r="AD176" s="27">
        <f>IF(B176="","",IF(C176="Batch 1",0.3,0.2))</f>
        <v/>
      </c>
      <c r="AE176" s="19">
        <f>IF(B176="","",IF(AC176&lt;=AD176,"Đạt","Không đạt"))</f>
        <v/>
      </c>
      <c r="AF176" s="28" t="n"/>
    </row>
    <row r="177" ht="30" customHeight="1" s="36">
      <c r="A177" s="17" t="n">
        <v>175</v>
      </c>
      <c r="B177" s="18" t="n"/>
      <c r="C177" s="17" t="n"/>
      <c r="D177" s="17" t="n"/>
      <c r="E177" s="17" t="n"/>
      <c r="F177" s="26" t="n"/>
      <c r="G177" s="26" t="n"/>
      <c r="H177" s="26" t="n"/>
      <c r="I177" s="26" t="n"/>
      <c r="J177" s="26" t="n"/>
      <c r="K177" s="26" t="n"/>
      <c r="L177" s="26" t="n"/>
      <c r="M177" s="26" t="n"/>
      <c r="N177" s="26" t="n"/>
      <c r="O177" s="26" t="n"/>
      <c r="P177" s="26" t="n"/>
      <c r="Q177" s="26" t="n"/>
      <c r="R177" s="26" t="n"/>
      <c r="S177" s="26" t="n"/>
      <c r="T177" s="26" t="n"/>
      <c r="U177" s="26" t="n"/>
      <c r="V177" s="26" t="n"/>
      <c r="W177" s="26" t="n"/>
      <c r="X177" s="26" t="n"/>
      <c r="Y177" s="26" t="n"/>
      <c r="Z177" s="26">
        <f>IF(B177="","",IF(COUNTIF(F177:G177,"Fail")&gt;0,1,0))</f>
        <v/>
      </c>
      <c r="AA177" s="26">
        <f>IF(B177="","",IF(COUNTIF(H177:S177,"Fail")&gt;0,1,0))</f>
        <v/>
      </c>
      <c r="AB177" s="26">
        <f>IF(B177="","",IF(COUNTIF(T177:Y177,"Fail")&gt;0,1,0))</f>
        <v/>
      </c>
      <c r="AC177" s="27">
        <f>IF(B177="","",0.1*Z177+0.8*AA177+0.1*AB177)</f>
        <v/>
      </c>
      <c r="AD177" s="27">
        <f>IF(B177="","",IF(C177="Batch 1",0.3,0.2))</f>
        <v/>
      </c>
      <c r="AE177" s="19">
        <f>IF(B177="","",IF(AC177&lt;=AD177,"Đạt","Không đạt"))</f>
        <v/>
      </c>
      <c r="AF177" s="28" t="n"/>
    </row>
    <row r="178" ht="30" customHeight="1" s="36">
      <c r="A178" s="17" t="n">
        <v>176</v>
      </c>
      <c r="B178" s="18" t="n"/>
      <c r="C178" s="17" t="n"/>
      <c r="D178" s="17" t="n"/>
      <c r="E178" s="17" t="n"/>
      <c r="F178" s="26" t="n"/>
      <c r="G178" s="26" t="n"/>
      <c r="H178" s="26" t="n"/>
      <c r="I178" s="26" t="n"/>
      <c r="J178" s="26" t="n"/>
      <c r="K178" s="26" t="n"/>
      <c r="L178" s="26" t="n"/>
      <c r="M178" s="26" t="n"/>
      <c r="N178" s="26" t="n"/>
      <c r="O178" s="26" t="n"/>
      <c r="P178" s="26" t="n"/>
      <c r="Q178" s="26" t="n"/>
      <c r="R178" s="26" t="n"/>
      <c r="S178" s="26" t="n"/>
      <c r="T178" s="26" t="n"/>
      <c r="U178" s="26" t="n"/>
      <c r="V178" s="26" t="n"/>
      <c r="W178" s="26" t="n"/>
      <c r="X178" s="26" t="n"/>
      <c r="Y178" s="26" t="n"/>
      <c r="Z178" s="26">
        <f>IF(B178="","",IF(COUNTIF(F178:G178,"Fail")&gt;0,1,0))</f>
        <v/>
      </c>
      <c r="AA178" s="26">
        <f>IF(B178="","",IF(COUNTIF(H178:S178,"Fail")&gt;0,1,0))</f>
        <v/>
      </c>
      <c r="AB178" s="26">
        <f>IF(B178="","",IF(COUNTIF(T178:Y178,"Fail")&gt;0,1,0))</f>
        <v/>
      </c>
      <c r="AC178" s="27">
        <f>IF(B178="","",0.1*Z178+0.8*AA178+0.1*AB178)</f>
        <v/>
      </c>
      <c r="AD178" s="27">
        <f>IF(B178="","",IF(C178="Batch 1",0.3,0.2))</f>
        <v/>
      </c>
      <c r="AE178" s="19">
        <f>IF(B178="","",IF(AC178&lt;=AD178,"Đạt","Không đạt"))</f>
        <v/>
      </c>
      <c r="AF178" s="28" t="n"/>
    </row>
    <row r="179" ht="30" customHeight="1" s="36">
      <c r="A179" s="17" t="n">
        <v>177</v>
      </c>
      <c r="B179" s="18" t="n"/>
      <c r="C179" s="17" t="n"/>
      <c r="D179" s="17" t="n"/>
      <c r="E179" s="17" t="n"/>
      <c r="F179" s="26" t="n"/>
      <c r="G179" s="26" t="n"/>
      <c r="H179" s="26" t="n"/>
      <c r="I179" s="26" t="n"/>
      <c r="J179" s="26" t="n"/>
      <c r="K179" s="26" t="n"/>
      <c r="L179" s="26" t="n"/>
      <c r="M179" s="26" t="n"/>
      <c r="N179" s="26" t="n"/>
      <c r="O179" s="26" t="n"/>
      <c r="P179" s="26" t="n"/>
      <c r="Q179" s="26" t="n"/>
      <c r="R179" s="26" t="n"/>
      <c r="S179" s="26" t="n"/>
      <c r="T179" s="26" t="n"/>
      <c r="U179" s="26" t="n"/>
      <c r="V179" s="26" t="n"/>
      <c r="W179" s="26" t="n"/>
      <c r="X179" s="26" t="n"/>
      <c r="Y179" s="26" t="n"/>
      <c r="Z179" s="26">
        <f>IF(B179="","",IF(COUNTIF(F179:G179,"Fail")&gt;0,1,0))</f>
        <v/>
      </c>
      <c r="AA179" s="26">
        <f>IF(B179="","",IF(COUNTIF(H179:S179,"Fail")&gt;0,1,0))</f>
        <v/>
      </c>
      <c r="AB179" s="26">
        <f>IF(B179="","",IF(COUNTIF(T179:Y179,"Fail")&gt;0,1,0))</f>
        <v/>
      </c>
      <c r="AC179" s="27">
        <f>IF(B179="","",0.1*Z179+0.8*AA179+0.1*AB179)</f>
        <v/>
      </c>
      <c r="AD179" s="27">
        <f>IF(B179="","",IF(C179="Batch 1",0.3,0.2))</f>
        <v/>
      </c>
      <c r="AE179" s="19">
        <f>IF(B179="","",IF(AC179&lt;=AD179,"Đạt","Không đạt"))</f>
        <v/>
      </c>
      <c r="AF179" s="28" t="n"/>
    </row>
    <row r="180" ht="30" customHeight="1" s="36">
      <c r="A180" s="17" t="n">
        <v>178</v>
      </c>
      <c r="B180" s="18" t="n"/>
      <c r="C180" s="17" t="n"/>
      <c r="D180" s="17" t="n"/>
      <c r="E180" s="17" t="n"/>
      <c r="F180" s="26" t="n"/>
      <c r="G180" s="26" t="n"/>
      <c r="H180" s="26" t="n"/>
      <c r="I180" s="26" t="n"/>
      <c r="J180" s="26" t="n"/>
      <c r="K180" s="26" t="n"/>
      <c r="L180" s="26" t="n"/>
      <c r="M180" s="26" t="n"/>
      <c r="N180" s="26" t="n"/>
      <c r="O180" s="26" t="n"/>
      <c r="P180" s="26" t="n"/>
      <c r="Q180" s="26" t="n"/>
      <c r="R180" s="26" t="n"/>
      <c r="S180" s="26" t="n"/>
      <c r="T180" s="26" t="n"/>
      <c r="U180" s="26" t="n"/>
      <c r="V180" s="26" t="n"/>
      <c r="W180" s="26" t="n"/>
      <c r="X180" s="26" t="n"/>
      <c r="Y180" s="26" t="n"/>
      <c r="Z180" s="26">
        <f>IF(B180="","",IF(COUNTIF(F180:G180,"Fail")&gt;0,1,0))</f>
        <v/>
      </c>
      <c r="AA180" s="26">
        <f>IF(B180="","",IF(COUNTIF(H180:S180,"Fail")&gt;0,1,0))</f>
        <v/>
      </c>
      <c r="AB180" s="26">
        <f>IF(B180="","",IF(COUNTIF(T180:Y180,"Fail")&gt;0,1,0))</f>
        <v/>
      </c>
      <c r="AC180" s="27">
        <f>IF(B180="","",0.1*Z180+0.8*AA180+0.1*AB180)</f>
        <v/>
      </c>
      <c r="AD180" s="27">
        <f>IF(B180="","",IF(C180="Batch 1",0.3,0.2))</f>
        <v/>
      </c>
      <c r="AE180" s="19">
        <f>IF(B180="","",IF(AC180&lt;=AD180,"Đạt","Không đạt"))</f>
        <v/>
      </c>
      <c r="AF180" s="28" t="n"/>
    </row>
    <row r="181" ht="30" customHeight="1" s="36">
      <c r="A181" s="17" t="n">
        <v>179</v>
      </c>
      <c r="B181" s="18" t="n"/>
      <c r="C181" s="17" t="n"/>
      <c r="D181" s="17" t="n"/>
      <c r="E181" s="17" t="n"/>
      <c r="F181" s="26" t="n"/>
      <c r="G181" s="26" t="n"/>
      <c r="H181" s="26" t="n"/>
      <c r="I181" s="26" t="n"/>
      <c r="J181" s="26" t="n"/>
      <c r="K181" s="26" t="n"/>
      <c r="L181" s="26" t="n"/>
      <c r="M181" s="26" t="n"/>
      <c r="N181" s="26" t="n"/>
      <c r="O181" s="26" t="n"/>
      <c r="P181" s="26" t="n"/>
      <c r="Q181" s="26" t="n"/>
      <c r="R181" s="26" t="n"/>
      <c r="S181" s="26" t="n"/>
      <c r="T181" s="26" t="n"/>
      <c r="U181" s="26" t="n"/>
      <c r="V181" s="26" t="n"/>
      <c r="W181" s="26" t="n"/>
      <c r="X181" s="26" t="n"/>
      <c r="Y181" s="26" t="n"/>
      <c r="Z181" s="26">
        <f>IF(B181="","",IF(COUNTIF(F181:G181,"Fail")&gt;0,1,0))</f>
        <v/>
      </c>
      <c r="AA181" s="26">
        <f>IF(B181="","",IF(COUNTIF(H181:S181,"Fail")&gt;0,1,0))</f>
        <v/>
      </c>
      <c r="AB181" s="26">
        <f>IF(B181="","",IF(COUNTIF(T181:Y181,"Fail")&gt;0,1,0))</f>
        <v/>
      </c>
      <c r="AC181" s="27">
        <f>IF(B181="","",0.1*Z181+0.8*AA181+0.1*AB181)</f>
        <v/>
      </c>
      <c r="AD181" s="27">
        <f>IF(B181="","",IF(C181="Batch 1",0.3,0.2))</f>
        <v/>
      </c>
      <c r="AE181" s="19">
        <f>IF(B181="","",IF(AC181&lt;=AD181,"Đạt","Không đạt"))</f>
        <v/>
      </c>
      <c r="AF181" s="28" t="n"/>
    </row>
    <row r="182" ht="30" customHeight="1" s="36">
      <c r="A182" s="17" t="n">
        <v>180</v>
      </c>
      <c r="B182" s="18" t="n"/>
      <c r="C182" s="17" t="n"/>
      <c r="D182" s="17" t="n"/>
      <c r="E182" s="17" t="n"/>
      <c r="F182" s="26" t="n"/>
      <c r="G182" s="26" t="n"/>
      <c r="H182" s="26" t="n"/>
      <c r="I182" s="26" t="n"/>
      <c r="J182" s="26" t="n"/>
      <c r="K182" s="26" t="n"/>
      <c r="L182" s="26" t="n"/>
      <c r="M182" s="26" t="n"/>
      <c r="N182" s="26" t="n"/>
      <c r="O182" s="26" t="n"/>
      <c r="P182" s="26" t="n"/>
      <c r="Q182" s="26" t="n"/>
      <c r="R182" s="26" t="n"/>
      <c r="S182" s="26" t="n"/>
      <c r="T182" s="26" t="n"/>
      <c r="U182" s="26" t="n"/>
      <c r="V182" s="26" t="n"/>
      <c r="W182" s="26" t="n"/>
      <c r="X182" s="26" t="n"/>
      <c r="Y182" s="26" t="n"/>
      <c r="Z182" s="26">
        <f>IF(B182="","",IF(COUNTIF(F182:G182,"Fail")&gt;0,1,0))</f>
        <v/>
      </c>
      <c r="AA182" s="26">
        <f>IF(B182="","",IF(COUNTIF(H182:S182,"Fail")&gt;0,1,0))</f>
        <v/>
      </c>
      <c r="AB182" s="26">
        <f>IF(B182="","",IF(COUNTIF(T182:Y182,"Fail")&gt;0,1,0))</f>
        <v/>
      </c>
      <c r="AC182" s="27">
        <f>IF(B182="","",0.1*Z182+0.8*AA182+0.1*AB182)</f>
        <v/>
      </c>
      <c r="AD182" s="27">
        <f>IF(B182="","",IF(C182="Batch 1",0.3,0.2))</f>
        <v/>
      </c>
      <c r="AE182" s="19">
        <f>IF(B182="","",IF(AC182&lt;=AD182,"Đạt","Không đạt"))</f>
        <v/>
      </c>
      <c r="AF182" s="28" t="n"/>
    </row>
    <row r="183" ht="30" customHeight="1" s="36">
      <c r="A183" s="17" t="n">
        <v>181</v>
      </c>
      <c r="B183" s="18" t="n"/>
      <c r="C183" s="17" t="n"/>
      <c r="D183" s="17" t="n"/>
      <c r="E183" s="17" t="n"/>
      <c r="F183" s="26" t="n"/>
      <c r="G183" s="26" t="n"/>
      <c r="H183" s="26" t="n"/>
      <c r="I183" s="26" t="n"/>
      <c r="J183" s="26" t="n"/>
      <c r="K183" s="26" t="n"/>
      <c r="L183" s="26" t="n"/>
      <c r="M183" s="26" t="n"/>
      <c r="N183" s="26" t="n"/>
      <c r="O183" s="26" t="n"/>
      <c r="P183" s="26" t="n"/>
      <c r="Q183" s="26" t="n"/>
      <c r="R183" s="26" t="n"/>
      <c r="S183" s="26" t="n"/>
      <c r="T183" s="26" t="n"/>
      <c r="U183" s="26" t="n"/>
      <c r="V183" s="26" t="n"/>
      <c r="W183" s="26" t="n"/>
      <c r="X183" s="26" t="n"/>
      <c r="Y183" s="26" t="n"/>
      <c r="Z183" s="26">
        <f>IF(B183="","",IF(COUNTIF(F183:G183,"Fail")&gt;0,1,0))</f>
        <v/>
      </c>
      <c r="AA183" s="26">
        <f>IF(B183="","",IF(COUNTIF(H183:S183,"Fail")&gt;0,1,0))</f>
        <v/>
      </c>
      <c r="AB183" s="26">
        <f>IF(B183="","",IF(COUNTIF(T183:Y183,"Fail")&gt;0,1,0))</f>
        <v/>
      </c>
      <c r="AC183" s="27">
        <f>IF(B183="","",0.1*Z183+0.8*AA183+0.1*AB183)</f>
        <v/>
      </c>
      <c r="AD183" s="27">
        <f>IF(B183="","",IF(C183="Batch 1",0.3,0.2))</f>
        <v/>
      </c>
      <c r="AE183" s="19">
        <f>IF(B183="","",IF(AC183&lt;=AD183,"Đạt","Không đạt"))</f>
        <v/>
      </c>
      <c r="AF183" s="28" t="n"/>
    </row>
    <row r="184" ht="30" customHeight="1" s="36">
      <c r="A184" s="17" t="n">
        <v>182</v>
      </c>
      <c r="B184" s="18" t="n"/>
      <c r="C184" s="17" t="n"/>
      <c r="D184" s="17" t="n"/>
      <c r="E184" s="17" t="n"/>
      <c r="F184" s="26" t="n"/>
      <c r="G184" s="26" t="n"/>
      <c r="H184" s="26" t="n"/>
      <c r="I184" s="26" t="n"/>
      <c r="J184" s="26" t="n"/>
      <c r="K184" s="26" t="n"/>
      <c r="L184" s="26" t="n"/>
      <c r="M184" s="26" t="n"/>
      <c r="N184" s="26" t="n"/>
      <c r="O184" s="26" t="n"/>
      <c r="P184" s="26" t="n"/>
      <c r="Q184" s="26" t="n"/>
      <c r="R184" s="26" t="n"/>
      <c r="S184" s="26" t="n"/>
      <c r="T184" s="26" t="n"/>
      <c r="U184" s="26" t="n"/>
      <c r="V184" s="26" t="n"/>
      <c r="W184" s="26" t="n"/>
      <c r="X184" s="26" t="n"/>
      <c r="Y184" s="26" t="n"/>
      <c r="Z184" s="26">
        <f>IF(B184="","",IF(COUNTIF(F184:G184,"Fail")&gt;0,1,0))</f>
        <v/>
      </c>
      <c r="AA184" s="26">
        <f>IF(B184="","",IF(COUNTIF(H184:S184,"Fail")&gt;0,1,0))</f>
        <v/>
      </c>
      <c r="AB184" s="26">
        <f>IF(B184="","",IF(COUNTIF(T184:Y184,"Fail")&gt;0,1,0))</f>
        <v/>
      </c>
      <c r="AC184" s="27">
        <f>IF(B184="","",0.1*Z184+0.8*AA184+0.1*AB184)</f>
        <v/>
      </c>
      <c r="AD184" s="27">
        <f>IF(B184="","",IF(C184="Batch 1",0.3,0.2))</f>
        <v/>
      </c>
      <c r="AE184" s="19">
        <f>IF(B184="","",IF(AC184&lt;=AD184,"Đạt","Không đạt"))</f>
        <v/>
      </c>
      <c r="AF184" s="28" t="n"/>
    </row>
    <row r="185" ht="30" customHeight="1" s="36">
      <c r="A185" s="17" t="n">
        <v>183</v>
      </c>
      <c r="B185" s="18" t="n"/>
      <c r="C185" s="17" t="n"/>
      <c r="D185" s="17" t="n"/>
      <c r="E185" s="17" t="n"/>
      <c r="F185" s="26" t="n"/>
      <c r="G185" s="26" t="n"/>
      <c r="H185" s="26" t="n"/>
      <c r="I185" s="26" t="n"/>
      <c r="J185" s="26" t="n"/>
      <c r="K185" s="26" t="n"/>
      <c r="L185" s="26" t="n"/>
      <c r="M185" s="26" t="n"/>
      <c r="N185" s="26" t="n"/>
      <c r="O185" s="26" t="n"/>
      <c r="P185" s="26" t="n"/>
      <c r="Q185" s="26" t="n"/>
      <c r="R185" s="26" t="n"/>
      <c r="S185" s="26" t="n"/>
      <c r="T185" s="26" t="n"/>
      <c r="U185" s="26" t="n"/>
      <c r="V185" s="26" t="n"/>
      <c r="W185" s="26" t="n"/>
      <c r="X185" s="26" t="n"/>
      <c r="Y185" s="26" t="n"/>
      <c r="Z185" s="26">
        <f>IF(B185="","",IF(COUNTIF(F185:G185,"Fail")&gt;0,1,0))</f>
        <v/>
      </c>
      <c r="AA185" s="26">
        <f>IF(B185="","",IF(COUNTIF(H185:S185,"Fail")&gt;0,1,0))</f>
        <v/>
      </c>
      <c r="AB185" s="26">
        <f>IF(B185="","",IF(COUNTIF(T185:Y185,"Fail")&gt;0,1,0))</f>
        <v/>
      </c>
      <c r="AC185" s="27">
        <f>IF(B185="","",0.1*Z185+0.8*AA185+0.1*AB185)</f>
        <v/>
      </c>
      <c r="AD185" s="27">
        <f>IF(B185="","",IF(C185="Batch 1",0.3,0.2))</f>
        <v/>
      </c>
      <c r="AE185" s="19">
        <f>IF(B185="","",IF(AC185&lt;=AD185,"Đạt","Không đạt"))</f>
        <v/>
      </c>
      <c r="AF185" s="28" t="n"/>
    </row>
    <row r="186" ht="30" customHeight="1" s="36">
      <c r="A186" s="17" t="n">
        <v>184</v>
      </c>
      <c r="B186" s="18" t="n"/>
      <c r="C186" s="17" t="n"/>
      <c r="D186" s="17" t="n"/>
      <c r="E186" s="17" t="n"/>
      <c r="F186" s="26" t="n"/>
      <c r="G186" s="26" t="n"/>
      <c r="H186" s="26" t="n"/>
      <c r="I186" s="26" t="n"/>
      <c r="J186" s="26" t="n"/>
      <c r="K186" s="26" t="n"/>
      <c r="L186" s="26" t="n"/>
      <c r="M186" s="26" t="n"/>
      <c r="N186" s="26" t="n"/>
      <c r="O186" s="26" t="n"/>
      <c r="P186" s="26" t="n"/>
      <c r="Q186" s="26" t="n"/>
      <c r="R186" s="26" t="n"/>
      <c r="S186" s="26" t="n"/>
      <c r="T186" s="26" t="n"/>
      <c r="U186" s="26" t="n"/>
      <c r="V186" s="26" t="n"/>
      <c r="W186" s="26" t="n"/>
      <c r="X186" s="26" t="n"/>
      <c r="Y186" s="26" t="n"/>
      <c r="Z186" s="26">
        <f>IF(B186="","",IF(COUNTIF(F186:G186,"Fail")&gt;0,1,0))</f>
        <v/>
      </c>
      <c r="AA186" s="26">
        <f>IF(B186="","",IF(COUNTIF(H186:S186,"Fail")&gt;0,1,0))</f>
        <v/>
      </c>
      <c r="AB186" s="26">
        <f>IF(B186="","",IF(COUNTIF(T186:Y186,"Fail")&gt;0,1,0))</f>
        <v/>
      </c>
      <c r="AC186" s="27">
        <f>IF(B186="","",0.1*Z186+0.8*AA186+0.1*AB186)</f>
        <v/>
      </c>
      <c r="AD186" s="27">
        <f>IF(B186="","",IF(C186="Batch 1",0.3,0.2))</f>
        <v/>
      </c>
      <c r="AE186" s="19">
        <f>IF(B186="","",IF(AC186&lt;=AD186,"Đạt","Không đạt"))</f>
        <v/>
      </c>
      <c r="AF186" s="28" t="n"/>
    </row>
    <row r="187" ht="30" customHeight="1" s="36">
      <c r="A187" s="17" t="n">
        <v>185</v>
      </c>
      <c r="B187" s="18" t="n"/>
      <c r="C187" s="17" t="n"/>
      <c r="D187" s="17" t="n"/>
      <c r="E187" s="17" t="n"/>
      <c r="F187" s="26" t="n"/>
      <c r="G187" s="26" t="n"/>
      <c r="H187" s="26" t="n"/>
      <c r="I187" s="26" t="n"/>
      <c r="J187" s="26" t="n"/>
      <c r="K187" s="26" t="n"/>
      <c r="L187" s="26" t="n"/>
      <c r="M187" s="26" t="n"/>
      <c r="N187" s="26" t="n"/>
      <c r="O187" s="26" t="n"/>
      <c r="P187" s="26" t="n"/>
      <c r="Q187" s="26" t="n"/>
      <c r="R187" s="26" t="n"/>
      <c r="S187" s="26" t="n"/>
      <c r="T187" s="26" t="n"/>
      <c r="U187" s="26" t="n"/>
      <c r="V187" s="26" t="n"/>
      <c r="W187" s="26" t="n"/>
      <c r="X187" s="26" t="n"/>
      <c r="Y187" s="26" t="n"/>
      <c r="Z187" s="26">
        <f>IF(B187="","",IF(COUNTIF(F187:G187,"Fail")&gt;0,1,0))</f>
        <v/>
      </c>
      <c r="AA187" s="26">
        <f>IF(B187="","",IF(COUNTIF(H187:S187,"Fail")&gt;0,1,0))</f>
        <v/>
      </c>
      <c r="AB187" s="26">
        <f>IF(B187="","",IF(COUNTIF(T187:Y187,"Fail")&gt;0,1,0))</f>
        <v/>
      </c>
      <c r="AC187" s="27">
        <f>IF(B187="","",0.1*Z187+0.8*AA187+0.1*AB187)</f>
        <v/>
      </c>
      <c r="AD187" s="27">
        <f>IF(B187="","",IF(C187="Batch 1",0.3,0.2))</f>
        <v/>
      </c>
      <c r="AE187" s="19">
        <f>IF(B187="","",IF(AC187&lt;=AD187,"Đạt","Không đạt"))</f>
        <v/>
      </c>
      <c r="AF187" s="28" t="n"/>
    </row>
    <row r="188" ht="30" customHeight="1" s="36">
      <c r="A188" s="17" t="n">
        <v>186</v>
      </c>
      <c r="B188" s="18" t="n"/>
      <c r="C188" s="17" t="n"/>
      <c r="D188" s="17" t="n"/>
      <c r="E188" s="17" t="n"/>
      <c r="F188" s="26" t="n"/>
      <c r="G188" s="26" t="n"/>
      <c r="H188" s="26" t="n"/>
      <c r="I188" s="26" t="n"/>
      <c r="J188" s="26" t="n"/>
      <c r="K188" s="26" t="n"/>
      <c r="L188" s="26" t="n"/>
      <c r="M188" s="26" t="n"/>
      <c r="N188" s="26" t="n"/>
      <c r="O188" s="26" t="n"/>
      <c r="P188" s="26" t="n"/>
      <c r="Q188" s="26" t="n"/>
      <c r="R188" s="26" t="n"/>
      <c r="S188" s="26" t="n"/>
      <c r="T188" s="26" t="n"/>
      <c r="U188" s="26" t="n"/>
      <c r="V188" s="26" t="n"/>
      <c r="W188" s="26" t="n"/>
      <c r="X188" s="26" t="n"/>
      <c r="Y188" s="26" t="n"/>
      <c r="Z188" s="26">
        <f>IF(B188="","",IF(COUNTIF(F188:G188,"Fail")&gt;0,1,0))</f>
        <v/>
      </c>
      <c r="AA188" s="26">
        <f>IF(B188="","",IF(COUNTIF(H188:S188,"Fail")&gt;0,1,0))</f>
        <v/>
      </c>
      <c r="AB188" s="26">
        <f>IF(B188="","",IF(COUNTIF(T188:Y188,"Fail")&gt;0,1,0))</f>
        <v/>
      </c>
      <c r="AC188" s="27">
        <f>IF(B188="","",0.1*Z188+0.8*AA188+0.1*AB188)</f>
        <v/>
      </c>
      <c r="AD188" s="27">
        <f>IF(B188="","",IF(C188="Batch 1",0.3,0.2))</f>
        <v/>
      </c>
      <c r="AE188" s="19">
        <f>IF(B188="","",IF(AC188&lt;=AD188,"Đạt","Không đạt"))</f>
        <v/>
      </c>
      <c r="AF188" s="28" t="n"/>
    </row>
    <row r="189" ht="30" customHeight="1" s="36">
      <c r="A189" s="17" t="n">
        <v>187</v>
      </c>
      <c r="B189" s="18" t="n"/>
      <c r="C189" s="17" t="n"/>
      <c r="D189" s="17" t="n"/>
      <c r="E189" s="17" t="n"/>
      <c r="F189" s="26" t="n"/>
      <c r="G189" s="26" t="n"/>
      <c r="H189" s="26" t="n"/>
      <c r="I189" s="26" t="n"/>
      <c r="J189" s="26" t="n"/>
      <c r="K189" s="26" t="n"/>
      <c r="L189" s="26" t="n"/>
      <c r="M189" s="26" t="n"/>
      <c r="N189" s="26" t="n"/>
      <c r="O189" s="26" t="n"/>
      <c r="P189" s="26" t="n"/>
      <c r="Q189" s="26" t="n"/>
      <c r="R189" s="26" t="n"/>
      <c r="S189" s="26" t="n"/>
      <c r="T189" s="26" t="n"/>
      <c r="U189" s="26" t="n"/>
      <c r="V189" s="26" t="n"/>
      <c r="W189" s="26" t="n"/>
      <c r="X189" s="26" t="n"/>
      <c r="Y189" s="26" t="n"/>
      <c r="Z189" s="26">
        <f>IF(B189="","",IF(COUNTIF(F189:G189,"Fail")&gt;0,1,0))</f>
        <v/>
      </c>
      <c r="AA189" s="26">
        <f>IF(B189="","",IF(COUNTIF(H189:S189,"Fail")&gt;0,1,0))</f>
        <v/>
      </c>
      <c r="AB189" s="26">
        <f>IF(B189="","",IF(COUNTIF(T189:Y189,"Fail")&gt;0,1,0))</f>
        <v/>
      </c>
      <c r="AC189" s="27">
        <f>IF(B189="","",0.1*Z189+0.8*AA189+0.1*AB189)</f>
        <v/>
      </c>
      <c r="AD189" s="27">
        <f>IF(B189="","",IF(C189="Batch 1",0.3,0.2))</f>
        <v/>
      </c>
      <c r="AE189" s="19">
        <f>IF(B189="","",IF(AC189&lt;=AD189,"Đạt","Không đạt"))</f>
        <v/>
      </c>
      <c r="AF189" s="28" t="n"/>
    </row>
    <row r="190" ht="30" customHeight="1" s="36">
      <c r="A190" s="17" t="n">
        <v>188</v>
      </c>
      <c r="B190" s="18" t="n"/>
      <c r="C190" s="17" t="n"/>
      <c r="D190" s="17" t="n"/>
      <c r="E190" s="17" t="n"/>
      <c r="F190" s="26" t="n"/>
      <c r="G190" s="26" t="n"/>
      <c r="H190" s="26" t="n"/>
      <c r="I190" s="26" t="n"/>
      <c r="J190" s="26" t="n"/>
      <c r="K190" s="26" t="n"/>
      <c r="L190" s="26" t="n"/>
      <c r="M190" s="26" t="n"/>
      <c r="N190" s="26" t="n"/>
      <c r="O190" s="26" t="n"/>
      <c r="P190" s="26" t="n"/>
      <c r="Q190" s="26" t="n"/>
      <c r="R190" s="26" t="n"/>
      <c r="S190" s="26" t="n"/>
      <c r="T190" s="26" t="n"/>
      <c r="U190" s="26" t="n"/>
      <c r="V190" s="26" t="n"/>
      <c r="W190" s="26" t="n"/>
      <c r="X190" s="26" t="n"/>
      <c r="Y190" s="26" t="n"/>
      <c r="Z190" s="26">
        <f>IF(B190="","",IF(COUNTIF(F190:G190,"Fail")&gt;0,1,0))</f>
        <v/>
      </c>
      <c r="AA190" s="26">
        <f>IF(B190="","",IF(COUNTIF(H190:S190,"Fail")&gt;0,1,0))</f>
        <v/>
      </c>
      <c r="AB190" s="26">
        <f>IF(B190="","",IF(COUNTIF(T190:Y190,"Fail")&gt;0,1,0))</f>
        <v/>
      </c>
      <c r="AC190" s="27">
        <f>IF(B190="","",0.1*Z190+0.8*AA190+0.1*AB190)</f>
        <v/>
      </c>
      <c r="AD190" s="27">
        <f>IF(B190="","",IF(C190="Batch 1",0.3,0.2))</f>
        <v/>
      </c>
      <c r="AE190" s="19">
        <f>IF(B190="","",IF(AC190&lt;=AD190,"Đạt","Không đạt"))</f>
        <v/>
      </c>
      <c r="AF190" s="28" t="n"/>
    </row>
    <row r="191" ht="30" customHeight="1" s="36">
      <c r="A191" s="17" t="n">
        <v>189</v>
      </c>
      <c r="B191" s="18" t="n"/>
      <c r="C191" s="17" t="n"/>
      <c r="D191" s="17" t="n"/>
      <c r="E191" s="17" t="n"/>
      <c r="F191" s="26" t="n"/>
      <c r="G191" s="26" t="n"/>
      <c r="H191" s="26" t="n"/>
      <c r="I191" s="26" t="n"/>
      <c r="J191" s="26" t="n"/>
      <c r="K191" s="26" t="n"/>
      <c r="L191" s="26" t="n"/>
      <c r="M191" s="26" t="n"/>
      <c r="N191" s="26" t="n"/>
      <c r="O191" s="26" t="n"/>
      <c r="P191" s="26" t="n"/>
      <c r="Q191" s="26" t="n"/>
      <c r="R191" s="26" t="n"/>
      <c r="S191" s="26" t="n"/>
      <c r="T191" s="26" t="n"/>
      <c r="U191" s="26" t="n"/>
      <c r="V191" s="26" t="n"/>
      <c r="W191" s="26" t="n"/>
      <c r="X191" s="26" t="n"/>
      <c r="Y191" s="26" t="n"/>
      <c r="Z191" s="26">
        <f>IF(B191="","",IF(COUNTIF(F191:G191,"Fail")&gt;0,1,0))</f>
        <v/>
      </c>
      <c r="AA191" s="26">
        <f>IF(B191="","",IF(COUNTIF(H191:S191,"Fail")&gt;0,1,0))</f>
        <v/>
      </c>
      <c r="AB191" s="26">
        <f>IF(B191="","",IF(COUNTIF(T191:Y191,"Fail")&gt;0,1,0))</f>
        <v/>
      </c>
      <c r="AC191" s="27">
        <f>IF(B191="","",0.1*Z191+0.8*AA191+0.1*AB191)</f>
        <v/>
      </c>
      <c r="AD191" s="27">
        <f>IF(B191="","",IF(C191="Batch 1",0.3,0.2))</f>
        <v/>
      </c>
      <c r="AE191" s="19">
        <f>IF(B191="","",IF(AC191&lt;=AD191,"Đạt","Không đạt"))</f>
        <v/>
      </c>
      <c r="AF191" s="28" t="n"/>
    </row>
    <row r="192" ht="30" customHeight="1" s="36">
      <c r="A192" s="17" t="n">
        <v>190</v>
      </c>
      <c r="B192" s="18" t="n"/>
      <c r="C192" s="17" t="n"/>
      <c r="D192" s="17" t="n"/>
      <c r="E192" s="17" t="n"/>
      <c r="F192" s="26" t="n"/>
      <c r="G192" s="26" t="n"/>
      <c r="H192" s="26" t="n"/>
      <c r="I192" s="26" t="n"/>
      <c r="J192" s="26" t="n"/>
      <c r="K192" s="26" t="n"/>
      <c r="L192" s="26" t="n"/>
      <c r="M192" s="26" t="n"/>
      <c r="N192" s="26" t="n"/>
      <c r="O192" s="26" t="n"/>
      <c r="P192" s="26" t="n"/>
      <c r="Q192" s="26" t="n"/>
      <c r="R192" s="26" t="n"/>
      <c r="S192" s="26" t="n"/>
      <c r="T192" s="26" t="n"/>
      <c r="U192" s="26" t="n"/>
      <c r="V192" s="26" t="n"/>
      <c r="W192" s="26" t="n"/>
      <c r="X192" s="26" t="n"/>
      <c r="Y192" s="26" t="n"/>
      <c r="Z192" s="26">
        <f>IF(B192="","",IF(COUNTIF(F192:G192,"Fail")&gt;0,1,0))</f>
        <v/>
      </c>
      <c r="AA192" s="26">
        <f>IF(B192="","",IF(COUNTIF(H192:S192,"Fail")&gt;0,1,0))</f>
        <v/>
      </c>
      <c r="AB192" s="26">
        <f>IF(B192="","",IF(COUNTIF(T192:Y192,"Fail")&gt;0,1,0))</f>
        <v/>
      </c>
      <c r="AC192" s="27">
        <f>IF(B192="","",0.1*Z192+0.8*AA192+0.1*AB192)</f>
        <v/>
      </c>
      <c r="AD192" s="27">
        <f>IF(B192="","",IF(C192="Batch 1",0.3,0.2))</f>
        <v/>
      </c>
      <c r="AE192" s="19">
        <f>IF(B192="","",IF(AC192&lt;=AD192,"Đạt","Không đạt"))</f>
        <v/>
      </c>
      <c r="AF192" s="28" t="n"/>
    </row>
    <row r="193" ht="30" customHeight="1" s="36">
      <c r="A193" s="17" t="n">
        <v>191</v>
      </c>
      <c r="B193" s="18" t="n"/>
      <c r="C193" s="17" t="n"/>
      <c r="D193" s="17" t="n"/>
      <c r="E193" s="17" t="n"/>
      <c r="F193" s="26" t="n"/>
      <c r="G193" s="26" t="n"/>
      <c r="H193" s="26" t="n"/>
      <c r="I193" s="26" t="n"/>
      <c r="J193" s="26" t="n"/>
      <c r="K193" s="26" t="n"/>
      <c r="L193" s="26" t="n"/>
      <c r="M193" s="26" t="n"/>
      <c r="N193" s="26" t="n"/>
      <c r="O193" s="26" t="n"/>
      <c r="P193" s="26" t="n"/>
      <c r="Q193" s="26" t="n"/>
      <c r="R193" s="26" t="n"/>
      <c r="S193" s="26" t="n"/>
      <c r="T193" s="26" t="n"/>
      <c r="U193" s="26" t="n"/>
      <c r="V193" s="26" t="n"/>
      <c r="W193" s="26" t="n"/>
      <c r="X193" s="26" t="n"/>
      <c r="Y193" s="26" t="n"/>
      <c r="Z193" s="26">
        <f>IF(B193="","",IF(COUNTIF(F193:G193,"Fail")&gt;0,1,0))</f>
        <v/>
      </c>
      <c r="AA193" s="26">
        <f>IF(B193="","",IF(COUNTIF(H193:S193,"Fail")&gt;0,1,0))</f>
        <v/>
      </c>
      <c r="AB193" s="26">
        <f>IF(B193="","",IF(COUNTIF(T193:Y193,"Fail")&gt;0,1,0))</f>
        <v/>
      </c>
      <c r="AC193" s="27">
        <f>IF(B193="","",0.1*Z193+0.8*AA193+0.1*AB193)</f>
        <v/>
      </c>
      <c r="AD193" s="27">
        <f>IF(B193="","",IF(C193="Batch 1",0.3,0.2))</f>
        <v/>
      </c>
      <c r="AE193" s="19">
        <f>IF(B193="","",IF(AC193&lt;=AD193,"Đạt","Không đạt"))</f>
        <v/>
      </c>
      <c r="AF193" s="28" t="n"/>
    </row>
    <row r="194" ht="30" customHeight="1" s="36">
      <c r="A194" s="17" t="n">
        <v>192</v>
      </c>
      <c r="B194" s="18" t="n"/>
      <c r="C194" s="17" t="n"/>
      <c r="D194" s="17" t="n"/>
      <c r="E194" s="17" t="n"/>
      <c r="F194" s="26" t="n"/>
      <c r="G194" s="26" t="n"/>
      <c r="H194" s="26" t="n"/>
      <c r="I194" s="26" t="n"/>
      <c r="J194" s="26" t="n"/>
      <c r="K194" s="26" t="n"/>
      <c r="L194" s="26" t="n"/>
      <c r="M194" s="26" t="n"/>
      <c r="N194" s="26" t="n"/>
      <c r="O194" s="26" t="n"/>
      <c r="P194" s="26" t="n"/>
      <c r="Q194" s="26" t="n"/>
      <c r="R194" s="26" t="n"/>
      <c r="S194" s="26" t="n"/>
      <c r="T194" s="26" t="n"/>
      <c r="U194" s="26" t="n"/>
      <c r="V194" s="26" t="n"/>
      <c r="W194" s="26" t="n"/>
      <c r="X194" s="26" t="n"/>
      <c r="Y194" s="26" t="n"/>
      <c r="Z194" s="26">
        <f>IF(B194="","",IF(COUNTIF(F194:G194,"Fail")&gt;0,1,0))</f>
        <v/>
      </c>
      <c r="AA194" s="26">
        <f>IF(B194="","",IF(COUNTIF(H194:S194,"Fail")&gt;0,1,0))</f>
        <v/>
      </c>
      <c r="AB194" s="26">
        <f>IF(B194="","",IF(COUNTIF(T194:Y194,"Fail")&gt;0,1,0))</f>
        <v/>
      </c>
      <c r="AC194" s="27">
        <f>IF(B194="","",0.1*Z194+0.8*AA194+0.1*AB194)</f>
        <v/>
      </c>
      <c r="AD194" s="27">
        <f>IF(B194="","",IF(C194="Batch 1",0.3,0.2))</f>
        <v/>
      </c>
      <c r="AE194" s="19">
        <f>IF(B194="","",IF(AC194&lt;=AD194,"Đạt","Không đạt"))</f>
        <v/>
      </c>
      <c r="AF194" s="28" t="n"/>
    </row>
    <row r="195" ht="30" customHeight="1" s="36">
      <c r="A195" s="17" t="n">
        <v>193</v>
      </c>
      <c r="B195" s="18" t="n"/>
      <c r="C195" s="17" t="n"/>
      <c r="D195" s="17" t="n"/>
      <c r="E195" s="17" t="n"/>
      <c r="F195" s="26" t="n"/>
      <c r="G195" s="26" t="n"/>
      <c r="H195" s="26" t="n"/>
      <c r="I195" s="26" t="n"/>
      <c r="J195" s="26" t="n"/>
      <c r="K195" s="26" t="n"/>
      <c r="L195" s="26" t="n"/>
      <c r="M195" s="26" t="n"/>
      <c r="N195" s="26" t="n"/>
      <c r="O195" s="26" t="n"/>
      <c r="P195" s="26" t="n"/>
      <c r="Q195" s="26" t="n"/>
      <c r="R195" s="26" t="n"/>
      <c r="S195" s="26" t="n"/>
      <c r="T195" s="26" t="n"/>
      <c r="U195" s="26" t="n"/>
      <c r="V195" s="26" t="n"/>
      <c r="W195" s="26" t="n"/>
      <c r="X195" s="26" t="n"/>
      <c r="Y195" s="26" t="n"/>
      <c r="Z195" s="26">
        <f>IF(B195="","",IF(COUNTIF(F195:G195,"Fail")&gt;0,1,0))</f>
        <v/>
      </c>
      <c r="AA195" s="26">
        <f>IF(B195="","",IF(COUNTIF(H195:S195,"Fail")&gt;0,1,0))</f>
        <v/>
      </c>
      <c r="AB195" s="26">
        <f>IF(B195="","",IF(COUNTIF(T195:Y195,"Fail")&gt;0,1,0))</f>
        <v/>
      </c>
      <c r="AC195" s="27">
        <f>IF(B195="","",0.1*Z195+0.8*AA195+0.1*AB195)</f>
        <v/>
      </c>
      <c r="AD195" s="27">
        <f>IF(B195="","",IF(C195="Batch 1",0.3,0.2))</f>
        <v/>
      </c>
      <c r="AE195" s="19">
        <f>IF(B195="","",IF(AC195&lt;=AD195,"Đạt","Không đạt"))</f>
        <v/>
      </c>
      <c r="AF195" s="28" t="n"/>
    </row>
    <row r="196" ht="30" customHeight="1" s="36">
      <c r="A196" s="17" t="n">
        <v>194</v>
      </c>
      <c r="B196" s="18" t="n"/>
      <c r="C196" s="17" t="n"/>
      <c r="D196" s="17" t="n"/>
      <c r="E196" s="17" t="n"/>
      <c r="F196" s="26" t="n"/>
      <c r="G196" s="26" t="n"/>
      <c r="H196" s="26" t="n"/>
      <c r="I196" s="26" t="n"/>
      <c r="J196" s="26" t="n"/>
      <c r="K196" s="26" t="n"/>
      <c r="L196" s="26" t="n"/>
      <c r="M196" s="26" t="n"/>
      <c r="N196" s="26" t="n"/>
      <c r="O196" s="26" t="n"/>
      <c r="P196" s="26" t="n"/>
      <c r="Q196" s="26" t="n"/>
      <c r="R196" s="26" t="n"/>
      <c r="S196" s="26" t="n"/>
      <c r="T196" s="26" t="n"/>
      <c r="U196" s="26" t="n"/>
      <c r="V196" s="26" t="n"/>
      <c r="W196" s="26" t="n"/>
      <c r="X196" s="26" t="n"/>
      <c r="Y196" s="26" t="n"/>
      <c r="Z196" s="26">
        <f>IF(B196="","",IF(COUNTIF(F196:G196,"Fail")&gt;0,1,0))</f>
        <v/>
      </c>
      <c r="AA196" s="26">
        <f>IF(B196="","",IF(COUNTIF(H196:S196,"Fail")&gt;0,1,0))</f>
        <v/>
      </c>
      <c r="AB196" s="26">
        <f>IF(B196="","",IF(COUNTIF(T196:Y196,"Fail")&gt;0,1,0))</f>
        <v/>
      </c>
      <c r="AC196" s="27">
        <f>IF(B196="","",0.1*Z196+0.8*AA196+0.1*AB196)</f>
        <v/>
      </c>
      <c r="AD196" s="27">
        <f>IF(B196="","",IF(C196="Batch 1",0.3,0.2))</f>
        <v/>
      </c>
      <c r="AE196" s="19">
        <f>IF(B196="","",IF(AC196&lt;=AD196,"Đạt","Không đạt"))</f>
        <v/>
      </c>
      <c r="AF196" s="28" t="n"/>
    </row>
    <row r="197" ht="30" customHeight="1" s="36">
      <c r="A197" s="17" t="n">
        <v>195</v>
      </c>
      <c r="B197" s="18" t="n"/>
      <c r="C197" s="17" t="n"/>
      <c r="D197" s="17" t="n"/>
      <c r="E197" s="17" t="n"/>
      <c r="F197" s="26" t="n"/>
      <c r="G197" s="26" t="n"/>
      <c r="H197" s="26" t="n"/>
      <c r="I197" s="26" t="n"/>
      <c r="J197" s="26" t="n"/>
      <c r="K197" s="26" t="n"/>
      <c r="L197" s="26" t="n"/>
      <c r="M197" s="26" t="n"/>
      <c r="N197" s="26" t="n"/>
      <c r="O197" s="26" t="n"/>
      <c r="P197" s="26" t="n"/>
      <c r="Q197" s="26" t="n"/>
      <c r="R197" s="26" t="n"/>
      <c r="S197" s="26" t="n"/>
      <c r="T197" s="26" t="n"/>
      <c r="U197" s="26" t="n"/>
      <c r="V197" s="26" t="n"/>
      <c r="W197" s="26" t="n"/>
      <c r="X197" s="26" t="n"/>
      <c r="Y197" s="26" t="n"/>
      <c r="Z197" s="26">
        <f>IF(B197="","",IF(COUNTIF(F197:G197,"Fail")&gt;0,1,0))</f>
        <v/>
      </c>
      <c r="AA197" s="26">
        <f>IF(B197="","",IF(COUNTIF(H197:S197,"Fail")&gt;0,1,0))</f>
        <v/>
      </c>
      <c r="AB197" s="26">
        <f>IF(B197="","",IF(COUNTIF(T197:Y197,"Fail")&gt;0,1,0))</f>
        <v/>
      </c>
      <c r="AC197" s="27">
        <f>IF(B197="","",0.1*Z197+0.8*AA197+0.1*AB197)</f>
        <v/>
      </c>
      <c r="AD197" s="27">
        <f>IF(B197="","",IF(C197="Batch 1",0.3,0.2))</f>
        <v/>
      </c>
      <c r="AE197" s="19">
        <f>IF(B197="","",IF(AC197&lt;=AD197,"Đạt","Không đạt"))</f>
        <v/>
      </c>
      <c r="AF197" s="28" t="n"/>
    </row>
    <row r="198" ht="30" customHeight="1" s="36">
      <c r="A198" s="17" t="n">
        <v>196</v>
      </c>
      <c r="B198" s="18" t="n"/>
      <c r="C198" s="17" t="n"/>
      <c r="D198" s="17" t="n"/>
      <c r="E198" s="17" t="n"/>
      <c r="F198" s="26" t="n"/>
      <c r="G198" s="26" t="n"/>
      <c r="H198" s="26" t="n"/>
      <c r="I198" s="26" t="n"/>
      <c r="J198" s="26" t="n"/>
      <c r="K198" s="26" t="n"/>
      <c r="L198" s="26" t="n"/>
      <c r="M198" s="26" t="n"/>
      <c r="N198" s="26" t="n"/>
      <c r="O198" s="26" t="n"/>
      <c r="P198" s="26" t="n"/>
      <c r="Q198" s="26" t="n"/>
      <c r="R198" s="26" t="n"/>
      <c r="S198" s="26" t="n"/>
      <c r="T198" s="26" t="n"/>
      <c r="U198" s="26" t="n"/>
      <c r="V198" s="26" t="n"/>
      <c r="W198" s="26" t="n"/>
      <c r="X198" s="26" t="n"/>
      <c r="Y198" s="26" t="n"/>
      <c r="Z198" s="26">
        <f>IF(B198="","",IF(COUNTIF(F198:G198,"Fail")&gt;0,1,0))</f>
        <v/>
      </c>
      <c r="AA198" s="26">
        <f>IF(B198="","",IF(COUNTIF(H198:S198,"Fail")&gt;0,1,0))</f>
        <v/>
      </c>
      <c r="AB198" s="26">
        <f>IF(B198="","",IF(COUNTIF(T198:Y198,"Fail")&gt;0,1,0))</f>
        <v/>
      </c>
      <c r="AC198" s="27">
        <f>IF(B198="","",0.1*Z198+0.8*AA198+0.1*AB198)</f>
        <v/>
      </c>
      <c r="AD198" s="27">
        <f>IF(B198="","",IF(C198="Batch 1",0.3,0.2))</f>
        <v/>
      </c>
      <c r="AE198" s="19">
        <f>IF(B198="","",IF(AC198&lt;=AD198,"Đạt","Không đạt"))</f>
        <v/>
      </c>
      <c r="AF198" s="28" t="n"/>
    </row>
    <row r="199" ht="30" customHeight="1" s="36">
      <c r="A199" s="17" t="n">
        <v>197</v>
      </c>
      <c r="B199" s="18" t="n"/>
      <c r="C199" s="17" t="n"/>
      <c r="D199" s="17" t="n"/>
      <c r="E199" s="17" t="n"/>
      <c r="F199" s="26" t="n"/>
      <c r="G199" s="26" t="n"/>
      <c r="H199" s="26" t="n"/>
      <c r="I199" s="26" t="n"/>
      <c r="J199" s="26" t="n"/>
      <c r="K199" s="26" t="n"/>
      <c r="L199" s="26" t="n"/>
      <c r="M199" s="26" t="n"/>
      <c r="N199" s="26" t="n"/>
      <c r="O199" s="26" t="n"/>
      <c r="P199" s="26" t="n"/>
      <c r="Q199" s="26" t="n"/>
      <c r="R199" s="26" t="n"/>
      <c r="S199" s="26" t="n"/>
      <c r="T199" s="26" t="n"/>
      <c r="U199" s="26" t="n"/>
      <c r="V199" s="26" t="n"/>
      <c r="W199" s="26" t="n"/>
      <c r="X199" s="26" t="n"/>
      <c r="Y199" s="26" t="n"/>
      <c r="Z199" s="26">
        <f>IF(B199="","",IF(COUNTIF(F199:G199,"Fail")&gt;0,1,0))</f>
        <v/>
      </c>
      <c r="AA199" s="26">
        <f>IF(B199="","",IF(COUNTIF(H199:S199,"Fail")&gt;0,1,0))</f>
        <v/>
      </c>
      <c r="AB199" s="26">
        <f>IF(B199="","",IF(COUNTIF(T199:Y199,"Fail")&gt;0,1,0))</f>
        <v/>
      </c>
      <c r="AC199" s="27">
        <f>IF(B199="","",0.1*Z199+0.8*AA199+0.1*AB199)</f>
        <v/>
      </c>
      <c r="AD199" s="27">
        <f>IF(B199="","",IF(C199="Batch 1",0.3,0.2))</f>
        <v/>
      </c>
      <c r="AE199" s="19">
        <f>IF(B199="","",IF(AC199&lt;=AD199,"Đạt","Không đạt"))</f>
        <v/>
      </c>
      <c r="AF199" s="28" t="n"/>
    </row>
    <row r="200" ht="30" customHeight="1" s="36">
      <c r="A200" s="17" t="n">
        <v>198</v>
      </c>
      <c r="B200" s="18" t="n"/>
      <c r="C200" s="17" t="n"/>
      <c r="D200" s="17" t="n"/>
      <c r="E200" s="17" t="n"/>
      <c r="F200" s="26" t="n"/>
      <c r="G200" s="26" t="n"/>
      <c r="H200" s="26" t="n"/>
      <c r="I200" s="26" t="n"/>
      <c r="J200" s="26" t="n"/>
      <c r="K200" s="26" t="n"/>
      <c r="L200" s="26" t="n"/>
      <c r="M200" s="26" t="n"/>
      <c r="N200" s="26" t="n"/>
      <c r="O200" s="26" t="n"/>
      <c r="P200" s="26" t="n"/>
      <c r="Q200" s="26" t="n"/>
      <c r="R200" s="26" t="n"/>
      <c r="S200" s="26" t="n"/>
      <c r="T200" s="26" t="n"/>
      <c r="U200" s="26" t="n"/>
      <c r="V200" s="26" t="n"/>
      <c r="W200" s="26" t="n"/>
      <c r="X200" s="26" t="n"/>
      <c r="Y200" s="26" t="n"/>
      <c r="Z200" s="26">
        <f>IF(B200="","",IF(COUNTIF(F200:G200,"Fail")&gt;0,1,0))</f>
        <v/>
      </c>
      <c r="AA200" s="26">
        <f>IF(B200="","",IF(COUNTIF(H200:S200,"Fail")&gt;0,1,0))</f>
        <v/>
      </c>
      <c r="AB200" s="26">
        <f>IF(B200="","",IF(COUNTIF(T200:Y200,"Fail")&gt;0,1,0))</f>
        <v/>
      </c>
      <c r="AC200" s="27">
        <f>IF(B200="","",0.1*Z200+0.8*AA200+0.1*AB200)</f>
        <v/>
      </c>
      <c r="AD200" s="27">
        <f>IF(B200="","",IF(C200="Batch 1",0.3,0.2))</f>
        <v/>
      </c>
      <c r="AE200" s="19">
        <f>IF(B200="","",IF(AC200&lt;=AD200,"Đạt","Không đạt"))</f>
        <v/>
      </c>
      <c r="AF200" s="28" t="n"/>
    </row>
  </sheetData>
  <mergeCells count="9">
    <mergeCell ref="T1:Y1"/>
    <mergeCell ref="H1:S1"/>
    <mergeCell ref="C1:C2"/>
    <mergeCell ref="B1:B2"/>
    <mergeCell ref="D1:D2"/>
    <mergeCell ref="E1:E2"/>
    <mergeCell ref="Z1:AF1"/>
    <mergeCell ref="F1:G1"/>
    <mergeCell ref="A1:A2"/>
  </mergeCells>
  <conditionalFormatting sqref="F3:Y200">
    <cfRule type="cellIs" priority="2" operator="equal" dxfId="12">
      <formula>"WARN"</formula>
    </cfRule>
    <cfRule type="cellIs" priority="3" operator="equal" dxfId="7">
      <formula>"Fail"</formula>
    </cfRule>
    <cfRule type="cellIs" priority="4" operator="equal" dxfId="8">
      <formula>"Pass"</formula>
    </cfRule>
    <cfRule type="cellIs" priority="5" operator="equal" dxfId="9">
      <formula>"N/A"</formula>
    </cfRule>
  </conditionalFormatting>
  <conditionalFormatting sqref="AE3:AE200">
    <cfRule type="cellIs" priority="6" operator="equal" dxfId="10">
      <formula>"Không đạt"</formula>
    </cfRule>
    <cfRule type="cellIs" priority="7" operator="equal" dxfId="11">
      <formula>"Đạt"</formula>
    </cfRule>
  </conditionalFormatting>
  <conditionalFormatting sqref="F2:Y200">
    <cfRule type="cellIs" priority="1" operator="equal" dxfId="12">
      <formula>"WARN"</formula>
    </cfRule>
  </conditionalFormatting>
  <dataValidations count="2">
    <dataValidation sqref="F3:Y200" showDropDown="0" showInputMessage="0" showErrorMessage="0" allowBlank="1" type="list">
      <formula1>"Pass,Fail,N/A,WARN"</formula1>
    </dataValidation>
    <dataValidation sqref="C3:C200" showDropDown="0" showInputMessage="0" showErrorMessage="0" allowBlank="1" type="list">
      <formula1>"Batch 1,Batch 2,Batch 3"</formula1>
    </dataValidation>
  </dataValidations>
  <pageMargins left="0.75" right="0.75" top="1" bottom="1" header="0.511811023622047" footer="0.511811023622047"/>
  <pageSetup orientation="portrait" paperSize="9" horizontalDpi="300" verticalDpi="300"/>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B2:I9"/>
  <sheetViews>
    <sheetView showGridLines="0" zoomScaleNormal="100" workbookViewId="0">
      <selection activeCell="F20" sqref="F20"/>
    </sheetView>
  </sheetViews>
  <sheetFormatPr baseColWidth="8" defaultColWidth="8.7265625" defaultRowHeight="14.5"/>
  <cols>
    <col width="12" customWidth="1" style="36" min="2" max="2"/>
    <col width="12.54296875" bestFit="1" customWidth="1" style="36" min="3" max="3"/>
    <col width="12" customWidth="1" style="36" min="4" max="4"/>
    <col width="10" customWidth="1" style="36" min="5" max="5"/>
    <col width="12" customWidth="1" style="36" min="6" max="8"/>
    <col width="20" bestFit="1" customWidth="1" style="36" min="9" max="9"/>
  </cols>
  <sheetData>
    <row r="2" ht="18" customHeight="1" s="36">
      <c r="B2" s="37" t="inlineStr">
        <is>
          <t>TỔNG HỢP KẾT QUẢ REVIEW CODE THEO BATCH – ZONE C OCB</t>
        </is>
      </c>
    </row>
    <row r="4" ht="31.5" customHeight="1" s="36">
      <c r="B4" s="3" t="inlineStr">
        <is>
          <t>Batch</t>
        </is>
      </c>
      <c r="C4" s="3" t="inlineStr">
        <is>
          <t>Ngưỡng lỗi
cho phép</t>
        </is>
      </c>
      <c r="D4" s="3" t="inlineStr">
        <is>
          <t>Số bảng
đã review</t>
        </is>
      </c>
      <c r="E4" s="3" t="inlineStr">
        <is>
          <t>Số bảng
Đạt</t>
        </is>
      </c>
      <c r="F4" s="3" t="inlineStr">
        <is>
          <t>Số bảng
Không đạt</t>
        </is>
      </c>
      <c r="G4" s="3" t="inlineStr">
        <is>
          <t>Tỷ lệ lỗi
bình quân</t>
        </is>
      </c>
      <c r="H4" s="3" t="inlineStr">
        <is>
          <t>Tỷ lệ bảng
Không đạt</t>
        </is>
      </c>
      <c r="I4" s="3" t="inlineStr">
        <is>
          <t>Kết luận Batch</t>
        </is>
      </c>
    </row>
    <row r="5" ht="21.75" customHeight="1" s="36">
      <c r="B5" s="17" t="inlineStr">
        <is>
          <t>Batch 1</t>
        </is>
      </c>
      <c r="C5" s="20" t="n">
        <v>0.3</v>
      </c>
      <c r="D5" s="17">
        <f>COUNTIF('Review theo bảng'!$C$3:$C$200,B5)</f>
        <v/>
      </c>
      <c r="E5" s="17">
        <f>COUNTIFS('Review theo bảng'!$C$3:$C$200,B5,'Review theo bảng'!$AE$3:$AE$200,"Đạt")</f>
        <v/>
      </c>
      <c r="F5" s="17">
        <f>COUNTIFS('Review theo bảng'!$C$3:$C$200,B5,'Review theo bảng'!$AE$3:$AE$200,"Không đạt")</f>
        <v/>
      </c>
      <c r="G5" s="21">
        <f>IFERROR(AVERAGEIF('Review theo bảng'!$C$3:$C$200,B5,'Review theo bảng'!$AC$3:$AC$200),0)</f>
        <v/>
      </c>
      <c r="H5" s="21">
        <f>IFERROR(F5/D5,0)</f>
        <v/>
      </c>
      <c r="I5" s="22">
        <f>IF(D5=0,"Chưa có dữ liệu",IF(H5&lt;=C5,"Đạt yêu cầu","Không đạt yêu cầu"))</f>
        <v/>
      </c>
    </row>
    <row r="6" ht="21.75" customHeight="1" s="36">
      <c r="B6" s="17" t="inlineStr">
        <is>
          <t>Batch 2</t>
        </is>
      </c>
      <c r="C6" s="20" t="n">
        <v>0.2</v>
      </c>
      <c r="D6" s="17">
        <f>COUNTIF('Review theo bảng'!$C$3:$C$200,B6)</f>
        <v/>
      </c>
      <c r="E6" s="17">
        <f>COUNTIFS('Review theo bảng'!$C$3:$C$200,B6,'Review theo bảng'!$AE$3:$AE$200,"Đạt")</f>
        <v/>
      </c>
      <c r="F6" s="17">
        <f>COUNTIFS('Review theo bảng'!$C$3:$C$200,B6,'Review theo bảng'!$AE$3:$AE$200,"Không đạt")</f>
        <v/>
      </c>
      <c r="G6" s="21">
        <f>IFERROR(AVERAGEIF('Review theo bảng'!$C$3:$C$200,B6,'Review theo bảng'!$AC$3:$AC$200),0)</f>
        <v/>
      </c>
      <c r="H6" s="21">
        <f>IFERROR(F6/D6,0)</f>
        <v/>
      </c>
      <c r="I6" s="22">
        <f>IF(D6=0,"Chưa có dữ liệu",IF(H6&lt;=C6,"Đạt yêu cầu","Không đạt yêu cầu"))</f>
        <v/>
      </c>
    </row>
    <row r="7" ht="21.75" customHeight="1" s="36">
      <c r="B7" s="17" t="inlineStr">
        <is>
          <t>Batch 3</t>
        </is>
      </c>
      <c r="C7" s="20" t="n">
        <v>0.2</v>
      </c>
      <c r="D7" s="17">
        <f>COUNTIF('Review theo bảng'!$C$3:$C$200,B7)</f>
        <v/>
      </c>
      <c r="E7" s="17">
        <f>COUNTIFS('Review theo bảng'!$C$3:$C$200,B7,'Review theo bảng'!$AE$3:$AE$200,"Đạt")</f>
        <v/>
      </c>
      <c r="F7" s="17">
        <f>COUNTIFS('Review theo bảng'!$C$3:$C$200,B7,'Review theo bảng'!$AE$3:$AE$200,"Không đạt")</f>
        <v/>
      </c>
      <c r="G7" s="21">
        <f>IFERROR(AVERAGEIF('Review theo bảng'!$C$3:$C$200,B7,'Review theo bảng'!$AC$3:$AC$200),0)</f>
        <v/>
      </c>
      <c r="H7" s="21">
        <f>IFERROR(F7/D7,0)</f>
        <v/>
      </c>
      <c r="I7" s="22">
        <f>IF(D7=0,"Chưa có dữ liệu",IF(H7&lt;=C7,"Đạt yêu cầu","Không đạt yêu cầu"))</f>
        <v/>
      </c>
    </row>
    <row r="9" ht="30" customHeight="1" s="36">
      <c r="B9" s="35" t="inlineStr">
        <is>
          <t>Ghi chú: Tỷ lệ lỗi bình quân và kết luận lấy tự động từ sheet "Review theo bảng" (cột AE và AG). Ngưỡng lỗi theo thống nhất với OCB: Batch 1 tối đa 30%, Batch 2 và Batch 3 tối đa 20% (sheet "Quality check").</t>
        </is>
      </c>
    </row>
  </sheetData>
  <mergeCells count="2">
    <mergeCell ref="B9:I9"/>
    <mergeCell ref="B2:H2"/>
  </mergeCells>
  <conditionalFormatting sqref="I5:I7">
    <cfRule type="cellIs" priority="2" operator="equal" dxfId="1">
      <formula>"Không đạt yêu cầu"</formula>
    </cfRule>
    <cfRule type="cellIs" priority="3" operator="equal" dxfId="0">
      <formula>"Đạt yêu cầu"</formula>
    </cfRule>
  </conditionalFormatting>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J2276"/>
  <sheetViews>
    <sheetView workbookViewId="0">
      <pane ySplit="1" topLeftCell="A2" activePane="bottomLeft" state="frozen"/>
      <selection pane="bottomLeft" activeCell="A1" sqref="A1"/>
    </sheetView>
  </sheetViews>
  <sheetFormatPr baseColWidth="8" defaultRowHeight="15"/>
  <cols>
    <col width="34" customWidth="1" style="36" min="1" max="1"/>
    <col width="17" customWidth="1" style="36" min="2" max="2"/>
    <col width="7" customWidth="1" style="36" min="3" max="3"/>
    <col width="24" customWidth="1" style="36" min="4" max="4"/>
    <col width="44" customWidth="1" style="36" min="5" max="5"/>
    <col width="12" customWidth="1" style="36" min="6" max="6"/>
    <col width="13" customWidth="1" style="36" min="7" max="7"/>
    <col width="82" customWidth="1" style="36" min="8" max="8"/>
    <col width="88" customWidth="1" style="36" min="9" max="9"/>
    <col width="38" customWidth="1" style="36" min="10" max="10"/>
  </cols>
  <sheetData>
    <row r="1">
      <c r="A1" s="47" t="inlineStr">
        <is>
          <t>Object Gold</t>
        </is>
      </c>
      <c r="B1" s="47" t="inlineStr">
        <is>
          <t>Profile</t>
        </is>
      </c>
      <c r="C1" s="47" t="inlineStr">
        <is>
          <t>Mã</t>
        </is>
      </c>
      <c r="D1" s="47" t="inlineStr">
        <is>
          <t>Nhóm</t>
        </is>
      </c>
      <c r="E1" s="47" t="inlineStr">
        <is>
          <t>Tiêu chí</t>
        </is>
      </c>
      <c r="F1" s="47" t="inlineStr">
        <is>
          <t>Kết quả máy</t>
        </is>
      </c>
      <c r="G1" s="47" t="inlineStr">
        <is>
          <t>Ghi vào Excel</t>
        </is>
      </c>
      <c r="H1" s="47" t="inlineStr">
        <is>
          <t>Bằng chứng / số dòng</t>
        </is>
      </c>
      <c r="I1" s="47" t="inlineStr">
        <is>
          <t>Cách sửa</t>
        </is>
      </c>
      <c r="J1" s="47" t="inlineStr">
        <is>
          <t>File</t>
        </is>
      </c>
    </row>
    <row r="2">
      <c r="A2" s="48" t="inlineStr">
        <is>
          <t>TCKH.V_BCN_THUNO</t>
        </is>
      </c>
      <c r="B2" s="48" t="inlineStr">
        <is>
          <t>GOLD_DERIVED</t>
        </is>
      </c>
      <c r="C2" s="48" t="inlineStr">
        <is>
          <t>1.1</t>
        </is>
      </c>
      <c r="D2" s="48" t="inlineStr">
        <is>
          <t>Nhom 1 - Mapping</t>
        </is>
      </c>
      <c r="E2" s="48" t="inlineStr">
        <is>
          <t>Đầy đủ mapping từ Silver/manual sang Gold</t>
        </is>
      </c>
      <c r="F2" s="49" t="inlineStr">
        <is>
          <t>PASS</t>
        </is>
      </c>
      <c r="G2" s="48" t="inlineStr">
        <is>
          <t>Pass</t>
        </is>
      </c>
      <c r="H2" s="50" t="inlineStr">
        <is>
          <t>workbook 001. OCB_GOLD_TCKH_V_BCN_THUNO_QUANG.xlsx: thiết kế 40 field, SQL có 40 cột</t>
        </is>
      </c>
      <c r="I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 s="48" t="inlineStr">
        <is>
          <t>001. OCB_GOLD_TCKH_V_BCN_THUNO_QUANG.xlsx [Script SQL: V_BCN_THUNO]</t>
        </is>
      </c>
    </row>
    <row r="3">
      <c r="A3" s="48" t="inlineStr">
        <is>
          <t>TCKH.V_BCN_THUNO</t>
        </is>
      </c>
      <c r="B3" s="48" t="inlineStr">
        <is>
          <t>GOLD_DERIVED</t>
        </is>
      </c>
      <c r="C3" s="48" t="inlineStr">
        <is>
          <t>1.2</t>
        </is>
      </c>
      <c r="D3" s="48" t="inlineStr">
        <is>
          <t>Nhom 1 - Mapping</t>
        </is>
      </c>
      <c r="E3" s="48" t="inlineStr">
        <is>
          <t>Danh sách bảng/view Gold khớp tài liệu thiết kế đã duyệt</t>
        </is>
      </c>
      <c r="F3" s="49" t="inlineStr">
        <is>
          <t>PASS</t>
        </is>
      </c>
      <c r="G3" s="48" t="inlineStr">
        <is>
          <t>Pass</t>
        </is>
      </c>
      <c r="H3" s="50" t="inlineStr">
        <is>
          <t>V_BCN_THUNO có workbook thiết kế: 001. OCB_GOLD_TCKH_V_BCN_THUNO_QUANG.xlsx</t>
        </is>
      </c>
      <c r="I3" s="50" t="inlineStr">
        <is>
          <t>Đảm bảo object có workbook thiết kế tương ứng trong thư mục --mapping-dir. Muốn đối chiếu với danh sách đã duyệt thì chạy thêm tham số --gold-list "&lt;file danh sách Gold&gt;.xlsx".</t>
        </is>
      </c>
      <c r="J3" s="48" t="inlineStr">
        <is>
          <t>001. OCB_GOLD_TCKH_V_BCN_THUNO_QUANG.xlsx [Script SQL: V_BCN_THUNO]</t>
        </is>
      </c>
    </row>
    <row r="4">
      <c r="A4" s="48" t="inlineStr">
        <is>
          <t>TCKH.V_BCN_THUNO</t>
        </is>
      </c>
      <c r="B4" s="48" t="inlineStr">
        <is>
          <t>GOLD_DERIVED</t>
        </is>
      </c>
      <c r="C4" s="48" t="inlineStr">
        <is>
          <t>2.1</t>
        </is>
      </c>
      <c r="D4" s="48" t="inlineStr">
        <is>
          <t>Nhom 2 - Logic</t>
        </is>
      </c>
      <c r="E4" s="48" t="inlineStr">
        <is>
          <t>Chỉ lấy bản ghi active, loại bản ghi đã xóa (qua sts_hub)</t>
        </is>
      </c>
      <c r="F4" s="48" t="inlineStr">
        <is>
          <t>N-A</t>
        </is>
      </c>
      <c r="G4" s="48" t="inlineStr">
        <is>
          <t>Pass</t>
        </is>
      </c>
      <c r="H4" s="50" t="inlineStr">
        <is>
          <t>khong ap dung cho profile GOLD_DERIVED</t>
        </is>
      </c>
      <c r="I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 s="48" t="inlineStr">
        <is>
          <t>001. OCB_GOLD_TCKH_V_BCN_THUNO_QUANG.xlsx [Script SQL: V_BCN_THUNO]</t>
        </is>
      </c>
    </row>
    <row r="5">
      <c r="A5" s="48" t="inlineStr">
        <is>
          <t>TCKH.V_BCN_THUNO</t>
        </is>
      </c>
      <c r="B5" s="48" t="inlineStr">
        <is>
          <t>GOLD_DERIVED</t>
        </is>
      </c>
      <c r="C5" s="48" t="inlineStr">
        <is>
          <t>2.2</t>
        </is>
      </c>
      <c r="D5" s="48" t="inlineStr">
        <is>
          <t>Nhom 2 - Logic</t>
        </is>
      </c>
      <c r="E5" s="48" t="inlineStr">
        <is>
          <t>Thống nhất MỘT pattern duy nhất xác định bản ghi active mới nhất</t>
        </is>
      </c>
      <c r="F5" s="48" t="inlineStr">
        <is>
          <t>N-A</t>
        </is>
      </c>
      <c r="G5" s="48" t="inlineStr">
        <is>
          <t>Pass</t>
        </is>
      </c>
      <c r="H5" s="50" t="inlineStr">
        <is>
          <t>khong ap dung cho profile GOLD_DERIVED</t>
        </is>
      </c>
      <c r="I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 s="48" t="inlineStr">
        <is>
          <t>001. OCB_GOLD_TCKH_V_BCN_THUNO_QUANG.xlsx [Script SQL: V_BCN_THUNO]</t>
        </is>
      </c>
    </row>
    <row r="6">
      <c r="A6" s="48" t="inlineStr">
        <is>
          <t>TCKH.V_BCN_THUNO</t>
        </is>
      </c>
      <c r="B6" s="48" t="inlineStr">
        <is>
          <t>GOLD_DERIVED</t>
        </is>
      </c>
      <c r="C6" s="48" t="inlineStr">
        <is>
          <t>2.3</t>
        </is>
      </c>
      <c r="D6" s="48" t="inlineStr">
        <is>
          <t>Nhom 2 - Logic</t>
        </is>
      </c>
      <c r="E6" s="48" t="inlineStr">
        <is>
          <t>Điều kiện lọc trạng thái đặt SAU khi xác định bản ghi mới nhất</t>
        </is>
      </c>
      <c r="F6" s="49" t="inlineStr">
        <is>
          <t>PASS</t>
        </is>
      </c>
      <c r="G6" s="48" t="inlineStr">
        <is>
          <t>Pass</t>
        </is>
      </c>
      <c r="H6" s="50" t="inlineStr">
        <is>
          <t>không có điều kiện trạng thái nào lồng trong JOIN ON</t>
        </is>
      </c>
      <c r="I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 s="48" t="inlineStr">
        <is>
          <t>001. OCB_GOLD_TCKH_V_BCN_THUNO_QUANG.xlsx [Script SQL: V_BCN_THUNO]</t>
        </is>
      </c>
    </row>
    <row r="7">
      <c r="A7" s="48" t="inlineStr">
        <is>
          <t>TCKH.V_BCN_THUNO</t>
        </is>
      </c>
      <c r="B7" s="48" t="inlineStr">
        <is>
          <t>GOLD_DERIVED</t>
        </is>
      </c>
      <c r="C7" s="48" t="inlineStr">
        <is>
          <t>2.4</t>
        </is>
      </c>
      <c r="D7" s="48" t="inlineStr">
        <is>
          <t>Nhom 2 - Logic</t>
        </is>
      </c>
      <c r="E7" s="48" t="inlineStr">
        <is>
          <t>source_event_date áp dụng đúng dạng theo loại bảng</t>
        </is>
      </c>
      <c r="F7" s="48" t="inlineStr">
        <is>
          <t>N-A</t>
        </is>
      </c>
      <c r="G7" s="48" t="inlineStr">
        <is>
          <t>Pass</t>
        </is>
      </c>
      <c r="H7" s="50" t="inlineStr">
        <is>
          <t>khong ap dung cho profile GOLD_DERIVED</t>
        </is>
      </c>
      <c r="I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 s="48" t="inlineStr">
        <is>
          <t>001. OCB_GOLD_TCKH_V_BCN_THUNO_QUANG.xlsx [Script SQL: V_BCN_THUNO]</t>
        </is>
      </c>
    </row>
    <row r="8">
      <c r="A8" s="48" t="inlineStr">
        <is>
          <t>TCKH.V_BCN_THUNO</t>
        </is>
      </c>
      <c r="B8" s="48" t="inlineStr">
        <is>
          <t>GOLD_DERIVED</t>
        </is>
      </c>
      <c r="C8" s="48" t="inlineStr">
        <is>
          <t>2.5</t>
        </is>
      </c>
      <c r="D8" s="48" t="inlineStr">
        <is>
          <t>Nhom 2 - Logic</t>
        </is>
      </c>
      <c r="E8" s="48" t="inlineStr">
        <is>
          <t>Không lặp lại lỗi logic cũ đã được DA Data Vault fix</t>
        </is>
      </c>
      <c r="F8" s="49" t="inlineStr">
        <is>
          <t>PASS</t>
        </is>
      </c>
      <c r="G8" s="48" t="inlineStr">
        <is>
          <t>Pass</t>
        </is>
      </c>
      <c r="H8" s="50" t="inlineStr">
        <is>
          <t>không trùng lỗi nào trong Issue log của DA Data Vault</t>
        </is>
      </c>
      <c r="I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 s="48" t="inlineStr">
        <is>
          <t>001. OCB_GOLD_TCKH_V_BCN_THUNO_QUANG.xlsx [Script SQL: V_BCN_THUNO]</t>
        </is>
      </c>
    </row>
    <row r="9">
      <c r="A9" s="48" t="inlineStr">
        <is>
          <t>TCKH.V_BCN_THUNO</t>
        </is>
      </c>
      <c r="B9" s="48" t="inlineStr">
        <is>
          <t>GOLD_DERIVED</t>
        </is>
      </c>
      <c r="C9" s="48" t="inlineStr">
        <is>
          <t>2.6</t>
        </is>
      </c>
      <c r="D9" s="48" t="inlineStr">
        <is>
          <t>Nhom 2 - Logic</t>
        </is>
      </c>
      <c r="E9" s="48" t="inlineStr">
        <is>
          <t>SCD Type 2 cho bảng DIM áp dụng đúng kỹ thuật đã thống nhất</t>
        </is>
      </c>
      <c r="F9" s="48" t="inlineStr">
        <is>
          <t>N-A</t>
        </is>
      </c>
      <c r="G9" s="48" t="inlineStr">
        <is>
          <t>Pass</t>
        </is>
      </c>
      <c r="H9" s="50" t="inlineStr">
        <is>
          <t>object không phải bảng DIM nên không áp dụng SCD Type 2</t>
        </is>
      </c>
      <c r="I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 s="48" t="inlineStr">
        <is>
          <t>001. OCB_GOLD_TCKH_V_BCN_THUNO_QUANG.xlsx [Script SQL: V_BCN_THUNO]</t>
        </is>
      </c>
    </row>
    <row r="10">
      <c r="A10" s="48" t="inlineStr">
        <is>
          <t>TCKH.V_BCN_THUNO</t>
        </is>
      </c>
      <c r="B10" s="48" t="inlineStr">
        <is>
          <t>GOLD_DERIVED</t>
        </is>
      </c>
      <c r="C10" s="48" t="inlineStr">
        <is>
          <t>2.7</t>
        </is>
      </c>
      <c r="D10" s="48" t="inlineStr">
        <is>
          <t>Nhom 2 - Logic</t>
        </is>
      </c>
      <c r="E10" s="48" t="inlineStr">
        <is>
          <t>CASE WHEN cover đủ nhánh như job on-prem</t>
        </is>
      </c>
      <c r="F10" s="49" t="inlineStr">
        <is>
          <t>PASS</t>
        </is>
      </c>
      <c r="G10" s="48" t="inlineStr">
        <is>
          <t>Pass</t>
        </is>
      </c>
      <c r="H10" s="50" t="inlineStr">
        <is>
          <t>cả 1 CASE đều có nhánh ELSE</t>
        </is>
      </c>
      <c r="I10" s="50" t="inlineStr">
        <is>
          <t>Mở job on-prem tương ứng (DataStage DSX hoặc SQL cũ), đối chiếu từng nhánh WHEN và cả nhánh ELSE. CASE không có ELSE sẽ trả NULL âm thầm — xác nhận đó là ý muốn hay thiếu nhánh.</t>
        </is>
      </c>
      <c r="J10" s="48" t="inlineStr">
        <is>
          <t>001. OCB_GOLD_TCKH_V_BCN_THUNO_QUANG.xlsx [Script SQL: V_BCN_THUNO]</t>
        </is>
      </c>
    </row>
    <row r="11">
      <c r="A11" s="48" t="inlineStr">
        <is>
          <t>TCKH.V_BCN_THUNO</t>
        </is>
      </c>
      <c r="B11" s="48" t="inlineStr">
        <is>
          <t>GOLD_DERIVED</t>
        </is>
      </c>
      <c r="C11" s="48" t="inlineStr">
        <is>
          <t>2.8</t>
        </is>
      </c>
      <c r="D11" s="48" t="inlineStr">
        <is>
          <t>Nhom 2 - Logic</t>
        </is>
      </c>
      <c r="E11" s="48" t="inlineStr">
        <is>
          <t>Cột SUM/COUNT được COALESCE/NVL hợp lý</t>
        </is>
      </c>
      <c r="F11" s="49" t="inlineStr">
        <is>
          <t>PASS</t>
        </is>
      </c>
      <c r="G11" s="48" t="inlineStr">
        <is>
          <t>Pass</t>
        </is>
      </c>
      <c r="H11" s="50" t="inlineStr">
        <is>
          <t>mọi SUM/COUNT đều đã coalesce (trực tiếp hoặc ở lớp ngoài)</t>
        </is>
      </c>
      <c r="I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 s="48" t="inlineStr">
        <is>
          <t>001. OCB_GOLD_TCKH_V_BCN_THUNO_QUANG.xlsx [Script SQL: V_BCN_THUNO]</t>
        </is>
      </c>
    </row>
    <row r="12">
      <c r="A12" s="48" t="inlineStr">
        <is>
          <t>TCKH.V_BCN_THUNO</t>
        </is>
      </c>
      <c r="B12" s="48" t="inlineStr">
        <is>
          <t>GOLD_DERIVED</t>
        </is>
      </c>
      <c r="C12" s="48" t="inlineStr">
        <is>
          <t>2.9</t>
        </is>
      </c>
      <c r="D12" s="48" t="inlineStr">
        <is>
          <t>Nhom 2 - Logic</t>
        </is>
      </c>
      <c r="E12" s="48" t="inlineStr">
        <is>
          <t>Subquery / custom function / điều kiện LIKE đúng ý nghĩa nghiệp vụ</t>
        </is>
      </c>
      <c r="F12" s="48" t="inlineStr">
        <is>
          <t>N-A</t>
        </is>
      </c>
      <c r="G12" s="48" t="inlineStr">
        <is>
          <t>Pass</t>
        </is>
      </c>
      <c r="H12" s="50" t="inlineStr">
        <is>
          <t>script không có điều kiện LIKE hay scalar subquery nào</t>
        </is>
      </c>
      <c r="I12" s="50" t="inlineStr">
        <is>
          <t>Đọc lại từng điều kiện LIKE và từng subquery, đối chiếu ý nghĩa nghiệp vụ với on-prem — đúng cú pháp không đủ. Chú ý pattern LIKE có ký tự % ở đầu/cuối và phân biệt chữ hoa/thường.</t>
        </is>
      </c>
      <c r="J12" s="48" t="inlineStr">
        <is>
          <t>001. OCB_GOLD_TCKH_V_BCN_THUNO_QUANG.xlsx [Script SQL: V_BCN_THUNO]</t>
        </is>
      </c>
    </row>
    <row r="13">
      <c r="A13" s="48" t="inlineStr">
        <is>
          <t>TCKH.V_BCN_THUNO</t>
        </is>
      </c>
      <c r="B13" s="48" t="inlineStr">
        <is>
          <t>GOLD_DERIVED</t>
        </is>
      </c>
      <c r="C13" s="48" t="inlineStr">
        <is>
          <t>2.10</t>
        </is>
      </c>
      <c r="D13" s="48" t="inlineStr">
        <is>
          <t>Nhom 2 - Logic</t>
        </is>
      </c>
      <c r="E13" s="48" t="inlineStr">
        <is>
          <t>Aggregation kèm filter date range chính xác</t>
        </is>
      </c>
      <c r="F13" s="49" t="inlineStr">
        <is>
          <t>PASS</t>
        </is>
      </c>
      <c r="G13" s="48" t="inlineStr">
        <is>
          <t>Pass</t>
        </is>
      </c>
      <c r="H13" s="50" t="inlineStr">
        <is>
          <t>mọi khối tổng hợp đều có điều kiện theo kỳ dữ liệu</t>
        </is>
      </c>
      <c r="I13" s="50" t="inlineStr">
        <is>
          <t>Mỗi khối SUM/COUNT/AVG phải có điều kiện lọc theo kỳ dữ liệu (CDR_DT_ID, DATA_DATE, :DATADT…). Nếu điều kiện nằm ở CTE nguồn thì ghi rõ trong comment để người review không phải truy ngược.</t>
        </is>
      </c>
      <c r="J13" s="48" t="inlineStr">
        <is>
          <t>001. OCB_GOLD_TCKH_V_BCN_THUNO_QUANG.xlsx [Script SQL: V_BCN_THUNO]</t>
        </is>
      </c>
    </row>
    <row r="14">
      <c r="A14" s="48" t="inlineStr">
        <is>
          <t>TCKH.V_BCN_THUNO</t>
        </is>
      </c>
      <c r="B14" s="48" t="inlineStr">
        <is>
          <t>GOLD_DERIVED</t>
        </is>
      </c>
      <c r="C14" s="48" t="inlineStr">
        <is>
          <t>2.11</t>
        </is>
      </c>
      <c r="D14" s="48" t="inlineStr">
        <is>
          <t>Nhom 2 - Logic</t>
        </is>
      </c>
      <c r="E14" s="48" t="inlineStr">
        <is>
          <t>Join dùng key hợp lý, không lạm dụng UNION ALL + EXISTS/NOT EXISTS</t>
        </is>
      </c>
      <c r="F14" s="49" t="inlineStr">
        <is>
          <t>PASS</t>
        </is>
      </c>
      <c r="G14" s="48" t="inlineStr">
        <is>
          <t>Pass</t>
        </is>
      </c>
      <c r="H14" s="50" t="inlineStr">
        <is>
          <t>join đều theo điều kiện bằng, không lạm dụng UNION ALL + EXISTS</t>
        </is>
      </c>
      <c r="I14" s="50" t="inlineStr">
        <is>
          <t>Ưu tiên LEFT JOIN theo business key hoặc hashkey. Xem lại các chỗ dùng UNION ALL kết hợp EXISTS/NOT EXISTS — thường thay được bằng một LEFT JOIN. Join không có điều kiện bằng (=) dễ tạo tích Descartes.</t>
        </is>
      </c>
      <c r="J14" s="48" t="inlineStr">
        <is>
          <t>001. OCB_GOLD_TCKH_V_BCN_THUNO_QUANG.xlsx [Script SQL: V_BCN_THUNO]</t>
        </is>
      </c>
    </row>
    <row r="15">
      <c r="A15" s="48" t="inlineStr">
        <is>
          <t>TCKH.V_BCN_THUNO</t>
        </is>
      </c>
      <c r="B15" s="48" t="inlineStr">
        <is>
          <t>GOLD_DERIVED</t>
        </is>
      </c>
      <c r="C15" s="48" t="inlineStr">
        <is>
          <t>2.12</t>
        </is>
      </c>
      <c r="D15" s="48" t="inlineStr">
        <is>
          <t>Nhom 2 - Logic</t>
        </is>
      </c>
      <c r="E15" s="48" t="inlineStr">
        <is>
          <t>Build Gold từ CTE snapshot Silver, không build nhiều tầng chồng chéo</t>
        </is>
      </c>
      <c r="F15" s="49" t="inlineStr">
        <is>
          <t>PASS</t>
        </is>
      </c>
      <c r="G15" s="48" t="inlineStr">
        <is>
          <t>Pass</t>
        </is>
      </c>
      <c r="H15" s="50" t="inlineStr">
        <is>
          <t>mỗi bảng nguồn chỉ đọc trong 1 khối SELECT</t>
        </is>
      </c>
      <c r="I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 s="48" t="inlineStr">
        <is>
          <t>001. OCB_GOLD_TCKH_V_BCN_THUNO_QUANG.xlsx [Script SQL: V_BCN_THUNO]</t>
        </is>
      </c>
    </row>
    <row r="16">
      <c r="A16" s="48" t="inlineStr">
        <is>
          <t>TCKH.V_BCN_THUNO</t>
        </is>
      </c>
      <c r="B16" s="48" t="inlineStr">
        <is>
          <t>GOLD_DERIVED</t>
        </is>
      </c>
      <c r="C16" s="48" t="inlineStr">
        <is>
          <t>3.1</t>
        </is>
      </c>
      <c r="D16" s="48" t="inlineStr">
        <is>
          <t>Nhom 3 - Optimization</t>
        </is>
      </c>
      <c r="E16" s="48" t="inlineStr">
        <is>
          <t>Không SELECT *</t>
        </is>
      </c>
      <c r="F16" s="49" t="inlineStr">
        <is>
          <t>PASS</t>
        </is>
      </c>
      <c r="G16" s="48" t="inlineStr">
        <is>
          <t>Pass</t>
        </is>
      </c>
      <c r="H16" s="50" t="inlineStr">
        <is>
          <t>không dùng SELECT * ở đâu</t>
        </is>
      </c>
      <c r="I16" s="50" t="inlineStr">
        <is>
          <t>Liệt kê tường minh các cột cần dùng, kể cả trong CTE trung gian. SELECT * làm tăng IO/memory và vỡ script khi bảng nguồn thêm cột.</t>
        </is>
      </c>
      <c r="J16" s="48" t="inlineStr">
        <is>
          <t>001. OCB_GOLD_TCKH_V_BCN_THUNO_QUANG.xlsx [Script SQL: V_BCN_THUNO]</t>
        </is>
      </c>
    </row>
    <row r="17">
      <c r="A17" s="48" t="inlineStr">
        <is>
          <t>TCKH.V_BCN_THUNO</t>
        </is>
      </c>
      <c r="B17" s="48" t="inlineStr">
        <is>
          <t>GOLD_DERIVED</t>
        </is>
      </c>
      <c r="C17" s="48" t="inlineStr">
        <is>
          <t>3.2</t>
        </is>
      </c>
      <c r="D17" s="48" t="inlineStr">
        <is>
          <t>Nhom 3 - Optimization</t>
        </is>
      </c>
      <c r="E17" s="48" t="inlineStr">
        <is>
          <t>CTE không bị scan lại nhiều lần</t>
        </is>
      </c>
      <c r="F17" s="49" t="inlineStr">
        <is>
          <t>PASS</t>
        </is>
      </c>
      <c r="G17" s="48" t="inlineStr">
        <is>
          <t>Pass</t>
        </is>
      </c>
      <c r="H17" s="50" t="inlineStr">
        <is>
          <t>không có CTE nào bị gọi lại</t>
        </is>
      </c>
      <c r="I17" s="50" t="inlineStr">
        <is>
          <t>Với CTE nặng (đọc nhiều bảng Silver) bị tham chiếu từ 2 chỗ trở lên: gom lại còn một lần dùng, hoặc vật chất hóa (CACHE / bảng tạm). CTE nhẹ chỉ chứa tham số thì bỏ qua được — tự tick Pass.</t>
        </is>
      </c>
      <c r="J17" s="48" t="inlineStr">
        <is>
          <t>001. OCB_GOLD_TCKH_V_BCN_THUNO_QUANG.xlsx [Script SQL: V_BCN_THUNO]</t>
        </is>
      </c>
    </row>
    <row r="18">
      <c r="A18" s="48" t="inlineStr">
        <is>
          <t>TCKH.V_BCN_THUNO</t>
        </is>
      </c>
      <c r="B18" s="48" t="inlineStr">
        <is>
          <t>GOLD_DERIVED</t>
        </is>
      </c>
      <c r="C18" s="48" t="inlineStr">
        <is>
          <t>3.3</t>
        </is>
      </c>
      <c r="D18" s="48" t="inlineStr">
        <is>
          <t>Nhom 3 - Optimization</t>
        </is>
      </c>
      <c r="E18" s="48" t="inlineStr">
        <is>
          <t>Filter trước khi join, tận dụng partition pruning</t>
        </is>
      </c>
      <c r="F18" s="51" t="inlineStr">
        <is>
          <t>WARN</t>
        </is>
      </c>
      <c r="G18" s="48" t="inlineStr">
        <is>
          <t>WARN</t>
        </is>
      </c>
      <c r="H18" s="50" t="inlineStr">
        <is>
          <t>1 bảng join trực tiếp mà không có filter riêng: tb_ar_bcn_dtl (bundle)</t>
        </is>
      </c>
      <c r="I18" s="50" t="inlineStr">
        <is>
          <t>Đưa điều kiện lọc (ngày dữ liệu, trạng thái) vào subquery của từng bảng TRƯỚC khi join, để tận dụng partition pruning. Bảng dim nhỏ không partition thì không cần — tự tick Pass.</t>
        </is>
      </c>
      <c r="J18" s="48" t="inlineStr">
        <is>
          <t>001. OCB_GOLD_TCKH_V_BCN_THUNO_QUANG.xlsx [Script SQL: V_BCN_THUNO]</t>
        </is>
      </c>
    </row>
    <row r="19">
      <c r="A19" s="48" t="inlineStr">
        <is>
          <t>TCKH.V_BCN_THUNO</t>
        </is>
      </c>
      <c r="B19" s="48" t="inlineStr">
        <is>
          <t>GOLD_DERIVED</t>
        </is>
      </c>
      <c r="C19" s="48" t="inlineStr">
        <is>
          <t>3.4</t>
        </is>
      </c>
      <c r="D19" s="48" t="inlineStr">
        <is>
          <t>Nhom 3 - Optimization</t>
        </is>
      </c>
      <c r="E19" s="48" t="inlineStr">
        <is>
          <t>Sử dụng CACHE cho query lặp lại trong cùng luồng</t>
        </is>
      </c>
      <c r="F19" s="48" t="inlineStr">
        <is>
          <t>N-A</t>
        </is>
      </c>
      <c r="G19" s="48" t="inlineStr">
        <is>
          <t>Pass</t>
        </is>
      </c>
      <c r="H19" s="50" t="inlineStr">
        <is>
          <t>không có kết quả nào được dùng lại nhiều lần nên chưa cần CACHE</t>
        </is>
      </c>
      <c r="I19" s="50" t="inlineStr">
        <is>
          <t>Nếu một kết quả nặng được dùng lại nhiều bước trong cùng luồng, thêm CACHE TABLE / CACHE SELECT. Kết quả nhỏ thì cache còn chậm hơn — tự tick Pass.</t>
        </is>
      </c>
      <c r="J19" s="48" t="inlineStr">
        <is>
          <t>001. OCB_GOLD_TCKH_V_BCN_THUNO_QUANG.xlsx [Script SQL: V_BCN_THUNO]</t>
        </is>
      </c>
    </row>
    <row r="20">
      <c r="A20" s="48" t="inlineStr">
        <is>
          <t>TCKH.V_BCN_THUNO</t>
        </is>
      </c>
      <c r="B20" s="48" t="inlineStr">
        <is>
          <t>GOLD_DERIVED</t>
        </is>
      </c>
      <c r="C20" s="48" t="inlineStr">
        <is>
          <t>3.5</t>
        </is>
      </c>
      <c r="D20" s="48" t="inlineStr">
        <is>
          <t>Nhom 3 - Optimization</t>
        </is>
      </c>
      <c r="E20" s="48" t="inlineStr">
        <is>
          <t>Ưu tiên MAX_BY + QUALIFY thay ROW_NUMBER() + WHERE rn = 1</t>
        </is>
      </c>
      <c r="F20" s="48" t="inlineStr">
        <is>
          <t>N-A</t>
        </is>
      </c>
      <c r="G20" s="48" t="inlineStr">
        <is>
          <t>Pass</t>
        </is>
      </c>
      <c r="H20" s="50" t="inlineStr">
        <is>
          <t>script không dùng ROW_NUMBER, và MAX_BY (nếu có) không vượt quá 5 cột/khối</t>
        </is>
      </c>
      <c r="I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 s="48" t="inlineStr">
        <is>
          <t>001. OCB_GOLD_TCKH_V_BCN_THUNO_QUANG.xlsx [Script SQL: V_BCN_THUNO]</t>
        </is>
      </c>
    </row>
    <row r="21">
      <c r="A21" s="48" t="inlineStr">
        <is>
          <t>TCKH.V_BCN_THUNO</t>
        </is>
      </c>
      <c r="B21" s="48" t="inlineStr">
        <is>
          <t>GOLD_DERIVED</t>
        </is>
      </c>
      <c r="C21" s="48" t="inlineStr">
        <is>
          <t>3.6</t>
        </is>
      </c>
      <c r="D21" s="48" t="inlineStr">
        <is>
          <t>Nhom 3 - Optimization</t>
        </is>
      </c>
      <c r="E21" s="48" t="inlineStr">
        <is>
          <t>Không lạm dụng window function; có comment khi dùng</t>
        </is>
      </c>
      <c r="F21" s="48" t="inlineStr">
        <is>
          <t>N-A</t>
        </is>
      </c>
      <c r="G21" s="48" t="inlineStr">
        <is>
          <t>Pass</t>
        </is>
      </c>
      <c r="H21" s="50" t="inlineStr">
        <is>
          <t>script không dùng window function</t>
        </is>
      </c>
      <c r="I21" s="50" t="inlineStr">
        <is>
          <t>Mỗi window function cần một comment ngay trên khối CTE chứa nó, nói rõ vì sao không dùng được max_by/QUALIFY đơn giản hơn.</t>
        </is>
      </c>
      <c r="J21" s="48" t="inlineStr">
        <is>
          <t>001. OCB_GOLD_TCKH_V_BCN_THUNO_QUANG.xlsx [Script SQL: V_BCN_THUNO]</t>
        </is>
      </c>
    </row>
    <row r="22">
      <c r="A22" s="48" t="inlineStr">
        <is>
          <t>TCKH.V_BCN_THUNO</t>
        </is>
      </c>
      <c r="B22" s="48" t="inlineStr">
        <is>
          <t>GOLD_DERIVED</t>
        </is>
      </c>
      <c r="C22" s="48" t="inlineStr">
        <is>
          <t>X.1</t>
        </is>
      </c>
      <c r="D22" s="48" t="inlineStr">
        <is>
          <t>Nhom X - Bo sung Raffles</t>
        </is>
      </c>
      <c r="E22" s="48" t="inlineStr">
        <is>
          <t>[Bổ sung] Link phải rút về current trước khi join (chống fan-out)</t>
        </is>
      </c>
      <c r="F22" s="48" t="inlineStr">
        <is>
          <t>N-A</t>
        </is>
      </c>
      <c r="G22" s="48" t="inlineStr">
        <is>
          <t>Pass</t>
        </is>
      </c>
      <c r="H22" s="50" t="inlineStr">
        <is>
          <t>khong ap dung cho profile GOLD_DERIVED</t>
        </is>
      </c>
      <c r="I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 s="48" t="inlineStr">
        <is>
          <t>001. OCB_GOLD_TCKH_V_BCN_THUNO_QUANG.xlsx [Script SQL: V_BCN_THUNO]</t>
        </is>
      </c>
    </row>
    <row r="23">
      <c r="A23" s="48" t="inlineStr">
        <is>
          <t>TCKH.V_BCN_THUNO</t>
        </is>
      </c>
      <c r="B23" s="48" t="inlineStr">
        <is>
          <t>GOLD_DERIVED</t>
        </is>
      </c>
      <c r="C23" s="48" t="inlineStr">
        <is>
          <t>X.6</t>
        </is>
      </c>
      <c r="D23" s="48" t="inlineStr">
        <is>
          <t>Nhom X - Bo sung Raffles</t>
        </is>
      </c>
      <c r="E23" s="48" t="inlineStr">
        <is>
          <t>[Bổ sung] Satellite phải LEFT JOIN, không INNER JOIN</t>
        </is>
      </c>
      <c r="F23" s="48" t="inlineStr">
        <is>
          <t>N-A</t>
        </is>
      </c>
      <c r="G23" s="48" t="inlineStr">
        <is>
          <t>Pass</t>
        </is>
      </c>
      <c r="H23" s="50" t="inlineStr">
        <is>
          <t>khong ap dung cho profile GOLD_DERIVED</t>
        </is>
      </c>
      <c r="I23" s="50" t="inlineStr">
        <is>
          <t>Technical Document III.4.2.2 nguyên tắc 1: làm giàu thuộc tính luôn dùng LEFT JOIN. INNER JOIN satellite sẽ loại mất bản ghi Hub đang còn hiệu lực nhưng chưa có dòng satellite.</t>
        </is>
      </c>
      <c r="J23" s="48" t="inlineStr">
        <is>
          <t>001. OCB_GOLD_TCKH_V_BCN_THUNO_QUANG.xlsx [Script SQL: V_BCN_THUNO]</t>
        </is>
      </c>
    </row>
    <row r="24">
      <c r="A24" s="48" t="inlineStr">
        <is>
          <t>TCKH.V_BCN_THUNO</t>
        </is>
      </c>
      <c r="B24" s="48" t="inlineStr">
        <is>
          <t>GOLD_DERIVED</t>
        </is>
      </c>
      <c r="C24" s="48" t="inlineStr">
        <is>
          <t>X.7</t>
        </is>
      </c>
      <c r="D24" s="48" t="inlineStr">
        <is>
          <t>Nhom X - Bo sung Raffles</t>
        </is>
      </c>
      <c r="E24" s="48" t="inlineStr">
        <is>
          <t>[Bổ sung] Không hard-code catalog, dùng biến môi trường</t>
        </is>
      </c>
      <c r="F24" s="49" t="inlineStr">
        <is>
          <t>PASS</t>
        </is>
      </c>
      <c r="G24" s="48" t="inlineStr">
        <is>
          <t>Pass</t>
        </is>
      </c>
      <c r="H24" s="50" t="inlineStr">
        <is>
          <t>dùng biến môi trường cho catalog</t>
        </is>
      </c>
      <c r="I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4" s="48" t="inlineStr">
        <is>
          <t>001. OCB_GOLD_TCKH_V_BCN_THUNO_QUANG.xlsx [Script SQL: V_BCN_THUNO]</t>
        </is>
      </c>
    </row>
    <row r="25">
      <c r="A25" s="48" t="inlineStr">
        <is>
          <t>TCKH.V_BCN_THUNO</t>
        </is>
      </c>
      <c r="B25" s="48" t="inlineStr">
        <is>
          <t>GOLD_DERIVED</t>
        </is>
      </c>
      <c r="C25" s="48" t="inlineStr">
        <is>
          <t>X.10</t>
        </is>
      </c>
      <c r="D25" s="48" t="inlineStr">
        <is>
          <t>Nhom X - Bo sung Raffles</t>
        </is>
      </c>
      <c r="E25" s="48" t="inlineStr">
        <is>
          <t>Bang raw_vault/business_vault duoc doc phai TON TAI THAT trong Data Vault model</t>
        </is>
      </c>
      <c r="F25" s="48" t="inlineStr">
        <is>
          <t>N-A</t>
        </is>
      </c>
      <c r="G25" s="48" t="inlineStr">
        <is>
          <t>Pass</t>
        </is>
      </c>
      <c r="H25" s="50" t="inlineStr">
        <is>
          <t>script không đọc bảng raw_vault/business_vault nào</t>
        </is>
      </c>
      <c r="I25" s="50" t="inlineStr"/>
      <c r="J25" s="48" t="inlineStr">
        <is>
          <t>001. OCB_GOLD_TCKH_V_BCN_THUNO_QUANG.xlsx [Script SQL: V_BCN_THUNO]</t>
        </is>
      </c>
    </row>
    <row r="26">
      <c r="A26" s="48" t="inlineStr">
        <is>
          <t>TCKH.V_BCN_THUNO</t>
        </is>
      </c>
      <c r="B26" s="48" t="inlineStr">
        <is>
          <t>GOLD_DERIVED</t>
        </is>
      </c>
      <c r="C26" s="48" t="inlineStr">
        <is>
          <t>X.11</t>
        </is>
      </c>
      <c r="D26" s="48" t="inlineStr">
        <is>
          <t>Nhom X - Bo sung Raffles</t>
        </is>
      </c>
      <c r="E26" s="48" t="inlineStr">
        <is>
          <t>Cot doc tu satellite (sat_*) phai TON TAI THAT trong model</t>
        </is>
      </c>
      <c r="F26" s="48" t="inlineStr">
        <is>
          <t>N-A</t>
        </is>
      </c>
      <c r="G26" s="48" t="inlineStr">
        <is>
          <t>Pass</t>
        </is>
      </c>
      <c r="H26" s="50" t="inlineStr">
        <is>
          <t>không có bảng sat_* nào đủ điều kiện đối chiếu (Select chỉ đọc 1 bảng)</t>
        </is>
      </c>
      <c r="I26" s="50" t="inlineStr"/>
      <c r="J26" s="48" t="inlineStr">
        <is>
          <t>001. OCB_GOLD_TCKH_V_BCN_THUNO_QUANG.xlsx [Script SQL: V_BCN_THUNO]</t>
        </is>
      </c>
    </row>
    <row r="27">
      <c r="A27" s="48" t="inlineStr">
        <is>
          <t>TCKH.V_BRANCH_LIST</t>
        </is>
      </c>
      <c r="B27" s="48" t="inlineStr">
        <is>
          <t>GOLD_DERIVED</t>
        </is>
      </c>
      <c r="C27" s="48" t="inlineStr">
        <is>
          <t>1.1</t>
        </is>
      </c>
      <c r="D27" s="48" t="inlineStr">
        <is>
          <t>Nhom 1 - Mapping</t>
        </is>
      </c>
      <c r="E27" s="48" t="inlineStr">
        <is>
          <t>Đầy đủ mapping từ Silver/manual sang Gold</t>
        </is>
      </c>
      <c r="F27" s="49" t="inlineStr">
        <is>
          <t>PASS</t>
        </is>
      </c>
      <c r="G27" s="48" t="inlineStr">
        <is>
          <t>Pass</t>
        </is>
      </c>
      <c r="H27" s="50" t="inlineStr">
        <is>
          <t>workbook 002. OCB_GOLD_TCKH_V_BRANCH_LIST_HOP.xlsx: thiết kế 5 field, SQL có 5 cột</t>
        </is>
      </c>
      <c r="I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7" s="48" t="inlineStr">
        <is>
          <t>002. OCB_GOLD_TCKH_V_BRANCH_LIST_HOP.xlsx [SCRIPT: V_BRANCH_LIST]</t>
        </is>
      </c>
    </row>
    <row r="28">
      <c r="A28" s="48" t="inlineStr">
        <is>
          <t>TCKH.V_BRANCH_LIST</t>
        </is>
      </c>
      <c r="B28" s="48" t="inlineStr">
        <is>
          <t>GOLD_DERIVED</t>
        </is>
      </c>
      <c r="C28" s="48" t="inlineStr">
        <is>
          <t>1.2</t>
        </is>
      </c>
      <c r="D28" s="48" t="inlineStr">
        <is>
          <t>Nhom 1 - Mapping</t>
        </is>
      </c>
      <c r="E28" s="48" t="inlineStr">
        <is>
          <t>Danh sách bảng/view Gold khớp tài liệu thiết kế đã duyệt</t>
        </is>
      </c>
      <c r="F28" s="49" t="inlineStr">
        <is>
          <t>PASS</t>
        </is>
      </c>
      <c r="G28" s="48" t="inlineStr">
        <is>
          <t>Pass</t>
        </is>
      </c>
      <c r="H28" s="50" t="inlineStr">
        <is>
          <t>V_BRANCH_LIST có workbook thiết kế: 002. OCB_GOLD_TCKH_V_BRANCH_LIST_HOP.xlsx</t>
        </is>
      </c>
      <c r="I28" s="50" t="inlineStr">
        <is>
          <t>Đảm bảo object có workbook thiết kế tương ứng trong thư mục --mapping-dir. Muốn đối chiếu với danh sách đã duyệt thì chạy thêm tham số --gold-list "&lt;file danh sách Gold&gt;.xlsx".</t>
        </is>
      </c>
      <c r="J28" s="48" t="inlineStr">
        <is>
          <t>002. OCB_GOLD_TCKH_V_BRANCH_LIST_HOP.xlsx [SCRIPT: V_BRANCH_LIST]</t>
        </is>
      </c>
    </row>
    <row r="29">
      <c r="A29" s="48" t="inlineStr">
        <is>
          <t>TCKH.V_BRANCH_LIST</t>
        </is>
      </c>
      <c r="B29" s="48" t="inlineStr">
        <is>
          <t>GOLD_DERIVED</t>
        </is>
      </c>
      <c r="C29" s="48" t="inlineStr">
        <is>
          <t>2.1</t>
        </is>
      </c>
      <c r="D29" s="48" t="inlineStr">
        <is>
          <t>Nhom 2 - Logic</t>
        </is>
      </c>
      <c r="E29" s="48" t="inlineStr">
        <is>
          <t>Chỉ lấy bản ghi active, loại bản ghi đã xóa (qua sts_hub)</t>
        </is>
      </c>
      <c r="F29" s="48" t="inlineStr">
        <is>
          <t>N-A</t>
        </is>
      </c>
      <c r="G29" s="48" t="inlineStr">
        <is>
          <t>Pass</t>
        </is>
      </c>
      <c r="H29" s="50" t="inlineStr">
        <is>
          <t>khong ap dung cho profile GOLD_DERIVED</t>
        </is>
      </c>
      <c r="I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9" s="48" t="inlineStr">
        <is>
          <t>002. OCB_GOLD_TCKH_V_BRANCH_LIST_HOP.xlsx [SCRIPT: V_BRANCH_LIST]</t>
        </is>
      </c>
    </row>
    <row r="30">
      <c r="A30" s="48" t="inlineStr">
        <is>
          <t>TCKH.V_BRANCH_LIST</t>
        </is>
      </c>
      <c r="B30" s="48" t="inlineStr">
        <is>
          <t>GOLD_DERIVED</t>
        </is>
      </c>
      <c r="C30" s="48" t="inlineStr">
        <is>
          <t>2.2</t>
        </is>
      </c>
      <c r="D30" s="48" t="inlineStr">
        <is>
          <t>Nhom 2 - Logic</t>
        </is>
      </c>
      <c r="E30" s="48" t="inlineStr">
        <is>
          <t>Thống nhất MỘT pattern duy nhất xác định bản ghi active mới nhất</t>
        </is>
      </c>
      <c r="F30" s="48" t="inlineStr">
        <is>
          <t>N-A</t>
        </is>
      </c>
      <c r="G30" s="48" t="inlineStr">
        <is>
          <t>Pass</t>
        </is>
      </c>
      <c r="H30" s="50" t="inlineStr">
        <is>
          <t>khong ap dung cho profile GOLD_DERIVED</t>
        </is>
      </c>
      <c r="I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0" s="48" t="inlineStr">
        <is>
          <t>002. OCB_GOLD_TCKH_V_BRANCH_LIST_HOP.xlsx [SCRIPT: V_BRANCH_LIST]</t>
        </is>
      </c>
    </row>
    <row r="31">
      <c r="A31" s="48" t="inlineStr">
        <is>
          <t>TCKH.V_BRANCH_LIST</t>
        </is>
      </c>
      <c r="B31" s="48" t="inlineStr">
        <is>
          <t>GOLD_DERIVED</t>
        </is>
      </c>
      <c r="C31" s="48" t="inlineStr">
        <is>
          <t>2.3</t>
        </is>
      </c>
      <c r="D31" s="48" t="inlineStr">
        <is>
          <t>Nhom 2 - Logic</t>
        </is>
      </c>
      <c r="E31" s="48" t="inlineStr">
        <is>
          <t>Điều kiện lọc trạng thái đặt SAU khi xác định bản ghi mới nhất</t>
        </is>
      </c>
      <c r="F31" s="49" t="inlineStr">
        <is>
          <t>PASS</t>
        </is>
      </c>
      <c r="G31" s="48" t="inlineStr">
        <is>
          <t>Pass</t>
        </is>
      </c>
      <c r="H31" s="50" t="inlineStr">
        <is>
          <t>không có điều kiện trạng thái nào lồng trong JOIN ON</t>
        </is>
      </c>
      <c r="I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1" s="48" t="inlineStr">
        <is>
          <t>002. OCB_GOLD_TCKH_V_BRANCH_LIST_HOP.xlsx [SCRIPT: V_BRANCH_LIST]</t>
        </is>
      </c>
    </row>
    <row r="32">
      <c r="A32" s="48" t="inlineStr">
        <is>
          <t>TCKH.V_BRANCH_LIST</t>
        </is>
      </c>
      <c r="B32" s="48" t="inlineStr">
        <is>
          <t>GOLD_DERIVED</t>
        </is>
      </c>
      <c r="C32" s="48" t="inlineStr">
        <is>
          <t>2.4</t>
        </is>
      </c>
      <c r="D32" s="48" t="inlineStr">
        <is>
          <t>Nhom 2 - Logic</t>
        </is>
      </c>
      <c r="E32" s="48" t="inlineStr">
        <is>
          <t>source_event_date áp dụng đúng dạng theo loại bảng</t>
        </is>
      </c>
      <c r="F32" s="48" t="inlineStr">
        <is>
          <t>N-A</t>
        </is>
      </c>
      <c r="G32" s="48" t="inlineStr">
        <is>
          <t>Pass</t>
        </is>
      </c>
      <c r="H32" s="50" t="inlineStr">
        <is>
          <t>khong ap dung cho profile GOLD_DERIVED</t>
        </is>
      </c>
      <c r="I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2" s="48" t="inlineStr">
        <is>
          <t>002. OCB_GOLD_TCKH_V_BRANCH_LIST_HOP.xlsx [SCRIPT: V_BRANCH_LIST]</t>
        </is>
      </c>
    </row>
    <row r="33">
      <c r="A33" s="48" t="inlineStr">
        <is>
          <t>TCKH.V_BRANCH_LIST</t>
        </is>
      </c>
      <c r="B33" s="48" t="inlineStr">
        <is>
          <t>GOLD_DERIVED</t>
        </is>
      </c>
      <c r="C33" s="48" t="inlineStr">
        <is>
          <t>2.5</t>
        </is>
      </c>
      <c r="D33" s="48" t="inlineStr">
        <is>
          <t>Nhom 2 - Logic</t>
        </is>
      </c>
      <c r="E33" s="48" t="inlineStr">
        <is>
          <t>Không lặp lại lỗi logic cũ đã được DA Data Vault fix</t>
        </is>
      </c>
      <c r="F33" s="49" t="inlineStr">
        <is>
          <t>PASS</t>
        </is>
      </c>
      <c r="G33" s="48" t="inlineStr">
        <is>
          <t>Pass</t>
        </is>
      </c>
      <c r="H33" s="50" t="inlineStr">
        <is>
          <t>không trùng lỗi nào trong Issue log của DA Data Vault</t>
        </is>
      </c>
      <c r="I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3" s="48" t="inlineStr">
        <is>
          <t>002. OCB_GOLD_TCKH_V_BRANCH_LIST_HOP.xlsx [SCRIPT: V_BRANCH_LIST]</t>
        </is>
      </c>
    </row>
    <row r="34">
      <c r="A34" s="48" t="inlineStr">
        <is>
          <t>TCKH.V_BRANCH_LIST</t>
        </is>
      </c>
      <c r="B34" s="48" t="inlineStr">
        <is>
          <t>GOLD_DERIVED</t>
        </is>
      </c>
      <c r="C34" s="48" t="inlineStr">
        <is>
          <t>2.6</t>
        </is>
      </c>
      <c r="D34" s="48" t="inlineStr">
        <is>
          <t>Nhom 2 - Logic</t>
        </is>
      </c>
      <c r="E34" s="48" t="inlineStr">
        <is>
          <t>SCD Type 2 cho bảng DIM áp dụng đúng kỹ thuật đã thống nhất</t>
        </is>
      </c>
      <c r="F34" s="48" t="inlineStr">
        <is>
          <t>N-A</t>
        </is>
      </c>
      <c r="G34" s="48" t="inlineStr">
        <is>
          <t>Pass</t>
        </is>
      </c>
      <c r="H34" s="50" t="inlineStr">
        <is>
          <t>object không phải bảng DIM nên không áp dụng SCD Type 2</t>
        </is>
      </c>
      <c r="I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4" s="48" t="inlineStr">
        <is>
          <t>002. OCB_GOLD_TCKH_V_BRANCH_LIST_HOP.xlsx [SCRIPT: V_BRANCH_LIST]</t>
        </is>
      </c>
    </row>
    <row r="35">
      <c r="A35" s="48" t="inlineStr">
        <is>
          <t>TCKH.V_BRANCH_LIST</t>
        </is>
      </c>
      <c r="B35" s="48" t="inlineStr">
        <is>
          <t>GOLD_DERIVED</t>
        </is>
      </c>
      <c r="C35" s="48" t="inlineStr">
        <is>
          <t>2.7</t>
        </is>
      </c>
      <c r="D35" s="48" t="inlineStr">
        <is>
          <t>Nhom 2 - Logic</t>
        </is>
      </c>
      <c r="E35" s="48" t="inlineStr">
        <is>
          <t>CASE WHEN cover đủ nhánh như job on-prem</t>
        </is>
      </c>
      <c r="F35" s="48" t="inlineStr">
        <is>
          <t>N-A</t>
        </is>
      </c>
      <c r="G35" s="48" t="inlineStr">
        <is>
          <t>Pass</t>
        </is>
      </c>
      <c r="H35" s="50" t="inlineStr">
        <is>
          <t>script không có CASE WHEN nào</t>
        </is>
      </c>
      <c r="I35" s="50" t="inlineStr">
        <is>
          <t>Mở job on-prem tương ứng (DataStage DSX hoặc SQL cũ), đối chiếu từng nhánh WHEN và cả nhánh ELSE. CASE không có ELSE sẽ trả NULL âm thầm — xác nhận đó là ý muốn hay thiếu nhánh.</t>
        </is>
      </c>
      <c r="J35" s="48" t="inlineStr">
        <is>
          <t>002. OCB_GOLD_TCKH_V_BRANCH_LIST_HOP.xlsx [SCRIPT: V_BRANCH_LIST]</t>
        </is>
      </c>
    </row>
    <row r="36">
      <c r="A36" s="48" t="inlineStr">
        <is>
          <t>TCKH.V_BRANCH_LIST</t>
        </is>
      </c>
      <c r="B36" s="48" t="inlineStr">
        <is>
          <t>GOLD_DERIVED</t>
        </is>
      </c>
      <c r="C36" s="48" t="inlineStr">
        <is>
          <t>2.8</t>
        </is>
      </c>
      <c r="D36" s="48" t="inlineStr">
        <is>
          <t>Nhom 2 - Logic</t>
        </is>
      </c>
      <c r="E36" s="48" t="inlineStr">
        <is>
          <t>Cột SUM/COUNT được COALESCE/NVL hợp lý</t>
        </is>
      </c>
      <c r="F36" s="49" t="inlineStr">
        <is>
          <t>PASS</t>
        </is>
      </c>
      <c r="G36" s="48" t="inlineStr">
        <is>
          <t>Pass</t>
        </is>
      </c>
      <c r="H36" s="50" t="inlineStr">
        <is>
          <t>mọi SUM/COUNT đều đã coalesce (trực tiếp hoặc ở lớp ngoài)</t>
        </is>
      </c>
      <c r="I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6" s="48" t="inlineStr">
        <is>
          <t>002. OCB_GOLD_TCKH_V_BRANCH_LIST_HOP.xlsx [SCRIPT: V_BRANCH_LIST]</t>
        </is>
      </c>
    </row>
    <row r="37">
      <c r="A37" s="48" t="inlineStr">
        <is>
          <t>TCKH.V_BRANCH_LIST</t>
        </is>
      </c>
      <c r="B37" s="48" t="inlineStr">
        <is>
          <t>GOLD_DERIVED</t>
        </is>
      </c>
      <c r="C37" s="48" t="inlineStr">
        <is>
          <t>2.9</t>
        </is>
      </c>
      <c r="D37" s="48" t="inlineStr">
        <is>
          <t>Nhom 2 - Logic</t>
        </is>
      </c>
      <c r="E37" s="48" t="inlineStr">
        <is>
          <t>Subquery / custom function / điều kiện LIKE đúng ý nghĩa nghiệp vụ</t>
        </is>
      </c>
      <c r="F37" s="48" t="inlineStr">
        <is>
          <t>N-A</t>
        </is>
      </c>
      <c r="G37" s="48" t="inlineStr">
        <is>
          <t>Pass</t>
        </is>
      </c>
      <c r="H37" s="50" t="inlineStr">
        <is>
          <t>script không có điều kiện LIKE hay scalar subquery nào</t>
        </is>
      </c>
      <c r="I37" s="50" t="inlineStr">
        <is>
          <t>Đọc lại từng điều kiện LIKE và từng subquery, đối chiếu ý nghĩa nghiệp vụ với on-prem — đúng cú pháp không đủ. Chú ý pattern LIKE có ký tự % ở đầu/cuối và phân biệt chữ hoa/thường.</t>
        </is>
      </c>
      <c r="J37" s="48" t="inlineStr">
        <is>
          <t>002. OCB_GOLD_TCKH_V_BRANCH_LIST_HOP.xlsx [SCRIPT: V_BRANCH_LIST]</t>
        </is>
      </c>
    </row>
    <row r="38">
      <c r="A38" s="48" t="inlineStr">
        <is>
          <t>TCKH.V_BRANCH_LIST</t>
        </is>
      </c>
      <c r="B38" s="48" t="inlineStr">
        <is>
          <t>GOLD_DERIVED</t>
        </is>
      </c>
      <c r="C38" s="48" t="inlineStr">
        <is>
          <t>2.10</t>
        </is>
      </c>
      <c r="D38" s="48" t="inlineStr">
        <is>
          <t>Nhom 2 - Logic</t>
        </is>
      </c>
      <c r="E38" s="48" t="inlineStr">
        <is>
          <t>Aggregation kèm filter date range chính xác</t>
        </is>
      </c>
      <c r="F38" s="49" t="inlineStr">
        <is>
          <t>PASS</t>
        </is>
      </c>
      <c r="G38" s="48" t="inlineStr">
        <is>
          <t>Pass</t>
        </is>
      </c>
      <c r="H38" s="50" t="inlineStr">
        <is>
          <t>mọi khối tổng hợp đều có điều kiện theo kỳ dữ liệu</t>
        </is>
      </c>
      <c r="I38" s="50" t="inlineStr">
        <is>
          <t>Mỗi khối SUM/COUNT/AVG phải có điều kiện lọc theo kỳ dữ liệu (CDR_DT_ID, DATA_DATE, :DATADT…). Nếu điều kiện nằm ở CTE nguồn thì ghi rõ trong comment để người review không phải truy ngược.</t>
        </is>
      </c>
      <c r="J38" s="48" t="inlineStr">
        <is>
          <t>002. OCB_GOLD_TCKH_V_BRANCH_LIST_HOP.xlsx [SCRIPT: V_BRANCH_LIST]</t>
        </is>
      </c>
    </row>
    <row r="39">
      <c r="A39" s="48" t="inlineStr">
        <is>
          <t>TCKH.V_BRANCH_LIST</t>
        </is>
      </c>
      <c r="B39" s="48" t="inlineStr">
        <is>
          <t>GOLD_DERIVED</t>
        </is>
      </c>
      <c r="C39" s="48" t="inlineStr">
        <is>
          <t>2.11</t>
        </is>
      </c>
      <c r="D39" s="48" t="inlineStr">
        <is>
          <t>Nhom 2 - Logic</t>
        </is>
      </c>
      <c r="E39" s="48" t="inlineStr">
        <is>
          <t>Join dùng key hợp lý, không lạm dụng UNION ALL + EXISTS/NOT EXISTS</t>
        </is>
      </c>
      <c r="F39" s="49" t="inlineStr">
        <is>
          <t>PASS</t>
        </is>
      </c>
      <c r="G39" s="48" t="inlineStr">
        <is>
          <t>Pass</t>
        </is>
      </c>
      <c r="H39" s="50" t="inlineStr">
        <is>
          <t>join đều theo điều kiện bằng, không lạm dụng UNION ALL + EXISTS</t>
        </is>
      </c>
      <c r="I39" s="50" t="inlineStr">
        <is>
          <t>Ưu tiên LEFT JOIN theo business key hoặc hashkey. Xem lại các chỗ dùng UNION ALL kết hợp EXISTS/NOT EXISTS — thường thay được bằng một LEFT JOIN. Join không có điều kiện bằng (=) dễ tạo tích Descartes.</t>
        </is>
      </c>
      <c r="J39" s="48" t="inlineStr">
        <is>
          <t>002. OCB_GOLD_TCKH_V_BRANCH_LIST_HOP.xlsx [SCRIPT: V_BRANCH_LIST]</t>
        </is>
      </c>
    </row>
    <row r="40">
      <c r="A40" s="48" t="inlineStr">
        <is>
          <t>TCKH.V_BRANCH_LIST</t>
        </is>
      </c>
      <c r="B40" s="48" t="inlineStr">
        <is>
          <t>GOLD_DERIVED</t>
        </is>
      </c>
      <c r="C40" s="48" t="inlineStr">
        <is>
          <t>2.12</t>
        </is>
      </c>
      <c r="D40" s="48" t="inlineStr">
        <is>
          <t>Nhom 2 - Logic</t>
        </is>
      </c>
      <c r="E40" s="48" t="inlineStr">
        <is>
          <t>Build Gold từ CTE snapshot Silver, không build nhiều tầng chồng chéo</t>
        </is>
      </c>
      <c r="F40" s="49" t="inlineStr">
        <is>
          <t>PASS</t>
        </is>
      </c>
      <c r="G40" s="48" t="inlineStr">
        <is>
          <t>Pass</t>
        </is>
      </c>
      <c r="H40" s="50" t="inlineStr">
        <is>
          <t>mỗi bảng nguồn chỉ đọc trong 1 khối SELECT</t>
        </is>
      </c>
      <c r="I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0" s="48" t="inlineStr">
        <is>
          <t>002. OCB_GOLD_TCKH_V_BRANCH_LIST_HOP.xlsx [SCRIPT: V_BRANCH_LIST]</t>
        </is>
      </c>
    </row>
    <row r="41">
      <c r="A41" s="48" t="inlineStr">
        <is>
          <t>TCKH.V_BRANCH_LIST</t>
        </is>
      </c>
      <c r="B41" s="48" t="inlineStr">
        <is>
          <t>GOLD_DERIVED</t>
        </is>
      </c>
      <c r="C41" s="48" t="inlineStr">
        <is>
          <t>3.1</t>
        </is>
      </c>
      <c r="D41" s="48" t="inlineStr">
        <is>
          <t>Nhom 3 - Optimization</t>
        </is>
      </c>
      <c r="E41" s="48" t="inlineStr">
        <is>
          <t>Không SELECT *</t>
        </is>
      </c>
      <c r="F41" s="49" t="inlineStr">
        <is>
          <t>PASS</t>
        </is>
      </c>
      <c r="G41" s="48" t="inlineStr">
        <is>
          <t>Pass</t>
        </is>
      </c>
      <c r="H41" s="50" t="inlineStr">
        <is>
          <t>không dùng SELECT * ở đâu</t>
        </is>
      </c>
      <c r="I41" s="50" t="inlineStr">
        <is>
          <t>Liệt kê tường minh các cột cần dùng, kể cả trong CTE trung gian. SELECT * làm tăng IO/memory và vỡ script khi bảng nguồn thêm cột.</t>
        </is>
      </c>
      <c r="J41" s="48" t="inlineStr">
        <is>
          <t>002. OCB_GOLD_TCKH_V_BRANCH_LIST_HOP.xlsx [SCRIPT: V_BRANCH_LIST]</t>
        </is>
      </c>
    </row>
    <row r="42">
      <c r="A42" s="48" t="inlineStr">
        <is>
          <t>TCKH.V_BRANCH_LIST</t>
        </is>
      </c>
      <c r="B42" s="48" t="inlineStr">
        <is>
          <t>GOLD_DERIVED</t>
        </is>
      </c>
      <c r="C42" s="48" t="inlineStr">
        <is>
          <t>3.2</t>
        </is>
      </c>
      <c r="D42" s="48" t="inlineStr">
        <is>
          <t>Nhom 3 - Optimization</t>
        </is>
      </c>
      <c r="E42" s="48" t="inlineStr">
        <is>
          <t>CTE không bị scan lại nhiều lần</t>
        </is>
      </c>
      <c r="F42" s="49" t="inlineStr">
        <is>
          <t>PASS</t>
        </is>
      </c>
      <c r="G42" s="48" t="inlineStr">
        <is>
          <t>Pass</t>
        </is>
      </c>
      <c r="H42" s="50" t="inlineStr">
        <is>
          <t>không có CTE nào bị gọi lại</t>
        </is>
      </c>
      <c r="I42" s="50" t="inlineStr">
        <is>
          <t>Với CTE nặng (đọc nhiều bảng Silver) bị tham chiếu từ 2 chỗ trở lên: gom lại còn một lần dùng, hoặc vật chất hóa (CACHE / bảng tạm). CTE nhẹ chỉ chứa tham số thì bỏ qua được — tự tick Pass.</t>
        </is>
      </c>
      <c r="J42" s="48" t="inlineStr">
        <is>
          <t>002. OCB_GOLD_TCKH_V_BRANCH_LIST_HOP.xlsx [SCRIPT: V_BRANCH_LIST]</t>
        </is>
      </c>
    </row>
    <row r="43">
      <c r="A43" s="48" t="inlineStr">
        <is>
          <t>TCKH.V_BRANCH_LIST</t>
        </is>
      </c>
      <c r="B43" s="48" t="inlineStr">
        <is>
          <t>GOLD_DERIVED</t>
        </is>
      </c>
      <c r="C43" s="48" t="inlineStr">
        <is>
          <t>3.3</t>
        </is>
      </c>
      <c r="D43" s="48" t="inlineStr">
        <is>
          <t>Nhom 3 - Optimization</t>
        </is>
      </c>
      <c r="E43" s="48" t="inlineStr">
        <is>
          <t>Filter trước khi join, tận dụng partition pruning</t>
        </is>
      </c>
      <c r="F43" s="49" t="inlineStr">
        <is>
          <t>PASS</t>
        </is>
      </c>
      <c r="G43" s="48" t="inlineStr">
        <is>
          <t>Pass</t>
        </is>
      </c>
      <c r="H43" s="50" t="inlineStr">
        <is>
          <t>các bảng join đều được filter trước</t>
        </is>
      </c>
      <c r="I43" s="50" t="inlineStr">
        <is>
          <t>Đưa điều kiện lọc (ngày dữ liệu, trạng thái) vào subquery của từng bảng TRƯỚC khi join, để tận dụng partition pruning. Bảng dim nhỏ không partition thì không cần — tự tick Pass.</t>
        </is>
      </c>
      <c r="J43" s="48" t="inlineStr">
        <is>
          <t>002. OCB_GOLD_TCKH_V_BRANCH_LIST_HOP.xlsx [SCRIPT: V_BRANCH_LIST]</t>
        </is>
      </c>
    </row>
    <row r="44">
      <c r="A44" s="48" t="inlineStr">
        <is>
          <t>TCKH.V_BRANCH_LIST</t>
        </is>
      </c>
      <c r="B44" s="48" t="inlineStr">
        <is>
          <t>GOLD_DERIVED</t>
        </is>
      </c>
      <c r="C44" s="48" t="inlineStr">
        <is>
          <t>3.4</t>
        </is>
      </c>
      <c r="D44" s="48" t="inlineStr">
        <is>
          <t>Nhom 3 - Optimization</t>
        </is>
      </c>
      <c r="E44" s="48" t="inlineStr">
        <is>
          <t>Sử dụng CACHE cho query lặp lại trong cùng luồng</t>
        </is>
      </c>
      <c r="F44" s="48" t="inlineStr">
        <is>
          <t>N-A</t>
        </is>
      </c>
      <c r="G44" s="48" t="inlineStr">
        <is>
          <t>Pass</t>
        </is>
      </c>
      <c r="H44" s="50" t="inlineStr">
        <is>
          <t>không có kết quả nào được dùng lại nhiều lần nên chưa cần CACHE</t>
        </is>
      </c>
      <c r="I44" s="50" t="inlineStr">
        <is>
          <t>Nếu một kết quả nặng được dùng lại nhiều bước trong cùng luồng, thêm CACHE TABLE / CACHE SELECT. Kết quả nhỏ thì cache còn chậm hơn — tự tick Pass.</t>
        </is>
      </c>
      <c r="J44" s="48" t="inlineStr">
        <is>
          <t>002. OCB_GOLD_TCKH_V_BRANCH_LIST_HOP.xlsx [SCRIPT: V_BRANCH_LIST]</t>
        </is>
      </c>
    </row>
    <row r="45">
      <c r="A45" s="48" t="inlineStr">
        <is>
          <t>TCKH.V_BRANCH_LIST</t>
        </is>
      </c>
      <c r="B45" s="48" t="inlineStr">
        <is>
          <t>GOLD_DERIVED</t>
        </is>
      </c>
      <c r="C45" s="48" t="inlineStr">
        <is>
          <t>3.5</t>
        </is>
      </c>
      <c r="D45" s="48" t="inlineStr">
        <is>
          <t>Nhom 3 - Optimization</t>
        </is>
      </c>
      <c r="E45" s="48" t="inlineStr">
        <is>
          <t>Ưu tiên MAX_BY + QUALIFY thay ROW_NUMBER() + WHERE rn = 1</t>
        </is>
      </c>
      <c r="F45" s="48" t="inlineStr">
        <is>
          <t>N-A</t>
        </is>
      </c>
      <c r="G45" s="48" t="inlineStr">
        <is>
          <t>Pass</t>
        </is>
      </c>
      <c r="H45" s="50" t="inlineStr">
        <is>
          <t>script không dùng ROW_NUMBER, và MAX_BY (nếu có) không vượt quá 5 cột/khối</t>
        </is>
      </c>
      <c r="I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5" s="48" t="inlineStr">
        <is>
          <t>002. OCB_GOLD_TCKH_V_BRANCH_LIST_HOP.xlsx [SCRIPT: V_BRANCH_LIST]</t>
        </is>
      </c>
    </row>
    <row r="46">
      <c r="A46" s="48" t="inlineStr">
        <is>
          <t>TCKH.V_BRANCH_LIST</t>
        </is>
      </c>
      <c r="B46" s="48" t="inlineStr">
        <is>
          <t>GOLD_DERIVED</t>
        </is>
      </c>
      <c r="C46" s="48" t="inlineStr">
        <is>
          <t>3.6</t>
        </is>
      </c>
      <c r="D46" s="48" t="inlineStr">
        <is>
          <t>Nhom 3 - Optimization</t>
        </is>
      </c>
      <c r="E46" s="48" t="inlineStr">
        <is>
          <t>Không lạm dụng window function; có comment khi dùng</t>
        </is>
      </c>
      <c r="F46" s="48" t="inlineStr">
        <is>
          <t>N-A</t>
        </is>
      </c>
      <c r="G46" s="48" t="inlineStr">
        <is>
          <t>Pass</t>
        </is>
      </c>
      <c r="H46" s="50" t="inlineStr">
        <is>
          <t>script không dùng window function</t>
        </is>
      </c>
      <c r="I46" s="50" t="inlineStr">
        <is>
          <t>Mỗi window function cần một comment ngay trên khối CTE chứa nó, nói rõ vì sao không dùng được max_by/QUALIFY đơn giản hơn.</t>
        </is>
      </c>
      <c r="J46" s="48" t="inlineStr">
        <is>
          <t>002. OCB_GOLD_TCKH_V_BRANCH_LIST_HOP.xlsx [SCRIPT: V_BRANCH_LIST]</t>
        </is>
      </c>
    </row>
    <row r="47">
      <c r="A47" s="48" t="inlineStr">
        <is>
          <t>TCKH.V_BRANCH_LIST</t>
        </is>
      </c>
      <c r="B47" s="48" t="inlineStr">
        <is>
          <t>GOLD_DERIVED</t>
        </is>
      </c>
      <c r="C47" s="48" t="inlineStr">
        <is>
          <t>X.1</t>
        </is>
      </c>
      <c r="D47" s="48" t="inlineStr">
        <is>
          <t>Nhom X - Bo sung Raffles</t>
        </is>
      </c>
      <c r="E47" s="48" t="inlineStr">
        <is>
          <t>[Bổ sung] Link phải rút về current trước khi join (chống fan-out)</t>
        </is>
      </c>
      <c r="F47" s="48" t="inlineStr">
        <is>
          <t>N-A</t>
        </is>
      </c>
      <c r="G47" s="48" t="inlineStr">
        <is>
          <t>Pass</t>
        </is>
      </c>
      <c r="H47" s="50" t="inlineStr">
        <is>
          <t>khong ap dung cho profile GOLD_DERIVED</t>
        </is>
      </c>
      <c r="I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7" s="48" t="inlineStr">
        <is>
          <t>002. OCB_GOLD_TCKH_V_BRANCH_LIST_HOP.xlsx [SCRIPT: V_BRANCH_LIST]</t>
        </is>
      </c>
    </row>
    <row r="48">
      <c r="A48" s="48" t="inlineStr">
        <is>
          <t>TCKH.V_BRANCH_LIST</t>
        </is>
      </c>
      <c r="B48" s="48" t="inlineStr">
        <is>
          <t>GOLD_DERIVED</t>
        </is>
      </c>
      <c r="C48" s="48" t="inlineStr">
        <is>
          <t>X.6</t>
        </is>
      </c>
      <c r="D48" s="48" t="inlineStr">
        <is>
          <t>Nhom X - Bo sung Raffles</t>
        </is>
      </c>
      <c r="E48" s="48" t="inlineStr">
        <is>
          <t>[Bổ sung] Satellite phải LEFT JOIN, không INNER JOIN</t>
        </is>
      </c>
      <c r="F48" s="48" t="inlineStr">
        <is>
          <t>N-A</t>
        </is>
      </c>
      <c r="G48" s="48" t="inlineStr">
        <is>
          <t>Pass</t>
        </is>
      </c>
      <c r="H48" s="50" t="inlineStr">
        <is>
          <t>khong ap dung cho profile GOLD_DERIVED</t>
        </is>
      </c>
      <c r="I48" s="50" t="inlineStr">
        <is>
          <t>Technical Document III.4.2.2 nguyên tắc 1: làm giàu thuộc tính luôn dùng LEFT JOIN. INNER JOIN satellite sẽ loại mất bản ghi Hub đang còn hiệu lực nhưng chưa có dòng satellite.</t>
        </is>
      </c>
      <c r="J48" s="48" t="inlineStr">
        <is>
          <t>002. OCB_GOLD_TCKH_V_BRANCH_LIST_HOP.xlsx [SCRIPT: V_BRANCH_LIST]</t>
        </is>
      </c>
    </row>
    <row r="49">
      <c r="A49" s="48" t="inlineStr">
        <is>
          <t>TCKH.V_BRANCH_LIST</t>
        </is>
      </c>
      <c r="B49" s="48" t="inlineStr">
        <is>
          <t>GOLD_DERIVED</t>
        </is>
      </c>
      <c r="C49" s="48" t="inlineStr">
        <is>
          <t>X.7</t>
        </is>
      </c>
      <c r="D49" s="48" t="inlineStr">
        <is>
          <t>Nhom X - Bo sung Raffles</t>
        </is>
      </c>
      <c r="E49" s="48" t="inlineStr">
        <is>
          <t>[Bổ sung] Không hard-code catalog, dùng biến môi trường</t>
        </is>
      </c>
      <c r="F49" s="49" t="inlineStr">
        <is>
          <t>PASS</t>
        </is>
      </c>
      <c r="G49" s="48" t="inlineStr">
        <is>
          <t>Pass</t>
        </is>
      </c>
      <c r="H49" s="50" t="inlineStr">
        <is>
          <t>dùng biến môi trường cho catalog</t>
        </is>
      </c>
      <c r="I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9" s="48" t="inlineStr">
        <is>
          <t>002. OCB_GOLD_TCKH_V_BRANCH_LIST_HOP.xlsx [SCRIPT: V_BRANCH_LIST]</t>
        </is>
      </c>
    </row>
    <row r="50">
      <c r="A50" s="48" t="inlineStr">
        <is>
          <t>TCKH.V_BRANCH_LIST</t>
        </is>
      </c>
      <c r="B50" s="48" t="inlineStr">
        <is>
          <t>GOLD_DERIVED</t>
        </is>
      </c>
      <c r="C50" s="48" t="inlineStr">
        <is>
          <t>X.10</t>
        </is>
      </c>
      <c r="D50" s="48" t="inlineStr">
        <is>
          <t>Nhom X - Bo sung Raffles</t>
        </is>
      </c>
      <c r="E50" s="48" t="inlineStr">
        <is>
          <t>Bang raw_vault/business_vault duoc doc phai TON TAI THAT trong Data Vault model</t>
        </is>
      </c>
      <c r="F50" s="48" t="inlineStr">
        <is>
          <t>N-A</t>
        </is>
      </c>
      <c r="G50" s="48" t="inlineStr">
        <is>
          <t>Pass</t>
        </is>
      </c>
      <c r="H50" s="50" t="inlineStr">
        <is>
          <t>script không đọc bảng raw_vault/business_vault nào</t>
        </is>
      </c>
      <c r="I50" s="50" t="inlineStr"/>
      <c r="J50" s="48" t="inlineStr">
        <is>
          <t>002. OCB_GOLD_TCKH_V_BRANCH_LIST_HOP.xlsx [SCRIPT: V_BRANCH_LIST]</t>
        </is>
      </c>
    </row>
    <row r="51">
      <c r="A51" s="48" t="inlineStr">
        <is>
          <t>TCKH.V_BRANCH_LIST</t>
        </is>
      </c>
      <c r="B51" s="48" t="inlineStr">
        <is>
          <t>GOLD_DERIVED</t>
        </is>
      </c>
      <c r="C51" s="48" t="inlineStr">
        <is>
          <t>X.11</t>
        </is>
      </c>
      <c r="D51" s="48" t="inlineStr">
        <is>
          <t>Nhom X - Bo sung Raffles</t>
        </is>
      </c>
      <c r="E51" s="48" t="inlineStr">
        <is>
          <t>Cot doc tu satellite (sat_*) phai TON TAI THAT trong model</t>
        </is>
      </c>
      <c r="F51" s="48" t="inlineStr">
        <is>
          <t>N-A</t>
        </is>
      </c>
      <c r="G51" s="48" t="inlineStr">
        <is>
          <t>Pass</t>
        </is>
      </c>
      <c r="H51" s="50" t="inlineStr">
        <is>
          <t>không có bảng sat_* nào đủ điều kiện đối chiếu (Select chỉ đọc 1 bảng)</t>
        </is>
      </c>
      <c r="I51" s="50" t="inlineStr"/>
      <c r="J51" s="48" t="inlineStr">
        <is>
          <t>002. OCB_GOLD_TCKH_V_BRANCH_LIST_HOP.xlsx [SCRIPT: V_BRANCH_LIST]</t>
        </is>
      </c>
    </row>
    <row r="52">
      <c r="A52" s="48" t="inlineStr">
        <is>
          <t>TCKH.V_CDR_AMT</t>
        </is>
      </c>
      <c r="B52" s="48" t="inlineStr">
        <is>
          <t>GOLD_DERIVED</t>
        </is>
      </c>
      <c r="C52" s="48" t="inlineStr">
        <is>
          <t>1.1</t>
        </is>
      </c>
      <c r="D52" s="48" t="inlineStr">
        <is>
          <t>Nhom 1 - Mapping</t>
        </is>
      </c>
      <c r="E52" s="48" t="inlineStr">
        <is>
          <t>Đầy đủ mapping từ Silver/manual sang Gold</t>
        </is>
      </c>
      <c r="F52" s="49" t="inlineStr">
        <is>
          <t>PASS</t>
        </is>
      </c>
      <c r="G52" s="48" t="inlineStr">
        <is>
          <t>Pass</t>
        </is>
      </c>
      <c r="H52" s="50" t="inlineStr">
        <is>
          <t>workbook 003. OCB_GOLD_TCKH_V_CDR_AMT_QUANG.xlsx: thiết kế 6 field, SQL có 6 cột</t>
        </is>
      </c>
      <c r="I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2" s="48" t="inlineStr">
        <is>
          <t>003. OCB_GOLD_TCKH_V_CDR_AMT_QUANG.xlsx [Script SQL: V_CDR_AMT]</t>
        </is>
      </c>
    </row>
    <row r="53">
      <c r="A53" s="48" t="inlineStr">
        <is>
          <t>TCKH.V_CDR_AMT</t>
        </is>
      </c>
      <c r="B53" s="48" t="inlineStr">
        <is>
          <t>GOLD_DERIVED</t>
        </is>
      </c>
      <c r="C53" s="48" t="inlineStr">
        <is>
          <t>1.2</t>
        </is>
      </c>
      <c r="D53" s="48" t="inlineStr">
        <is>
          <t>Nhom 1 - Mapping</t>
        </is>
      </c>
      <c r="E53" s="48" t="inlineStr">
        <is>
          <t>Danh sách bảng/view Gold khớp tài liệu thiết kế đã duyệt</t>
        </is>
      </c>
      <c r="F53" s="49" t="inlineStr">
        <is>
          <t>PASS</t>
        </is>
      </c>
      <c r="G53" s="48" t="inlineStr">
        <is>
          <t>Pass</t>
        </is>
      </c>
      <c r="H53" s="50" t="inlineStr">
        <is>
          <t>V_CDR_AMT có workbook thiết kế: 003. OCB_GOLD_TCKH_V_CDR_AMT_QUANG.xlsx</t>
        </is>
      </c>
      <c r="I53" s="50" t="inlineStr">
        <is>
          <t>Đảm bảo object có workbook thiết kế tương ứng trong thư mục --mapping-dir. Muốn đối chiếu với danh sách đã duyệt thì chạy thêm tham số --gold-list "&lt;file danh sách Gold&gt;.xlsx".</t>
        </is>
      </c>
      <c r="J53" s="48" t="inlineStr">
        <is>
          <t>003. OCB_GOLD_TCKH_V_CDR_AMT_QUANG.xlsx [Script SQL: V_CDR_AMT]</t>
        </is>
      </c>
    </row>
    <row r="54">
      <c r="A54" s="48" t="inlineStr">
        <is>
          <t>TCKH.V_CDR_AMT</t>
        </is>
      </c>
      <c r="B54" s="48" t="inlineStr">
        <is>
          <t>GOLD_DERIVED</t>
        </is>
      </c>
      <c r="C54" s="48" t="inlineStr">
        <is>
          <t>2.1</t>
        </is>
      </c>
      <c r="D54" s="48" t="inlineStr">
        <is>
          <t>Nhom 2 - Logic</t>
        </is>
      </c>
      <c r="E54" s="48" t="inlineStr">
        <is>
          <t>Chỉ lấy bản ghi active, loại bản ghi đã xóa (qua sts_hub)</t>
        </is>
      </c>
      <c r="F54" s="48" t="inlineStr">
        <is>
          <t>N-A</t>
        </is>
      </c>
      <c r="G54" s="48" t="inlineStr">
        <is>
          <t>Pass</t>
        </is>
      </c>
      <c r="H54" s="50" t="inlineStr">
        <is>
          <t>khong ap dung cho profile GOLD_DERIVED</t>
        </is>
      </c>
      <c r="I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4" s="48" t="inlineStr">
        <is>
          <t>003. OCB_GOLD_TCKH_V_CDR_AMT_QUANG.xlsx [Script SQL: V_CDR_AMT]</t>
        </is>
      </c>
    </row>
    <row r="55">
      <c r="A55" s="48" t="inlineStr">
        <is>
          <t>TCKH.V_CDR_AMT</t>
        </is>
      </c>
      <c r="B55" s="48" t="inlineStr">
        <is>
          <t>GOLD_DERIVED</t>
        </is>
      </c>
      <c r="C55" s="48" t="inlineStr">
        <is>
          <t>2.2</t>
        </is>
      </c>
      <c r="D55" s="48" t="inlineStr">
        <is>
          <t>Nhom 2 - Logic</t>
        </is>
      </c>
      <c r="E55" s="48" t="inlineStr">
        <is>
          <t>Thống nhất MỘT pattern duy nhất xác định bản ghi active mới nhất</t>
        </is>
      </c>
      <c r="F55" s="48" t="inlineStr">
        <is>
          <t>N-A</t>
        </is>
      </c>
      <c r="G55" s="48" t="inlineStr">
        <is>
          <t>Pass</t>
        </is>
      </c>
      <c r="H55" s="50" t="inlineStr">
        <is>
          <t>khong ap dung cho profile GOLD_DERIVED</t>
        </is>
      </c>
      <c r="I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5" s="48" t="inlineStr">
        <is>
          <t>003. OCB_GOLD_TCKH_V_CDR_AMT_QUANG.xlsx [Script SQL: V_CDR_AMT]</t>
        </is>
      </c>
    </row>
    <row r="56">
      <c r="A56" s="48" t="inlineStr">
        <is>
          <t>TCKH.V_CDR_AMT</t>
        </is>
      </c>
      <c r="B56" s="48" t="inlineStr">
        <is>
          <t>GOLD_DERIVED</t>
        </is>
      </c>
      <c r="C56" s="48" t="inlineStr">
        <is>
          <t>2.3</t>
        </is>
      </c>
      <c r="D56" s="48" t="inlineStr">
        <is>
          <t>Nhom 2 - Logic</t>
        </is>
      </c>
      <c r="E56" s="48" t="inlineStr">
        <is>
          <t>Điều kiện lọc trạng thái đặt SAU khi xác định bản ghi mới nhất</t>
        </is>
      </c>
      <c r="F56" s="49" t="inlineStr">
        <is>
          <t>PASS</t>
        </is>
      </c>
      <c r="G56" s="48" t="inlineStr">
        <is>
          <t>Pass</t>
        </is>
      </c>
      <c r="H56" s="50" t="inlineStr">
        <is>
          <t>không có điều kiện trạng thái nào lồng trong JOIN ON</t>
        </is>
      </c>
      <c r="I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6" s="48" t="inlineStr">
        <is>
          <t>003. OCB_GOLD_TCKH_V_CDR_AMT_QUANG.xlsx [Script SQL: V_CDR_AMT]</t>
        </is>
      </c>
    </row>
    <row r="57">
      <c r="A57" s="48" t="inlineStr">
        <is>
          <t>TCKH.V_CDR_AMT</t>
        </is>
      </c>
      <c r="B57" s="48" t="inlineStr">
        <is>
          <t>GOLD_DERIVED</t>
        </is>
      </c>
      <c r="C57" s="48" t="inlineStr">
        <is>
          <t>2.4</t>
        </is>
      </c>
      <c r="D57" s="48" t="inlineStr">
        <is>
          <t>Nhom 2 - Logic</t>
        </is>
      </c>
      <c r="E57" s="48" t="inlineStr">
        <is>
          <t>source_event_date áp dụng đúng dạng theo loại bảng</t>
        </is>
      </c>
      <c r="F57" s="48" t="inlineStr">
        <is>
          <t>N-A</t>
        </is>
      </c>
      <c r="G57" s="48" t="inlineStr">
        <is>
          <t>Pass</t>
        </is>
      </c>
      <c r="H57" s="50" t="inlineStr">
        <is>
          <t>khong ap dung cho profile GOLD_DERIVED</t>
        </is>
      </c>
      <c r="I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7" s="48" t="inlineStr">
        <is>
          <t>003. OCB_GOLD_TCKH_V_CDR_AMT_QUANG.xlsx [Script SQL: V_CDR_AMT]</t>
        </is>
      </c>
    </row>
    <row r="58">
      <c r="A58" s="48" t="inlineStr">
        <is>
          <t>TCKH.V_CDR_AMT</t>
        </is>
      </c>
      <c r="B58" s="48" t="inlineStr">
        <is>
          <t>GOLD_DERIVED</t>
        </is>
      </c>
      <c r="C58" s="48" t="inlineStr">
        <is>
          <t>2.5</t>
        </is>
      </c>
      <c r="D58" s="48" t="inlineStr">
        <is>
          <t>Nhom 2 - Logic</t>
        </is>
      </c>
      <c r="E58" s="48" t="inlineStr">
        <is>
          <t>Không lặp lại lỗi logic cũ đã được DA Data Vault fix</t>
        </is>
      </c>
      <c r="F58" s="49" t="inlineStr">
        <is>
          <t>PASS</t>
        </is>
      </c>
      <c r="G58" s="48" t="inlineStr">
        <is>
          <t>Pass</t>
        </is>
      </c>
      <c r="H58" s="50" t="inlineStr">
        <is>
          <t>không trùng lỗi nào trong Issue log của DA Data Vault</t>
        </is>
      </c>
      <c r="I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8" s="48" t="inlineStr">
        <is>
          <t>003. OCB_GOLD_TCKH_V_CDR_AMT_QUANG.xlsx [Script SQL: V_CDR_AMT]</t>
        </is>
      </c>
    </row>
    <row r="59">
      <c r="A59" s="48" t="inlineStr">
        <is>
          <t>TCKH.V_CDR_AMT</t>
        </is>
      </c>
      <c r="B59" s="48" t="inlineStr">
        <is>
          <t>GOLD_DERIVED</t>
        </is>
      </c>
      <c r="C59" s="48" t="inlineStr">
        <is>
          <t>2.6</t>
        </is>
      </c>
      <c r="D59" s="48" t="inlineStr">
        <is>
          <t>Nhom 2 - Logic</t>
        </is>
      </c>
      <c r="E59" s="48" t="inlineStr">
        <is>
          <t>SCD Type 2 cho bảng DIM áp dụng đúng kỹ thuật đã thống nhất</t>
        </is>
      </c>
      <c r="F59" s="48" t="inlineStr">
        <is>
          <t>N-A</t>
        </is>
      </c>
      <c r="G59" s="48" t="inlineStr">
        <is>
          <t>Pass</t>
        </is>
      </c>
      <c r="H59" s="50" t="inlineStr">
        <is>
          <t>object không phải bảng DIM nên không áp dụng SCD Type 2</t>
        </is>
      </c>
      <c r="I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9" s="48" t="inlineStr">
        <is>
          <t>003. OCB_GOLD_TCKH_V_CDR_AMT_QUANG.xlsx [Script SQL: V_CDR_AMT]</t>
        </is>
      </c>
    </row>
    <row r="60">
      <c r="A60" s="48" t="inlineStr">
        <is>
          <t>TCKH.V_CDR_AMT</t>
        </is>
      </c>
      <c r="B60" s="48" t="inlineStr">
        <is>
          <t>GOLD_DERIVED</t>
        </is>
      </c>
      <c r="C60" s="48" t="inlineStr">
        <is>
          <t>2.7</t>
        </is>
      </c>
      <c r="D60" s="48" t="inlineStr">
        <is>
          <t>Nhom 2 - Logic</t>
        </is>
      </c>
      <c r="E60" s="48" t="inlineStr">
        <is>
          <t>CASE WHEN cover đủ nhánh như job on-prem</t>
        </is>
      </c>
      <c r="F60" s="49" t="inlineStr">
        <is>
          <t>PASS</t>
        </is>
      </c>
      <c r="G60" s="48" t="inlineStr">
        <is>
          <t>Pass</t>
        </is>
      </c>
      <c r="H60" s="50" t="inlineStr">
        <is>
          <t>cả 4 CASE đều có nhánh ELSE</t>
        </is>
      </c>
      <c r="I60" s="50" t="inlineStr">
        <is>
          <t>Mở job on-prem tương ứng (DataStage DSX hoặc SQL cũ), đối chiếu từng nhánh WHEN và cả nhánh ELSE. CASE không có ELSE sẽ trả NULL âm thầm — xác nhận đó là ý muốn hay thiếu nhánh.</t>
        </is>
      </c>
      <c r="J60" s="48" t="inlineStr">
        <is>
          <t>003. OCB_GOLD_TCKH_V_CDR_AMT_QUANG.xlsx [Script SQL: V_CDR_AMT]</t>
        </is>
      </c>
    </row>
    <row r="61">
      <c r="A61" s="48" t="inlineStr">
        <is>
          <t>TCKH.V_CDR_AMT</t>
        </is>
      </c>
      <c r="B61" s="48" t="inlineStr">
        <is>
          <t>GOLD_DERIVED</t>
        </is>
      </c>
      <c r="C61" s="48" t="inlineStr">
        <is>
          <t>2.8</t>
        </is>
      </c>
      <c r="D61" s="48" t="inlineStr">
        <is>
          <t>Nhom 2 - Logic</t>
        </is>
      </c>
      <c r="E61" s="48" t="inlineStr">
        <is>
          <t>Cột SUM/COUNT được COALESCE/NVL hợp lý</t>
        </is>
      </c>
      <c r="F61" s="49" t="inlineStr">
        <is>
          <t>PASS</t>
        </is>
      </c>
      <c r="G61" s="48" t="inlineStr">
        <is>
          <t>Pass</t>
        </is>
      </c>
      <c r="H61" s="50" t="inlineStr">
        <is>
          <t>mọi SUM/COUNT đều đã coalesce (trực tiếp hoặc ở lớp ngoài)</t>
        </is>
      </c>
      <c r="I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1" s="48" t="inlineStr">
        <is>
          <t>003. OCB_GOLD_TCKH_V_CDR_AMT_QUANG.xlsx [Script SQL: V_CDR_AMT]</t>
        </is>
      </c>
    </row>
    <row r="62">
      <c r="A62" s="48" t="inlineStr">
        <is>
          <t>TCKH.V_CDR_AMT</t>
        </is>
      </c>
      <c r="B62" s="48" t="inlineStr">
        <is>
          <t>GOLD_DERIVED</t>
        </is>
      </c>
      <c r="C62" s="48" t="inlineStr">
        <is>
          <t>2.9</t>
        </is>
      </c>
      <c r="D62" s="48" t="inlineStr">
        <is>
          <t>Nhom 2 - Logic</t>
        </is>
      </c>
      <c r="E62" s="48" t="inlineStr">
        <is>
          <t>Subquery / custom function / điều kiện LIKE đúng ý nghĩa nghiệp vụ</t>
        </is>
      </c>
      <c r="F62" s="48" t="inlineStr">
        <is>
          <t>N-A</t>
        </is>
      </c>
      <c r="G62" s="48" t="inlineStr">
        <is>
          <t>Pass</t>
        </is>
      </c>
      <c r="H62" s="50" t="inlineStr">
        <is>
          <t>script không có điều kiện LIKE hay scalar subquery nào</t>
        </is>
      </c>
      <c r="I62" s="50" t="inlineStr">
        <is>
          <t>Đọc lại từng điều kiện LIKE và từng subquery, đối chiếu ý nghĩa nghiệp vụ với on-prem — đúng cú pháp không đủ. Chú ý pattern LIKE có ký tự % ở đầu/cuối và phân biệt chữ hoa/thường.</t>
        </is>
      </c>
      <c r="J62" s="48" t="inlineStr">
        <is>
          <t>003. OCB_GOLD_TCKH_V_CDR_AMT_QUANG.xlsx [Script SQL: V_CDR_AMT]</t>
        </is>
      </c>
    </row>
    <row r="63">
      <c r="A63" s="48" t="inlineStr">
        <is>
          <t>TCKH.V_CDR_AMT</t>
        </is>
      </c>
      <c r="B63" s="48" t="inlineStr">
        <is>
          <t>GOLD_DERIVED</t>
        </is>
      </c>
      <c r="C63" s="48" t="inlineStr">
        <is>
          <t>2.10</t>
        </is>
      </c>
      <c r="D63" s="48" t="inlineStr">
        <is>
          <t>Nhom 2 - Logic</t>
        </is>
      </c>
      <c r="E63" s="48" t="inlineStr">
        <is>
          <t>Aggregation kèm filter date range chính xác</t>
        </is>
      </c>
      <c r="F63" s="51" t="inlineStr">
        <is>
          <t>WARN</t>
        </is>
      </c>
      <c r="G63" s="48" t="inlineStr">
        <is>
          <t>WARN</t>
        </is>
      </c>
      <c r="H63" s="50" t="inlineStr">
        <is>
          <t>1 khối tổng hợp không thấy filter theo ngày/tham số: SELECT tu V_ENTRY_STMT_QUYMO</t>
        </is>
      </c>
      <c r="I63" s="50" t="inlineStr">
        <is>
          <t>Mỗi khối SUM/COUNT/AVG phải có điều kiện lọc theo kỳ dữ liệu (CDR_DT_ID, DATA_DATE, :DATADT…). Nếu điều kiện nằm ở CTE nguồn thì ghi rõ trong comment để người review không phải truy ngược.</t>
        </is>
      </c>
      <c r="J63" s="48" t="inlineStr">
        <is>
          <t>003. OCB_GOLD_TCKH_V_CDR_AMT_QUANG.xlsx [Script SQL: V_CDR_AMT]</t>
        </is>
      </c>
    </row>
    <row r="64">
      <c r="A64" s="48" t="inlineStr">
        <is>
          <t>TCKH.V_CDR_AMT</t>
        </is>
      </c>
      <c r="B64" s="48" t="inlineStr">
        <is>
          <t>GOLD_DERIVED</t>
        </is>
      </c>
      <c r="C64" s="48" t="inlineStr">
        <is>
          <t>2.11</t>
        </is>
      </c>
      <c r="D64" s="48" t="inlineStr">
        <is>
          <t>Nhom 2 - Logic</t>
        </is>
      </c>
      <c r="E64" s="48" t="inlineStr">
        <is>
          <t>Join dùng key hợp lý, không lạm dụng UNION ALL + EXISTS/NOT EXISTS</t>
        </is>
      </c>
      <c r="F64" s="49" t="inlineStr">
        <is>
          <t>PASS</t>
        </is>
      </c>
      <c r="G64" s="48" t="inlineStr">
        <is>
          <t>Pass</t>
        </is>
      </c>
      <c r="H64" s="50" t="inlineStr">
        <is>
          <t>join đều theo điều kiện bằng, không lạm dụng UNION ALL + EXISTS</t>
        </is>
      </c>
      <c r="I64" s="50" t="inlineStr">
        <is>
          <t>Ưu tiên LEFT JOIN theo business key hoặc hashkey. Xem lại các chỗ dùng UNION ALL kết hợp EXISTS/NOT EXISTS — thường thay được bằng một LEFT JOIN. Join không có điều kiện bằng (=) dễ tạo tích Descartes.</t>
        </is>
      </c>
      <c r="J64" s="48" t="inlineStr">
        <is>
          <t>003. OCB_GOLD_TCKH_V_CDR_AMT_QUANG.xlsx [Script SQL: V_CDR_AMT]</t>
        </is>
      </c>
    </row>
    <row r="65">
      <c r="A65" s="48" t="inlineStr">
        <is>
          <t>TCKH.V_CDR_AMT</t>
        </is>
      </c>
      <c r="B65" s="48" t="inlineStr">
        <is>
          <t>GOLD_DERIVED</t>
        </is>
      </c>
      <c r="C65" s="48" t="inlineStr">
        <is>
          <t>2.12</t>
        </is>
      </c>
      <c r="D65" s="48" t="inlineStr">
        <is>
          <t>Nhom 2 - Logic</t>
        </is>
      </c>
      <c r="E65" s="48" t="inlineStr">
        <is>
          <t>Build Gold từ CTE snapshot Silver, không build nhiều tầng chồng chéo</t>
        </is>
      </c>
      <c r="F65" s="49" t="inlineStr">
        <is>
          <t>PASS</t>
        </is>
      </c>
      <c r="G65" s="48" t="inlineStr">
        <is>
          <t>Pass</t>
        </is>
      </c>
      <c r="H65" s="50" t="inlineStr">
        <is>
          <t>mỗi bảng nguồn chỉ đọc trong 1 khối SELECT</t>
        </is>
      </c>
      <c r="I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5" s="48" t="inlineStr">
        <is>
          <t>003. OCB_GOLD_TCKH_V_CDR_AMT_QUANG.xlsx [Script SQL: V_CDR_AMT]</t>
        </is>
      </c>
    </row>
    <row r="66">
      <c r="A66" s="48" t="inlineStr">
        <is>
          <t>TCKH.V_CDR_AMT</t>
        </is>
      </c>
      <c r="B66" s="48" t="inlineStr">
        <is>
          <t>GOLD_DERIVED</t>
        </is>
      </c>
      <c r="C66" s="48" t="inlineStr">
        <is>
          <t>3.1</t>
        </is>
      </c>
      <c r="D66" s="48" t="inlineStr">
        <is>
          <t>Nhom 3 - Optimization</t>
        </is>
      </c>
      <c r="E66" s="48" t="inlineStr">
        <is>
          <t>Không SELECT *</t>
        </is>
      </c>
      <c r="F66" s="49" t="inlineStr">
        <is>
          <t>PASS</t>
        </is>
      </c>
      <c r="G66" s="48" t="inlineStr">
        <is>
          <t>Pass</t>
        </is>
      </c>
      <c r="H66" s="50" t="inlineStr">
        <is>
          <t>không dùng SELECT * ở đâu</t>
        </is>
      </c>
      <c r="I66" s="50" t="inlineStr">
        <is>
          <t>Liệt kê tường minh các cột cần dùng, kể cả trong CTE trung gian. SELECT * làm tăng IO/memory và vỡ script khi bảng nguồn thêm cột.</t>
        </is>
      </c>
      <c r="J66" s="48" t="inlineStr">
        <is>
          <t>003. OCB_GOLD_TCKH_V_CDR_AMT_QUANG.xlsx [Script SQL: V_CDR_AMT]</t>
        </is>
      </c>
    </row>
    <row r="67">
      <c r="A67" s="48" t="inlineStr">
        <is>
          <t>TCKH.V_CDR_AMT</t>
        </is>
      </c>
      <c r="B67" s="48" t="inlineStr">
        <is>
          <t>GOLD_DERIVED</t>
        </is>
      </c>
      <c r="C67" s="48" t="inlineStr">
        <is>
          <t>3.2</t>
        </is>
      </c>
      <c r="D67" s="48" t="inlineStr">
        <is>
          <t>Nhom 3 - Optimization</t>
        </is>
      </c>
      <c r="E67" s="48" t="inlineStr">
        <is>
          <t>CTE không bị scan lại nhiều lần</t>
        </is>
      </c>
      <c r="F67" s="49" t="inlineStr">
        <is>
          <t>PASS</t>
        </is>
      </c>
      <c r="G67" s="48" t="inlineStr">
        <is>
          <t>Pass</t>
        </is>
      </c>
      <c r="H67" s="50" t="inlineStr">
        <is>
          <t>không có CTE nào bị gọi lại</t>
        </is>
      </c>
      <c r="I67" s="50" t="inlineStr">
        <is>
          <t>Với CTE nặng (đọc nhiều bảng Silver) bị tham chiếu từ 2 chỗ trở lên: gom lại còn một lần dùng, hoặc vật chất hóa (CACHE / bảng tạm). CTE nhẹ chỉ chứa tham số thì bỏ qua được — tự tick Pass.</t>
        </is>
      </c>
      <c r="J67" s="48" t="inlineStr">
        <is>
          <t>003. OCB_GOLD_TCKH_V_CDR_AMT_QUANG.xlsx [Script SQL: V_CDR_AMT]</t>
        </is>
      </c>
    </row>
    <row r="68">
      <c r="A68" s="48" t="inlineStr">
        <is>
          <t>TCKH.V_CDR_AMT</t>
        </is>
      </c>
      <c r="B68" s="48" t="inlineStr">
        <is>
          <t>GOLD_DERIVED</t>
        </is>
      </c>
      <c r="C68" s="48" t="inlineStr">
        <is>
          <t>3.3</t>
        </is>
      </c>
      <c r="D68" s="48" t="inlineStr">
        <is>
          <t>Nhom 3 - Optimization</t>
        </is>
      </c>
      <c r="E68" s="48" t="inlineStr">
        <is>
          <t>Filter trước khi join, tận dụng partition pruning</t>
        </is>
      </c>
      <c r="F68" s="49" t="inlineStr">
        <is>
          <t>PASS</t>
        </is>
      </c>
      <c r="G68" s="48" t="inlineStr">
        <is>
          <t>Pass</t>
        </is>
      </c>
      <c r="H68" s="50" t="inlineStr">
        <is>
          <t>các bảng join đều được filter trước</t>
        </is>
      </c>
      <c r="I68" s="50" t="inlineStr">
        <is>
          <t>Đưa điều kiện lọc (ngày dữ liệu, trạng thái) vào subquery của từng bảng TRƯỚC khi join, để tận dụng partition pruning. Bảng dim nhỏ không partition thì không cần — tự tick Pass.</t>
        </is>
      </c>
      <c r="J68" s="48" t="inlineStr">
        <is>
          <t>003. OCB_GOLD_TCKH_V_CDR_AMT_QUANG.xlsx [Script SQL: V_CDR_AMT]</t>
        </is>
      </c>
    </row>
    <row r="69">
      <c r="A69" s="48" t="inlineStr">
        <is>
          <t>TCKH.V_CDR_AMT</t>
        </is>
      </c>
      <c r="B69" s="48" t="inlineStr">
        <is>
          <t>GOLD_DERIVED</t>
        </is>
      </c>
      <c r="C69" s="48" t="inlineStr">
        <is>
          <t>3.4</t>
        </is>
      </c>
      <c r="D69" s="48" t="inlineStr">
        <is>
          <t>Nhom 3 - Optimization</t>
        </is>
      </c>
      <c r="E69" s="48" t="inlineStr">
        <is>
          <t>Sử dụng CACHE cho query lặp lại trong cùng luồng</t>
        </is>
      </c>
      <c r="F69" s="48" t="inlineStr">
        <is>
          <t>N-A</t>
        </is>
      </c>
      <c r="G69" s="48" t="inlineStr">
        <is>
          <t>Pass</t>
        </is>
      </c>
      <c r="H69" s="50" t="inlineStr">
        <is>
          <t>không có kết quả nào được dùng lại nhiều lần nên chưa cần CACHE</t>
        </is>
      </c>
      <c r="I69" s="50" t="inlineStr">
        <is>
          <t>Nếu một kết quả nặng được dùng lại nhiều bước trong cùng luồng, thêm CACHE TABLE / CACHE SELECT. Kết quả nhỏ thì cache còn chậm hơn — tự tick Pass.</t>
        </is>
      </c>
      <c r="J69" s="48" t="inlineStr">
        <is>
          <t>003. OCB_GOLD_TCKH_V_CDR_AMT_QUANG.xlsx [Script SQL: V_CDR_AMT]</t>
        </is>
      </c>
    </row>
    <row r="70">
      <c r="A70" s="48" t="inlineStr">
        <is>
          <t>TCKH.V_CDR_AMT</t>
        </is>
      </c>
      <c r="B70" s="48" t="inlineStr">
        <is>
          <t>GOLD_DERIVED</t>
        </is>
      </c>
      <c r="C70" s="48" t="inlineStr">
        <is>
          <t>3.5</t>
        </is>
      </c>
      <c r="D70" s="48" t="inlineStr">
        <is>
          <t>Nhom 3 - Optimization</t>
        </is>
      </c>
      <c r="E70" s="48" t="inlineStr">
        <is>
          <t>Ưu tiên MAX_BY + QUALIFY thay ROW_NUMBER() + WHERE rn = 1</t>
        </is>
      </c>
      <c r="F70" s="48" t="inlineStr">
        <is>
          <t>N-A</t>
        </is>
      </c>
      <c r="G70" s="48" t="inlineStr">
        <is>
          <t>Pass</t>
        </is>
      </c>
      <c r="H70" s="50" t="inlineStr">
        <is>
          <t>script không dùng ROW_NUMBER, và MAX_BY (nếu có) không vượt quá 5 cột/khối</t>
        </is>
      </c>
      <c r="I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0" s="48" t="inlineStr">
        <is>
          <t>003. OCB_GOLD_TCKH_V_CDR_AMT_QUANG.xlsx [Script SQL: V_CDR_AMT]</t>
        </is>
      </c>
    </row>
    <row r="71">
      <c r="A71" s="48" t="inlineStr">
        <is>
          <t>TCKH.V_CDR_AMT</t>
        </is>
      </c>
      <c r="B71" s="48" t="inlineStr">
        <is>
          <t>GOLD_DERIVED</t>
        </is>
      </c>
      <c r="C71" s="48" t="inlineStr">
        <is>
          <t>3.6</t>
        </is>
      </c>
      <c r="D71" s="48" t="inlineStr">
        <is>
          <t>Nhom 3 - Optimization</t>
        </is>
      </c>
      <c r="E71" s="48" t="inlineStr">
        <is>
          <t>Không lạm dụng window function; có comment khi dùng</t>
        </is>
      </c>
      <c r="F71" s="48" t="inlineStr">
        <is>
          <t>N-A</t>
        </is>
      </c>
      <c r="G71" s="48" t="inlineStr">
        <is>
          <t>Pass</t>
        </is>
      </c>
      <c r="H71" s="50" t="inlineStr">
        <is>
          <t>script không dùng window function</t>
        </is>
      </c>
      <c r="I71" s="50" t="inlineStr">
        <is>
          <t>Mỗi window function cần một comment ngay trên khối CTE chứa nó, nói rõ vì sao không dùng được max_by/QUALIFY đơn giản hơn.</t>
        </is>
      </c>
      <c r="J71" s="48" t="inlineStr">
        <is>
          <t>003. OCB_GOLD_TCKH_V_CDR_AMT_QUANG.xlsx [Script SQL: V_CDR_AMT]</t>
        </is>
      </c>
    </row>
    <row r="72">
      <c r="A72" s="48" t="inlineStr">
        <is>
          <t>TCKH.V_CDR_AMT</t>
        </is>
      </c>
      <c r="B72" s="48" t="inlineStr">
        <is>
          <t>GOLD_DERIVED</t>
        </is>
      </c>
      <c r="C72" s="48" t="inlineStr">
        <is>
          <t>X.1</t>
        </is>
      </c>
      <c r="D72" s="48" t="inlineStr">
        <is>
          <t>Nhom X - Bo sung Raffles</t>
        </is>
      </c>
      <c r="E72" s="48" t="inlineStr">
        <is>
          <t>[Bổ sung] Link phải rút về current trước khi join (chống fan-out)</t>
        </is>
      </c>
      <c r="F72" s="48" t="inlineStr">
        <is>
          <t>N-A</t>
        </is>
      </c>
      <c r="G72" s="48" t="inlineStr">
        <is>
          <t>Pass</t>
        </is>
      </c>
      <c r="H72" s="50" t="inlineStr">
        <is>
          <t>khong ap dung cho profile GOLD_DERIVED</t>
        </is>
      </c>
      <c r="I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2" s="48" t="inlineStr">
        <is>
          <t>003. OCB_GOLD_TCKH_V_CDR_AMT_QUANG.xlsx [Script SQL: V_CDR_AMT]</t>
        </is>
      </c>
    </row>
    <row r="73">
      <c r="A73" s="48" t="inlineStr">
        <is>
          <t>TCKH.V_CDR_AMT</t>
        </is>
      </c>
      <c r="B73" s="48" t="inlineStr">
        <is>
          <t>GOLD_DERIVED</t>
        </is>
      </c>
      <c r="C73" s="48" t="inlineStr">
        <is>
          <t>X.6</t>
        </is>
      </c>
      <c r="D73" s="48" t="inlineStr">
        <is>
          <t>Nhom X - Bo sung Raffles</t>
        </is>
      </c>
      <c r="E73" s="48" t="inlineStr">
        <is>
          <t>[Bổ sung] Satellite phải LEFT JOIN, không INNER JOIN</t>
        </is>
      </c>
      <c r="F73" s="48" t="inlineStr">
        <is>
          <t>N-A</t>
        </is>
      </c>
      <c r="G73" s="48" t="inlineStr">
        <is>
          <t>Pass</t>
        </is>
      </c>
      <c r="H73" s="50" t="inlineStr">
        <is>
          <t>khong ap dung cho profile GOLD_DERIVED</t>
        </is>
      </c>
      <c r="I73" s="50" t="inlineStr">
        <is>
          <t>Technical Document III.4.2.2 nguyên tắc 1: làm giàu thuộc tính luôn dùng LEFT JOIN. INNER JOIN satellite sẽ loại mất bản ghi Hub đang còn hiệu lực nhưng chưa có dòng satellite.</t>
        </is>
      </c>
      <c r="J73" s="48" t="inlineStr">
        <is>
          <t>003. OCB_GOLD_TCKH_V_CDR_AMT_QUANG.xlsx [Script SQL: V_CDR_AMT]</t>
        </is>
      </c>
    </row>
    <row r="74">
      <c r="A74" s="48" t="inlineStr">
        <is>
          <t>TCKH.V_CDR_AMT</t>
        </is>
      </c>
      <c r="B74" s="48" t="inlineStr">
        <is>
          <t>GOLD_DERIVED</t>
        </is>
      </c>
      <c r="C74" s="48" t="inlineStr">
        <is>
          <t>X.7</t>
        </is>
      </c>
      <c r="D74" s="48" t="inlineStr">
        <is>
          <t>Nhom X - Bo sung Raffles</t>
        </is>
      </c>
      <c r="E74" s="48" t="inlineStr">
        <is>
          <t>[Bổ sung] Không hard-code catalog, dùng biến môi trường</t>
        </is>
      </c>
      <c r="F74" s="49" t="inlineStr">
        <is>
          <t>PASS</t>
        </is>
      </c>
      <c r="G74" s="48" t="inlineStr">
        <is>
          <t>Pass</t>
        </is>
      </c>
      <c r="H74" s="50" t="inlineStr">
        <is>
          <t>dùng biến môi trường cho catalog</t>
        </is>
      </c>
      <c r="I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4" s="48" t="inlineStr">
        <is>
          <t>003. OCB_GOLD_TCKH_V_CDR_AMT_QUANG.xlsx [Script SQL: V_CDR_AMT]</t>
        </is>
      </c>
    </row>
    <row r="75">
      <c r="A75" s="48" t="inlineStr">
        <is>
          <t>TCKH.V_CDR_AMT</t>
        </is>
      </c>
      <c r="B75" s="48" t="inlineStr">
        <is>
          <t>GOLD_DERIVED</t>
        </is>
      </c>
      <c r="C75" s="48" t="inlineStr">
        <is>
          <t>X.10</t>
        </is>
      </c>
      <c r="D75" s="48" t="inlineStr">
        <is>
          <t>Nhom X - Bo sung Raffles</t>
        </is>
      </c>
      <c r="E75" s="48" t="inlineStr">
        <is>
          <t>Bang raw_vault/business_vault duoc doc phai TON TAI THAT trong Data Vault model</t>
        </is>
      </c>
      <c r="F75" s="48" t="inlineStr">
        <is>
          <t>N-A</t>
        </is>
      </c>
      <c r="G75" s="48" t="inlineStr">
        <is>
          <t>Pass</t>
        </is>
      </c>
      <c r="H75" s="50" t="inlineStr">
        <is>
          <t>script không đọc bảng raw_vault/business_vault nào</t>
        </is>
      </c>
      <c r="I75" s="50" t="inlineStr"/>
      <c r="J75" s="48" t="inlineStr">
        <is>
          <t>003. OCB_GOLD_TCKH_V_CDR_AMT_QUANG.xlsx [Script SQL: V_CDR_AMT]</t>
        </is>
      </c>
    </row>
    <row r="76">
      <c r="A76" s="48" t="inlineStr">
        <is>
          <t>TCKH.V_CDR_AMT</t>
        </is>
      </c>
      <c r="B76" s="48" t="inlineStr">
        <is>
          <t>GOLD_DERIVED</t>
        </is>
      </c>
      <c r="C76" s="48" t="inlineStr">
        <is>
          <t>X.11</t>
        </is>
      </c>
      <c r="D76" s="48" t="inlineStr">
        <is>
          <t>Nhom X - Bo sung Raffles</t>
        </is>
      </c>
      <c r="E76" s="48" t="inlineStr">
        <is>
          <t>Cot doc tu satellite (sat_*) phai TON TAI THAT trong model</t>
        </is>
      </c>
      <c r="F76" s="48" t="inlineStr">
        <is>
          <t>N-A</t>
        </is>
      </c>
      <c r="G76" s="48" t="inlineStr">
        <is>
          <t>Pass</t>
        </is>
      </c>
      <c r="H76" s="50" t="inlineStr">
        <is>
          <t>không có bảng sat_* nào đủ điều kiện đối chiếu (Select chỉ đọc 1 bảng)</t>
        </is>
      </c>
      <c r="I76" s="50" t="inlineStr"/>
      <c r="J76" s="48" t="inlineStr">
        <is>
          <t>003. OCB_GOLD_TCKH_V_CDR_AMT_QUANG.xlsx [Script SQL: V_CDR_AMT]</t>
        </is>
      </c>
    </row>
    <row r="77">
      <c r="A77" s="48" t="inlineStr">
        <is>
          <t>TCKH.V_CDTK_DAILY</t>
        </is>
      </c>
      <c r="B77" s="48" t="inlineStr">
        <is>
          <t>GOLD_DERIVED</t>
        </is>
      </c>
      <c r="C77" s="48" t="inlineStr">
        <is>
          <t>1.1</t>
        </is>
      </c>
      <c r="D77" s="48" t="inlineStr">
        <is>
          <t>Nhom 1 - Mapping</t>
        </is>
      </c>
      <c r="E77" s="48" t="inlineStr">
        <is>
          <t>Đầy đủ mapping từ Silver/manual sang Gold</t>
        </is>
      </c>
      <c r="F77" s="49" t="inlineStr">
        <is>
          <t>PASS</t>
        </is>
      </c>
      <c r="G77" s="48" t="inlineStr">
        <is>
          <t>Pass</t>
        </is>
      </c>
      <c r="H77" s="50" t="inlineStr">
        <is>
          <t>workbook 004. OCB_GOLD_TCKH_V_CDTK_DAILY_QUANG.xlsx: thiết kế 17 field, SQL có 17 cột</t>
        </is>
      </c>
      <c r="I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7" s="48" t="inlineStr">
        <is>
          <t>004. OCB_GOLD_TCKH_V_CDTK_DAILY_QUANG.xlsx [Script SQL: V_CDTK_DAILY]</t>
        </is>
      </c>
    </row>
    <row r="78">
      <c r="A78" s="48" t="inlineStr">
        <is>
          <t>TCKH.V_CDTK_DAILY</t>
        </is>
      </c>
      <c r="B78" s="48" t="inlineStr">
        <is>
          <t>GOLD_DERIVED</t>
        </is>
      </c>
      <c r="C78" s="48" t="inlineStr">
        <is>
          <t>1.2</t>
        </is>
      </c>
      <c r="D78" s="48" t="inlineStr">
        <is>
          <t>Nhom 1 - Mapping</t>
        </is>
      </c>
      <c r="E78" s="48" t="inlineStr">
        <is>
          <t>Danh sách bảng/view Gold khớp tài liệu thiết kế đã duyệt</t>
        </is>
      </c>
      <c r="F78" s="49" t="inlineStr">
        <is>
          <t>PASS</t>
        </is>
      </c>
      <c r="G78" s="48" t="inlineStr">
        <is>
          <t>Pass</t>
        </is>
      </c>
      <c r="H78" s="50" t="inlineStr">
        <is>
          <t>V_CDTK_DAILY có workbook thiết kế: 004. OCB_GOLD_TCKH_V_CDTK_DAILY_QUANG.xlsx</t>
        </is>
      </c>
      <c r="I78" s="50" t="inlineStr">
        <is>
          <t>Đảm bảo object có workbook thiết kế tương ứng trong thư mục --mapping-dir. Muốn đối chiếu với danh sách đã duyệt thì chạy thêm tham số --gold-list "&lt;file danh sách Gold&gt;.xlsx".</t>
        </is>
      </c>
      <c r="J78" s="48" t="inlineStr">
        <is>
          <t>004. OCB_GOLD_TCKH_V_CDTK_DAILY_QUANG.xlsx [Script SQL: V_CDTK_DAILY]</t>
        </is>
      </c>
    </row>
    <row r="79">
      <c r="A79" s="48" t="inlineStr">
        <is>
          <t>TCKH.V_CDTK_DAILY</t>
        </is>
      </c>
      <c r="B79" s="48" t="inlineStr">
        <is>
          <t>GOLD_DERIVED</t>
        </is>
      </c>
      <c r="C79" s="48" t="inlineStr">
        <is>
          <t>2.1</t>
        </is>
      </c>
      <c r="D79" s="48" t="inlineStr">
        <is>
          <t>Nhom 2 - Logic</t>
        </is>
      </c>
      <c r="E79" s="48" t="inlineStr">
        <is>
          <t>Chỉ lấy bản ghi active, loại bản ghi đã xóa (qua sts_hub)</t>
        </is>
      </c>
      <c r="F79" s="48" t="inlineStr">
        <is>
          <t>N-A</t>
        </is>
      </c>
      <c r="G79" s="48" t="inlineStr">
        <is>
          <t>Pass</t>
        </is>
      </c>
      <c r="H79" s="50" t="inlineStr">
        <is>
          <t>khong ap dung cho profile GOLD_DERIVED</t>
        </is>
      </c>
      <c r="I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9" s="48" t="inlineStr">
        <is>
          <t>004. OCB_GOLD_TCKH_V_CDTK_DAILY_QUANG.xlsx [Script SQL: V_CDTK_DAILY]</t>
        </is>
      </c>
    </row>
    <row r="80">
      <c r="A80" s="48" t="inlineStr">
        <is>
          <t>TCKH.V_CDTK_DAILY</t>
        </is>
      </c>
      <c r="B80" s="48" t="inlineStr">
        <is>
          <t>GOLD_DERIVED</t>
        </is>
      </c>
      <c r="C80" s="48" t="inlineStr">
        <is>
          <t>2.2</t>
        </is>
      </c>
      <c r="D80" s="48" t="inlineStr">
        <is>
          <t>Nhom 2 - Logic</t>
        </is>
      </c>
      <c r="E80" s="48" t="inlineStr">
        <is>
          <t>Thống nhất MỘT pattern duy nhất xác định bản ghi active mới nhất</t>
        </is>
      </c>
      <c r="F80" s="48" t="inlineStr">
        <is>
          <t>N-A</t>
        </is>
      </c>
      <c r="G80" s="48" t="inlineStr">
        <is>
          <t>Pass</t>
        </is>
      </c>
      <c r="H80" s="50" t="inlineStr">
        <is>
          <t>khong ap dung cho profile GOLD_DERIVED</t>
        </is>
      </c>
      <c r="I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0" s="48" t="inlineStr">
        <is>
          <t>004. OCB_GOLD_TCKH_V_CDTK_DAILY_QUANG.xlsx [Script SQL: V_CDTK_DAILY]</t>
        </is>
      </c>
    </row>
    <row r="81">
      <c r="A81" s="48" t="inlineStr">
        <is>
          <t>TCKH.V_CDTK_DAILY</t>
        </is>
      </c>
      <c r="B81" s="48" t="inlineStr">
        <is>
          <t>GOLD_DERIVED</t>
        </is>
      </c>
      <c r="C81" s="48" t="inlineStr">
        <is>
          <t>2.3</t>
        </is>
      </c>
      <c r="D81" s="48" t="inlineStr">
        <is>
          <t>Nhom 2 - Logic</t>
        </is>
      </c>
      <c r="E81" s="48" t="inlineStr">
        <is>
          <t>Điều kiện lọc trạng thái đặt SAU khi xác định bản ghi mới nhất</t>
        </is>
      </c>
      <c r="F81" s="49" t="inlineStr">
        <is>
          <t>PASS</t>
        </is>
      </c>
      <c r="G81" s="48" t="inlineStr">
        <is>
          <t>Pass</t>
        </is>
      </c>
      <c r="H81" s="50" t="inlineStr">
        <is>
          <t>không có điều kiện trạng thái nào lồng trong JOIN ON</t>
        </is>
      </c>
      <c r="I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1" s="48" t="inlineStr">
        <is>
          <t>004. OCB_GOLD_TCKH_V_CDTK_DAILY_QUANG.xlsx [Script SQL: V_CDTK_DAILY]</t>
        </is>
      </c>
    </row>
    <row r="82">
      <c r="A82" s="48" t="inlineStr">
        <is>
          <t>TCKH.V_CDTK_DAILY</t>
        </is>
      </c>
      <c r="B82" s="48" t="inlineStr">
        <is>
          <t>GOLD_DERIVED</t>
        </is>
      </c>
      <c r="C82" s="48" t="inlineStr">
        <is>
          <t>2.4</t>
        </is>
      </c>
      <c r="D82" s="48" t="inlineStr">
        <is>
          <t>Nhom 2 - Logic</t>
        </is>
      </c>
      <c r="E82" s="48" t="inlineStr">
        <is>
          <t>source_event_date áp dụng đúng dạng theo loại bảng</t>
        </is>
      </c>
      <c r="F82" s="48" t="inlineStr">
        <is>
          <t>N-A</t>
        </is>
      </c>
      <c r="G82" s="48" t="inlineStr">
        <is>
          <t>Pass</t>
        </is>
      </c>
      <c r="H82" s="50" t="inlineStr">
        <is>
          <t>khong ap dung cho profile GOLD_DERIVED</t>
        </is>
      </c>
      <c r="I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2" s="48" t="inlineStr">
        <is>
          <t>004. OCB_GOLD_TCKH_V_CDTK_DAILY_QUANG.xlsx [Script SQL: V_CDTK_DAILY]</t>
        </is>
      </c>
    </row>
    <row r="83">
      <c r="A83" s="48" t="inlineStr">
        <is>
          <t>TCKH.V_CDTK_DAILY</t>
        </is>
      </c>
      <c r="B83" s="48" t="inlineStr">
        <is>
          <t>GOLD_DERIVED</t>
        </is>
      </c>
      <c r="C83" s="48" t="inlineStr">
        <is>
          <t>2.5</t>
        </is>
      </c>
      <c r="D83" s="48" t="inlineStr">
        <is>
          <t>Nhom 2 - Logic</t>
        </is>
      </c>
      <c r="E83" s="48" t="inlineStr">
        <is>
          <t>Không lặp lại lỗi logic cũ đã được DA Data Vault fix</t>
        </is>
      </c>
      <c r="F83" s="49" t="inlineStr">
        <is>
          <t>PASS</t>
        </is>
      </c>
      <c r="G83" s="48" t="inlineStr">
        <is>
          <t>Pass</t>
        </is>
      </c>
      <c r="H83" s="50" t="inlineStr">
        <is>
          <t>không trùng lỗi nào trong Issue log của DA Data Vault</t>
        </is>
      </c>
      <c r="I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3" s="48" t="inlineStr">
        <is>
          <t>004. OCB_GOLD_TCKH_V_CDTK_DAILY_QUANG.xlsx [Script SQL: V_CDTK_DAILY]</t>
        </is>
      </c>
    </row>
    <row r="84">
      <c r="A84" s="48" t="inlineStr">
        <is>
          <t>TCKH.V_CDTK_DAILY</t>
        </is>
      </c>
      <c r="B84" s="48" t="inlineStr">
        <is>
          <t>GOLD_DERIVED</t>
        </is>
      </c>
      <c r="C84" s="48" t="inlineStr">
        <is>
          <t>2.6</t>
        </is>
      </c>
      <c r="D84" s="48" t="inlineStr">
        <is>
          <t>Nhom 2 - Logic</t>
        </is>
      </c>
      <c r="E84" s="48" t="inlineStr">
        <is>
          <t>SCD Type 2 cho bảng DIM áp dụng đúng kỹ thuật đã thống nhất</t>
        </is>
      </c>
      <c r="F84" s="48" t="inlineStr">
        <is>
          <t>N-A</t>
        </is>
      </c>
      <c r="G84" s="48" t="inlineStr">
        <is>
          <t>Pass</t>
        </is>
      </c>
      <c r="H84" s="50" t="inlineStr">
        <is>
          <t>object không phải bảng DIM nên không áp dụng SCD Type 2</t>
        </is>
      </c>
      <c r="I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4" s="48" t="inlineStr">
        <is>
          <t>004. OCB_GOLD_TCKH_V_CDTK_DAILY_QUANG.xlsx [Script SQL: V_CDTK_DAILY]</t>
        </is>
      </c>
    </row>
    <row r="85">
      <c r="A85" s="48" t="inlineStr">
        <is>
          <t>TCKH.V_CDTK_DAILY</t>
        </is>
      </c>
      <c r="B85" s="48" t="inlineStr">
        <is>
          <t>GOLD_DERIVED</t>
        </is>
      </c>
      <c r="C85" s="48" t="inlineStr">
        <is>
          <t>2.7</t>
        </is>
      </c>
      <c r="D85" s="48" t="inlineStr">
        <is>
          <t>Nhom 2 - Logic</t>
        </is>
      </c>
      <c r="E85" s="48" t="inlineStr">
        <is>
          <t>CASE WHEN cover đủ nhánh như job on-prem</t>
        </is>
      </c>
      <c r="F85" s="48" t="inlineStr">
        <is>
          <t>N-A</t>
        </is>
      </c>
      <c r="G85" s="48" t="inlineStr">
        <is>
          <t>Pass</t>
        </is>
      </c>
      <c r="H85" s="50" t="inlineStr">
        <is>
          <t>script không có CASE WHEN nào</t>
        </is>
      </c>
      <c r="I85" s="50" t="inlineStr">
        <is>
          <t>Mở job on-prem tương ứng (DataStage DSX hoặc SQL cũ), đối chiếu từng nhánh WHEN và cả nhánh ELSE. CASE không có ELSE sẽ trả NULL âm thầm — xác nhận đó là ý muốn hay thiếu nhánh.</t>
        </is>
      </c>
      <c r="J85" s="48" t="inlineStr">
        <is>
          <t>004. OCB_GOLD_TCKH_V_CDTK_DAILY_QUANG.xlsx [Script SQL: V_CDTK_DAILY]</t>
        </is>
      </c>
    </row>
    <row r="86">
      <c r="A86" s="48" t="inlineStr">
        <is>
          <t>TCKH.V_CDTK_DAILY</t>
        </is>
      </c>
      <c r="B86" s="48" t="inlineStr">
        <is>
          <t>GOLD_DERIVED</t>
        </is>
      </c>
      <c r="C86" s="48" t="inlineStr">
        <is>
          <t>2.8</t>
        </is>
      </c>
      <c r="D86" s="48" t="inlineStr">
        <is>
          <t>Nhom 2 - Logic</t>
        </is>
      </c>
      <c r="E86" s="48" t="inlineStr">
        <is>
          <t>Cột SUM/COUNT được COALESCE/NVL hợp lý</t>
        </is>
      </c>
      <c r="F86" s="49" t="inlineStr">
        <is>
          <t>PASS</t>
        </is>
      </c>
      <c r="G86" s="48" t="inlineStr">
        <is>
          <t>Pass</t>
        </is>
      </c>
      <c r="H86" s="50" t="inlineStr">
        <is>
          <t>mọi SUM/COUNT đều đã coalesce (trực tiếp hoặc ở lớp ngoài)</t>
        </is>
      </c>
      <c r="I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6" s="48" t="inlineStr">
        <is>
          <t>004. OCB_GOLD_TCKH_V_CDTK_DAILY_QUANG.xlsx [Script SQL: V_CDTK_DAILY]</t>
        </is>
      </c>
    </row>
    <row r="87">
      <c r="A87" s="48" t="inlineStr">
        <is>
          <t>TCKH.V_CDTK_DAILY</t>
        </is>
      </c>
      <c r="B87" s="48" t="inlineStr">
        <is>
          <t>GOLD_DERIVED</t>
        </is>
      </c>
      <c r="C87" s="48" t="inlineStr">
        <is>
          <t>2.9</t>
        </is>
      </c>
      <c r="D87" s="48" t="inlineStr">
        <is>
          <t>Nhom 2 - Logic</t>
        </is>
      </c>
      <c r="E87" s="48" t="inlineStr">
        <is>
          <t>Subquery / custom function / điều kiện LIKE đúng ý nghĩa nghiệp vụ</t>
        </is>
      </c>
      <c r="F87" s="48" t="inlineStr">
        <is>
          <t>N-A</t>
        </is>
      </c>
      <c r="G87" s="48" t="inlineStr">
        <is>
          <t>Pass</t>
        </is>
      </c>
      <c r="H87" s="50" t="inlineStr">
        <is>
          <t>script không có điều kiện LIKE hay scalar subquery nào</t>
        </is>
      </c>
      <c r="I87" s="50" t="inlineStr">
        <is>
          <t>Đọc lại từng điều kiện LIKE và từng subquery, đối chiếu ý nghĩa nghiệp vụ với on-prem — đúng cú pháp không đủ. Chú ý pattern LIKE có ký tự % ở đầu/cuối và phân biệt chữ hoa/thường.</t>
        </is>
      </c>
      <c r="J87" s="48" t="inlineStr">
        <is>
          <t>004. OCB_GOLD_TCKH_V_CDTK_DAILY_QUANG.xlsx [Script SQL: V_CDTK_DAILY]</t>
        </is>
      </c>
    </row>
    <row r="88">
      <c r="A88" s="48" t="inlineStr">
        <is>
          <t>TCKH.V_CDTK_DAILY</t>
        </is>
      </c>
      <c r="B88" s="48" t="inlineStr">
        <is>
          <t>GOLD_DERIVED</t>
        </is>
      </c>
      <c r="C88" s="48" t="inlineStr">
        <is>
          <t>2.10</t>
        </is>
      </c>
      <c r="D88" s="48" t="inlineStr">
        <is>
          <t>Nhom 2 - Logic</t>
        </is>
      </c>
      <c r="E88" s="48" t="inlineStr">
        <is>
          <t>Aggregation kèm filter date range chính xác</t>
        </is>
      </c>
      <c r="F88" s="49" t="inlineStr">
        <is>
          <t>PASS</t>
        </is>
      </c>
      <c r="G88" s="48" t="inlineStr">
        <is>
          <t>Pass</t>
        </is>
      </c>
      <c r="H88" s="50" t="inlineStr">
        <is>
          <t>mọi khối tổng hợp đều có điều kiện theo kỳ dữ liệu</t>
        </is>
      </c>
      <c r="I88" s="50" t="inlineStr">
        <is>
          <t>Mỗi khối SUM/COUNT/AVG phải có điều kiện lọc theo kỳ dữ liệu (CDR_DT_ID, DATA_DATE, :DATADT…). Nếu điều kiện nằm ở CTE nguồn thì ghi rõ trong comment để người review không phải truy ngược.</t>
        </is>
      </c>
      <c r="J88" s="48" t="inlineStr">
        <is>
          <t>004. OCB_GOLD_TCKH_V_CDTK_DAILY_QUANG.xlsx [Script SQL: V_CDTK_DAILY]</t>
        </is>
      </c>
    </row>
    <row r="89">
      <c r="A89" s="48" t="inlineStr">
        <is>
          <t>TCKH.V_CDTK_DAILY</t>
        </is>
      </c>
      <c r="B89" s="48" t="inlineStr">
        <is>
          <t>GOLD_DERIVED</t>
        </is>
      </c>
      <c r="C89" s="48" t="inlineStr">
        <is>
          <t>2.11</t>
        </is>
      </c>
      <c r="D89" s="48" t="inlineStr">
        <is>
          <t>Nhom 2 - Logic</t>
        </is>
      </c>
      <c r="E89" s="48" t="inlineStr">
        <is>
          <t>Join dùng key hợp lý, không lạm dụng UNION ALL + EXISTS/NOT EXISTS</t>
        </is>
      </c>
      <c r="F89" s="49" t="inlineStr">
        <is>
          <t>PASS</t>
        </is>
      </c>
      <c r="G89" s="48" t="inlineStr">
        <is>
          <t>Pass</t>
        </is>
      </c>
      <c r="H89" s="50" t="inlineStr">
        <is>
          <t>join đều theo điều kiện bằng, không lạm dụng UNION ALL + EXISTS</t>
        </is>
      </c>
      <c r="I89" s="50" t="inlineStr">
        <is>
          <t>Ưu tiên LEFT JOIN theo business key hoặc hashkey. Xem lại các chỗ dùng UNION ALL kết hợp EXISTS/NOT EXISTS — thường thay được bằng một LEFT JOIN. Join không có điều kiện bằng (=) dễ tạo tích Descartes.</t>
        </is>
      </c>
      <c r="J89" s="48" t="inlineStr">
        <is>
          <t>004. OCB_GOLD_TCKH_V_CDTK_DAILY_QUANG.xlsx [Script SQL: V_CDTK_DAILY]</t>
        </is>
      </c>
    </row>
    <row r="90">
      <c r="A90" s="48" t="inlineStr">
        <is>
          <t>TCKH.V_CDTK_DAILY</t>
        </is>
      </c>
      <c r="B90" s="48" t="inlineStr">
        <is>
          <t>GOLD_DERIVED</t>
        </is>
      </c>
      <c r="C90" s="48" t="inlineStr">
        <is>
          <t>2.12</t>
        </is>
      </c>
      <c r="D90" s="48" t="inlineStr">
        <is>
          <t>Nhom 2 - Logic</t>
        </is>
      </c>
      <c r="E90" s="48" t="inlineStr">
        <is>
          <t>Build Gold từ CTE snapshot Silver, không build nhiều tầng chồng chéo</t>
        </is>
      </c>
      <c r="F90" s="49" t="inlineStr">
        <is>
          <t>PASS</t>
        </is>
      </c>
      <c r="G90" s="48" t="inlineStr">
        <is>
          <t>Pass</t>
        </is>
      </c>
      <c r="H90" s="50" t="inlineStr">
        <is>
          <t>mỗi bảng nguồn chỉ đọc trong 1 khối SELECT</t>
        </is>
      </c>
      <c r="I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0" s="48" t="inlineStr">
        <is>
          <t>004. OCB_GOLD_TCKH_V_CDTK_DAILY_QUANG.xlsx [Script SQL: V_CDTK_DAILY]</t>
        </is>
      </c>
    </row>
    <row r="91">
      <c r="A91" s="48" t="inlineStr">
        <is>
          <t>TCKH.V_CDTK_DAILY</t>
        </is>
      </c>
      <c r="B91" s="48" t="inlineStr">
        <is>
          <t>GOLD_DERIVED</t>
        </is>
      </c>
      <c r="C91" s="48" t="inlineStr">
        <is>
          <t>3.1</t>
        </is>
      </c>
      <c r="D91" s="48" t="inlineStr">
        <is>
          <t>Nhom 3 - Optimization</t>
        </is>
      </c>
      <c r="E91" s="48" t="inlineStr">
        <is>
          <t>Không SELECT *</t>
        </is>
      </c>
      <c r="F91" s="49" t="inlineStr">
        <is>
          <t>PASS</t>
        </is>
      </c>
      <c r="G91" s="48" t="inlineStr">
        <is>
          <t>Pass</t>
        </is>
      </c>
      <c r="H91" s="50" t="inlineStr">
        <is>
          <t>không dùng SELECT * ở đâu</t>
        </is>
      </c>
      <c r="I91" s="50" t="inlineStr">
        <is>
          <t>Liệt kê tường minh các cột cần dùng, kể cả trong CTE trung gian. SELECT * làm tăng IO/memory và vỡ script khi bảng nguồn thêm cột.</t>
        </is>
      </c>
      <c r="J91" s="48" t="inlineStr">
        <is>
          <t>004. OCB_GOLD_TCKH_V_CDTK_DAILY_QUANG.xlsx [Script SQL: V_CDTK_DAILY]</t>
        </is>
      </c>
    </row>
    <row r="92">
      <c r="A92" s="48" t="inlineStr">
        <is>
          <t>TCKH.V_CDTK_DAILY</t>
        </is>
      </c>
      <c r="B92" s="48" t="inlineStr">
        <is>
          <t>GOLD_DERIVED</t>
        </is>
      </c>
      <c r="C92" s="48" t="inlineStr">
        <is>
          <t>3.2</t>
        </is>
      </c>
      <c r="D92" s="48" t="inlineStr">
        <is>
          <t>Nhom 3 - Optimization</t>
        </is>
      </c>
      <c r="E92" s="48" t="inlineStr">
        <is>
          <t>CTE không bị scan lại nhiều lần</t>
        </is>
      </c>
      <c r="F92" s="49" t="inlineStr">
        <is>
          <t>PASS</t>
        </is>
      </c>
      <c r="G92" s="48" t="inlineStr">
        <is>
          <t>Pass</t>
        </is>
      </c>
      <c r="H92" s="50" t="inlineStr">
        <is>
          <t>không có CTE nào bị gọi lại</t>
        </is>
      </c>
      <c r="I92" s="50" t="inlineStr">
        <is>
          <t>Với CTE nặng (đọc nhiều bảng Silver) bị tham chiếu từ 2 chỗ trở lên: gom lại còn một lần dùng, hoặc vật chất hóa (CACHE / bảng tạm). CTE nhẹ chỉ chứa tham số thì bỏ qua được — tự tick Pass.</t>
        </is>
      </c>
      <c r="J92" s="48" t="inlineStr">
        <is>
          <t>004. OCB_GOLD_TCKH_V_CDTK_DAILY_QUANG.xlsx [Script SQL: V_CDTK_DAILY]</t>
        </is>
      </c>
    </row>
    <row r="93">
      <c r="A93" s="48" t="inlineStr">
        <is>
          <t>TCKH.V_CDTK_DAILY</t>
        </is>
      </c>
      <c r="B93" s="48" t="inlineStr">
        <is>
          <t>GOLD_DERIVED</t>
        </is>
      </c>
      <c r="C93" s="48" t="inlineStr">
        <is>
          <t>3.3</t>
        </is>
      </c>
      <c r="D93" s="48" t="inlineStr">
        <is>
          <t>Nhom 3 - Optimization</t>
        </is>
      </c>
      <c r="E93" s="48" t="inlineStr">
        <is>
          <t>Filter trước khi join, tận dụng partition pruning</t>
        </is>
      </c>
      <c r="F93" s="49" t="inlineStr">
        <is>
          <t>PASS</t>
        </is>
      </c>
      <c r="G93" s="48" t="inlineStr">
        <is>
          <t>Pass</t>
        </is>
      </c>
      <c r="H93" s="50" t="inlineStr">
        <is>
          <t>các bảng join đều được filter trước</t>
        </is>
      </c>
      <c r="I93" s="50" t="inlineStr">
        <is>
          <t>Đưa điều kiện lọc (ngày dữ liệu, trạng thái) vào subquery của từng bảng TRƯỚC khi join, để tận dụng partition pruning. Bảng dim nhỏ không partition thì không cần — tự tick Pass.</t>
        </is>
      </c>
      <c r="J93" s="48" t="inlineStr">
        <is>
          <t>004. OCB_GOLD_TCKH_V_CDTK_DAILY_QUANG.xlsx [Script SQL: V_CDTK_DAILY]</t>
        </is>
      </c>
    </row>
    <row r="94">
      <c r="A94" s="48" t="inlineStr">
        <is>
          <t>TCKH.V_CDTK_DAILY</t>
        </is>
      </c>
      <c r="B94" s="48" t="inlineStr">
        <is>
          <t>GOLD_DERIVED</t>
        </is>
      </c>
      <c r="C94" s="48" t="inlineStr">
        <is>
          <t>3.4</t>
        </is>
      </c>
      <c r="D94" s="48" t="inlineStr">
        <is>
          <t>Nhom 3 - Optimization</t>
        </is>
      </c>
      <c r="E94" s="48" t="inlineStr">
        <is>
          <t>Sử dụng CACHE cho query lặp lại trong cùng luồng</t>
        </is>
      </c>
      <c r="F94" s="48" t="inlineStr">
        <is>
          <t>N-A</t>
        </is>
      </c>
      <c r="G94" s="48" t="inlineStr">
        <is>
          <t>Pass</t>
        </is>
      </c>
      <c r="H94" s="50" t="inlineStr">
        <is>
          <t>không có kết quả nào được dùng lại nhiều lần nên chưa cần CACHE</t>
        </is>
      </c>
      <c r="I94" s="50" t="inlineStr">
        <is>
          <t>Nếu một kết quả nặng được dùng lại nhiều bước trong cùng luồng, thêm CACHE TABLE / CACHE SELECT. Kết quả nhỏ thì cache còn chậm hơn — tự tick Pass.</t>
        </is>
      </c>
      <c r="J94" s="48" t="inlineStr">
        <is>
          <t>004. OCB_GOLD_TCKH_V_CDTK_DAILY_QUANG.xlsx [Script SQL: V_CDTK_DAILY]</t>
        </is>
      </c>
    </row>
    <row r="95">
      <c r="A95" s="48" t="inlineStr">
        <is>
          <t>TCKH.V_CDTK_DAILY</t>
        </is>
      </c>
      <c r="B95" s="48" t="inlineStr">
        <is>
          <t>GOLD_DERIVED</t>
        </is>
      </c>
      <c r="C95" s="48" t="inlineStr">
        <is>
          <t>3.5</t>
        </is>
      </c>
      <c r="D95" s="48" t="inlineStr">
        <is>
          <t>Nhom 3 - Optimization</t>
        </is>
      </c>
      <c r="E95" s="48" t="inlineStr">
        <is>
          <t>Ưu tiên MAX_BY + QUALIFY thay ROW_NUMBER() + WHERE rn = 1</t>
        </is>
      </c>
      <c r="F95" s="48" t="inlineStr">
        <is>
          <t>N-A</t>
        </is>
      </c>
      <c r="G95" s="48" t="inlineStr">
        <is>
          <t>Pass</t>
        </is>
      </c>
      <c r="H95" s="50" t="inlineStr">
        <is>
          <t>script không dùng ROW_NUMBER, và MAX_BY (nếu có) không vượt quá 5 cột/khối</t>
        </is>
      </c>
      <c r="I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5" s="48" t="inlineStr">
        <is>
          <t>004. OCB_GOLD_TCKH_V_CDTK_DAILY_QUANG.xlsx [Script SQL: V_CDTK_DAILY]</t>
        </is>
      </c>
    </row>
    <row r="96">
      <c r="A96" s="48" t="inlineStr">
        <is>
          <t>TCKH.V_CDTK_DAILY</t>
        </is>
      </c>
      <c r="B96" s="48" t="inlineStr">
        <is>
          <t>GOLD_DERIVED</t>
        </is>
      </c>
      <c r="C96" s="48" t="inlineStr">
        <is>
          <t>3.6</t>
        </is>
      </c>
      <c r="D96" s="48" t="inlineStr">
        <is>
          <t>Nhom 3 - Optimization</t>
        </is>
      </c>
      <c r="E96" s="48" t="inlineStr">
        <is>
          <t>Không lạm dụng window function; có comment khi dùng</t>
        </is>
      </c>
      <c r="F96" s="48" t="inlineStr">
        <is>
          <t>N-A</t>
        </is>
      </c>
      <c r="G96" s="48" t="inlineStr">
        <is>
          <t>Pass</t>
        </is>
      </c>
      <c r="H96" s="50" t="inlineStr">
        <is>
          <t>script không dùng window function</t>
        </is>
      </c>
      <c r="I96" s="50" t="inlineStr">
        <is>
          <t>Mỗi window function cần một comment ngay trên khối CTE chứa nó, nói rõ vì sao không dùng được max_by/QUALIFY đơn giản hơn.</t>
        </is>
      </c>
      <c r="J96" s="48" t="inlineStr">
        <is>
          <t>004. OCB_GOLD_TCKH_V_CDTK_DAILY_QUANG.xlsx [Script SQL: V_CDTK_DAILY]</t>
        </is>
      </c>
    </row>
    <row r="97">
      <c r="A97" s="48" t="inlineStr">
        <is>
          <t>TCKH.V_CDTK_DAILY</t>
        </is>
      </c>
      <c r="B97" s="48" t="inlineStr">
        <is>
          <t>GOLD_DERIVED</t>
        </is>
      </c>
      <c r="C97" s="48" t="inlineStr">
        <is>
          <t>X.1</t>
        </is>
      </c>
      <c r="D97" s="48" t="inlineStr">
        <is>
          <t>Nhom X - Bo sung Raffles</t>
        </is>
      </c>
      <c r="E97" s="48" t="inlineStr">
        <is>
          <t>[Bổ sung] Link phải rút về current trước khi join (chống fan-out)</t>
        </is>
      </c>
      <c r="F97" s="48" t="inlineStr">
        <is>
          <t>N-A</t>
        </is>
      </c>
      <c r="G97" s="48" t="inlineStr">
        <is>
          <t>Pass</t>
        </is>
      </c>
      <c r="H97" s="50" t="inlineStr">
        <is>
          <t>khong ap dung cho profile GOLD_DERIVED</t>
        </is>
      </c>
      <c r="I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7" s="48" t="inlineStr">
        <is>
          <t>004. OCB_GOLD_TCKH_V_CDTK_DAILY_QUANG.xlsx [Script SQL: V_CDTK_DAILY]</t>
        </is>
      </c>
    </row>
    <row r="98">
      <c r="A98" s="48" t="inlineStr">
        <is>
          <t>TCKH.V_CDTK_DAILY</t>
        </is>
      </c>
      <c r="B98" s="48" t="inlineStr">
        <is>
          <t>GOLD_DERIVED</t>
        </is>
      </c>
      <c r="C98" s="48" t="inlineStr">
        <is>
          <t>X.6</t>
        </is>
      </c>
      <c r="D98" s="48" t="inlineStr">
        <is>
          <t>Nhom X - Bo sung Raffles</t>
        </is>
      </c>
      <c r="E98" s="48" t="inlineStr">
        <is>
          <t>[Bổ sung] Satellite phải LEFT JOIN, không INNER JOIN</t>
        </is>
      </c>
      <c r="F98" s="48" t="inlineStr">
        <is>
          <t>N-A</t>
        </is>
      </c>
      <c r="G98" s="48" t="inlineStr">
        <is>
          <t>Pass</t>
        </is>
      </c>
      <c r="H98" s="50" t="inlineStr">
        <is>
          <t>khong ap dung cho profile GOLD_DERIVED</t>
        </is>
      </c>
      <c r="I98" s="50" t="inlineStr">
        <is>
          <t>Technical Document III.4.2.2 nguyên tắc 1: làm giàu thuộc tính luôn dùng LEFT JOIN. INNER JOIN satellite sẽ loại mất bản ghi Hub đang còn hiệu lực nhưng chưa có dòng satellite.</t>
        </is>
      </c>
      <c r="J98" s="48" t="inlineStr">
        <is>
          <t>004. OCB_GOLD_TCKH_V_CDTK_DAILY_QUANG.xlsx [Script SQL: V_CDTK_DAILY]</t>
        </is>
      </c>
    </row>
    <row r="99">
      <c r="A99" s="48" t="inlineStr">
        <is>
          <t>TCKH.V_CDTK_DAILY</t>
        </is>
      </c>
      <c r="B99" s="48" t="inlineStr">
        <is>
          <t>GOLD_DERIVED</t>
        </is>
      </c>
      <c r="C99" s="48" t="inlineStr">
        <is>
          <t>X.7</t>
        </is>
      </c>
      <c r="D99" s="48" t="inlineStr">
        <is>
          <t>Nhom X - Bo sung Raffles</t>
        </is>
      </c>
      <c r="E99" s="48" t="inlineStr">
        <is>
          <t>[Bổ sung] Không hard-code catalog, dùng biến môi trường</t>
        </is>
      </c>
      <c r="F99" s="49" t="inlineStr">
        <is>
          <t>PASS</t>
        </is>
      </c>
      <c r="G99" s="48" t="inlineStr">
        <is>
          <t>Pass</t>
        </is>
      </c>
      <c r="H99" s="50" t="inlineStr">
        <is>
          <t>dùng biến môi trường cho catalog</t>
        </is>
      </c>
      <c r="I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9" s="48" t="inlineStr">
        <is>
          <t>004. OCB_GOLD_TCKH_V_CDTK_DAILY_QUANG.xlsx [Script SQL: V_CDTK_DAILY]</t>
        </is>
      </c>
    </row>
    <row r="100">
      <c r="A100" s="48" t="inlineStr">
        <is>
          <t>TCKH.V_CDTK_DAILY</t>
        </is>
      </c>
      <c r="B100" s="48" t="inlineStr">
        <is>
          <t>GOLD_DERIVED</t>
        </is>
      </c>
      <c r="C100" s="48" t="inlineStr">
        <is>
          <t>X.10</t>
        </is>
      </c>
      <c r="D100" s="48" t="inlineStr">
        <is>
          <t>Nhom X - Bo sung Raffles</t>
        </is>
      </c>
      <c r="E100" s="48" t="inlineStr">
        <is>
          <t>Bang raw_vault/business_vault duoc doc phai TON TAI THAT trong Data Vault model</t>
        </is>
      </c>
      <c r="F100" s="48" t="inlineStr">
        <is>
          <t>N-A</t>
        </is>
      </c>
      <c r="G100" s="48" t="inlineStr">
        <is>
          <t>Pass</t>
        </is>
      </c>
      <c r="H100" s="50" t="inlineStr">
        <is>
          <t>script không đọc bảng raw_vault/business_vault nào</t>
        </is>
      </c>
      <c r="I100" s="50" t="inlineStr"/>
      <c r="J100" s="48" t="inlineStr">
        <is>
          <t>004. OCB_GOLD_TCKH_V_CDTK_DAILY_QUANG.xlsx [Script SQL: V_CDTK_DAILY]</t>
        </is>
      </c>
    </row>
    <row r="101">
      <c r="A101" s="48" t="inlineStr">
        <is>
          <t>TCKH.V_CDTK_DAILY</t>
        </is>
      </c>
      <c r="B101" s="48" t="inlineStr">
        <is>
          <t>GOLD_DERIVED</t>
        </is>
      </c>
      <c r="C101" s="48" t="inlineStr">
        <is>
          <t>X.11</t>
        </is>
      </c>
      <c r="D101" s="48" t="inlineStr">
        <is>
          <t>Nhom X - Bo sung Raffles</t>
        </is>
      </c>
      <c r="E101" s="48" t="inlineStr">
        <is>
          <t>Cot doc tu satellite (sat_*) phai TON TAI THAT trong model</t>
        </is>
      </c>
      <c r="F101" s="48" t="inlineStr">
        <is>
          <t>N-A</t>
        </is>
      </c>
      <c r="G101" s="48" t="inlineStr">
        <is>
          <t>Pass</t>
        </is>
      </c>
      <c r="H101" s="50" t="inlineStr">
        <is>
          <t>không có bảng sat_* nào đủ điều kiện đối chiếu (Select chỉ đọc 1 bảng)</t>
        </is>
      </c>
      <c r="I101" s="50" t="inlineStr"/>
      <c r="J101" s="48" t="inlineStr">
        <is>
          <t>004. OCB_GOLD_TCKH_V_CDTK_DAILY_QUANG.xlsx [Script SQL: V_CDTK_DAILY]</t>
        </is>
      </c>
    </row>
    <row r="102">
      <c r="A102" s="48" t="inlineStr">
        <is>
          <t>TCKH.V_CREDIT_LIMIT</t>
        </is>
      </c>
      <c r="B102" s="48" t="inlineStr">
        <is>
          <t>SILVER_CONSUMER</t>
        </is>
      </c>
      <c r="C102" s="48" t="inlineStr">
        <is>
          <t>1.1</t>
        </is>
      </c>
      <c r="D102" s="48" t="inlineStr">
        <is>
          <t>Nhom 1 - Mapping</t>
        </is>
      </c>
      <c r="E102" s="48" t="inlineStr">
        <is>
          <t>Đầy đủ mapping từ Silver/manual sang Gold</t>
        </is>
      </c>
      <c r="F102" s="49" t="inlineStr">
        <is>
          <t>PASS</t>
        </is>
      </c>
      <c r="G102" s="48" t="inlineStr">
        <is>
          <t>Pass</t>
        </is>
      </c>
      <c r="H102" s="50" t="inlineStr">
        <is>
          <t>workbook 005. OCB_GOLD_TCKH_V_CREDIT_LIMIT_BAOANH.xlsx: thiết kế 3 field, SQL có 3 cột</t>
        </is>
      </c>
      <c r="I1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2" s="48" t="inlineStr">
        <is>
          <t>005. OCB_GOLD_TCKH_V_CREDIT_LIMIT_BAOANH.xlsx [Script: V_CREDIT_LIMIT]</t>
        </is>
      </c>
    </row>
    <row r="103">
      <c r="A103" s="48" t="inlineStr">
        <is>
          <t>TCKH.V_CREDIT_LIMIT</t>
        </is>
      </c>
      <c r="B103" s="48" t="inlineStr">
        <is>
          <t>SILVER_CONSUMER</t>
        </is>
      </c>
      <c r="C103" s="48" t="inlineStr">
        <is>
          <t>1.2</t>
        </is>
      </c>
      <c r="D103" s="48" t="inlineStr">
        <is>
          <t>Nhom 1 - Mapping</t>
        </is>
      </c>
      <c r="E103" s="48" t="inlineStr">
        <is>
          <t>Danh sách bảng/view Gold khớp tài liệu thiết kế đã duyệt</t>
        </is>
      </c>
      <c r="F103" s="49" t="inlineStr">
        <is>
          <t>PASS</t>
        </is>
      </c>
      <c r="G103" s="48" t="inlineStr">
        <is>
          <t>Pass</t>
        </is>
      </c>
      <c r="H103" s="50" t="inlineStr">
        <is>
          <t>V_CREDIT_LIMIT có workbook thiết kế: 005. OCB_GOLD_TCKH_V_CREDIT_LIMIT_BAOANH.xlsx</t>
        </is>
      </c>
      <c r="I103" s="50" t="inlineStr">
        <is>
          <t>Đảm bảo object có workbook thiết kế tương ứng trong thư mục --mapping-dir. Muốn đối chiếu với danh sách đã duyệt thì chạy thêm tham số --gold-list "&lt;file danh sách Gold&gt;.xlsx".</t>
        </is>
      </c>
      <c r="J103" s="48" t="inlineStr">
        <is>
          <t>005. OCB_GOLD_TCKH_V_CREDIT_LIMIT_BAOANH.xlsx [Script: V_CREDIT_LIMIT]</t>
        </is>
      </c>
    </row>
    <row r="104">
      <c r="A104" s="48" t="inlineStr">
        <is>
          <t>TCKH.V_CREDIT_LIMIT</t>
        </is>
      </c>
      <c r="B104" s="48" t="inlineStr">
        <is>
          <t>SILVER_CONSUMER</t>
        </is>
      </c>
      <c r="C104" s="48" t="inlineStr">
        <is>
          <t>2.1</t>
        </is>
      </c>
      <c r="D104" s="48" t="inlineStr">
        <is>
          <t>Nhom 2 - Logic</t>
        </is>
      </c>
      <c r="E104" s="48" t="inlineStr">
        <is>
          <t>Chỉ lấy bản ghi active, loại bản ghi đã xóa (qua sts_hub)</t>
        </is>
      </c>
      <c r="F104" s="49" t="inlineStr">
        <is>
          <t>PASS</t>
        </is>
      </c>
      <c r="G104" s="48" t="inlineStr">
        <is>
          <t>Pass</t>
        </is>
      </c>
      <c r="H104" s="50" t="inlineStr">
        <is>
          <t>1 sts_hub_* đọc đúng format</t>
        </is>
      </c>
      <c r="I1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4" s="48" t="inlineStr">
        <is>
          <t>005. OCB_GOLD_TCKH_V_CREDIT_LIMIT_BAOANH.xlsx [Script: V_CREDIT_LIMIT]</t>
        </is>
      </c>
    </row>
    <row r="105">
      <c r="A105" s="48" t="inlineStr">
        <is>
          <t>TCKH.V_CREDIT_LIMIT</t>
        </is>
      </c>
      <c r="B105" s="48" t="inlineStr">
        <is>
          <t>SILVER_CONSUMER</t>
        </is>
      </c>
      <c r="C105" s="48" t="inlineStr">
        <is>
          <t>2.2</t>
        </is>
      </c>
      <c r="D105" s="48" t="inlineStr">
        <is>
          <t>Nhom 2 - Logic</t>
        </is>
      </c>
      <c r="E105" s="48" t="inlineStr">
        <is>
          <t>Thống nhất MỘT pattern duy nhất xác định bản ghi active mới nhất</t>
        </is>
      </c>
      <c r="F105" s="49" t="inlineStr">
        <is>
          <t>PASS</t>
        </is>
      </c>
      <c r="G105" s="48" t="inlineStr">
        <is>
          <t>Pass</t>
        </is>
      </c>
      <c r="H105" s="50" t="inlineStr">
        <is>
          <t>file này dùng: ['MAX_BY']; toàn batch dùng: ['MAX_BY']</t>
        </is>
      </c>
      <c r="I1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5" s="48" t="inlineStr">
        <is>
          <t>005. OCB_GOLD_TCKH_V_CREDIT_LIMIT_BAOANH.xlsx [Script: V_CREDIT_LIMIT]</t>
        </is>
      </c>
    </row>
    <row r="106">
      <c r="A106" s="48" t="inlineStr">
        <is>
          <t>TCKH.V_CREDIT_LIMIT</t>
        </is>
      </c>
      <c r="B106" s="48" t="inlineStr">
        <is>
          <t>SILVER_CONSUMER</t>
        </is>
      </c>
      <c r="C106" s="48" t="inlineStr">
        <is>
          <t>2.3</t>
        </is>
      </c>
      <c r="D106" s="48" t="inlineStr">
        <is>
          <t>Nhom 2 - Logic</t>
        </is>
      </c>
      <c r="E106" s="48" t="inlineStr">
        <is>
          <t>Điều kiện lọc trạng thái đặt SAU khi xác định bản ghi mới nhất</t>
        </is>
      </c>
      <c r="F106" s="49" t="inlineStr">
        <is>
          <t>PASS</t>
        </is>
      </c>
      <c r="G106" s="48" t="inlineStr">
        <is>
          <t>Pass</t>
        </is>
      </c>
      <c r="H106" s="50" t="inlineStr">
        <is>
          <t>không có điều kiện trạng thái nào lồng trong JOIN ON</t>
        </is>
      </c>
      <c r="I1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6" s="48" t="inlineStr">
        <is>
          <t>005. OCB_GOLD_TCKH_V_CREDIT_LIMIT_BAOANH.xlsx [Script: V_CREDIT_LIMIT]</t>
        </is>
      </c>
    </row>
    <row r="107">
      <c r="A107" s="48" t="inlineStr">
        <is>
          <t>TCKH.V_CREDIT_LIMIT</t>
        </is>
      </c>
      <c r="B107" s="48" t="inlineStr">
        <is>
          <t>SILVER_CONSUMER</t>
        </is>
      </c>
      <c r="C107" s="48" t="inlineStr">
        <is>
          <t>2.4</t>
        </is>
      </c>
      <c r="D107" s="48" t="inlineStr">
        <is>
          <t>Nhom 2 - Logic</t>
        </is>
      </c>
      <c r="E107" s="48" t="inlineStr">
        <is>
          <t>source_event_date áp dụng đúng dạng theo loại bảng</t>
        </is>
      </c>
      <c r="F107" s="49" t="inlineStr">
        <is>
          <t>PASS</t>
        </is>
      </c>
      <c r="G107" s="48" t="inlineStr">
        <is>
          <t>Pass</t>
        </is>
      </c>
      <c r="H107" s="50" t="inlineStr">
        <is>
          <t>1 satellite đều đúng dạng điều kiện source_event_date</t>
        </is>
      </c>
      <c r="I1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7" s="48" t="inlineStr">
        <is>
          <t>005. OCB_GOLD_TCKH_V_CREDIT_LIMIT_BAOANH.xlsx [Script: V_CREDIT_LIMIT]</t>
        </is>
      </c>
    </row>
    <row r="108">
      <c r="A108" s="48" t="inlineStr">
        <is>
          <t>TCKH.V_CREDIT_LIMIT</t>
        </is>
      </c>
      <c r="B108" s="48" t="inlineStr">
        <is>
          <t>SILVER_CONSUMER</t>
        </is>
      </c>
      <c r="C108" s="48" t="inlineStr">
        <is>
          <t>2.5</t>
        </is>
      </c>
      <c r="D108" s="48" t="inlineStr">
        <is>
          <t>Nhom 2 - Logic</t>
        </is>
      </c>
      <c r="E108" s="48" t="inlineStr">
        <is>
          <t>Không lặp lại lỗi logic cũ đã được DA Data Vault fix</t>
        </is>
      </c>
      <c r="F108" s="49" t="inlineStr">
        <is>
          <t>PASS</t>
        </is>
      </c>
      <c r="G108" s="48" t="inlineStr">
        <is>
          <t>Pass</t>
        </is>
      </c>
      <c r="H108" s="50" t="inlineStr">
        <is>
          <t>không trùng lỗi nào trong Issue log của DA Data Vault</t>
        </is>
      </c>
      <c r="I1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8" s="48" t="inlineStr">
        <is>
          <t>005. OCB_GOLD_TCKH_V_CREDIT_LIMIT_BAOANH.xlsx [Script: V_CREDIT_LIMIT]</t>
        </is>
      </c>
    </row>
    <row r="109">
      <c r="A109" s="48" t="inlineStr">
        <is>
          <t>TCKH.V_CREDIT_LIMIT</t>
        </is>
      </c>
      <c r="B109" s="48" t="inlineStr">
        <is>
          <t>SILVER_CONSUMER</t>
        </is>
      </c>
      <c r="C109" s="48" t="inlineStr">
        <is>
          <t>2.6</t>
        </is>
      </c>
      <c r="D109" s="48" t="inlineStr">
        <is>
          <t>Nhom 2 - Logic</t>
        </is>
      </c>
      <c r="E109" s="48" t="inlineStr">
        <is>
          <t>SCD Type 2 cho bảng DIM áp dụng đúng kỹ thuật đã thống nhất</t>
        </is>
      </c>
      <c r="F109" s="48" t="inlineStr">
        <is>
          <t>N-A</t>
        </is>
      </c>
      <c r="G109" s="48" t="inlineStr">
        <is>
          <t>Pass</t>
        </is>
      </c>
      <c r="H109" s="50" t="inlineStr">
        <is>
          <t>object không phải bảng DIM nên không áp dụng SCD Type 2</t>
        </is>
      </c>
      <c r="I1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9" s="48" t="inlineStr">
        <is>
          <t>005. OCB_GOLD_TCKH_V_CREDIT_LIMIT_BAOANH.xlsx [Script: V_CREDIT_LIMIT]</t>
        </is>
      </c>
    </row>
    <row r="110">
      <c r="A110" s="48" t="inlineStr">
        <is>
          <t>TCKH.V_CREDIT_LIMIT</t>
        </is>
      </c>
      <c r="B110" s="48" t="inlineStr">
        <is>
          <t>SILVER_CONSUMER</t>
        </is>
      </c>
      <c r="C110" s="48" t="inlineStr">
        <is>
          <t>2.7</t>
        </is>
      </c>
      <c r="D110" s="48" t="inlineStr">
        <is>
          <t>Nhom 2 - Logic</t>
        </is>
      </c>
      <c r="E110" s="48" t="inlineStr">
        <is>
          <t>CASE WHEN cover đủ nhánh như job on-prem</t>
        </is>
      </c>
      <c r="F110" s="48" t="inlineStr">
        <is>
          <t>N-A</t>
        </is>
      </c>
      <c r="G110" s="48" t="inlineStr">
        <is>
          <t>Pass</t>
        </is>
      </c>
      <c r="H110" s="50" t="inlineStr">
        <is>
          <t>script không có CASE WHEN nào</t>
        </is>
      </c>
      <c r="I110" s="50" t="inlineStr">
        <is>
          <t>Mở job on-prem tương ứng (DataStage DSX hoặc SQL cũ), đối chiếu từng nhánh WHEN và cả nhánh ELSE. CASE không có ELSE sẽ trả NULL âm thầm — xác nhận đó là ý muốn hay thiếu nhánh.</t>
        </is>
      </c>
      <c r="J110" s="48" t="inlineStr">
        <is>
          <t>005. OCB_GOLD_TCKH_V_CREDIT_LIMIT_BAOANH.xlsx [Script: V_CREDIT_LIMIT]</t>
        </is>
      </c>
    </row>
    <row r="111">
      <c r="A111" s="48" t="inlineStr">
        <is>
          <t>TCKH.V_CREDIT_LIMIT</t>
        </is>
      </c>
      <c r="B111" s="48" t="inlineStr">
        <is>
          <t>SILVER_CONSUMER</t>
        </is>
      </c>
      <c r="C111" s="48" t="inlineStr">
        <is>
          <t>2.8</t>
        </is>
      </c>
      <c r="D111" s="48" t="inlineStr">
        <is>
          <t>Nhom 2 - Logic</t>
        </is>
      </c>
      <c r="E111" s="48" t="inlineStr">
        <is>
          <t>Cột SUM/COUNT được COALESCE/NVL hợp lý</t>
        </is>
      </c>
      <c r="F111" s="49" t="inlineStr">
        <is>
          <t>PASS</t>
        </is>
      </c>
      <c r="G111" s="48" t="inlineStr">
        <is>
          <t>Pass</t>
        </is>
      </c>
      <c r="H111" s="50" t="inlineStr">
        <is>
          <t>mọi SUM/COUNT đều đã coalesce (trực tiếp hoặc ở lớp ngoài)</t>
        </is>
      </c>
      <c r="I1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1" s="48" t="inlineStr">
        <is>
          <t>005. OCB_GOLD_TCKH_V_CREDIT_LIMIT_BAOANH.xlsx [Script: V_CREDIT_LIMIT]</t>
        </is>
      </c>
    </row>
    <row r="112">
      <c r="A112" s="48" t="inlineStr">
        <is>
          <t>TCKH.V_CREDIT_LIMIT</t>
        </is>
      </c>
      <c r="B112" s="48" t="inlineStr">
        <is>
          <t>SILVER_CONSUMER</t>
        </is>
      </c>
      <c r="C112" s="48" t="inlineStr">
        <is>
          <t>2.9</t>
        </is>
      </c>
      <c r="D112" s="48" t="inlineStr">
        <is>
          <t>Nhom 2 - Logic</t>
        </is>
      </c>
      <c r="E112" s="48" t="inlineStr">
        <is>
          <t>Subquery / custom function / điều kiện LIKE đúng ý nghĩa nghiệp vụ</t>
        </is>
      </c>
      <c r="F112" s="48" t="inlineStr">
        <is>
          <t>N-A</t>
        </is>
      </c>
      <c r="G112" s="48" t="inlineStr">
        <is>
          <t>Pass</t>
        </is>
      </c>
      <c r="H112" s="50" t="inlineStr">
        <is>
          <t>script không có điều kiện LIKE hay scalar subquery nào</t>
        </is>
      </c>
      <c r="I112" s="50" t="inlineStr">
        <is>
          <t>Đọc lại từng điều kiện LIKE và từng subquery, đối chiếu ý nghĩa nghiệp vụ với on-prem — đúng cú pháp không đủ. Chú ý pattern LIKE có ký tự % ở đầu/cuối và phân biệt chữ hoa/thường.</t>
        </is>
      </c>
      <c r="J112" s="48" t="inlineStr">
        <is>
          <t>005. OCB_GOLD_TCKH_V_CREDIT_LIMIT_BAOANH.xlsx [Script: V_CREDIT_LIMIT]</t>
        </is>
      </c>
    </row>
    <row r="113">
      <c r="A113" s="48" t="inlineStr">
        <is>
          <t>TCKH.V_CREDIT_LIMIT</t>
        </is>
      </c>
      <c r="B113" s="48" t="inlineStr">
        <is>
          <t>SILVER_CONSUMER</t>
        </is>
      </c>
      <c r="C113" s="48" t="inlineStr">
        <is>
          <t>2.10</t>
        </is>
      </c>
      <c r="D113" s="48" t="inlineStr">
        <is>
          <t>Nhom 2 - Logic</t>
        </is>
      </c>
      <c r="E113" s="48" t="inlineStr">
        <is>
          <t>Aggregation kèm filter date range chính xác</t>
        </is>
      </c>
      <c r="F113" s="49" t="inlineStr">
        <is>
          <t>PASS</t>
        </is>
      </c>
      <c r="G113" s="48" t="inlineStr">
        <is>
          <t>Pass</t>
        </is>
      </c>
      <c r="H113" s="50" t="inlineStr">
        <is>
          <t>mọi khối tổng hợp đều có điều kiện theo kỳ dữ liệu</t>
        </is>
      </c>
      <c r="I113" s="50" t="inlineStr">
        <is>
          <t>Mỗi khối SUM/COUNT/AVG phải có điều kiện lọc theo kỳ dữ liệu (CDR_DT_ID, DATA_DATE, :DATADT…). Nếu điều kiện nằm ở CTE nguồn thì ghi rõ trong comment để người review không phải truy ngược.</t>
        </is>
      </c>
      <c r="J113" s="48" t="inlineStr">
        <is>
          <t>005. OCB_GOLD_TCKH_V_CREDIT_LIMIT_BAOANH.xlsx [Script: V_CREDIT_LIMIT]</t>
        </is>
      </c>
    </row>
    <row r="114">
      <c r="A114" s="48" t="inlineStr">
        <is>
          <t>TCKH.V_CREDIT_LIMIT</t>
        </is>
      </c>
      <c r="B114" s="48" t="inlineStr">
        <is>
          <t>SILVER_CONSUMER</t>
        </is>
      </c>
      <c r="C114" s="48" t="inlineStr">
        <is>
          <t>2.11</t>
        </is>
      </c>
      <c r="D114" s="48" t="inlineStr">
        <is>
          <t>Nhom 2 - Logic</t>
        </is>
      </c>
      <c r="E114" s="48" t="inlineStr">
        <is>
          <t>Join dùng key hợp lý, không lạm dụng UNION ALL + EXISTS/NOT EXISTS</t>
        </is>
      </c>
      <c r="F114" s="51" t="inlineStr">
        <is>
          <t>WARN</t>
        </is>
      </c>
      <c r="G114" s="48" t="inlineStr">
        <is>
          <t>WARN</t>
        </is>
      </c>
      <c r="H114" s="50" t="inlineStr">
        <is>
          <t>join không có điều kiện bằng (=): ['h']</t>
        </is>
      </c>
      <c r="I114" s="50" t="inlineStr">
        <is>
          <t>Ưu tiên LEFT JOIN theo business key hoặc hashkey. Xem lại các chỗ dùng UNION ALL kết hợp EXISTS/NOT EXISTS — thường thay được bằng một LEFT JOIN. Join không có điều kiện bằng (=) dễ tạo tích Descartes.</t>
        </is>
      </c>
      <c r="J114" s="48" t="inlineStr">
        <is>
          <t>005. OCB_GOLD_TCKH_V_CREDIT_LIMIT_BAOANH.xlsx [Script: V_CREDIT_LIMIT]</t>
        </is>
      </c>
    </row>
    <row r="115">
      <c r="A115" s="48" t="inlineStr">
        <is>
          <t>TCKH.V_CREDIT_LIMIT</t>
        </is>
      </c>
      <c r="B115" s="48" t="inlineStr">
        <is>
          <t>SILVER_CONSUMER</t>
        </is>
      </c>
      <c r="C115" s="48" t="inlineStr">
        <is>
          <t>2.12</t>
        </is>
      </c>
      <c r="D115" s="48" t="inlineStr">
        <is>
          <t>Nhom 2 - Logic</t>
        </is>
      </c>
      <c r="E115" s="48" t="inlineStr">
        <is>
          <t>Build Gold từ CTE snapshot Silver, không build nhiều tầng chồng chéo</t>
        </is>
      </c>
      <c r="F115" s="49" t="inlineStr">
        <is>
          <t>PASS</t>
        </is>
      </c>
      <c r="G115" s="48" t="inlineStr">
        <is>
          <t>Pass</t>
        </is>
      </c>
      <c r="H115" s="50" t="inlineStr">
        <is>
          <t>mỗi bảng nguồn chỉ đọc trong 1 khối SELECT</t>
        </is>
      </c>
      <c r="I1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5" s="48" t="inlineStr">
        <is>
          <t>005. OCB_GOLD_TCKH_V_CREDIT_LIMIT_BAOANH.xlsx [Script: V_CREDIT_LIMIT]</t>
        </is>
      </c>
    </row>
    <row r="116">
      <c r="A116" s="48" t="inlineStr">
        <is>
          <t>TCKH.V_CREDIT_LIMIT</t>
        </is>
      </c>
      <c r="B116" s="48" t="inlineStr">
        <is>
          <t>SILVER_CONSUMER</t>
        </is>
      </c>
      <c r="C116" s="48" t="inlineStr">
        <is>
          <t>3.1</t>
        </is>
      </c>
      <c r="D116" s="48" t="inlineStr">
        <is>
          <t>Nhom 3 - Optimization</t>
        </is>
      </c>
      <c r="E116" s="48" t="inlineStr">
        <is>
          <t>Không SELECT *</t>
        </is>
      </c>
      <c r="F116" s="49" t="inlineStr">
        <is>
          <t>PASS</t>
        </is>
      </c>
      <c r="G116" s="48" t="inlineStr">
        <is>
          <t>Pass</t>
        </is>
      </c>
      <c r="H116" s="50" t="inlineStr">
        <is>
          <t>không dùng SELECT * ở đâu</t>
        </is>
      </c>
      <c r="I116" s="50" t="inlineStr">
        <is>
          <t>Liệt kê tường minh các cột cần dùng, kể cả trong CTE trung gian. SELECT * làm tăng IO/memory và vỡ script khi bảng nguồn thêm cột.</t>
        </is>
      </c>
      <c r="J116" s="48" t="inlineStr">
        <is>
          <t>005. OCB_GOLD_TCKH_V_CREDIT_LIMIT_BAOANH.xlsx [Script: V_CREDIT_LIMIT]</t>
        </is>
      </c>
    </row>
    <row r="117">
      <c r="A117" s="48" t="inlineStr">
        <is>
          <t>TCKH.V_CREDIT_LIMIT</t>
        </is>
      </c>
      <c r="B117" s="48" t="inlineStr">
        <is>
          <t>SILVER_CONSUMER</t>
        </is>
      </c>
      <c r="C117" s="48" t="inlineStr">
        <is>
          <t>3.2</t>
        </is>
      </c>
      <c r="D117" s="48" t="inlineStr">
        <is>
          <t>Nhom 3 - Optimization</t>
        </is>
      </c>
      <c r="E117" s="48" t="inlineStr">
        <is>
          <t>CTE không bị scan lại nhiều lần</t>
        </is>
      </c>
      <c r="F117" s="51" t="inlineStr">
        <is>
          <t>WARN</t>
        </is>
      </c>
      <c r="G117" s="48" t="inlineStr">
        <is>
          <t>WARN</t>
        </is>
      </c>
      <c r="H117" s="50" t="inlineStr">
        <is>
          <t>CTE bị tham chiếu lại nhiều lần: hub_by_date x2</t>
        </is>
      </c>
      <c r="I117" s="50" t="inlineStr">
        <is>
          <t>Với CTE nặng (đọc nhiều bảng Silver) bị tham chiếu từ 2 chỗ trở lên: gom lại còn một lần dùng, hoặc vật chất hóa (CACHE / bảng tạm). CTE nhẹ chỉ chứa tham số thì bỏ qua được — tự tick Pass.</t>
        </is>
      </c>
      <c r="J117" s="48" t="inlineStr">
        <is>
          <t>005. OCB_GOLD_TCKH_V_CREDIT_LIMIT_BAOANH.xlsx [Script: V_CREDIT_LIMIT]</t>
        </is>
      </c>
    </row>
    <row r="118">
      <c r="A118" s="48" t="inlineStr">
        <is>
          <t>TCKH.V_CREDIT_LIMIT</t>
        </is>
      </c>
      <c r="B118" s="48" t="inlineStr">
        <is>
          <t>SILVER_CONSUMER</t>
        </is>
      </c>
      <c r="C118" s="48" t="inlineStr">
        <is>
          <t>3.3</t>
        </is>
      </c>
      <c r="D118" s="48" t="inlineStr">
        <is>
          <t>Nhom 3 - Optimization</t>
        </is>
      </c>
      <c r="E118" s="48" t="inlineStr">
        <is>
          <t>Filter trước khi join, tận dụng partition pruning</t>
        </is>
      </c>
      <c r="F118" s="49" t="inlineStr">
        <is>
          <t>PASS</t>
        </is>
      </c>
      <c r="G118" s="48" t="inlineStr">
        <is>
          <t>Pass</t>
        </is>
      </c>
      <c r="H118" s="50" t="inlineStr">
        <is>
          <t>các bảng join đều được filter trước</t>
        </is>
      </c>
      <c r="I118" s="50" t="inlineStr">
        <is>
          <t>Đưa điều kiện lọc (ngày dữ liệu, trạng thái) vào subquery của từng bảng TRƯỚC khi join, để tận dụng partition pruning. Bảng dim nhỏ không partition thì không cần — tự tick Pass.</t>
        </is>
      </c>
      <c r="J118" s="48" t="inlineStr">
        <is>
          <t>005. OCB_GOLD_TCKH_V_CREDIT_LIMIT_BAOANH.xlsx [Script: V_CREDIT_LIMIT]</t>
        </is>
      </c>
    </row>
    <row r="119">
      <c r="A119" s="48" t="inlineStr">
        <is>
          <t>TCKH.V_CREDIT_LIMIT</t>
        </is>
      </c>
      <c r="B119" s="48" t="inlineStr">
        <is>
          <t>SILVER_CONSUMER</t>
        </is>
      </c>
      <c r="C119" s="48" t="inlineStr">
        <is>
          <t>3.4</t>
        </is>
      </c>
      <c r="D119" s="48" t="inlineStr">
        <is>
          <t>Nhom 3 - Optimization</t>
        </is>
      </c>
      <c r="E119" s="48" t="inlineStr">
        <is>
          <t>Sử dụng CACHE cho query lặp lại trong cùng luồng</t>
        </is>
      </c>
      <c r="F119" s="51" t="inlineStr">
        <is>
          <t>WARN</t>
        </is>
      </c>
      <c r="G119" s="48" t="inlineStr">
        <is>
          <t>WARN</t>
        </is>
      </c>
      <c r="H119" s="50" t="inlineStr">
        <is>
          <t>1 CTE nặng dùng lại &gt;= 2 lần mà không có CACHE: hub_by_date</t>
        </is>
      </c>
      <c r="I119" s="50" t="inlineStr">
        <is>
          <t>Nếu một kết quả nặng được dùng lại nhiều bước trong cùng luồng, thêm CACHE TABLE / CACHE SELECT. Kết quả nhỏ thì cache còn chậm hơn — tự tick Pass.</t>
        </is>
      </c>
      <c r="J119" s="48" t="inlineStr">
        <is>
          <t>005. OCB_GOLD_TCKH_V_CREDIT_LIMIT_BAOANH.xlsx [Script: V_CREDIT_LIMIT]</t>
        </is>
      </c>
    </row>
    <row r="120">
      <c r="A120" s="48" t="inlineStr">
        <is>
          <t>TCKH.V_CREDIT_LIMIT</t>
        </is>
      </c>
      <c r="B120" s="48" t="inlineStr">
        <is>
          <t>SILVER_CONSUMER</t>
        </is>
      </c>
      <c r="C120" s="48" t="inlineStr">
        <is>
          <t>3.5</t>
        </is>
      </c>
      <c r="D120" s="48" t="inlineStr">
        <is>
          <t>Nhom 3 - Optimization</t>
        </is>
      </c>
      <c r="E120" s="48" t="inlineStr">
        <is>
          <t>Ưu tiên MAX_BY + QUALIFY thay ROW_NUMBER() + WHERE rn = 1</t>
        </is>
      </c>
      <c r="F120" s="48" t="inlineStr">
        <is>
          <t>N-A</t>
        </is>
      </c>
      <c r="G120" s="48" t="inlineStr">
        <is>
          <t>Pass</t>
        </is>
      </c>
      <c r="H120" s="50" t="inlineStr">
        <is>
          <t>script không dùng ROW_NUMBER, và MAX_BY (nếu có) không vượt quá 5 cột/khối</t>
        </is>
      </c>
      <c r="I1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0" s="48" t="inlineStr">
        <is>
          <t>005. OCB_GOLD_TCKH_V_CREDIT_LIMIT_BAOANH.xlsx [Script: V_CREDIT_LIMIT]</t>
        </is>
      </c>
    </row>
    <row r="121">
      <c r="A121" s="48" t="inlineStr">
        <is>
          <t>TCKH.V_CREDIT_LIMIT</t>
        </is>
      </c>
      <c r="B121" s="48" t="inlineStr">
        <is>
          <t>SILVER_CONSUMER</t>
        </is>
      </c>
      <c r="C121" s="48" t="inlineStr">
        <is>
          <t>3.6</t>
        </is>
      </c>
      <c r="D121" s="48" t="inlineStr">
        <is>
          <t>Nhom 3 - Optimization</t>
        </is>
      </c>
      <c r="E121" s="48" t="inlineStr">
        <is>
          <t>Không lạm dụng window function; có comment khi dùng</t>
        </is>
      </c>
      <c r="F121" s="48" t="inlineStr">
        <is>
          <t>N-A</t>
        </is>
      </c>
      <c r="G121" s="48" t="inlineStr">
        <is>
          <t>Pass</t>
        </is>
      </c>
      <c r="H121" s="50" t="inlineStr">
        <is>
          <t>script không dùng window function</t>
        </is>
      </c>
      <c r="I121" s="50" t="inlineStr">
        <is>
          <t>Mỗi window function cần một comment ngay trên khối CTE chứa nó, nói rõ vì sao không dùng được max_by/QUALIFY đơn giản hơn.</t>
        </is>
      </c>
      <c r="J121" s="48" t="inlineStr">
        <is>
          <t>005. OCB_GOLD_TCKH_V_CREDIT_LIMIT_BAOANH.xlsx [Script: V_CREDIT_LIMIT]</t>
        </is>
      </c>
    </row>
    <row r="122">
      <c r="A122" s="48" t="inlineStr">
        <is>
          <t>TCKH.V_CREDIT_LIMIT</t>
        </is>
      </c>
      <c r="B122" s="48" t="inlineStr">
        <is>
          <t>SILVER_CONSUMER</t>
        </is>
      </c>
      <c r="C122" s="48" t="inlineStr">
        <is>
          <t>X.1</t>
        </is>
      </c>
      <c r="D122" s="48" t="inlineStr">
        <is>
          <t>Nhom X - Bo sung Raffles</t>
        </is>
      </c>
      <c r="E122" s="48" t="inlineStr">
        <is>
          <t>[Bổ sung] Link phải rút về current trước khi join (chống fan-out)</t>
        </is>
      </c>
      <c r="F122" s="49" t="inlineStr">
        <is>
          <t>PASS</t>
        </is>
      </c>
      <c r="G122" s="48" t="inlineStr">
        <is>
          <t>Pass</t>
        </is>
      </c>
      <c r="H122" s="50" t="inlineStr">
        <is>
          <t>các bảng link_* đều được rút về current trước khi join</t>
        </is>
      </c>
      <c r="I1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2" s="48" t="inlineStr">
        <is>
          <t>005. OCB_GOLD_TCKH_V_CREDIT_LIMIT_BAOANH.xlsx [Script: V_CREDIT_LIMIT]</t>
        </is>
      </c>
    </row>
    <row r="123">
      <c r="A123" s="48" t="inlineStr">
        <is>
          <t>TCKH.V_CREDIT_LIMIT</t>
        </is>
      </c>
      <c r="B123" s="48" t="inlineStr">
        <is>
          <t>SILVER_CONSUMER</t>
        </is>
      </c>
      <c r="C123" s="48" t="inlineStr">
        <is>
          <t>X.6</t>
        </is>
      </c>
      <c r="D123" s="48" t="inlineStr">
        <is>
          <t>Nhom X - Bo sung Raffles</t>
        </is>
      </c>
      <c r="E123" s="48" t="inlineStr">
        <is>
          <t>[Bổ sung] Satellite phải LEFT JOIN, không INNER JOIN</t>
        </is>
      </c>
      <c r="F123" s="49" t="inlineStr">
        <is>
          <t>PASS</t>
        </is>
      </c>
      <c r="G123" s="48" t="inlineStr">
        <is>
          <t>Pass</t>
        </is>
      </c>
      <c r="H123" s="50" t="inlineStr">
        <is>
          <t>các satellite đều LEFT JOIN</t>
        </is>
      </c>
      <c r="I123" s="50" t="inlineStr">
        <is>
          <t>Technical Document III.4.2.2 nguyên tắc 1: làm giàu thuộc tính luôn dùng LEFT JOIN. INNER JOIN satellite sẽ loại mất bản ghi Hub đang còn hiệu lực nhưng chưa có dòng satellite.</t>
        </is>
      </c>
      <c r="J123" s="48" t="inlineStr">
        <is>
          <t>005. OCB_GOLD_TCKH_V_CREDIT_LIMIT_BAOANH.xlsx [Script: V_CREDIT_LIMIT]</t>
        </is>
      </c>
    </row>
    <row r="124">
      <c r="A124" s="48" t="inlineStr">
        <is>
          <t>TCKH.V_CREDIT_LIMIT</t>
        </is>
      </c>
      <c r="B124" s="48" t="inlineStr">
        <is>
          <t>SILVER_CONSUMER</t>
        </is>
      </c>
      <c r="C124" s="48" t="inlineStr">
        <is>
          <t>X.7</t>
        </is>
      </c>
      <c r="D124" s="48" t="inlineStr">
        <is>
          <t>Nhom X - Bo sung Raffles</t>
        </is>
      </c>
      <c r="E124" s="48" t="inlineStr">
        <is>
          <t>[Bổ sung] Không hard-code catalog, dùng biến môi trường</t>
        </is>
      </c>
      <c r="F124" s="49" t="inlineStr">
        <is>
          <t>PASS</t>
        </is>
      </c>
      <c r="G124" s="48" t="inlineStr">
        <is>
          <t>Pass</t>
        </is>
      </c>
      <c r="H124" s="50" t="inlineStr">
        <is>
          <t>dùng biến môi trường cho catalog</t>
        </is>
      </c>
      <c r="I1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4" s="48" t="inlineStr">
        <is>
          <t>005. OCB_GOLD_TCKH_V_CREDIT_LIMIT_BAOANH.xlsx [Script: V_CREDIT_LIMIT]</t>
        </is>
      </c>
    </row>
    <row r="125">
      <c r="A125" s="48" t="inlineStr">
        <is>
          <t>TCKH.V_CREDIT_LIMIT</t>
        </is>
      </c>
      <c r="B125" s="48" t="inlineStr">
        <is>
          <t>SILVER_CONSUMER</t>
        </is>
      </c>
      <c r="C125" s="48" t="inlineStr">
        <is>
          <t>X.10</t>
        </is>
      </c>
      <c r="D125" s="48" t="inlineStr">
        <is>
          <t>Nhom X - Bo sung Raffles</t>
        </is>
      </c>
      <c r="E125" s="48" t="inlineStr">
        <is>
          <t>Bang raw_vault/business_vault duoc doc phai TON TAI THAT trong Data Vault model</t>
        </is>
      </c>
      <c r="F125" s="49" t="inlineStr">
        <is>
          <t>PASS</t>
        </is>
      </c>
      <c r="G125" s="48" t="inlineStr">
        <is>
          <t>Pass</t>
        </is>
      </c>
      <c r="H125" s="50" t="inlineStr">
        <is>
          <t>4 bảng Silver đều có thật trong Data Vault model</t>
        </is>
      </c>
      <c r="I125" s="50" t="inlineStr"/>
      <c r="J125" s="48" t="inlineStr">
        <is>
          <t>005. OCB_GOLD_TCKH_V_CREDIT_LIMIT_BAOANH.xlsx [Script: V_CREDIT_LIMIT]</t>
        </is>
      </c>
    </row>
    <row r="126">
      <c r="A126" s="48" t="inlineStr">
        <is>
          <t>TCKH.V_CREDIT_LIMIT</t>
        </is>
      </c>
      <c r="B126" s="48" t="inlineStr">
        <is>
          <t>SILVER_CONSUMER</t>
        </is>
      </c>
      <c r="C126" s="48" t="inlineStr">
        <is>
          <t>X.11</t>
        </is>
      </c>
      <c r="D126" s="48" t="inlineStr">
        <is>
          <t>Nhom X - Bo sung Raffles</t>
        </is>
      </c>
      <c r="E126" s="48" t="inlineStr">
        <is>
          <t>Cot doc tu satellite (sat_*) phai TON TAI THAT trong model</t>
        </is>
      </c>
      <c r="F126" s="48" t="inlineStr">
        <is>
          <t>N-A</t>
        </is>
      </c>
      <c r="G126" s="48" t="inlineStr">
        <is>
          <t>Pass</t>
        </is>
      </c>
      <c r="H126" s="50" t="inlineStr">
        <is>
          <t>không có bảng sat_* nào đủ điều kiện đối chiếu (Select chỉ đọc 1 bảng)</t>
        </is>
      </c>
      <c r="I126" s="50" t="inlineStr"/>
      <c r="J126" s="48" t="inlineStr">
        <is>
          <t>005. OCB_GOLD_TCKH_V_CREDIT_LIMIT_BAOANH.xlsx [Script: V_CREDIT_LIMIT]</t>
        </is>
      </c>
    </row>
    <row r="127">
      <c r="A127" s="48" t="inlineStr">
        <is>
          <t>TCKH.V_CUSTOMER_SEGMENT_CMB</t>
        </is>
      </c>
      <c r="B127" s="48" t="inlineStr">
        <is>
          <t>GOLD_DERIVED</t>
        </is>
      </c>
      <c r="C127" s="48" t="inlineStr">
        <is>
          <t>1.1</t>
        </is>
      </c>
      <c r="D127" s="48" t="inlineStr">
        <is>
          <t>Nhom 1 - Mapping</t>
        </is>
      </c>
      <c r="E127" s="48" t="inlineStr">
        <is>
          <t>Đầy đủ mapping từ Silver/manual sang Gold</t>
        </is>
      </c>
      <c r="F127" s="49" t="inlineStr">
        <is>
          <t>PASS</t>
        </is>
      </c>
      <c r="G127" s="48" t="inlineStr">
        <is>
          <t>Pass</t>
        </is>
      </c>
      <c r="H127" s="50" t="inlineStr">
        <is>
          <t>workbook 006. OCB_GOLD_TCKH_V_CUSTOMER_SEGMENT_CMB_PHAT.xlsx: thiết kế 3 field, SQL có 3 cột</t>
        </is>
      </c>
      <c r="I1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7" s="48" t="inlineStr">
        <is>
          <t>006. OCB_GOLD_TCKH_V_CUSTOMER_SEGMENT_CMB_PHAT.xlsx [Script: V_CUSTOMER_SEGMENT_CMB]</t>
        </is>
      </c>
    </row>
    <row r="128">
      <c r="A128" s="48" t="inlineStr">
        <is>
          <t>TCKH.V_CUSTOMER_SEGMENT_CMB</t>
        </is>
      </c>
      <c r="B128" s="48" t="inlineStr">
        <is>
          <t>GOLD_DERIVED</t>
        </is>
      </c>
      <c r="C128" s="48" t="inlineStr">
        <is>
          <t>1.2</t>
        </is>
      </c>
      <c r="D128" s="48" t="inlineStr">
        <is>
          <t>Nhom 1 - Mapping</t>
        </is>
      </c>
      <c r="E128" s="48" t="inlineStr">
        <is>
          <t>Danh sách bảng/view Gold khớp tài liệu thiết kế đã duyệt</t>
        </is>
      </c>
      <c r="F128" s="49" t="inlineStr">
        <is>
          <t>PASS</t>
        </is>
      </c>
      <c r="G128" s="48" t="inlineStr">
        <is>
          <t>Pass</t>
        </is>
      </c>
      <c r="H128" s="50" t="inlineStr">
        <is>
          <t>V_CUSTOMER_SEGMENT_CMB có workbook thiết kế: 006. OCB_GOLD_TCKH_V_CUSTOMER_SEGMENT_CMB_PHAT.xlsx</t>
        </is>
      </c>
      <c r="I128" s="50" t="inlineStr">
        <is>
          <t>Đảm bảo object có workbook thiết kế tương ứng trong thư mục --mapping-dir. Muốn đối chiếu với danh sách đã duyệt thì chạy thêm tham số --gold-list "&lt;file danh sách Gold&gt;.xlsx".</t>
        </is>
      </c>
      <c r="J128" s="48" t="inlineStr">
        <is>
          <t>006. OCB_GOLD_TCKH_V_CUSTOMER_SEGMENT_CMB_PHAT.xlsx [Script: V_CUSTOMER_SEGMENT_CMB]</t>
        </is>
      </c>
    </row>
    <row r="129">
      <c r="A129" s="48" t="inlineStr">
        <is>
          <t>TCKH.V_CUSTOMER_SEGMENT_CMB</t>
        </is>
      </c>
      <c r="B129" s="48" t="inlineStr">
        <is>
          <t>GOLD_DERIVED</t>
        </is>
      </c>
      <c r="C129" s="48" t="inlineStr">
        <is>
          <t>2.1</t>
        </is>
      </c>
      <c r="D129" s="48" t="inlineStr">
        <is>
          <t>Nhom 2 - Logic</t>
        </is>
      </c>
      <c r="E129" s="48" t="inlineStr">
        <is>
          <t>Chỉ lấy bản ghi active, loại bản ghi đã xóa (qua sts_hub)</t>
        </is>
      </c>
      <c r="F129" s="48" t="inlineStr">
        <is>
          <t>N-A</t>
        </is>
      </c>
      <c r="G129" s="48" t="inlineStr">
        <is>
          <t>Pass</t>
        </is>
      </c>
      <c r="H129" s="50" t="inlineStr">
        <is>
          <t>khong ap dung cho profile GOLD_DERIVED</t>
        </is>
      </c>
      <c r="I1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9" s="48" t="inlineStr">
        <is>
          <t>006. OCB_GOLD_TCKH_V_CUSTOMER_SEGMENT_CMB_PHAT.xlsx [Script: V_CUSTOMER_SEGMENT_CMB]</t>
        </is>
      </c>
    </row>
    <row r="130">
      <c r="A130" s="48" t="inlineStr">
        <is>
          <t>TCKH.V_CUSTOMER_SEGMENT_CMB</t>
        </is>
      </c>
      <c r="B130" s="48" t="inlineStr">
        <is>
          <t>GOLD_DERIVED</t>
        </is>
      </c>
      <c r="C130" s="48" t="inlineStr">
        <is>
          <t>2.2</t>
        </is>
      </c>
      <c r="D130" s="48" t="inlineStr">
        <is>
          <t>Nhom 2 - Logic</t>
        </is>
      </c>
      <c r="E130" s="48" t="inlineStr">
        <is>
          <t>Thống nhất MỘT pattern duy nhất xác định bản ghi active mới nhất</t>
        </is>
      </c>
      <c r="F130" s="48" t="inlineStr">
        <is>
          <t>N-A</t>
        </is>
      </c>
      <c r="G130" s="48" t="inlineStr">
        <is>
          <t>Pass</t>
        </is>
      </c>
      <c r="H130" s="50" t="inlineStr">
        <is>
          <t>khong ap dung cho profile GOLD_DERIVED</t>
        </is>
      </c>
      <c r="I1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0" s="48" t="inlineStr">
        <is>
          <t>006. OCB_GOLD_TCKH_V_CUSTOMER_SEGMENT_CMB_PHAT.xlsx [Script: V_CUSTOMER_SEGMENT_CMB]</t>
        </is>
      </c>
    </row>
    <row r="131">
      <c r="A131" s="48" t="inlineStr">
        <is>
          <t>TCKH.V_CUSTOMER_SEGMENT_CMB</t>
        </is>
      </c>
      <c r="B131" s="48" t="inlineStr">
        <is>
          <t>GOLD_DERIVED</t>
        </is>
      </c>
      <c r="C131" s="48" t="inlineStr">
        <is>
          <t>2.3</t>
        </is>
      </c>
      <c r="D131" s="48" t="inlineStr">
        <is>
          <t>Nhom 2 - Logic</t>
        </is>
      </c>
      <c r="E131" s="48" t="inlineStr">
        <is>
          <t>Điều kiện lọc trạng thái đặt SAU khi xác định bản ghi mới nhất</t>
        </is>
      </c>
      <c r="F131" s="49" t="inlineStr">
        <is>
          <t>PASS</t>
        </is>
      </c>
      <c r="G131" s="48" t="inlineStr">
        <is>
          <t>Pass</t>
        </is>
      </c>
      <c r="H131" s="50" t="inlineStr">
        <is>
          <t>không có điều kiện trạng thái nào lồng trong JOIN ON</t>
        </is>
      </c>
      <c r="I1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1" s="48" t="inlineStr">
        <is>
          <t>006. OCB_GOLD_TCKH_V_CUSTOMER_SEGMENT_CMB_PHAT.xlsx [Script: V_CUSTOMER_SEGMENT_CMB]</t>
        </is>
      </c>
    </row>
    <row r="132">
      <c r="A132" s="48" t="inlineStr">
        <is>
          <t>TCKH.V_CUSTOMER_SEGMENT_CMB</t>
        </is>
      </c>
      <c r="B132" s="48" t="inlineStr">
        <is>
          <t>GOLD_DERIVED</t>
        </is>
      </c>
      <c r="C132" s="48" t="inlineStr">
        <is>
          <t>2.4</t>
        </is>
      </c>
      <c r="D132" s="48" t="inlineStr">
        <is>
          <t>Nhom 2 - Logic</t>
        </is>
      </c>
      <c r="E132" s="48" t="inlineStr">
        <is>
          <t>source_event_date áp dụng đúng dạng theo loại bảng</t>
        </is>
      </c>
      <c r="F132" s="48" t="inlineStr">
        <is>
          <t>N-A</t>
        </is>
      </c>
      <c r="G132" s="48" t="inlineStr">
        <is>
          <t>Pass</t>
        </is>
      </c>
      <c r="H132" s="50" t="inlineStr">
        <is>
          <t>khong ap dung cho profile GOLD_DERIVED</t>
        </is>
      </c>
      <c r="I1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2" s="48" t="inlineStr">
        <is>
          <t>006. OCB_GOLD_TCKH_V_CUSTOMER_SEGMENT_CMB_PHAT.xlsx [Script: V_CUSTOMER_SEGMENT_CMB]</t>
        </is>
      </c>
    </row>
    <row r="133">
      <c r="A133" s="48" t="inlineStr">
        <is>
          <t>TCKH.V_CUSTOMER_SEGMENT_CMB</t>
        </is>
      </c>
      <c r="B133" s="48" t="inlineStr">
        <is>
          <t>GOLD_DERIVED</t>
        </is>
      </c>
      <c r="C133" s="48" t="inlineStr">
        <is>
          <t>2.5</t>
        </is>
      </c>
      <c r="D133" s="48" t="inlineStr">
        <is>
          <t>Nhom 2 - Logic</t>
        </is>
      </c>
      <c r="E133" s="48" t="inlineStr">
        <is>
          <t>Không lặp lại lỗi logic cũ đã được DA Data Vault fix</t>
        </is>
      </c>
      <c r="F133" s="49" t="inlineStr">
        <is>
          <t>PASS</t>
        </is>
      </c>
      <c r="G133" s="48" t="inlineStr">
        <is>
          <t>Pass</t>
        </is>
      </c>
      <c r="H133" s="50" t="inlineStr">
        <is>
          <t>không trùng lỗi nào trong Issue log của DA Data Vault</t>
        </is>
      </c>
      <c r="I1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3" s="48" t="inlineStr">
        <is>
          <t>006. OCB_GOLD_TCKH_V_CUSTOMER_SEGMENT_CMB_PHAT.xlsx [Script: V_CUSTOMER_SEGMENT_CMB]</t>
        </is>
      </c>
    </row>
    <row r="134">
      <c r="A134" s="48" t="inlineStr">
        <is>
          <t>TCKH.V_CUSTOMER_SEGMENT_CMB</t>
        </is>
      </c>
      <c r="B134" s="48" t="inlineStr">
        <is>
          <t>GOLD_DERIVED</t>
        </is>
      </c>
      <c r="C134" s="48" t="inlineStr">
        <is>
          <t>2.6</t>
        </is>
      </c>
      <c r="D134" s="48" t="inlineStr">
        <is>
          <t>Nhom 2 - Logic</t>
        </is>
      </c>
      <c r="E134" s="48" t="inlineStr">
        <is>
          <t>SCD Type 2 cho bảng DIM áp dụng đúng kỹ thuật đã thống nhất</t>
        </is>
      </c>
      <c r="F134" s="48" t="inlineStr">
        <is>
          <t>N-A</t>
        </is>
      </c>
      <c r="G134" s="48" t="inlineStr">
        <is>
          <t>Pass</t>
        </is>
      </c>
      <c r="H134" s="50" t="inlineStr">
        <is>
          <t>object không phải bảng DIM nên không áp dụng SCD Type 2</t>
        </is>
      </c>
      <c r="I1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4" s="48" t="inlineStr">
        <is>
          <t>006. OCB_GOLD_TCKH_V_CUSTOMER_SEGMENT_CMB_PHAT.xlsx [Script: V_CUSTOMER_SEGMENT_CMB]</t>
        </is>
      </c>
    </row>
    <row r="135">
      <c r="A135" s="48" t="inlineStr">
        <is>
          <t>TCKH.V_CUSTOMER_SEGMENT_CMB</t>
        </is>
      </c>
      <c r="B135" s="48" t="inlineStr">
        <is>
          <t>GOLD_DERIVED</t>
        </is>
      </c>
      <c r="C135" s="48" t="inlineStr">
        <is>
          <t>2.7</t>
        </is>
      </c>
      <c r="D135" s="48" t="inlineStr">
        <is>
          <t>Nhom 2 - Logic</t>
        </is>
      </c>
      <c r="E135" s="48" t="inlineStr">
        <is>
          <t>CASE WHEN cover đủ nhánh như job on-prem</t>
        </is>
      </c>
      <c r="F135" s="49" t="inlineStr">
        <is>
          <t>PASS</t>
        </is>
      </c>
      <c r="G135" s="48" t="inlineStr">
        <is>
          <t>Pass</t>
        </is>
      </c>
      <c r="H135" s="50" t="inlineStr">
        <is>
          <t>cả 1 CASE đều có nhánh ELSE</t>
        </is>
      </c>
      <c r="I135" s="50" t="inlineStr">
        <is>
          <t>Mở job on-prem tương ứng (DataStage DSX hoặc SQL cũ), đối chiếu từng nhánh WHEN và cả nhánh ELSE. CASE không có ELSE sẽ trả NULL âm thầm — xác nhận đó là ý muốn hay thiếu nhánh.</t>
        </is>
      </c>
      <c r="J135" s="48" t="inlineStr">
        <is>
          <t>006. OCB_GOLD_TCKH_V_CUSTOMER_SEGMENT_CMB_PHAT.xlsx [Script: V_CUSTOMER_SEGMENT_CMB]</t>
        </is>
      </c>
    </row>
    <row r="136">
      <c r="A136" s="48" t="inlineStr">
        <is>
          <t>TCKH.V_CUSTOMER_SEGMENT_CMB</t>
        </is>
      </c>
      <c r="B136" s="48" t="inlineStr">
        <is>
          <t>GOLD_DERIVED</t>
        </is>
      </c>
      <c r="C136" s="48" t="inlineStr">
        <is>
          <t>2.8</t>
        </is>
      </c>
      <c r="D136" s="48" t="inlineStr">
        <is>
          <t>Nhom 2 - Logic</t>
        </is>
      </c>
      <c r="E136" s="48" t="inlineStr">
        <is>
          <t>Cột SUM/COUNT được COALESCE/NVL hợp lý</t>
        </is>
      </c>
      <c r="F136" s="49" t="inlineStr">
        <is>
          <t>PASS</t>
        </is>
      </c>
      <c r="G136" s="48" t="inlineStr">
        <is>
          <t>Pass</t>
        </is>
      </c>
      <c r="H136" s="50" t="inlineStr">
        <is>
          <t>mọi SUM/COUNT đều đã coalesce (trực tiếp hoặc ở lớp ngoài)</t>
        </is>
      </c>
      <c r="I1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6" s="48" t="inlineStr">
        <is>
          <t>006. OCB_GOLD_TCKH_V_CUSTOMER_SEGMENT_CMB_PHAT.xlsx [Script: V_CUSTOMER_SEGMENT_CMB]</t>
        </is>
      </c>
    </row>
    <row r="137">
      <c r="A137" s="48" t="inlineStr">
        <is>
          <t>TCKH.V_CUSTOMER_SEGMENT_CMB</t>
        </is>
      </c>
      <c r="B137" s="48" t="inlineStr">
        <is>
          <t>GOLD_DERIVED</t>
        </is>
      </c>
      <c r="C137" s="48" t="inlineStr">
        <is>
          <t>2.9</t>
        </is>
      </c>
      <c r="D137" s="48" t="inlineStr">
        <is>
          <t>Nhom 2 - Logic</t>
        </is>
      </c>
      <c r="E137" s="48" t="inlineStr">
        <is>
          <t>Subquery / custom function / điều kiện LIKE đúng ý nghĩa nghiệp vụ</t>
        </is>
      </c>
      <c r="F137" s="48" t="inlineStr">
        <is>
          <t>N-A</t>
        </is>
      </c>
      <c r="G137" s="48" t="inlineStr">
        <is>
          <t>Pass</t>
        </is>
      </c>
      <c r="H137" s="50" t="inlineStr">
        <is>
          <t>script không có điều kiện LIKE hay scalar subquery nào</t>
        </is>
      </c>
      <c r="I137" s="50" t="inlineStr">
        <is>
          <t>Đọc lại từng điều kiện LIKE và từng subquery, đối chiếu ý nghĩa nghiệp vụ với on-prem — đúng cú pháp không đủ. Chú ý pattern LIKE có ký tự % ở đầu/cuối và phân biệt chữ hoa/thường.</t>
        </is>
      </c>
      <c r="J137" s="48" t="inlineStr">
        <is>
          <t>006. OCB_GOLD_TCKH_V_CUSTOMER_SEGMENT_CMB_PHAT.xlsx [Script: V_CUSTOMER_SEGMENT_CMB]</t>
        </is>
      </c>
    </row>
    <row r="138">
      <c r="A138" s="48" t="inlineStr">
        <is>
          <t>TCKH.V_CUSTOMER_SEGMENT_CMB</t>
        </is>
      </c>
      <c r="B138" s="48" t="inlineStr">
        <is>
          <t>GOLD_DERIVED</t>
        </is>
      </c>
      <c r="C138" s="48" t="inlineStr">
        <is>
          <t>2.10</t>
        </is>
      </c>
      <c r="D138" s="48" t="inlineStr">
        <is>
          <t>Nhom 2 - Logic</t>
        </is>
      </c>
      <c r="E138" s="48" t="inlineStr">
        <is>
          <t>Aggregation kèm filter date range chính xác</t>
        </is>
      </c>
      <c r="F138" s="49" t="inlineStr">
        <is>
          <t>PASS</t>
        </is>
      </c>
      <c r="G138" s="48" t="inlineStr">
        <is>
          <t>Pass</t>
        </is>
      </c>
      <c r="H138" s="50" t="inlineStr">
        <is>
          <t>mọi khối tổng hợp đều có điều kiện theo kỳ dữ liệu</t>
        </is>
      </c>
      <c r="I138" s="50" t="inlineStr">
        <is>
          <t>Mỗi khối SUM/COUNT/AVG phải có điều kiện lọc theo kỳ dữ liệu (CDR_DT_ID, DATA_DATE, :DATADT…). Nếu điều kiện nằm ở CTE nguồn thì ghi rõ trong comment để người review không phải truy ngược.</t>
        </is>
      </c>
      <c r="J138" s="48" t="inlineStr">
        <is>
          <t>006. OCB_GOLD_TCKH_V_CUSTOMER_SEGMENT_CMB_PHAT.xlsx [Script: V_CUSTOMER_SEGMENT_CMB]</t>
        </is>
      </c>
    </row>
    <row r="139">
      <c r="A139" s="48" t="inlineStr">
        <is>
          <t>TCKH.V_CUSTOMER_SEGMENT_CMB</t>
        </is>
      </c>
      <c r="B139" s="48" t="inlineStr">
        <is>
          <t>GOLD_DERIVED</t>
        </is>
      </c>
      <c r="C139" s="48" t="inlineStr">
        <is>
          <t>2.11</t>
        </is>
      </c>
      <c r="D139" s="48" t="inlineStr">
        <is>
          <t>Nhom 2 - Logic</t>
        </is>
      </c>
      <c r="E139" s="48" t="inlineStr">
        <is>
          <t>Join dùng key hợp lý, không lạm dụng UNION ALL + EXISTS/NOT EXISTS</t>
        </is>
      </c>
      <c r="F139" s="49" t="inlineStr">
        <is>
          <t>PASS</t>
        </is>
      </c>
      <c r="G139" s="48" t="inlineStr">
        <is>
          <t>Pass</t>
        </is>
      </c>
      <c r="H139" s="50" t="inlineStr">
        <is>
          <t>join đều theo điều kiện bằng, không lạm dụng UNION ALL + EXISTS</t>
        </is>
      </c>
      <c r="I139" s="50" t="inlineStr">
        <is>
          <t>Ưu tiên LEFT JOIN theo business key hoặc hashkey. Xem lại các chỗ dùng UNION ALL kết hợp EXISTS/NOT EXISTS — thường thay được bằng một LEFT JOIN. Join không có điều kiện bằng (=) dễ tạo tích Descartes.</t>
        </is>
      </c>
      <c r="J139" s="48" t="inlineStr">
        <is>
          <t>006. OCB_GOLD_TCKH_V_CUSTOMER_SEGMENT_CMB_PHAT.xlsx [Script: V_CUSTOMER_SEGMENT_CMB]</t>
        </is>
      </c>
    </row>
    <row r="140">
      <c r="A140" s="48" t="inlineStr">
        <is>
          <t>TCKH.V_CUSTOMER_SEGMENT_CMB</t>
        </is>
      </c>
      <c r="B140" s="48" t="inlineStr">
        <is>
          <t>GOLD_DERIVED</t>
        </is>
      </c>
      <c r="C140" s="48" t="inlineStr">
        <is>
          <t>2.12</t>
        </is>
      </c>
      <c r="D140" s="48" t="inlineStr">
        <is>
          <t>Nhom 2 - Logic</t>
        </is>
      </c>
      <c r="E140" s="48" t="inlineStr">
        <is>
          <t>Build Gold từ CTE snapshot Silver, không build nhiều tầng chồng chéo</t>
        </is>
      </c>
      <c r="F140" s="51" t="inlineStr">
        <is>
          <t>WARN</t>
        </is>
      </c>
      <c r="G140" s="48" t="inlineStr">
        <is>
          <t>WARN</t>
        </is>
      </c>
      <c r="H140" s="50" t="inlineStr">
        <is>
          <t>bảng bị đọc lại ở nhiều khối SELECT, xét gom thành 1 CTE: CUSTOMER_SEGMENT_CMB ở 2 khối</t>
        </is>
      </c>
      <c r="I1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0" s="48" t="inlineStr">
        <is>
          <t>006. OCB_GOLD_TCKH_V_CUSTOMER_SEGMENT_CMB_PHAT.xlsx [Script: V_CUSTOMER_SEGMENT_CMB]</t>
        </is>
      </c>
    </row>
    <row r="141">
      <c r="A141" s="48" t="inlineStr">
        <is>
          <t>TCKH.V_CUSTOMER_SEGMENT_CMB</t>
        </is>
      </c>
      <c r="B141" s="48" t="inlineStr">
        <is>
          <t>GOLD_DERIVED</t>
        </is>
      </c>
      <c r="C141" s="48" t="inlineStr">
        <is>
          <t>3.1</t>
        </is>
      </c>
      <c r="D141" s="48" t="inlineStr">
        <is>
          <t>Nhom 3 - Optimization</t>
        </is>
      </c>
      <c r="E141" s="48" t="inlineStr">
        <is>
          <t>Không SELECT *</t>
        </is>
      </c>
      <c r="F141" s="49" t="inlineStr">
        <is>
          <t>PASS</t>
        </is>
      </c>
      <c r="G141" s="48" t="inlineStr">
        <is>
          <t>Pass</t>
        </is>
      </c>
      <c r="H141" s="50" t="inlineStr">
        <is>
          <t>không dùng SELECT * ở đâu</t>
        </is>
      </c>
      <c r="I141" s="50" t="inlineStr">
        <is>
          <t>Liệt kê tường minh các cột cần dùng, kể cả trong CTE trung gian. SELECT * làm tăng IO/memory và vỡ script khi bảng nguồn thêm cột.</t>
        </is>
      </c>
      <c r="J141" s="48" t="inlineStr">
        <is>
          <t>006. OCB_GOLD_TCKH_V_CUSTOMER_SEGMENT_CMB_PHAT.xlsx [Script: V_CUSTOMER_SEGMENT_CMB]</t>
        </is>
      </c>
    </row>
    <row r="142">
      <c r="A142" s="48" t="inlineStr">
        <is>
          <t>TCKH.V_CUSTOMER_SEGMENT_CMB</t>
        </is>
      </c>
      <c r="B142" s="48" t="inlineStr">
        <is>
          <t>GOLD_DERIVED</t>
        </is>
      </c>
      <c r="C142" s="48" t="inlineStr">
        <is>
          <t>3.2</t>
        </is>
      </c>
      <c r="D142" s="48" t="inlineStr">
        <is>
          <t>Nhom 3 - Optimization</t>
        </is>
      </c>
      <c r="E142" s="48" t="inlineStr">
        <is>
          <t>CTE không bị scan lại nhiều lần</t>
        </is>
      </c>
      <c r="F142" s="49" t="inlineStr">
        <is>
          <t>PASS</t>
        </is>
      </c>
      <c r="G142" s="48" t="inlineStr">
        <is>
          <t>Pass</t>
        </is>
      </c>
      <c r="H142" s="50" t="inlineStr">
        <is>
          <t>không có CTE nào bị gọi lại</t>
        </is>
      </c>
      <c r="I142" s="50" t="inlineStr">
        <is>
          <t>Với CTE nặng (đọc nhiều bảng Silver) bị tham chiếu từ 2 chỗ trở lên: gom lại còn một lần dùng, hoặc vật chất hóa (CACHE / bảng tạm). CTE nhẹ chỉ chứa tham số thì bỏ qua được — tự tick Pass.</t>
        </is>
      </c>
      <c r="J142" s="48" t="inlineStr">
        <is>
          <t>006. OCB_GOLD_TCKH_V_CUSTOMER_SEGMENT_CMB_PHAT.xlsx [Script: V_CUSTOMER_SEGMENT_CMB]</t>
        </is>
      </c>
    </row>
    <row r="143">
      <c r="A143" s="48" t="inlineStr">
        <is>
          <t>TCKH.V_CUSTOMER_SEGMENT_CMB</t>
        </is>
      </c>
      <c r="B143" s="48" t="inlineStr">
        <is>
          <t>GOLD_DERIVED</t>
        </is>
      </c>
      <c r="C143" s="48" t="inlineStr">
        <is>
          <t>3.3</t>
        </is>
      </c>
      <c r="D143" s="48" t="inlineStr">
        <is>
          <t>Nhom 3 - Optimization</t>
        </is>
      </c>
      <c r="E143" s="48" t="inlineStr">
        <is>
          <t>Filter trước khi join, tận dụng partition pruning</t>
        </is>
      </c>
      <c r="F143" s="49" t="inlineStr">
        <is>
          <t>PASS</t>
        </is>
      </c>
      <c r="G143" s="48" t="inlineStr">
        <is>
          <t>Pass</t>
        </is>
      </c>
      <c r="H143" s="50" t="inlineStr">
        <is>
          <t>các bảng join đều được filter trước</t>
        </is>
      </c>
      <c r="I143" s="50" t="inlineStr">
        <is>
          <t>Đưa điều kiện lọc (ngày dữ liệu, trạng thái) vào subquery của từng bảng TRƯỚC khi join, để tận dụng partition pruning. Bảng dim nhỏ không partition thì không cần — tự tick Pass.</t>
        </is>
      </c>
      <c r="J143" s="48" t="inlineStr">
        <is>
          <t>006. OCB_GOLD_TCKH_V_CUSTOMER_SEGMENT_CMB_PHAT.xlsx [Script: V_CUSTOMER_SEGMENT_CMB]</t>
        </is>
      </c>
    </row>
    <row r="144">
      <c r="A144" s="48" t="inlineStr">
        <is>
          <t>TCKH.V_CUSTOMER_SEGMENT_CMB</t>
        </is>
      </c>
      <c r="B144" s="48" t="inlineStr">
        <is>
          <t>GOLD_DERIVED</t>
        </is>
      </c>
      <c r="C144" s="48" t="inlineStr">
        <is>
          <t>3.4</t>
        </is>
      </c>
      <c r="D144" s="48" t="inlineStr">
        <is>
          <t>Nhom 3 - Optimization</t>
        </is>
      </c>
      <c r="E144" s="48" t="inlineStr">
        <is>
          <t>Sử dụng CACHE cho query lặp lại trong cùng luồng</t>
        </is>
      </c>
      <c r="F144" s="48" t="inlineStr">
        <is>
          <t>N-A</t>
        </is>
      </c>
      <c r="G144" s="48" t="inlineStr">
        <is>
          <t>Pass</t>
        </is>
      </c>
      <c r="H144" s="50" t="inlineStr">
        <is>
          <t>không có kết quả nào được dùng lại nhiều lần nên chưa cần CACHE</t>
        </is>
      </c>
      <c r="I144" s="50" t="inlineStr">
        <is>
          <t>Nếu một kết quả nặng được dùng lại nhiều bước trong cùng luồng, thêm CACHE TABLE / CACHE SELECT. Kết quả nhỏ thì cache còn chậm hơn — tự tick Pass.</t>
        </is>
      </c>
      <c r="J144" s="48" t="inlineStr">
        <is>
          <t>006. OCB_GOLD_TCKH_V_CUSTOMER_SEGMENT_CMB_PHAT.xlsx [Script: V_CUSTOMER_SEGMENT_CMB]</t>
        </is>
      </c>
    </row>
    <row r="145">
      <c r="A145" s="48" t="inlineStr">
        <is>
          <t>TCKH.V_CUSTOMER_SEGMENT_CMB</t>
        </is>
      </c>
      <c r="B145" s="48" t="inlineStr">
        <is>
          <t>GOLD_DERIVED</t>
        </is>
      </c>
      <c r="C145" s="48" t="inlineStr">
        <is>
          <t>3.5</t>
        </is>
      </c>
      <c r="D145" s="48" t="inlineStr">
        <is>
          <t>Nhom 3 - Optimization</t>
        </is>
      </c>
      <c r="E145" s="48" t="inlineStr">
        <is>
          <t>Ưu tiên MAX_BY + QUALIFY thay ROW_NUMBER() + WHERE rn = 1</t>
        </is>
      </c>
      <c r="F145" s="48" t="inlineStr">
        <is>
          <t>N-A</t>
        </is>
      </c>
      <c r="G145" s="48" t="inlineStr">
        <is>
          <t>Pass</t>
        </is>
      </c>
      <c r="H145" s="50" t="inlineStr">
        <is>
          <t>script không dùng ROW_NUMBER, và MAX_BY (nếu có) không vượt quá 5 cột/khối</t>
        </is>
      </c>
      <c r="I1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5" s="48" t="inlineStr">
        <is>
          <t>006. OCB_GOLD_TCKH_V_CUSTOMER_SEGMENT_CMB_PHAT.xlsx [Script: V_CUSTOMER_SEGMENT_CMB]</t>
        </is>
      </c>
    </row>
    <row r="146">
      <c r="A146" s="48" t="inlineStr">
        <is>
          <t>TCKH.V_CUSTOMER_SEGMENT_CMB</t>
        </is>
      </c>
      <c r="B146" s="48" t="inlineStr">
        <is>
          <t>GOLD_DERIVED</t>
        </is>
      </c>
      <c r="C146" s="48" t="inlineStr">
        <is>
          <t>3.6</t>
        </is>
      </c>
      <c r="D146" s="48" t="inlineStr">
        <is>
          <t>Nhom 3 - Optimization</t>
        </is>
      </c>
      <c r="E146" s="48" t="inlineStr">
        <is>
          <t>Không lạm dụng window function; có comment khi dùng</t>
        </is>
      </c>
      <c r="F146" s="48" t="inlineStr">
        <is>
          <t>N-A</t>
        </is>
      </c>
      <c r="G146" s="48" t="inlineStr">
        <is>
          <t>Pass</t>
        </is>
      </c>
      <c r="H146" s="50" t="inlineStr">
        <is>
          <t>script không dùng window function</t>
        </is>
      </c>
      <c r="I146" s="50" t="inlineStr">
        <is>
          <t>Mỗi window function cần một comment ngay trên khối CTE chứa nó, nói rõ vì sao không dùng được max_by/QUALIFY đơn giản hơn.</t>
        </is>
      </c>
      <c r="J146" s="48" t="inlineStr">
        <is>
          <t>006. OCB_GOLD_TCKH_V_CUSTOMER_SEGMENT_CMB_PHAT.xlsx [Script: V_CUSTOMER_SEGMENT_CMB]</t>
        </is>
      </c>
    </row>
    <row r="147">
      <c r="A147" s="48" t="inlineStr">
        <is>
          <t>TCKH.V_CUSTOMER_SEGMENT_CMB</t>
        </is>
      </c>
      <c r="B147" s="48" t="inlineStr">
        <is>
          <t>GOLD_DERIVED</t>
        </is>
      </c>
      <c r="C147" s="48" t="inlineStr">
        <is>
          <t>X.1</t>
        </is>
      </c>
      <c r="D147" s="48" t="inlineStr">
        <is>
          <t>Nhom X - Bo sung Raffles</t>
        </is>
      </c>
      <c r="E147" s="48" t="inlineStr">
        <is>
          <t>[Bổ sung] Link phải rút về current trước khi join (chống fan-out)</t>
        </is>
      </c>
      <c r="F147" s="48" t="inlineStr">
        <is>
          <t>N-A</t>
        </is>
      </c>
      <c r="G147" s="48" t="inlineStr">
        <is>
          <t>Pass</t>
        </is>
      </c>
      <c r="H147" s="50" t="inlineStr">
        <is>
          <t>khong ap dung cho profile GOLD_DERIVED</t>
        </is>
      </c>
      <c r="I1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7" s="48" t="inlineStr">
        <is>
          <t>006. OCB_GOLD_TCKH_V_CUSTOMER_SEGMENT_CMB_PHAT.xlsx [Script: V_CUSTOMER_SEGMENT_CMB]</t>
        </is>
      </c>
    </row>
    <row r="148">
      <c r="A148" s="48" t="inlineStr">
        <is>
          <t>TCKH.V_CUSTOMER_SEGMENT_CMB</t>
        </is>
      </c>
      <c r="B148" s="48" t="inlineStr">
        <is>
          <t>GOLD_DERIVED</t>
        </is>
      </c>
      <c r="C148" s="48" t="inlineStr">
        <is>
          <t>X.6</t>
        </is>
      </c>
      <c r="D148" s="48" t="inlineStr">
        <is>
          <t>Nhom X - Bo sung Raffles</t>
        </is>
      </c>
      <c r="E148" s="48" t="inlineStr">
        <is>
          <t>[Bổ sung] Satellite phải LEFT JOIN, không INNER JOIN</t>
        </is>
      </c>
      <c r="F148" s="48" t="inlineStr">
        <is>
          <t>N-A</t>
        </is>
      </c>
      <c r="G148" s="48" t="inlineStr">
        <is>
          <t>Pass</t>
        </is>
      </c>
      <c r="H148" s="50" t="inlineStr">
        <is>
          <t>khong ap dung cho profile GOLD_DERIVED</t>
        </is>
      </c>
      <c r="I148" s="50" t="inlineStr">
        <is>
          <t>Technical Document III.4.2.2 nguyên tắc 1: làm giàu thuộc tính luôn dùng LEFT JOIN. INNER JOIN satellite sẽ loại mất bản ghi Hub đang còn hiệu lực nhưng chưa có dòng satellite.</t>
        </is>
      </c>
      <c r="J148" s="48" t="inlineStr">
        <is>
          <t>006. OCB_GOLD_TCKH_V_CUSTOMER_SEGMENT_CMB_PHAT.xlsx [Script: V_CUSTOMER_SEGMENT_CMB]</t>
        </is>
      </c>
    </row>
    <row r="149">
      <c r="A149" s="48" t="inlineStr">
        <is>
          <t>TCKH.V_CUSTOMER_SEGMENT_CMB</t>
        </is>
      </c>
      <c r="B149" s="48" t="inlineStr">
        <is>
          <t>GOLD_DERIVED</t>
        </is>
      </c>
      <c r="C149" s="48" t="inlineStr">
        <is>
          <t>X.7</t>
        </is>
      </c>
      <c r="D149" s="48" t="inlineStr">
        <is>
          <t>Nhom X - Bo sung Raffles</t>
        </is>
      </c>
      <c r="E149" s="48" t="inlineStr">
        <is>
          <t>[Bổ sung] Không hard-code catalog, dùng biến môi trường</t>
        </is>
      </c>
      <c r="F149" s="49" t="inlineStr">
        <is>
          <t>PASS</t>
        </is>
      </c>
      <c r="G149" s="48" t="inlineStr">
        <is>
          <t>Pass</t>
        </is>
      </c>
      <c r="H149" s="50" t="inlineStr">
        <is>
          <t>dùng biến môi trường cho catalog</t>
        </is>
      </c>
      <c r="I1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9" s="48" t="inlineStr">
        <is>
          <t>006. OCB_GOLD_TCKH_V_CUSTOMER_SEGMENT_CMB_PHAT.xlsx [Script: V_CUSTOMER_SEGMENT_CMB]</t>
        </is>
      </c>
    </row>
    <row r="150">
      <c r="A150" s="48" t="inlineStr">
        <is>
          <t>TCKH.V_CUSTOMER_SEGMENT_CMB</t>
        </is>
      </c>
      <c r="B150" s="48" t="inlineStr">
        <is>
          <t>GOLD_DERIVED</t>
        </is>
      </c>
      <c r="C150" s="48" t="inlineStr">
        <is>
          <t>X.10</t>
        </is>
      </c>
      <c r="D150" s="48" t="inlineStr">
        <is>
          <t>Nhom X - Bo sung Raffles</t>
        </is>
      </c>
      <c r="E150" s="48" t="inlineStr">
        <is>
          <t>Bang raw_vault/business_vault duoc doc phai TON TAI THAT trong Data Vault model</t>
        </is>
      </c>
      <c r="F150" s="48" t="inlineStr">
        <is>
          <t>N-A</t>
        </is>
      </c>
      <c r="G150" s="48" t="inlineStr">
        <is>
          <t>Pass</t>
        </is>
      </c>
      <c r="H150" s="50" t="inlineStr">
        <is>
          <t>script không đọc bảng raw_vault/business_vault nào</t>
        </is>
      </c>
      <c r="I150" s="50" t="inlineStr"/>
      <c r="J150" s="48" t="inlineStr">
        <is>
          <t>006. OCB_GOLD_TCKH_V_CUSTOMER_SEGMENT_CMB_PHAT.xlsx [Script: V_CUSTOMER_SEGMENT_CMB]</t>
        </is>
      </c>
    </row>
    <row r="151">
      <c r="A151" s="48" t="inlineStr">
        <is>
          <t>TCKH.V_CUSTOMER_SEGMENT_CMB</t>
        </is>
      </c>
      <c r="B151" s="48" t="inlineStr">
        <is>
          <t>GOLD_DERIVED</t>
        </is>
      </c>
      <c r="C151" s="48" t="inlineStr">
        <is>
          <t>X.11</t>
        </is>
      </c>
      <c r="D151" s="48" t="inlineStr">
        <is>
          <t>Nhom X - Bo sung Raffles</t>
        </is>
      </c>
      <c r="E151" s="48" t="inlineStr">
        <is>
          <t>Cot doc tu satellite (sat_*) phai TON TAI THAT trong model</t>
        </is>
      </c>
      <c r="F151" s="48" t="inlineStr">
        <is>
          <t>N-A</t>
        </is>
      </c>
      <c r="G151" s="48" t="inlineStr">
        <is>
          <t>Pass</t>
        </is>
      </c>
      <c r="H151" s="50" t="inlineStr">
        <is>
          <t>không có bảng sat_* nào đủ điều kiện đối chiếu (Select chỉ đọc 1 bảng)</t>
        </is>
      </c>
      <c r="I151" s="50" t="inlineStr"/>
      <c r="J151" s="48" t="inlineStr">
        <is>
          <t>006. OCB_GOLD_TCKH_V_CUSTOMER_SEGMENT_CMB_PHAT.xlsx [Script: V_CUSTOMER_SEGMENT_CMB]</t>
        </is>
      </c>
    </row>
    <row r="152">
      <c r="A152" s="48" t="inlineStr">
        <is>
          <t>TCKH.V_CUSTOMER_SEGMENT_RB</t>
        </is>
      </c>
      <c r="B152" s="48" t="inlineStr">
        <is>
          <t>GOLD_DERIVED</t>
        </is>
      </c>
      <c r="C152" s="48" t="inlineStr">
        <is>
          <t>1.1</t>
        </is>
      </c>
      <c r="D152" s="48" t="inlineStr">
        <is>
          <t>Nhom 1 - Mapping</t>
        </is>
      </c>
      <c r="E152" s="48" t="inlineStr">
        <is>
          <t>Đầy đủ mapping từ Silver/manual sang Gold</t>
        </is>
      </c>
      <c r="F152" s="49" t="inlineStr">
        <is>
          <t>PASS</t>
        </is>
      </c>
      <c r="G152" s="48" t="inlineStr">
        <is>
          <t>Pass</t>
        </is>
      </c>
      <c r="H152" s="50" t="inlineStr">
        <is>
          <t>workbook 007. OCB_GOLD_TCKH_V_CUSTOMER_SEGMENT_RB_PHAT.xlsx: thiết kế 4 field, SQL có 4 cột</t>
        </is>
      </c>
      <c r="I1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2" s="48" t="inlineStr">
        <is>
          <t>007. OCB_GOLD_TCKH_V_CUSTOMER_SEGMENT_RB_PHAT.xlsx [Script: V_CUSTOMER_SEGMENT_RB]</t>
        </is>
      </c>
    </row>
    <row r="153">
      <c r="A153" s="48" t="inlineStr">
        <is>
          <t>TCKH.V_CUSTOMER_SEGMENT_RB</t>
        </is>
      </c>
      <c r="B153" s="48" t="inlineStr">
        <is>
          <t>GOLD_DERIVED</t>
        </is>
      </c>
      <c r="C153" s="48" t="inlineStr">
        <is>
          <t>1.2</t>
        </is>
      </c>
      <c r="D153" s="48" t="inlineStr">
        <is>
          <t>Nhom 1 - Mapping</t>
        </is>
      </c>
      <c r="E153" s="48" t="inlineStr">
        <is>
          <t>Danh sách bảng/view Gold khớp tài liệu thiết kế đã duyệt</t>
        </is>
      </c>
      <c r="F153" s="49" t="inlineStr">
        <is>
          <t>PASS</t>
        </is>
      </c>
      <c r="G153" s="48" t="inlineStr">
        <is>
          <t>Pass</t>
        </is>
      </c>
      <c r="H153" s="50" t="inlineStr">
        <is>
          <t>V_CUSTOMER_SEGMENT_RB có workbook thiết kế: 007. OCB_GOLD_TCKH_V_CUSTOMER_SEGMENT_RB_PHAT.xlsx</t>
        </is>
      </c>
      <c r="I153" s="50" t="inlineStr">
        <is>
          <t>Đảm bảo object có workbook thiết kế tương ứng trong thư mục --mapping-dir. Muốn đối chiếu với danh sách đã duyệt thì chạy thêm tham số --gold-list "&lt;file danh sách Gold&gt;.xlsx".</t>
        </is>
      </c>
      <c r="J153" s="48" t="inlineStr">
        <is>
          <t>007. OCB_GOLD_TCKH_V_CUSTOMER_SEGMENT_RB_PHAT.xlsx [Script: V_CUSTOMER_SEGMENT_RB]</t>
        </is>
      </c>
    </row>
    <row r="154">
      <c r="A154" s="48" t="inlineStr">
        <is>
          <t>TCKH.V_CUSTOMER_SEGMENT_RB</t>
        </is>
      </c>
      <c r="B154" s="48" t="inlineStr">
        <is>
          <t>GOLD_DERIVED</t>
        </is>
      </c>
      <c r="C154" s="48" t="inlineStr">
        <is>
          <t>2.1</t>
        </is>
      </c>
      <c r="D154" s="48" t="inlineStr">
        <is>
          <t>Nhom 2 - Logic</t>
        </is>
      </c>
      <c r="E154" s="48" t="inlineStr">
        <is>
          <t>Chỉ lấy bản ghi active, loại bản ghi đã xóa (qua sts_hub)</t>
        </is>
      </c>
      <c r="F154" s="48" t="inlineStr">
        <is>
          <t>N-A</t>
        </is>
      </c>
      <c r="G154" s="48" t="inlineStr">
        <is>
          <t>Pass</t>
        </is>
      </c>
      <c r="H154" s="50" t="inlineStr">
        <is>
          <t>khong ap dung cho profile GOLD_DERIVED</t>
        </is>
      </c>
      <c r="I1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4" s="48" t="inlineStr">
        <is>
          <t>007. OCB_GOLD_TCKH_V_CUSTOMER_SEGMENT_RB_PHAT.xlsx [Script: V_CUSTOMER_SEGMENT_RB]</t>
        </is>
      </c>
    </row>
    <row r="155">
      <c r="A155" s="48" t="inlineStr">
        <is>
          <t>TCKH.V_CUSTOMER_SEGMENT_RB</t>
        </is>
      </c>
      <c r="B155" s="48" t="inlineStr">
        <is>
          <t>GOLD_DERIVED</t>
        </is>
      </c>
      <c r="C155" s="48" t="inlineStr">
        <is>
          <t>2.2</t>
        </is>
      </c>
      <c r="D155" s="48" t="inlineStr">
        <is>
          <t>Nhom 2 - Logic</t>
        </is>
      </c>
      <c r="E155" s="48" t="inlineStr">
        <is>
          <t>Thống nhất MỘT pattern duy nhất xác định bản ghi active mới nhất</t>
        </is>
      </c>
      <c r="F155" s="48" t="inlineStr">
        <is>
          <t>N-A</t>
        </is>
      </c>
      <c r="G155" s="48" t="inlineStr">
        <is>
          <t>Pass</t>
        </is>
      </c>
      <c r="H155" s="50" t="inlineStr">
        <is>
          <t>khong ap dung cho profile GOLD_DERIVED</t>
        </is>
      </c>
      <c r="I1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5" s="48" t="inlineStr">
        <is>
          <t>007. OCB_GOLD_TCKH_V_CUSTOMER_SEGMENT_RB_PHAT.xlsx [Script: V_CUSTOMER_SEGMENT_RB]</t>
        </is>
      </c>
    </row>
    <row r="156">
      <c r="A156" s="48" t="inlineStr">
        <is>
          <t>TCKH.V_CUSTOMER_SEGMENT_RB</t>
        </is>
      </c>
      <c r="B156" s="48" t="inlineStr">
        <is>
          <t>GOLD_DERIVED</t>
        </is>
      </c>
      <c r="C156" s="48" t="inlineStr">
        <is>
          <t>2.3</t>
        </is>
      </c>
      <c r="D156" s="48" t="inlineStr">
        <is>
          <t>Nhom 2 - Logic</t>
        </is>
      </c>
      <c r="E156" s="48" t="inlineStr">
        <is>
          <t>Điều kiện lọc trạng thái đặt SAU khi xác định bản ghi mới nhất</t>
        </is>
      </c>
      <c r="F156" s="49" t="inlineStr">
        <is>
          <t>PASS</t>
        </is>
      </c>
      <c r="G156" s="48" t="inlineStr">
        <is>
          <t>Pass</t>
        </is>
      </c>
      <c r="H156" s="50" t="inlineStr">
        <is>
          <t>không có điều kiện trạng thái nào lồng trong JOIN ON</t>
        </is>
      </c>
      <c r="I1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6" s="48" t="inlineStr">
        <is>
          <t>007. OCB_GOLD_TCKH_V_CUSTOMER_SEGMENT_RB_PHAT.xlsx [Script: V_CUSTOMER_SEGMENT_RB]</t>
        </is>
      </c>
    </row>
    <row r="157">
      <c r="A157" s="48" t="inlineStr">
        <is>
          <t>TCKH.V_CUSTOMER_SEGMENT_RB</t>
        </is>
      </c>
      <c r="B157" s="48" t="inlineStr">
        <is>
          <t>GOLD_DERIVED</t>
        </is>
      </c>
      <c r="C157" s="48" t="inlineStr">
        <is>
          <t>2.4</t>
        </is>
      </c>
      <c r="D157" s="48" t="inlineStr">
        <is>
          <t>Nhom 2 - Logic</t>
        </is>
      </c>
      <c r="E157" s="48" t="inlineStr">
        <is>
          <t>source_event_date áp dụng đúng dạng theo loại bảng</t>
        </is>
      </c>
      <c r="F157" s="48" t="inlineStr">
        <is>
          <t>N-A</t>
        </is>
      </c>
      <c r="G157" s="48" t="inlineStr">
        <is>
          <t>Pass</t>
        </is>
      </c>
      <c r="H157" s="50" t="inlineStr">
        <is>
          <t>khong ap dung cho profile GOLD_DERIVED</t>
        </is>
      </c>
      <c r="I1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7" s="48" t="inlineStr">
        <is>
          <t>007. OCB_GOLD_TCKH_V_CUSTOMER_SEGMENT_RB_PHAT.xlsx [Script: V_CUSTOMER_SEGMENT_RB]</t>
        </is>
      </c>
    </row>
    <row r="158">
      <c r="A158" s="48" t="inlineStr">
        <is>
          <t>TCKH.V_CUSTOMER_SEGMENT_RB</t>
        </is>
      </c>
      <c r="B158" s="48" t="inlineStr">
        <is>
          <t>GOLD_DERIVED</t>
        </is>
      </c>
      <c r="C158" s="48" t="inlineStr">
        <is>
          <t>2.5</t>
        </is>
      </c>
      <c r="D158" s="48" t="inlineStr">
        <is>
          <t>Nhom 2 - Logic</t>
        </is>
      </c>
      <c r="E158" s="48" t="inlineStr">
        <is>
          <t>Không lặp lại lỗi logic cũ đã được DA Data Vault fix</t>
        </is>
      </c>
      <c r="F158" s="49" t="inlineStr">
        <is>
          <t>PASS</t>
        </is>
      </c>
      <c r="G158" s="48" t="inlineStr">
        <is>
          <t>Pass</t>
        </is>
      </c>
      <c r="H158" s="50" t="inlineStr">
        <is>
          <t>không trùng lỗi nào trong Issue log của DA Data Vault</t>
        </is>
      </c>
      <c r="I1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8" s="48" t="inlineStr">
        <is>
          <t>007. OCB_GOLD_TCKH_V_CUSTOMER_SEGMENT_RB_PHAT.xlsx [Script: V_CUSTOMER_SEGMENT_RB]</t>
        </is>
      </c>
    </row>
    <row r="159">
      <c r="A159" s="48" t="inlineStr">
        <is>
          <t>TCKH.V_CUSTOMER_SEGMENT_RB</t>
        </is>
      </c>
      <c r="B159" s="48" t="inlineStr">
        <is>
          <t>GOLD_DERIVED</t>
        </is>
      </c>
      <c r="C159" s="48" t="inlineStr">
        <is>
          <t>2.6</t>
        </is>
      </c>
      <c r="D159" s="48" t="inlineStr">
        <is>
          <t>Nhom 2 - Logic</t>
        </is>
      </c>
      <c r="E159" s="48" t="inlineStr">
        <is>
          <t>SCD Type 2 cho bảng DIM áp dụng đúng kỹ thuật đã thống nhất</t>
        </is>
      </c>
      <c r="F159" s="48" t="inlineStr">
        <is>
          <t>N-A</t>
        </is>
      </c>
      <c r="G159" s="48" t="inlineStr">
        <is>
          <t>Pass</t>
        </is>
      </c>
      <c r="H159" s="50" t="inlineStr">
        <is>
          <t>object không phải bảng DIM nên không áp dụng SCD Type 2</t>
        </is>
      </c>
      <c r="I1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9" s="48" t="inlineStr">
        <is>
          <t>007. OCB_GOLD_TCKH_V_CUSTOMER_SEGMENT_RB_PHAT.xlsx [Script: V_CUSTOMER_SEGMENT_RB]</t>
        </is>
      </c>
    </row>
    <row r="160">
      <c r="A160" s="48" t="inlineStr">
        <is>
          <t>TCKH.V_CUSTOMER_SEGMENT_RB</t>
        </is>
      </c>
      <c r="B160" s="48" t="inlineStr">
        <is>
          <t>GOLD_DERIVED</t>
        </is>
      </c>
      <c r="C160" s="48" t="inlineStr">
        <is>
          <t>2.7</t>
        </is>
      </c>
      <c r="D160" s="48" t="inlineStr">
        <is>
          <t>Nhom 2 - Logic</t>
        </is>
      </c>
      <c r="E160" s="48" t="inlineStr">
        <is>
          <t>CASE WHEN cover đủ nhánh như job on-prem</t>
        </is>
      </c>
      <c r="F160" s="49" t="inlineStr">
        <is>
          <t>PASS</t>
        </is>
      </c>
      <c r="G160" s="48" t="inlineStr">
        <is>
          <t>Pass</t>
        </is>
      </c>
      <c r="H160" s="50" t="inlineStr">
        <is>
          <t>cả 2 CASE đều có nhánh ELSE</t>
        </is>
      </c>
      <c r="I160" s="50" t="inlineStr">
        <is>
          <t>Mở job on-prem tương ứng (DataStage DSX hoặc SQL cũ), đối chiếu từng nhánh WHEN và cả nhánh ELSE. CASE không có ELSE sẽ trả NULL âm thầm — xác nhận đó là ý muốn hay thiếu nhánh.</t>
        </is>
      </c>
      <c r="J160" s="48" t="inlineStr">
        <is>
          <t>007. OCB_GOLD_TCKH_V_CUSTOMER_SEGMENT_RB_PHAT.xlsx [Script: V_CUSTOMER_SEGMENT_RB]</t>
        </is>
      </c>
    </row>
    <row r="161">
      <c r="A161" s="48" t="inlineStr">
        <is>
          <t>TCKH.V_CUSTOMER_SEGMENT_RB</t>
        </is>
      </c>
      <c r="B161" s="48" t="inlineStr">
        <is>
          <t>GOLD_DERIVED</t>
        </is>
      </c>
      <c r="C161" s="48" t="inlineStr">
        <is>
          <t>2.8</t>
        </is>
      </c>
      <c r="D161" s="48" t="inlineStr">
        <is>
          <t>Nhom 2 - Logic</t>
        </is>
      </c>
      <c r="E161" s="48" t="inlineStr">
        <is>
          <t>Cột SUM/COUNT được COALESCE/NVL hợp lý</t>
        </is>
      </c>
      <c r="F161" s="49" t="inlineStr">
        <is>
          <t>PASS</t>
        </is>
      </c>
      <c r="G161" s="48" t="inlineStr">
        <is>
          <t>Pass</t>
        </is>
      </c>
      <c r="H161" s="50" t="inlineStr">
        <is>
          <t>mọi SUM/COUNT đều đã coalesce (trực tiếp hoặc ở lớp ngoài)</t>
        </is>
      </c>
      <c r="I1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1" s="48" t="inlineStr">
        <is>
          <t>007. OCB_GOLD_TCKH_V_CUSTOMER_SEGMENT_RB_PHAT.xlsx [Script: V_CUSTOMER_SEGMENT_RB]</t>
        </is>
      </c>
    </row>
    <row r="162">
      <c r="A162" s="48" t="inlineStr">
        <is>
          <t>TCKH.V_CUSTOMER_SEGMENT_RB</t>
        </is>
      </c>
      <c r="B162" s="48" t="inlineStr">
        <is>
          <t>GOLD_DERIVED</t>
        </is>
      </c>
      <c r="C162" s="48" t="inlineStr">
        <is>
          <t>2.9</t>
        </is>
      </c>
      <c r="D162" s="48" t="inlineStr">
        <is>
          <t>Nhom 2 - Logic</t>
        </is>
      </c>
      <c r="E162" s="48" t="inlineStr">
        <is>
          <t>Subquery / custom function / điều kiện LIKE đúng ý nghĩa nghiệp vụ</t>
        </is>
      </c>
      <c r="F162" s="48" t="inlineStr">
        <is>
          <t>N-A</t>
        </is>
      </c>
      <c r="G162" s="48" t="inlineStr">
        <is>
          <t>Pass</t>
        </is>
      </c>
      <c r="H162" s="50" t="inlineStr">
        <is>
          <t>script không có điều kiện LIKE hay scalar subquery nào</t>
        </is>
      </c>
      <c r="I162" s="50" t="inlineStr">
        <is>
          <t>Đọc lại từng điều kiện LIKE và từng subquery, đối chiếu ý nghĩa nghiệp vụ với on-prem — đúng cú pháp không đủ. Chú ý pattern LIKE có ký tự % ở đầu/cuối và phân biệt chữ hoa/thường.</t>
        </is>
      </c>
      <c r="J162" s="48" t="inlineStr">
        <is>
          <t>007. OCB_GOLD_TCKH_V_CUSTOMER_SEGMENT_RB_PHAT.xlsx [Script: V_CUSTOMER_SEGMENT_RB]</t>
        </is>
      </c>
    </row>
    <row r="163">
      <c r="A163" s="48" t="inlineStr">
        <is>
          <t>TCKH.V_CUSTOMER_SEGMENT_RB</t>
        </is>
      </c>
      <c r="B163" s="48" t="inlineStr">
        <is>
          <t>GOLD_DERIVED</t>
        </is>
      </c>
      <c r="C163" s="48" t="inlineStr">
        <is>
          <t>2.10</t>
        </is>
      </c>
      <c r="D163" s="48" t="inlineStr">
        <is>
          <t>Nhom 2 - Logic</t>
        </is>
      </c>
      <c r="E163" s="48" t="inlineStr">
        <is>
          <t>Aggregation kèm filter date range chính xác</t>
        </is>
      </c>
      <c r="F163" s="49" t="inlineStr">
        <is>
          <t>PASS</t>
        </is>
      </c>
      <c r="G163" s="48" t="inlineStr">
        <is>
          <t>Pass</t>
        </is>
      </c>
      <c r="H163" s="50" t="inlineStr">
        <is>
          <t>mọi khối tổng hợp đều có điều kiện theo kỳ dữ liệu</t>
        </is>
      </c>
      <c r="I163" s="50" t="inlineStr">
        <is>
          <t>Mỗi khối SUM/COUNT/AVG phải có điều kiện lọc theo kỳ dữ liệu (CDR_DT_ID, DATA_DATE, :DATADT…). Nếu điều kiện nằm ở CTE nguồn thì ghi rõ trong comment để người review không phải truy ngược.</t>
        </is>
      </c>
      <c r="J163" s="48" t="inlineStr">
        <is>
          <t>007. OCB_GOLD_TCKH_V_CUSTOMER_SEGMENT_RB_PHAT.xlsx [Script: V_CUSTOMER_SEGMENT_RB]</t>
        </is>
      </c>
    </row>
    <row r="164">
      <c r="A164" s="48" t="inlineStr">
        <is>
          <t>TCKH.V_CUSTOMER_SEGMENT_RB</t>
        </is>
      </c>
      <c r="B164" s="48" t="inlineStr">
        <is>
          <t>GOLD_DERIVED</t>
        </is>
      </c>
      <c r="C164" s="48" t="inlineStr">
        <is>
          <t>2.11</t>
        </is>
      </c>
      <c r="D164" s="48" t="inlineStr">
        <is>
          <t>Nhom 2 - Logic</t>
        </is>
      </c>
      <c r="E164" s="48" t="inlineStr">
        <is>
          <t>Join dùng key hợp lý, không lạm dụng UNION ALL + EXISTS/NOT EXISTS</t>
        </is>
      </c>
      <c r="F164" s="49" t="inlineStr">
        <is>
          <t>PASS</t>
        </is>
      </c>
      <c r="G164" s="48" t="inlineStr">
        <is>
          <t>Pass</t>
        </is>
      </c>
      <c r="H164" s="50" t="inlineStr">
        <is>
          <t>join đều theo điều kiện bằng, không lạm dụng UNION ALL + EXISTS</t>
        </is>
      </c>
      <c r="I164" s="50" t="inlineStr">
        <is>
          <t>Ưu tiên LEFT JOIN theo business key hoặc hashkey. Xem lại các chỗ dùng UNION ALL kết hợp EXISTS/NOT EXISTS — thường thay được bằng một LEFT JOIN. Join không có điều kiện bằng (=) dễ tạo tích Descartes.</t>
        </is>
      </c>
      <c r="J164" s="48" t="inlineStr">
        <is>
          <t>007. OCB_GOLD_TCKH_V_CUSTOMER_SEGMENT_RB_PHAT.xlsx [Script: V_CUSTOMER_SEGMENT_RB]</t>
        </is>
      </c>
    </row>
    <row r="165">
      <c r="A165" s="48" t="inlineStr">
        <is>
          <t>TCKH.V_CUSTOMER_SEGMENT_RB</t>
        </is>
      </c>
      <c r="B165" s="48" t="inlineStr">
        <is>
          <t>GOLD_DERIVED</t>
        </is>
      </c>
      <c r="C165" s="48" t="inlineStr">
        <is>
          <t>2.12</t>
        </is>
      </c>
      <c r="D165" s="48" t="inlineStr">
        <is>
          <t>Nhom 2 - Logic</t>
        </is>
      </c>
      <c r="E165" s="48" t="inlineStr">
        <is>
          <t>Build Gold từ CTE snapshot Silver, không build nhiều tầng chồng chéo</t>
        </is>
      </c>
      <c r="F165" s="51" t="inlineStr">
        <is>
          <t>WARN</t>
        </is>
      </c>
      <c r="G165" s="48" t="inlineStr">
        <is>
          <t>WARN</t>
        </is>
      </c>
      <c r="H165" s="50" t="inlineStr">
        <is>
          <t>bảng bị đọc lại ở nhiều khối SELECT, xét gom thành 1 CTE: CUSTOMER_SEGMENT_RAW ở 2 khối</t>
        </is>
      </c>
      <c r="I1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5" s="48" t="inlineStr">
        <is>
          <t>007. OCB_GOLD_TCKH_V_CUSTOMER_SEGMENT_RB_PHAT.xlsx [Script: V_CUSTOMER_SEGMENT_RB]</t>
        </is>
      </c>
    </row>
    <row r="166">
      <c r="A166" s="48" t="inlineStr">
        <is>
          <t>TCKH.V_CUSTOMER_SEGMENT_RB</t>
        </is>
      </c>
      <c r="B166" s="48" t="inlineStr">
        <is>
          <t>GOLD_DERIVED</t>
        </is>
      </c>
      <c r="C166" s="48" t="inlineStr">
        <is>
          <t>3.1</t>
        </is>
      </c>
      <c r="D166" s="48" t="inlineStr">
        <is>
          <t>Nhom 3 - Optimization</t>
        </is>
      </c>
      <c r="E166" s="48" t="inlineStr">
        <is>
          <t>Không SELECT *</t>
        </is>
      </c>
      <c r="F166" s="49" t="inlineStr">
        <is>
          <t>PASS</t>
        </is>
      </c>
      <c r="G166" s="48" t="inlineStr">
        <is>
          <t>Pass</t>
        </is>
      </c>
      <c r="H166" s="50" t="inlineStr">
        <is>
          <t>không dùng SELECT * ở đâu</t>
        </is>
      </c>
      <c r="I166" s="50" t="inlineStr">
        <is>
          <t>Liệt kê tường minh các cột cần dùng, kể cả trong CTE trung gian. SELECT * làm tăng IO/memory và vỡ script khi bảng nguồn thêm cột.</t>
        </is>
      </c>
      <c r="J166" s="48" t="inlineStr">
        <is>
          <t>007. OCB_GOLD_TCKH_V_CUSTOMER_SEGMENT_RB_PHAT.xlsx [Script: V_CUSTOMER_SEGMENT_RB]</t>
        </is>
      </c>
    </row>
    <row r="167">
      <c r="A167" s="48" t="inlineStr">
        <is>
          <t>TCKH.V_CUSTOMER_SEGMENT_RB</t>
        </is>
      </c>
      <c r="B167" s="48" t="inlineStr">
        <is>
          <t>GOLD_DERIVED</t>
        </is>
      </c>
      <c r="C167" s="48" t="inlineStr">
        <is>
          <t>3.2</t>
        </is>
      </c>
      <c r="D167" s="48" t="inlineStr">
        <is>
          <t>Nhom 3 - Optimization</t>
        </is>
      </c>
      <c r="E167" s="48" t="inlineStr">
        <is>
          <t>CTE không bị scan lại nhiều lần</t>
        </is>
      </c>
      <c r="F167" s="49" t="inlineStr">
        <is>
          <t>PASS</t>
        </is>
      </c>
      <c r="G167" s="48" t="inlineStr">
        <is>
          <t>Pass</t>
        </is>
      </c>
      <c r="H167" s="50" t="inlineStr">
        <is>
          <t>không có CTE nào bị gọi lại</t>
        </is>
      </c>
      <c r="I167" s="50" t="inlineStr">
        <is>
          <t>Với CTE nặng (đọc nhiều bảng Silver) bị tham chiếu từ 2 chỗ trở lên: gom lại còn một lần dùng, hoặc vật chất hóa (CACHE / bảng tạm). CTE nhẹ chỉ chứa tham số thì bỏ qua được — tự tick Pass.</t>
        </is>
      </c>
      <c r="J167" s="48" t="inlineStr">
        <is>
          <t>007. OCB_GOLD_TCKH_V_CUSTOMER_SEGMENT_RB_PHAT.xlsx [Script: V_CUSTOMER_SEGMENT_RB]</t>
        </is>
      </c>
    </row>
    <row r="168">
      <c r="A168" s="48" t="inlineStr">
        <is>
          <t>TCKH.V_CUSTOMER_SEGMENT_RB</t>
        </is>
      </c>
      <c r="B168" s="48" t="inlineStr">
        <is>
          <t>GOLD_DERIVED</t>
        </is>
      </c>
      <c r="C168" s="48" t="inlineStr">
        <is>
          <t>3.3</t>
        </is>
      </c>
      <c r="D168" s="48" t="inlineStr">
        <is>
          <t>Nhom 3 - Optimization</t>
        </is>
      </c>
      <c r="E168" s="48" t="inlineStr">
        <is>
          <t>Filter trước khi join, tận dụng partition pruning</t>
        </is>
      </c>
      <c r="F168" s="49" t="inlineStr">
        <is>
          <t>PASS</t>
        </is>
      </c>
      <c r="G168" s="48" t="inlineStr">
        <is>
          <t>Pass</t>
        </is>
      </c>
      <c r="H168" s="50" t="inlineStr">
        <is>
          <t>các bảng join đều được filter trước</t>
        </is>
      </c>
      <c r="I168" s="50" t="inlineStr">
        <is>
          <t>Đưa điều kiện lọc (ngày dữ liệu, trạng thái) vào subquery của từng bảng TRƯỚC khi join, để tận dụng partition pruning. Bảng dim nhỏ không partition thì không cần — tự tick Pass.</t>
        </is>
      </c>
      <c r="J168" s="48" t="inlineStr">
        <is>
          <t>007. OCB_GOLD_TCKH_V_CUSTOMER_SEGMENT_RB_PHAT.xlsx [Script: V_CUSTOMER_SEGMENT_RB]</t>
        </is>
      </c>
    </row>
    <row r="169">
      <c r="A169" s="48" t="inlineStr">
        <is>
          <t>TCKH.V_CUSTOMER_SEGMENT_RB</t>
        </is>
      </c>
      <c r="B169" s="48" t="inlineStr">
        <is>
          <t>GOLD_DERIVED</t>
        </is>
      </c>
      <c r="C169" s="48" t="inlineStr">
        <is>
          <t>3.4</t>
        </is>
      </c>
      <c r="D169" s="48" t="inlineStr">
        <is>
          <t>Nhom 3 - Optimization</t>
        </is>
      </c>
      <c r="E169" s="48" t="inlineStr">
        <is>
          <t>Sử dụng CACHE cho query lặp lại trong cùng luồng</t>
        </is>
      </c>
      <c r="F169" s="48" t="inlineStr">
        <is>
          <t>N-A</t>
        </is>
      </c>
      <c r="G169" s="48" t="inlineStr">
        <is>
          <t>Pass</t>
        </is>
      </c>
      <c r="H169" s="50" t="inlineStr">
        <is>
          <t>không có kết quả nào được dùng lại nhiều lần nên chưa cần CACHE</t>
        </is>
      </c>
      <c r="I169" s="50" t="inlineStr">
        <is>
          <t>Nếu một kết quả nặng được dùng lại nhiều bước trong cùng luồng, thêm CACHE TABLE / CACHE SELECT. Kết quả nhỏ thì cache còn chậm hơn — tự tick Pass.</t>
        </is>
      </c>
      <c r="J169" s="48" t="inlineStr">
        <is>
          <t>007. OCB_GOLD_TCKH_V_CUSTOMER_SEGMENT_RB_PHAT.xlsx [Script: V_CUSTOMER_SEGMENT_RB]</t>
        </is>
      </c>
    </row>
    <row r="170">
      <c r="A170" s="48" t="inlineStr">
        <is>
          <t>TCKH.V_CUSTOMER_SEGMENT_RB</t>
        </is>
      </c>
      <c r="B170" s="48" t="inlineStr">
        <is>
          <t>GOLD_DERIVED</t>
        </is>
      </c>
      <c r="C170" s="48" t="inlineStr">
        <is>
          <t>3.5</t>
        </is>
      </c>
      <c r="D170" s="48" t="inlineStr">
        <is>
          <t>Nhom 3 - Optimization</t>
        </is>
      </c>
      <c r="E170" s="48" t="inlineStr">
        <is>
          <t>Ưu tiên MAX_BY + QUALIFY thay ROW_NUMBER() + WHERE rn = 1</t>
        </is>
      </c>
      <c r="F170" s="48" t="inlineStr">
        <is>
          <t>N-A</t>
        </is>
      </c>
      <c r="G170" s="48" t="inlineStr">
        <is>
          <t>Pass</t>
        </is>
      </c>
      <c r="H170" s="50" t="inlineStr">
        <is>
          <t>script không dùng ROW_NUMBER, và MAX_BY (nếu có) không vượt quá 5 cột/khối</t>
        </is>
      </c>
      <c r="I1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0" s="48" t="inlineStr">
        <is>
          <t>007. OCB_GOLD_TCKH_V_CUSTOMER_SEGMENT_RB_PHAT.xlsx [Script: V_CUSTOMER_SEGMENT_RB]</t>
        </is>
      </c>
    </row>
    <row r="171">
      <c r="A171" s="48" t="inlineStr">
        <is>
          <t>TCKH.V_CUSTOMER_SEGMENT_RB</t>
        </is>
      </c>
      <c r="B171" s="48" t="inlineStr">
        <is>
          <t>GOLD_DERIVED</t>
        </is>
      </c>
      <c r="C171" s="48" t="inlineStr">
        <is>
          <t>3.6</t>
        </is>
      </c>
      <c r="D171" s="48" t="inlineStr">
        <is>
          <t>Nhom 3 - Optimization</t>
        </is>
      </c>
      <c r="E171" s="48" t="inlineStr">
        <is>
          <t>Không lạm dụng window function; có comment khi dùng</t>
        </is>
      </c>
      <c r="F171" s="48" t="inlineStr">
        <is>
          <t>N-A</t>
        </is>
      </c>
      <c r="G171" s="48" t="inlineStr">
        <is>
          <t>Pass</t>
        </is>
      </c>
      <c r="H171" s="50" t="inlineStr">
        <is>
          <t>script không dùng window function</t>
        </is>
      </c>
      <c r="I171" s="50" t="inlineStr">
        <is>
          <t>Mỗi window function cần một comment ngay trên khối CTE chứa nó, nói rõ vì sao không dùng được max_by/QUALIFY đơn giản hơn.</t>
        </is>
      </c>
      <c r="J171" s="48" t="inlineStr">
        <is>
          <t>007. OCB_GOLD_TCKH_V_CUSTOMER_SEGMENT_RB_PHAT.xlsx [Script: V_CUSTOMER_SEGMENT_RB]</t>
        </is>
      </c>
    </row>
    <row r="172">
      <c r="A172" s="48" t="inlineStr">
        <is>
          <t>TCKH.V_CUSTOMER_SEGMENT_RB</t>
        </is>
      </c>
      <c r="B172" s="48" t="inlineStr">
        <is>
          <t>GOLD_DERIVED</t>
        </is>
      </c>
      <c r="C172" s="48" t="inlineStr">
        <is>
          <t>X.1</t>
        </is>
      </c>
      <c r="D172" s="48" t="inlineStr">
        <is>
          <t>Nhom X - Bo sung Raffles</t>
        </is>
      </c>
      <c r="E172" s="48" t="inlineStr">
        <is>
          <t>[Bổ sung] Link phải rút về current trước khi join (chống fan-out)</t>
        </is>
      </c>
      <c r="F172" s="48" t="inlineStr">
        <is>
          <t>N-A</t>
        </is>
      </c>
      <c r="G172" s="48" t="inlineStr">
        <is>
          <t>Pass</t>
        </is>
      </c>
      <c r="H172" s="50" t="inlineStr">
        <is>
          <t>khong ap dung cho profile GOLD_DERIVED</t>
        </is>
      </c>
      <c r="I1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2" s="48" t="inlineStr">
        <is>
          <t>007. OCB_GOLD_TCKH_V_CUSTOMER_SEGMENT_RB_PHAT.xlsx [Script: V_CUSTOMER_SEGMENT_RB]</t>
        </is>
      </c>
    </row>
    <row r="173">
      <c r="A173" s="48" t="inlineStr">
        <is>
          <t>TCKH.V_CUSTOMER_SEGMENT_RB</t>
        </is>
      </c>
      <c r="B173" s="48" t="inlineStr">
        <is>
          <t>GOLD_DERIVED</t>
        </is>
      </c>
      <c r="C173" s="48" t="inlineStr">
        <is>
          <t>X.6</t>
        </is>
      </c>
      <c r="D173" s="48" t="inlineStr">
        <is>
          <t>Nhom X - Bo sung Raffles</t>
        </is>
      </c>
      <c r="E173" s="48" t="inlineStr">
        <is>
          <t>[Bổ sung] Satellite phải LEFT JOIN, không INNER JOIN</t>
        </is>
      </c>
      <c r="F173" s="48" t="inlineStr">
        <is>
          <t>N-A</t>
        </is>
      </c>
      <c r="G173" s="48" t="inlineStr">
        <is>
          <t>Pass</t>
        </is>
      </c>
      <c r="H173" s="50" t="inlineStr">
        <is>
          <t>khong ap dung cho profile GOLD_DERIVED</t>
        </is>
      </c>
      <c r="I173" s="50" t="inlineStr">
        <is>
          <t>Technical Document III.4.2.2 nguyên tắc 1: làm giàu thuộc tính luôn dùng LEFT JOIN. INNER JOIN satellite sẽ loại mất bản ghi Hub đang còn hiệu lực nhưng chưa có dòng satellite.</t>
        </is>
      </c>
      <c r="J173" s="48" t="inlineStr">
        <is>
          <t>007. OCB_GOLD_TCKH_V_CUSTOMER_SEGMENT_RB_PHAT.xlsx [Script: V_CUSTOMER_SEGMENT_RB]</t>
        </is>
      </c>
    </row>
    <row r="174">
      <c r="A174" s="48" t="inlineStr">
        <is>
          <t>TCKH.V_CUSTOMER_SEGMENT_RB</t>
        </is>
      </c>
      <c r="B174" s="48" t="inlineStr">
        <is>
          <t>GOLD_DERIVED</t>
        </is>
      </c>
      <c r="C174" s="48" t="inlineStr">
        <is>
          <t>X.7</t>
        </is>
      </c>
      <c r="D174" s="48" t="inlineStr">
        <is>
          <t>Nhom X - Bo sung Raffles</t>
        </is>
      </c>
      <c r="E174" s="48" t="inlineStr">
        <is>
          <t>[Bổ sung] Không hard-code catalog, dùng biến môi trường</t>
        </is>
      </c>
      <c r="F174" s="49" t="inlineStr">
        <is>
          <t>PASS</t>
        </is>
      </c>
      <c r="G174" s="48" t="inlineStr">
        <is>
          <t>Pass</t>
        </is>
      </c>
      <c r="H174" s="50" t="inlineStr">
        <is>
          <t>dùng biến môi trường cho catalog</t>
        </is>
      </c>
      <c r="I1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4" s="48" t="inlineStr">
        <is>
          <t>007. OCB_GOLD_TCKH_V_CUSTOMER_SEGMENT_RB_PHAT.xlsx [Script: V_CUSTOMER_SEGMENT_RB]</t>
        </is>
      </c>
    </row>
    <row r="175">
      <c r="A175" s="48" t="inlineStr">
        <is>
          <t>TCKH.V_CUSTOMER_SEGMENT_RB</t>
        </is>
      </c>
      <c r="B175" s="48" t="inlineStr">
        <is>
          <t>GOLD_DERIVED</t>
        </is>
      </c>
      <c r="C175" s="48" t="inlineStr">
        <is>
          <t>X.10</t>
        </is>
      </c>
      <c r="D175" s="48" t="inlineStr">
        <is>
          <t>Nhom X - Bo sung Raffles</t>
        </is>
      </c>
      <c r="E175" s="48" t="inlineStr">
        <is>
          <t>Bang raw_vault/business_vault duoc doc phai TON TAI THAT trong Data Vault model</t>
        </is>
      </c>
      <c r="F175" s="48" t="inlineStr">
        <is>
          <t>N-A</t>
        </is>
      </c>
      <c r="G175" s="48" t="inlineStr">
        <is>
          <t>Pass</t>
        </is>
      </c>
      <c r="H175" s="50" t="inlineStr">
        <is>
          <t>script không đọc bảng raw_vault/business_vault nào</t>
        </is>
      </c>
      <c r="I175" s="50" t="inlineStr"/>
      <c r="J175" s="48" t="inlineStr">
        <is>
          <t>007. OCB_GOLD_TCKH_V_CUSTOMER_SEGMENT_RB_PHAT.xlsx [Script: V_CUSTOMER_SEGMENT_RB]</t>
        </is>
      </c>
    </row>
    <row r="176">
      <c r="A176" s="48" t="inlineStr">
        <is>
          <t>TCKH.V_CUSTOMER_SEGMENT_RB</t>
        </is>
      </c>
      <c r="B176" s="48" t="inlineStr">
        <is>
          <t>GOLD_DERIVED</t>
        </is>
      </c>
      <c r="C176" s="48" t="inlineStr">
        <is>
          <t>X.11</t>
        </is>
      </c>
      <c r="D176" s="48" t="inlineStr">
        <is>
          <t>Nhom X - Bo sung Raffles</t>
        </is>
      </c>
      <c r="E176" s="48" t="inlineStr">
        <is>
          <t>Cot doc tu satellite (sat_*) phai TON TAI THAT trong model</t>
        </is>
      </c>
      <c r="F176" s="48" t="inlineStr">
        <is>
          <t>N-A</t>
        </is>
      </c>
      <c r="G176" s="48" t="inlineStr">
        <is>
          <t>Pass</t>
        </is>
      </c>
      <c r="H176" s="50" t="inlineStr">
        <is>
          <t>không có bảng sat_* nào đủ điều kiện đối chiếu (Select chỉ đọc 1 bảng)</t>
        </is>
      </c>
      <c r="I176" s="50" t="inlineStr"/>
      <c r="J176" s="48" t="inlineStr">
        <is>
          <t>007. OCB_GOLD_TCKH_V_CUSTOMER_SEGMENT_RB_PHAT.xlsx [Script: V_CUSTOMER_SEGMENT_RB]</t>
        </is>
      </c>
    </row>
    <row r="177">
      <c r="A177" s="48" t="inlineStr">
        <is>
          <t>TCKH.V_CUST_STATUS</t>
        </is>
      </c>
      <c r="B177" s="48" t="inlineStr">
        <is>
          <t>GOLD_DERIVED</t>
        </is>
      </c>
      <c r="C177" s="48" t="inlineStr">
        <is>
          <t>1.1</t>
        </is>
      </c>
      <c r="D177" s="48" t="inlineStr">
        <is>
          <t>Nhom 1 - Mapping</t>
        </is>
      </c>
      <c r="E177" s="48" t="inlineStr">
        <is>
          <t>Đầy đủ mapping từ Silver/manual sang Gold</t>
        </is>
      </c>
      <c r="F177" s="49" t="inlineStr">
        <is>
          <t>PASS</t>
        </is>
      </c>
      <c r="G177" s="48" t="inlineStr">
        <is>
          <t>Pass</t>
        </is>
      </c>
      <c r="H177" s="50" t="inlineStr">
        <is>
          <t>workbook 008. OCB_GOLD_TCKH_V_CUST_STATUS_BAOANH.xlsx: thiết kế 6 field, SQL có 6 cột</t>
        </is>
      </c>
      <c r="I1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7" s="48" t="inlineStr">
        <is>
          <t>008. OCB_GOLD_TCKH_V_CUST_STATUS_BAOANH.xlsx [Script: V_CUST_STATUS]</t>
        </is>
      </c>
    </row>
    <row r="178">
      <c r="A178" s="48" t="inlineStr">
        <is>
          <t>TCKH.V_CUST_STATUS</t>
        </is>
      </c>
      <c r="B178" s="48" t="inlineStr">
        <is>
          <t>GOLD_DERIVED</t>
        </is>
      </c>
      <c r="C178" s="48" t="inlineStr">
        <is>
          <t>1.2</t>
        </is>
      </c>
      <c r="D178" s="48" t="inlineStr">
        <is>
          <t>Nhom 1 - Mapping</t>
        </is>
      </c>
      <c r="E178" s="48" t="inlineStr">
        <is>
          <t>Danh sách bảng/view Gold khớp tài liệu thiết kế đã duyệt</t>
        </is>
      </c>
      <c r="F178" s="49" t="inlineStr">
        <is>
          <t>PASS</t>
        </is>
      </c>
      <c r="G178" s="48" t="inlineStr">
        <is>
          <t>Pass</t>
        </is>
      </c>
      <c r="H178" s="50" t="inlineStr">
        <is>
          <t>V_CUST_STATUS có workbook thiết kế: 008. OCB_GOLD_TCKH_V_CUST_STATUS_BAOANH.xlsx</t>
        </is>
      </c>
      <c r="I178" s="50" t="inlineStr">
        <is>
          <t>Đảm bảo object có workbook thiết kế tương ứng trong thư mục --mapping-dir. Muốn đối chiếu với danh sách đã duyệt thì chạy thêm tham số --gold-list "&lt;file danh sách Gold&gt;.xlsx".</t>
        </is>
      </c>
      <c r="J178" s="48" t="inlineStr">
        <is>
          <t>008. OCB_GOLD_TCKH_V_CUST_STATUS_BAOANH.xlsx [Script: V_CUST_STATUS]</t>
        </is>
      </c>
    </row>
    <row r="179">
      <c r="A179" s="48" t="inlineStr">
        <is>
          <t>TCKH.V_CUST_STATUS</t>
        </is>
      </c>
      <c r="B179" s="48" t="inlineStr">
        <is>
          <t>GOLD_DERIVED</t>
        </is>
      </c>
      <c r="C179" s="48" t="inlineStr">
        <is>
          <t>2.1</t>
        </is>
      </c>
      <c r="D179" s="48" t="inlineStr">
        <is>
          <t>Nhom 2 - Logic</t>
        </is>
      </c>
      <c r="E179" s="48" t="inlineStr">
        <is>
          <t>Chỉ lấy bản ghi active, loại bản ghi đã xóa (qua sts_hub)</t>
        </is>
      </c>
      <c r="F179" s="48" t="inlineStr">
        <is>
          <t>N-A</t>
        </is>
      </c>
      <c r="G179" s="48" t="inlineStr">
        <is>
          <t>Pass</t>
        </is>
      </c>
      <c r="H179" s="50" t="inlineStr">
        <is>
          <t>khong ap dung cho profile GOLD_DERIVED</t>
        </is>
      </c>
      <c r="I1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9" s="48" t="inlineStr">
        <is>
          <t>008. OCB_GOLD_TCKH_V_CUST_STATUS_BAOANH.xlsx [Script: V_CUST_STATUS]</t>
        </is>
      </c>
    </row>
    <row r="180">
      <c r="A180" s="48" t="inlineStr">
        <is>
          <t>TCKH.V_CUST_STATUS</t>
        </is>
      </c>
      <c r="B180" s="48" t="inlineStr">
        <is>
          <t>GOLD_DERIVED</t>
        </is>
      </c>
      <c r="C180" s="48" t="inlineStr">
        <is>
          <t>2.2</t>
        </is>
      </c>
      <c r="D180" s="48" t="inlineStr">
        <is>
          <t>Nhom 2 - Logic</t>
        </is>
      </c>
      <c r="E180" s="48" t="inlineStr">
        <is>
          <t>Thống nhất MỘT pattern duy nhất xác định bản ghi active mới nhất</t>
        </is>
      </c>
      <c r="F180" s="48" t="inlineStr">
        <is>
          <t>N-A</t>
        </is>
      </c>
      <c r="G180" s="48" t="inlineStr">
        <is>
          <t>Pass</t>
        </is>
      </c>
      <c r="H180" s="50" t="inlineStr">
        <is>
          <t>khong ap dung cho profile GOLD_DERIVED</t>
        </is>
      </c>
      <c r="I1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0" s="48" t="inlineStr">
        <is>
          <t>008. OCB_GOLD_TCKH_V_CUST_STATUS_BAOANH.xlsx [Script: V_CUST_STATUS]</t>
        </is>
      </c>
    </row>
    <row r="181">
      <c r="A181" s="48" t="inlineStr">
        <is>
          <t>TCKH.V_CUST_STATUS</t>
        </is>
      </c>
      <c r="B181" s="48" t="inlineStr">
        <is>
          <t>GOLD_DERIVED</t>
        </is>
      </c>
      <c r="C181" s="48" t="inlineStr">
        <is>
          <t>2.3</t>
        </is>
      </c>
      <c r="D181" s="48" t="inlineStr">
        <is>
          <t>Nhom 2 - Logic</t>
        </is>
      </c>
      <c r="E181" s="48" t="inlineStr">
        <is>
          <t>Điều kiện lọc trạng thái đặt SAU khi xác định bản ghi mới nhất</t>
        </is>
      </c>
      <c r="F181" s="49" t="inlineStr">
        <is>
          <t>PASS</t>
        </is>
      </c>
      <c r="G181" s="48" t="inlineStr">
        <is>
          <t>Pass</t>
        </is>
      </c>
      <c r="H181" s="50" t="inlineStr">
        <is>
          <t>không có điều kiện trạng thái nào lồng trong JOIN ON</t>
        </is>
      </c>
      <c r="I1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1" s="48" t="inlineStr">
        <is>
          <t>008. OCB_GOLD_TCKH_V_CUST_STATUS_BAOANH.xlsx [Script: V_CUST_STATUS]</t>
        </is>
      </c>
    </row>
    <row r="182">
      <c r="A182" s="48" t="inlineStr">
        <is>
          <t>TCKH.V_CUST_STATUS</t>
        </is>
      </c>
      <c r="B182" s="48" t="inlineStr">
        <is>
          <t>GOLD_DERIVED</t>
        </is>
      </c>
      <c r="C182" s="48" t="inlineStr">
        <is>
          <t>2.4</t>
        </is>
      </c>
      <c r="D182" s="48" t="inlineStr">
        <is>
          <t>Nhom 2 - Logic</t>
        </is>
      </c>
      <c r="E182" s="48" t="inlineStr">
        <is>
          <t>source_event_date áp dụng đúng dạng theo loại bảng</t>
        </is>
      </c>
      <c r="F182" s="48" t="inlineStr">
        <is>
          <t>N-A</t>
        </is>
      </c>
      <c r="G182" s="48" t="inlineStr">
        <is>
          <t>Pass</t>
        </is>
      </c>
      <c r="H182" s="50" t="inlineStr">
        <is>
          <t>khong ap dung cho profile GOLD_DERIVED</t>
        </is>
      </c>
      <c r="I1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2" s="48" t="inlineStr">
        <is>
          <t>008. OCB_GOLD_TCKH_V_CUST_STATUS_BAOANH.xlsx [Script: V_CUST_STATUS]</t>
        </is>
      </c>
    </row>
    <row r="183">
      <c r="A183" s="48" t="inlineStr">
        <is>
          <t>TCKH.V_CUST_STATUS</t>
        </is>
      </c>
      <c r="B183" s="48" t="inlineStr">
        <is>
          <t>GOLD_DERIVED</t>
        </is>
      </c>
      <c r="C183" s="48" t="inlineStr">
        <is>
          <t>2.5</t>
        </is>
      </c>
      <c r="D183" s="48" t="inlineStr">
        <is>
          <t>Nhom 2 - Logic</t>
        </is>
      </c>
      <c r="E183" s="48" t="inlineStr">
        <is>
          <t>Không lặp lại lỗi logic cũ đã được DA Data Vault fix</t>
        </is>
      </c>
      <c r="F183" s="49" t="inlineStr">
        <is>
          <t>PASS</t>
        </is>
      </c>
      <c r="G183" s="48" t="inlineStr">
        <is>
          <t>Pass</t>
        </is>
      </c>
      <c r="H183" s="50" t="inlineStr">
        <is>
          <t>không trùng lỗi nào trong Issue log của DA Data Vault</t>
        </is>
      </c>
      <c r="I1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3" s="48" t="inlineStr">
        <is>
          <t>008. OCB_GOLD_TCKH_V_CUST_STATUS_BAOANH.xlsx [Script: V_CUST_STATUS]</t>
        </is>
      </c>
    </row>
    <row r="184">
      <c r="A184" s="48" t="inlineStr">
        <is>
          <t>TCKH.V_CUST_STATUS</t>
        </is>
      </c>
      <c r="B184" s="48" t="inlineStr">
        <is>
          <t>GOLD_DERIVED</t>
        </is>
      </c>
      <c r="C184" s="48" t="inlineStr">
        <is>
          <t>2.6</t>
        </is>
      </c>
      <c r="D184" s="48" t="inlineStr">
        <is>
          <t>Nhom 2 - Logic</t>
        </is>
      </c>
      <c r="E184" s="48" t="inlineStr">
        <is>
          <t>SCD Type 2 cho bảng DIM áp dụng đúng kỹ thuật đã thống nhất</t>
        </is>
      </c>
      <c r="F184" s="48" t="inlineStr">
        <is>
          <t>N-A</t>
        </is>
      </c>
      <c r="G184" s="48" t="inlineStr">
        <is>
          <t>Pass</t>
        </is>
      </c>
      <c r="H184" s="50" t="inlineStr">
        <is>
          <t>object không phải bảng DIM nên không áp dụng SCD Type 2</t>
        </is>
      </c>
      <c r="I1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4" s="48" t="inlineStr">
        <is>
          <t>008. OCB_GOLD_TCKH_V_CUST_STATUS_BAOANH.xlsx [Script: V_CUST_STATUS]</t>
        </is>
      </c>
    </row>
    <row r="185">
      <c r="A185" s="48" t="inlineStr">
        <is>
          <t>TCKH.V_CUST_STATUS</t>
        </is>
      </c>
      <c r="B185" s="48" t="inlineStr">
        <is>
          <t>GOLD_DERIVED</t>
        </is>
      </c>
      <c r="C185" s="48" t="inlineStr">
        <is>
          <t>2.7</t>
        </is>
      </c>
      <c r="D185" s="48" t="inlineStr">
        <is>
          <t>Nhom 2 - Logic</t>
        </is>
      </c>
      <c r="E185" s="48" t="inlineStr">
        <is>
          <t>CASE WHEN cover đủ nhánh như job on-prem</t>
        </is>
      </c>
      <c r="F185" s="48" t="inlineStr">
        <is>
          <t>N-A</t>
        </is>
      </c>
      <c r="G185" s="48" t="inlineStr">
        <is>
          <t>Pass</t>
        </is>
      </c>
      <c r="H185" s="50" t="inlineStr">
        <is>
          <t>script không có CASE WHEN nào</t>
        </is>
      </c>
      <c r="I185" s="50" t="inlineStr">
        <is>
          <t>Mở job on-prem tương ứng (DataStage DSX hoặc SQL cũ), đối chiếu từng nhánh WHEN và cả nhánh ELSE. CASE không có ELSE sẽ trả NULL âm thầm — xác nhận đó là ý muốn hay thiếu nhánh.</t>
        </is>
      </c>
      <c r="J185" s="48" t="inlineStr">
        <is>
          <t>008. OCB_GOLD_TCKH_V_CUST_STATUS_BAOANH.xlsx [Script: V_CUST_STATUS]</t>
        </is>
      </c>
    </row>
    <row r="186">
      <c r="A186" s="48" t="inlineStr">
        <is>
          <t>TCKH.V_CUST_STATUS</t>
        </is>
      </c>
      <c r="B186" s="48" t="inlineStr">
        <is>
          <t>GOLD_DERIVED</t>
        </is>
      </c>
      <c r="C186" s="48" t="inlineStr">
        <is>
          <t>2.8</t>
        </is>
      </c>
      <c r="D186" s="48" t="inlineStr">
        <is>
          <t>Nhom 2 - Logic</t>
        </is>
      </c>
      <c r="E186" s="48" t="inlineStr">
        <is>
          <t>Cột SUM/COUNT được COALESCE/NVL hợp lý</t>
        </is>
      </c>
      <c r="F186" s="49" t="inlineStr">
        <is>
          <t>PASS</t>
        </is>
      </c>
      <c r="G186" s="48" t="inlineStr">
        <is>
          <t>Pass</t>
        </is>
      </c>
      <c r="H186" s="50" t="inlineStr">
        <is>
          <t>mọi SUM/COUNT đều đã coalesce (trực tiếp hoặc ở lớp ngoài)</t>
        </is>
      </c>
      <c r="I1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6" s="48" t="inlineStr">
        <is>
          <t>008. OCB_GOLD_TCKH_V_CUST_STATUS_BAOANH.xlsx [Script: V_CUST_STATUS]</t>
        </is>
      </c>
    </row>
    <row r="187">
      <c r="A187" s="48" t="inlineStr">
        <is>
          <t>TCKH.V_CUST_STATUS</t>
        </is>
      </c>
      <c r="B187" s="48" t="inlineStr">
        <is>
          <t>GOLD_DERIVED</t>
        </is>
      </c>
      <c r="C187" s="48" t="inlineStr">
        <is>
          <t>2.9</t>
        </is>
      </c>
      <c r="D187" s="48" t="inlineStr">
        <is>
          <t>Nhom 2 - Logic</t>
        </is>
      </c>
      <c r="E187" s="48" t="inlineStr">
        <is>
          <t>Subquery / custom function / điều kiện LIKE đúng ý nghĩa nghiệp vụ</t>
        </is>
      </c>
      <c r="F187" s="48" t="inlineStr">
        <is>
          <t>N-A</t>
        </is>
      </c>
      <c r="G187" s="48" t="inlineStr">
        <is>
          <t>Pass</t>
        </is>
      </c>
      <c r="H187" s="50" t="inlineStr">
        <is>
          <t>script không có điều kiện LIKE hay scalar subquery nào</t>
        </is>
      </c>
      <c r="I187" s="50" t="inlineStr">
        <is>
          <t>Đọc lại từng điều kiện LIKE và từng subquery, đối chiếu ý nghĩa nghiệp vụ với on-prem — đúng cú pháp không đủ. Chú ý pattern LIKE có ký tự % ở đầu/cuối và phân biệt chữ hoa/thường.</t>
        </is>
      </c>
      <c r="J187" s="48" t="inlineStr">
        <is>
          <t>008. OCB_GOLD_TCKH_V_CUST_STATUS_BAOANH.xlsx [Script: V_CUST_STATUS]</t>
        </is>
      </c>
    </row>
    <row r="188">
      <c r="A188" s="48" t="inlineStr">
        <is>
          <t>TCKH.V_CUST_STATUS</t>
        </is>
      </c>
      <c r="B188" s="48" t="inlineStr">
        <is>
          <t>GOLD_DERIVED</t>
        </is>
      </c>
      <c r="C188" s="48" t="inlineStr">
        <is>
          <t>2.10</t>
        </is>
      </c>
      <c r="D188" s="48" t="inlineStr">
        <is>
          <t>Nhom 2 - Logic</t>
        </is>
      </c>
      <c r="E188" s="48" t="inlineStr">
        <is>
          <t>Aggregation kèm filter date range chính xác</t>
        </is>
      </c>
      <c r="F188" s="49" t="inlineStr">
        <is>
          <t>PASS</t>
        </is>
      </c>
      <c r="G188" s="48" t="inlineStr">
        <is>
          <t>Pass</t>
        </is>
      </c>
      <c r="H188" s="50" t="inlineStr">
        <is>
          <t>mọi khối tổng hợp đều có điều kiện theo kỳ dữ liệu</t>
        </is>
      </c>
      <c r="I188" s="50" t="inlineStr">
        <is>
          <t>Mỗi khối SUM/COUNT/AVG phải có điều kiện lọc theo kỳ dữ liệu (CDR_DT_ID, DATA_DATE, :DATADT…). Nếu điều kiện nằm ở CTE nguồn thì ghi rõ trong comment để người review không phải truy ngược.</t>
        </is>
      </c>
      <c r="J188" s="48" t="inlineStr">
        <is>
          <t>008. OCB_GOLD_TCKH_V_CUST_STATUS_BAOANH.xlsx [Script: V_CUST_STATUS]</t>
        </is>
      </c>
    </row>
    <row r="189">
      <c r="A189" s="48" t="inlineStr">
        <is>
          <t>TCKH.V_CUST_STATUS</t>
        </is>
      </c>
      <c r="B189" s="48" t="inlineStr">
        <is>
          <t>GOLD_DERIVED</t>
        </is>
      </c>
      <c r="C189" s="48" t="inlineStr">
        <is>
          <t>2.11</t>
        </is>
      </c>
      <c r="D189" s="48" t="inlineStr">
        <is>
          <t>Nhom 2 - Logic</t>
        </is>
      </c>
      <c r="E189" s="48" t="inlineStr">
        <is>
          <t>Join dùng key hợp lý, không lạm dụng UNION ALL + EXISTS/NOT EXISTS</t>
        </is>
      </c>
      <c r="F189" s="49" t="inlineStr">
        <is>
          <t>PASS</t>
        </is>
      </c>
      <c r="G189" s="48" t="inlineStr">
        <is>
          <t>Pass</t>
        </is>
      </c>
      <c r="H189" s="50" t="inlineStr">
        <is>
          <t>join đều theo điều kiện bằng, không lạm dụng UNION ALL + EXISTS</t>
        </is>
      </c>
      <c r="I189" s="50" t="inlineStr">
        <is>
          <t>Ưu tiên LEFT JOIN theo business key hoặc hashkey. Xem lại các chỗ dùng UNION ALL kết hợp EXISTS/NOT EXISTS — thường thay được bằng một LEFT JOIN. Join không có điều kiện bằng (=) dễ tạo tích Descartes.</t>
        </is>
      </c>
      <c r="J189" s="48" t="inlineStr">
        <is>
          <t>008. OCB_GOLD_TCKH_V_CUST_STATUS_BAOANH.xlsx [Script: V_CUST_STATUS]</t>
        </is>
      </c>
    </row>
    <row r="190">
      <c r="A190" s="48" t="inlineStr">
        <is>
          <t>TCKH.V_CUST_STATUS</t>
        </is>
      </c>
      <c r="B190" s="48" t="inlineStr">
        <is>
          <t>GOLD_DERIVED</t>
        </is>
      </c>
      <c r="C190" s="48" t="inlineStr">
        <is>
          <t>2.12</t>
        </is>
      </c>
      <c r="D190" s="48" t="inlineStr">
        <is>
          <t>Nhom 2 - Logic</t>
        </is>
      </c>
      <c r="E190" s="48" t="inlineStr">
        <is>
          <t>Build Gold từ CTE snapshot Silver, không build nhiều tầng chồng chéo</t>
        </is>
      </c>
      <c r="F190" s="49" t="inlineStr">
        <is>
          <t>PASS</t>
        </is>
      </c>
      <c r="G190" s="48" t="inlineStr">
        <is>
          <t>Pass</t>
        </is>
      </c>
      <c r="H190" s="50" t="inlineStr">
        <is>
          <t>mỗi bảng nguồn chỉ đọc trong 1 khối SELECT</t>
        </is>
      </c>
      <c r="I1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0" s="48" t="inlineStr">
        <is>
          <t>008. OCB_GOLD_TCKH_V_CUST_STATUS_BAOANH.xlsx [Script: V_CUST_STATUS]</t>
        </is>
      </c>
    </row>
    <row r="191">
      <c r="A191" s="48" t="inlineStr">
        <is>
          <t>TCKH.V_CUST_STATUS</t>
        </is>
      </c>
      <c r="B191" s="48" t="inlineStr">
        <is>
          <t>GOLD_DERIVED</t>
        </is>
      </c>
      <c r="C191" s="48" t="inlineStr">
        <is>
          <t>3.1</t>
        </is>
      </c>
      <c r="D191" s="48" t="inlineStr">
        <is>
          <t>Nhom 3 - Optimization</t>
        </is>
      </c>
      <c r="E191" s="48" t="inlineStr">
        <is>
          <t>Không SELECT *</t>
        </is>
      </c>
      <c r="F191" s="49" t="inlineStr">
        <is>
          <t>PASS</t>
        </is>
      </c>
      <c r="G191" s="48" t="inlineStr">
        <is>
          <t>Pass</t>
        </is>
      </c>
      <c r="H191" s="50" t="inlineStr">
        <is>
          <t>không dùng SELECT * ở đâu</t>
        </is>
      </c>
      <c r="I191" s="50" t="inlineStr">
        <is>
          <t>Liệt kê tường minh các cột cần dùng, kể cả trong CTE trung gian. SELECT * làm tăng IO/memory và vỡ script khi bảng nguồn thêm cột.</t>
        </is>
      </c>
      <c r="J191" s="48" t="inlineStr">
        <is>
          <t>008. OCB_GOLD_TCKH_V_CUST_STATUS_BAOANH.xlsx [Script: V_CUST_STATUS]</t>
        </is>
      </c>
    </row>
    <row r="192">
      <c r="A192" s="48" t="inlineStr">
        <is>
          <t>TCKH.V_CUST_STATUS</t>
        </is>
      </c>
      <c r="B192" s="48" t="inlineStr">
        <is>
          <t>GOLD_DERIVED</t>
        </is>
      </c>
      <c r="C192" s="48" t="inlineStr">
        <is>
          <t>3.2</t>
        </is>
      </c>
      <c r="D192" s="48" t="inlineStr">
        <is>
          <t>Nhom 3 - Optimization</t>
        </is>
      </c>
      <c r="E192" s="48" t="inlineStr">
        <is>
          <t>CTE không bị scan lại nhiều lần</t>
        </is>
      </c>
      <c r="F192" s="49" t="inlineStr">
        <is>
          <t>PASS</t>
        </is>
      </c>
      <c r="G192" s="48" t="inlineStr">
        <is>
          <t>Pass</t>
        </is>
      </c>
      <c r="H192" s="50" t="inlineStr">
        <is>
          <t>không có CTE nào bị gọi lại</t>
        </is>
      </c>
      <c r="I192" s="50" t="inlineStr">
        <is>
          <t>Với CTE nặng (đọc nhiều bảng Silver) bị tham chiếu từ 2 chỗ trở lên: gom lại còn một lần dùng, hoặc vật chất hóa (CACHE / bảng tạm). CTE nhẹ chỉ chứa tham số thì bỏ qua được — tự tick Pass.</t>
        </is>
      </c>
      <c r="J192" s="48" t="inlineStr">
        <is>
          <t>008. OCB_GOLD_TCKH_V_CUST_STATUS_BAOANH.xlsx [Script: V_CUST_STATUS]</t>
        </is>
      </c>
    </row>
    <row r="193">
      <c r="A193" s="48" t="inlineStr">
        <is>
          <t>TCKH.V_CUST_STATUS</t>
        </is>
      </c>
      <c r="B193" s="48" t="inlineStr">
        <is>
          <t>GOLD_DERIVED</t>
        </is>
      </c>
      <c r="C193" s="48" t="inlineStr">
        <is>
          <t>3.3</t>
        </is>
      </c>
      <c r="D193" s="48" t="inlineStr">
        <is>
          <t>Nhom 3 - Optimization</t>
        </is>
      </c>
      <c r="E193" s="48" t="inlineStr">
        <is>
          <t>Filter trước khi join, tận dụng partition pruning</t>
        </is>
      </c>
      <c r="F193" s="49" t="inlineStr">
        <is>
          <t>PASS</t>
        </is>
      </c>
      <c r="G193" s="48" t="inlineStr">
        <is>
          <t>Pass</t>
        </is>
      </c>
      <c r="H193" s="50" t="inlineStr">
        <is>
          <t>các bảng join đều được filter trước</t>
        </is>
      </c>
      <c r="I193" s="50" t="inlineStr">
        <is>
          <t>Đưa điều kiện lọc (ngày dữ liệu, trạng thái) vào subquery của từng bảng TRƯỚC khi join, để tận dụng partition pruning. Bảng dim nhỏ không partition thì không cần — tự tick Pass.</t>
        </is>
      </c>
      <c r="J193" s="48" t="inlineStr">
        <is>
          <t>008. OCB_GOLD_TCKH_V_CUST_STATUS_BAOANH.xlsx [Script: V_CUST_STATUS]</t>
        </is>
      </c>
    </row>
    <row r="194">
      <c r="A194" s="48" t="inlineStr">
        <is>
          <t>TCKH.V_CUST_STATUS</t>
        </is>
      </c>
      <c r="B194" s="48" t="inlineStr">
        <is>
          <t>GOLD_DERIVED</t>
        </is>
      </c>
      <c r="C194" s="48" t="inlineStr">
        <is>
          <t>3.4</t>
        </is>
      </c>
      <c r="D194" s="48" t="inlineStr">
        <is>
          <t>Nhom 3 - Optimization</t>
        </is>
      </c>
      <c r="E194" s="48" t="inlineStr">
        <is>
          <t>Sử dụng CACHE cho query lặp lại trong cùng luồng</t>
        </is>
      </c>
      <c r="F194" s="48" t="inlineStr">
        <is>
          <t>N-A</t>
        </is>
      </c>
      <c r="G194" s="48" t="inlineStr">
        <is>
          <t>Pass</t>
        </is>
      </c>
      <c r="H194" s="50" t="inlineStr">
        <is>
          <t>không có kết quả nào được dùng lại nhiều lần nên chưa cần CACHE</t>
        </is>
      </c>
      <c r="I194" s="50" t="inlineStr">
        <is>
          <t>Nếu một kết quả nặng được dùng lại nhiều bước trong cùng luồng, thêm CACHE TABLE / CACHE SELECT. Kết quả nhỏ thì cache còn chậm hơn — tự tick Pass.</t>
        </is>
      </c>
      <c r="J194" s="48" t="inlineStr">
        <is>
          <t>008. OCB_GOLD_TCKH_V_CUST_STATUS_BAOANH.xlsx [Script: V_CUST_STATUS]</t>
        </is>
      </c>
    </row>
    <row r="195">
      <c r="A195" s="48" t="inlineStr">
        <is>
          <t>TCKH.V_CUST_STATUS</t>
        </is>
      </c>
      <c r="B195" s="48" t="inlineStr">
        <is>
          <t>GOLD_DERIVED</t>
        </is>
      </c>
      <c r="C195" s="48" t="inlineStr">
        <is>
          <t>3.5</t>
        </is>
      </c>
      <c r="D195" s="48" t="inlineStr">
        <is>
          <t>Nhom 3 - Optimization</t>
        </is>
      </c>
      <c r="E195" s="48" t="inlineStr">
        <is>
          <t>Ưu tiên MAX_BY + QUALIFY thay ROW_NUMBER() + WHERE rn = 1</t>
        </is>
      </c>
      <c r="F195" s="48" t="inlineStr">
        <is>
          <t>N-A</t>
        </is>
      </c>
      <c r="G195" s="48" t="inlineStr">
        <is>
          <t>Pass</t>
        </is>
      </c>
      <c r="H195" s="50" t="inlineStr">
        <is>
          <t>script không dùng ROW_NUMBER, và MAX_BY (nếu có) không vượt quá 5 cột/khối</t>
        </is>
      </c>
      <c r="I1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5" s="48" t="inlineStr">
        <is>
          <t>008. OCB_GOLD_TCKH_V_CUST_STATUS_BAOANH.xlsx [Script: V_CUST_STATUS]</t>
        </is>
      </c>
    </row>
    <row r="196">
      <c r="A196" s="48" t="inlineStr">
        <is>
          <t>TCKH.V_CUST_STATUS</t>
        </is>
      </c>
      <c r="B196" s="48" t="inlineStr">
        <is>
          <t>GOLD_DERIVED</t>
        </is>
      </c>
      <c r="C196" s="48" t="inlineStr">
        <is>
          <t>3.6</t>
        </is>
      </c>
      <c r="D196" s="48" t="inlineStr">
        <is>
          <t>Nhom 3 - Optimization</t>
        </is>
      </c>
      <c r="E196" s="48" t="inlineStr">
        <is>
          <t>Không lạm dụng window function; có comment khi dùng</t>
        </is>
      </c>
      <c r="F196" s="48" t="inlineStr">
        <is>
          <t>N-A</t>
        </is>
      </c>
      <c r="G196" s="48" t="inlineStr">
        <is>
          <t>Pass</t>
        </is>
      </c>
      <c r="H196" s="50" t="inlineStr">
        <is>
          <t>script không dùng window function</t>
        </is>
      </c>
      <c r="I196" s="50" t="inlineStr">
        <is>
          <t>Mỗi window function cần một comment ngay trên khối CTE chứa nó, nói rõ vì sao không dùng được max_by/QUALIFY đơn giản hơn.</t>
        </is>
      </c>
      <c r="J196" s="48" t="inlineStr">
        <is>
          <t>008. OCB_GOLD_TCKH_V_CUST_STATUS_BAOANH.xlsx [Script: V_CUST_STATUS]</t>
        </is>
      </c>
    </row>
    <row r="197">
      <c r="A197" s="48" t="inlineStr">
        <is>
          <t>TCKH.V_CUST_STATUS</t>
        </is>
      </c>
      <c r="B197" s="48" t="inlineStr">
        <is>
          <t>GOLD_DERIVED</t>
        </is>
      </c>
      <c r="C197" s="48" t="inlineStr">
        <is>
          <t>X.1</t>
        </is>
      </c>
      <c r="D197" s="48" t="inlineStr">
        <is>
          <t>Nhom X - Bo sung Raffles</t>
        </is>
      </c>
      <c r="E197" s="48" t="inlineStr">
        <is>
          <t>[Bổ sung] Link phải rút về current trước khi join (chống fan-out)</t>
        </is>
      </c>
      <c r="F197" s="48" t="inlineStr">
        <is>
          <t>N-A</t>
        </is>
      </c>
      <c r="G197" s="48" t="inlineStr">
        <is>
          <t>Pass</t>
        </is>
      </c>
      <c r="H197" s="50" t="inlineStr">
        <is>
          <t>khong ap dung cho profile GOLD_DERIVED</t>
        </is>
      </c>
      <c r="I1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7" s="48" t="inlineStr">
        <is>
          <t>008. OCB_GOLD_TCKH_V_CUST_STATUS_BAOANH.xlsx [Script: V_CUST_STATUS]</t>
        </is>
      </c>
    </row>
    <row r="198">
      <c r="A198" s="48" t="inlineStr">
        <is>
          <t>TCKH.V_CUST_STATUS</t>
        </is>
      </c>
      <c r="B198" s="48" t="inlineStr">
        <is>
          <t>GOLD_DERIVED</t>
        </is>
      </c>
      <c r="C198" s="48" t="inlineStr">
        <is>
          <t>X.6</t>
        </is>
      </c>
      <c r="D198" s="48" t="inlineStr">
        <is>
          <t>Nhom X - Bo sung Raffles</t>
        </is>
      </c>
      <c r="E198" s="48" t="inlineStr">
        <is>
          <t>[Bổ sung] Satellite phải LEFT JOIN, không INNER JOIN</t>
        </is>
      </c>
      <c r="F198" s="48" t="inlineStr">
        <is>
          <t>N-A</t>
        </is>
      </c>
      <c r="G198" s="48" t="inlineStr">
        <is>
          <t>Pass</t>
        </is>
      </c>
      <c r="H198" s="50" t="inlineStr">
        <is>
          <t>khong ap dung cho profile GOLD_DERIVED</t>
        </is>
      </c>
      <c r="I198" s="50" t="inlineStr">
        <is>
          <t>Technical Document III.4.2.2 nguyên tắc 1: làm giàu thuộc tính luôn dùng LEFT JOIN. INNER JOIN satellite sẽ loại mất bản ghi Hub đang còn hiệu lực nhưng chưa có dòng satellite.</t>
        </is>
      </c>
      <c r="J198" s="48" t="inlineStr">
        <is>
          <t>008. OCB_GOLD_TCKH_V_CUST_STATUS_BAOANH.xlsx [Script: V_CUST_STATUS]</t>
        </is>
      </c>
    </row>
    <row r="199">
      <c r="A199" s="48" t="inlineStr">
        <is>
          <t>TCKH.V_CUST_STATUS</t>
        </is>
      </c>
      <c r="B199" s="48" t="inlineStr">
        <is>
          <t>GOLD_DERIVED</t>
        </is>
      </c>
      <c r="C199" s="48" t="inlineStr">
        <is>
          <t>X.7</t>
        </is>
      </c>
      <c r="D199" s="48" t="inlineStr">
        <is>
          <t>Nhom X - Bo sung Raffles</t>
        </is>
      </c>
      <c r="E199" s="48" t="inlineStr">
        <is>
          <t>[Bổ sung] Không hard-code catalog, dùng biến môi trường</t>
        </is>
      </c>
      <c r="F199" s="49" t="inlineStr">
        <is>
          <t>PASS</t>
        </is>
      </c>
      <c r="G199" s="48" t="inlineStr">
        <is>
          <t>Pass</t>
        </is>
      </c>
      <c r="H199" s="50" t="inlineStr">
        <is>
          <t>dùng biến môi trường cho catalog</t>
        </is>
      </c>
      <c r="I1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9" s="48" t="inlineStr">
        <is>
          <t>008. OCB_GOLD_TCKH_V_CUST_STATUS_BAOANH.xlsx [Script: V_CUST_STATUS]</t>
        </is>
      </c>
    </row>
    <row r="200">
      <c r="A200" s="48" t="inlineStr">
        <is>
          <t>TCKH.V_CUST_STATUS</t>
        </is>
      </c>
      <c r="B200" s="48" t="inlineStr">
        <is>
          <t>GOLD_DERIVED</t>
        </is>
      </c>
      <c r="C200" s="48" t="inlineStr">
        <is>
          <t>X.10</t>
        </is>
      </c>
      <c r="D200" s="48" t="inlineStr">
        <is>
          <t>Nhom X - Bo sung Raffles</t>
        </is>
      </c>
      <c r="E200" s="48" t="inlineStr">
        <is>
          <t>Bang raw_vault/business_vault duoc doc phai TON TAI THAT trong Data Vault model</t>
        </is>
      </c>
      <c r="F200" s="48" t="inlineStr">
        <is>
          <t>N-A</t>
        </is>
      </c>
      <c r="G200" s="48" t="inlineStr">
        <is>
          <t>Pass</t>
        </is>
      </c>
      <c r="H200" s="50" t="inlineStr">
        <is>
          <t>script không đọc bảng raw_vault/business_vault nào</t>
        </is>
      </c>
      <c r="I200" s="50" t="inlineStr"/>
      <c r="J200" s="48" t="inlineStr">
        <is>
          <t>008. OCB_GOLD_TCKH_V_CUST_STATUS_BAOANH.xlsx [Script: V_CUST_STATUS]</t>
        </is>
      </c>
    </row>
    <row r="201">
      <c r="A201" s="48" t="inlineStr">
        <is>
          <t>TCKH.V_CUST_STATUS</t>
        </is>
      </c>
      <c r="B201" s="48" t="inlineStr">
        <is>
          <t>GOLD_DERIVED</t>
        </is>
      </c>
      <c r="C201" s="48" t="inlineStr">
        <is>
          <t>X.11</t>
        </is>
      </c>
      <c r="D201" s="48" t="inlineStr">
        <is>
          <t>Nhom X - Bo sung Raffles</t>
        </is>
      </c>
      <c r="E201" s="48" t="inlineStr">
        <is>
          <t>Cot doc tu satellite (sat_*) phai TON TAI THAT trong model</t>
        </is>
      </c>
      <c r="F201" s="48" t="inlineStr">
        <is>
          <t>N-A</t>
        </is>
      </c>
      <c r="G201" s="48" t="inlineStr">
        <is>
          <t>Pass</t>
        </is>
      </c>
      <c r="H201" s="50" t="inlineStr">
        <is>
          <t>không có bảng sat_* nào đủ điều kiện đối chiếu (Select chỉ đọc 1 bảng)</t>
        </is>
      </c>
      <c r="I201" s="50" t="inlineStr"/>
      <c r="J201" s="48" t="inlineStr">
        <is>
          <t>008. OCB_GOLD_TCKH_V_CUST_STATUS_BAOANH.xlsx [Script: V_CUST_STATUS]</t>
        </is>
      </c>
    </row>
    <row r="202">
      <c r="A202" s="48" t="inlineStr">
        <is>
          <t>TCKH.V_CUST_STATUS_NEW</t>
        </is>
      </c>
      <c r="B202" s="48" t="inlineStr">
        <is>
          <t>GOLD_DERIVED</t>
        </is>
      </c>
      <c r="C202" s="48" t="inlineStr">
        <is>
          <t>1.1</t>
        </is>
      </c>
      <c r="D202" s="48" t="inlineStr">
        <is>
          <t>Nhom 1 - Mapping</t>
        </is>
      </c>
      <c r="E202" s="48" t="inlineStr">
        <is>
          <t>Đầy đủ mapping từ Silver/manual sang Gold</t>
        </is>
      </c>
      <c r="F202" s="49" t="inlineStr">
        <is>
          <t>PASS</t>
        </is>
      </c>
      <c r="G202" s="48" t="inlineStr">
        <is>
          <t>Pass</t>
        </is>
      </c>
      <c r="H202" s="50" t="inlineStr">
        <is>
          <t>workbook 009. OCB_GOLD_TCKH_V_CUST_STATUS_NEW_BAOANH.xlsx: thiết kế 28 field, SQL có 28 cột</t>
        </is>
      </c>
      <c r="I2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2" s="48" t="inlineStr">
        <is>
          <t>009. OCB_GOLD_TCKH_V_CUST_STATUS_NEW_BAOANH.xlsx [Script: V_CUST_STATUS_NEW]</t>
        </is>
      </c>
    </row>
    <row r="203">
      <c r="A203" s="48" t="inlineStr">
        <is>
          <t>TCKH.V_CUST_STATUS_NEW</t>
        </is>
      </c>
      <c r="B203" s="48" t="inlineStr">
        <is>
          <t>GOLD_DERIVED</t>
        </is>
      </c>
      <c r="C203" s="48" t="inlineStr">
        <is>
          <t>1.2</t>
        </is>
      </c>
      <c r="D203" s="48" t="inlineStr">
        <is>
          <t>Nhom 1 - Mapping</t>
        </is>
      </c>
      <c r="E203" s="48" t="inlineStr">
        <is>
          <t>Danh sách bảng/view Gold khớp tài liệu thiết kế đã duyệt</t>
        </is>
      </c>
      <c r="F203" s="49" t="inlineStr">
        <is>
          <t>PASS</t>
        </is>
      </c>
      <c r="G203" s="48" t="inlineStr">
        <is>
          <t>Pass</t>
        </is>
      </c>
      <c r="H203" s="50" t="inlineStr">
        <is>
          <t>V_CUST_STATUS_NEW có workbook thiết kế: 009. OCB_GOLD_TCKH_V_CUST_STATUS_NEW_BAOANH.xlsx</t>
        </is>
      </c>
      <c r="I203" s="50" t="inlineStr">
        <is>
          <t>Đảm bảo object có workbook thiết kế tương ứng trong thư mục --mapping-dir. Muốn đối chiếu với danh sách đã duyệt thì chạy thêm tham số --gold-list "&lt;file danh sách Gold&gt;.xlsx".</t>
        </is>
      </c>
      <c r="J203" s="48" t="inlineStr">
        <is>
          <t>009. OCB_GOLD_TCKH_V_CUST_STATUS_NEW_BAOANH.xlsx [Script: V_CUST_STATUS_NEW]</t>
        </is>
      </c>
    </row>
    <row r="204">
      <c r="A204" s="48" t="inlineStr">
        <is>
          <t>TCKH.V_CUST_STATUS_NEW</t>
        </is>
      </c>
      <c r="B204" s="48" t="inlineStr">
        <is>
          <t>GOLD_DERIVED</t>
        </is>
      </c>
      <c r="C204" s="48" t="inlineStr">
        <is>
          <t>2.1</t>
        </is>
      </c>
      <c r="D204" s="48" t="inlineStr">
        <is>
          <t>Nhom 2 - Logic</t>
        </is>
      </c>
      <c r="E204" s="48" t="inlineStr">
        <is>
          <t>Chỉ lấy bản ghi active, loại bản ghi đã xóa (qua sts_hub)</t>
        </is>
      </c>
      <c r="F204" s="48" t="inlineStr">
        <is>
          <t>N-A</t>
        </is>
      </c>
      <c r="G204" s="48" t="inlineStr">
        <is>
          <t>Pass</t>
        </is>
      </c>
      <c r="H204" s="50" t="inlineStr">
        <is>
          <t>khong ap dung cho profile GOLD_DERIVED</t>
        </is>
      </c>
      <c r="I2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4" s="48" t="inlineStr">
        <is>
          <t>009. OCB_GOLD_TCKH_V_CUST_STATUS_NEW_BAOANH.xlsx [Script: V_CUST_STATUS_NEW]</t>
        </is>
      </c>
    </row>
    <row r="205">
      <c r="A205" s="48" t="inlineStr">
        <is>
          <t>TCKH.V_CUST_STATUS_NEW</t>
        </is>
      </c>
      <c r="B205" s="48" t="inlineStr">
        <is>
          <t>GOLD_DERIVED</t>
        </is>
      </c>
      <c r="C205" s="48" t="inlineStr">
        <is>
          <t>2.2</t>
        </is>
      </c>
      <c r="D205" s="48" t="inlineStr">
        <is>
          <t>Nhom 2 - Logic</t>
        </is>
      </c>
      <c r="E205" s="48" t="inlineStr">
        <is>
          <t>Thống nhất MỘT pattern duy nhất xác định bản ghi active mới nhất</t>
        </is>
      </c>
      <c r="F205" s="48" t="inlineStr">
        <is>
          <t>N-A</t>
        </is>
      </c>
      <c r="G205" s="48" t="inlineStr">
        <is>
          <t>Pass</t>
        </is>
      </c>
      <c r="H205" s="50" t="inlineStr">
        <is>
          <t>khong ap dung cho profile GOLD_DERIVED</t>
        </is>
      </c>
      <c r="I2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5" s="48" t="inlineStr">
        <is>
          <t>009. OCB_GOLD_TCKH_V_CUST_STATUS_NEW_BAOANH.xlsx [Script: V_CUST_STATUS_NEW]</t>
        </is>
      </c>
    </row>
    <row r="206">
      <c r="A206" s="48" t="inlineStr">
        <is>
          <t>TCKH.V_CUST_STATUS_NEW</t>
        </is>
      </c>
      <c r="B206" s="48" t="inlineStr">
        <is>
          <t>GOLD_DERIVED</t>
        </is>
      </c>
      <c r="C206" s="48" t="inlineStr">
        <is>
          <t>2.3</t>
        </is>
      </c>
      <c r="D206" s="48" t="inlineStr">
        <is>
          <t>Nhom 2 - Logic</t>
        </is>
      </c>
      <c r="E206" s="48" t="inlineStr">
        <is>
          <t>Điều kiện lọc trạng thái đặt SAU khi xác định bản ghi mới nhất</t>
        </is>
      </c>
      <c r="F206" s="49" t="inlineStr">
        <is>
          <t>PASS</t>
        </is>
      </c>
      <c r="G206" s="48" t="inlineStr">
        <is>
          <t>Pass</t>
        </is>
      </c>
      <c r="H206" s="50" t="inlineStr">
        <is>
          <t>không có điều kiện trạng thái nào lồng trong JOIN ON</t>
        </is>
      </c>
      <c r="I2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6" s="48" t="inlineStr">
        <is>
          <t>009. OCB_GOLD_TCKH_V_CUST_STATUS_NEW_BAOANH.xlsx [Script: V_CUST_STATUS_NEW]</t>
        </is>
      </c>
    </row>
    <row r="207">
      <c r="A207" s="48" t="inlineStr">
        <is>
          <t>TCKH.V_CUST_STATUS_NEW</t>
        </is>
      </c>
      <c r="B207" s="48" t="inlineStr">
        <is>
          <t>GOLD_DERIVED</t>
        </is>
      </c>
      <c r="C207" s="48" t="inlineStr">
        <is>
          <t>2.4</t>
        </is>
      </c>
      <c r="D207" s="48" t="inlineStr">
        <is>
          <t>Nhom 2 - Logic</t>
        </is>
      </c>
      <c r="E207" s="48" t="inlineStr">
        <is>
          <t>source_event_date áp dụng đúng dạng theo loại bảng</t>
        </is>
      </c>
      <c r="F207" s="48" t="inlineStr">
        <is>
          <t>N-A</t>
        </is>
      </c>
      <c r="G207" s="48" t="inlineStr">
        <is>
          <t>Pass</t>
        </is>
      </c>
      <c r="H207" s="50" t="inlineStr">
        <is>
          <t>khong ap dung cho profile GOLD_DERIVED</t>
        </is>
      </c>
      <c r="I2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7" s="48" t="inlineStr">
        <is>
          <t>009. OCB_GOLD_TCKH_V_CUST_STATUS_NEW_BAOANH.xlsx [Script: V_CUST_STATUS_NEW]</t>
        </is>
      </c>
    </row>
    <row r="208">
      <c r="A208" s="48" t="inlineStr">
        <is>
          <t>TCKH.V_CUST_STATUS_NEW</t>
        </is>
      </c>
      <c r="B208" s="48" t="inlineStr">
        <is>
          <t>GOLD_DERIVED</t>
        </is>
      </c>
      <c r="C208" s="48" t="inlineStr">
        <is>
          <t>2.5</t>
        </is>
      </c>
      <c r="D208" s="48" t="inlineStr">
        <is>
          <t>Nhom 2 - Logic</t>
        </is>
      </c>
      <c r="E208" s="48" t="inlineStr">
        <is>
          <t>Không lặp lại lỗi logic cũ đã được DA Data Vault fix</t>
        </is>
      </c>
      <c r="F208" s="49" t="inlineStr">
        <is>
          <t>PASS</t>
        </is>
      </c>
      <c r="G208" s="48" t="inlineStr">
        <is>
          <t>Pass</t>
        </is>
      </c>
      <c r="H208" s="50" t="inlineStr">
        <is>
          <t>không trùng lỗi nào trong Issue log của DA Data Vault</t>
        </is>
      </c>
      <c r="I2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8" s="48" t="inlineStr">
        <is>
          <t>009. OCB_GOLD_TCKH_V_CUST_STATUS_NEW_BAOANH.xlsx [Script: V_CUST_STATUS_NEW]</t>
        </is>
      </c>
    </row>
    <row r="209">
      <c r="A209" s="48" t="inlineStr">
        <is>
          <t>TCKH.V_CUST_STATUS_NEW</t>
        </is>
      </c>
      <c r="B209" s="48" t="inlineStr">
        <is>
          <t>GOLD_DERIVED</t>
        </is>
      </c>
      <c r="C209" s="48" t="inlineStr">
        <is>
          <t>2.6</t>
        </is>
      </c>
      <c r="D209" s="48" t="inlineStr">
        <is>
          <t>Nhom 2 - Logic</t>
        </is>
      </c>
      <c r="E209" s="48" t="inlineStr">
        <is>
          <t>SCD Type 2 cho bảng DIM áp dụng đúng kỹ thuật đã thống nhất</t>
        </is>
      </c>
      <c r="F209" s="48" t="inlineStr">
        <is>
          <t>N-A</t>
        </is>
      </c>
      <c r="G209" s="48" t="inlineStr">
        <is>
          <t>Pass</t>
        </is>
      </c>
      <c r="H209" s="50" t="inlineStr">
        <is>
          <t>object không phải bảng DIM nên không áp dụng SCD Type 2</t>
        </is>
      </c>
      <c r="I2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9" s="48" t="inlineStr">
        <is>
          <t>009. OCB_GOLD_TCKH_V_CUST_STATUS_NEW_BAOANH.xlsx [Script: V_CUST_STATUS_NEW]</t>
        </is>
      </c>
    </row>
    <row r="210">
      <c r="A210" s="48" t="inlineStr">
        <is>
          <t>TCKH.V_CUST_STATUS_NEW</t>
        </is>
      </c>
      <c r="B210" s="48" t="inlineStr">
        <is>
          <t>GOLD_DERIVED</t>
        </is>
      </c>
      <c r="C210" s="48" t="inlineStr">
        <is>
          <t>2.7</t>
        </is>
      </c>
      <c r="D210" s="48" t="inlineStr">
        <is>
          <t>Nhom 2 - Logic</t>
        </is>
      </c>
      <c r="E210" s="48" t="inlineStr">
        <is>
          <t>CASE WHEN cover đủ nhánh như job on-prem</t>
        </is>
      </c>
      <c r="F210" s="48" t="inlineStr">
        <is>
          <t>N-A</t>
        </is>
      </c>
      <c r="G210" s="48" t="inlineStr">
        <is>
          <t>Pass</t>
        </is>
      </c>
      <c r="H210" s="50" t="inlineStr">
        <is>
          <t>script không có CASE WHEN nào</t>
        </is>
      </c>
      <c r="I210" s="50" t="inlineStr">
        <is>
          <t>Mở job on-prem tương ứng (DataStage DSX hoặc SQL cũ), đối chiếu từng nhánh WHEN và cả nhánh ELSE. CASE không có ELSE sẽ trả NULL âm thầm — xác nhận đó là ý muốn hay thiếu nhánh.</t>
        </is>
      </c>
      <c r="J210" s="48" t="inlineStr">
        <is>
          <t>009. OCB_GOLD_TCKH_V_CUST_STATUS_NEW_BAOANH.xlsx [Script: V_CUST_STATUS_NEW]</t>
        </is>
      </c>
    </row>
    <row r="211">
      <c r="A211" s="48" t="inlineStr">
        <is>
          <t>TCKH.V_CUST_STATUS_NEW</t>
        </is>
      </c>
      <c r="B211" s="48" t="inlineStr">
        <is>
          <t>GOLD_DERIVED</t>
        </is>
      </c>
      <c r="C211" s="48" t="inlineStr">
        <is>
          <t>2.8</t>
        </is>
      </c>
      <c r="D211" s="48" t="inlineStr">
        <is>
          <t>Nhom 2 - Logic</t>
        </is>
      </c>
      <c r="E211" s="48" t="inlineStr">
        <is>
          <t>Cột SUM/COUNT được COALESCE/NVL hợp lý</t>
        </is>
      </c>
      <c r="F211" s="49" t="inlineStr">
        <is>
          <t>PASS</t>
        </is>
      </c>
      <c r="G211" s="48" t="inlineStr">
        <is>
          <t>Pass</t>
        </is>
      </c>
      <c r="H211" s="50" t="inlineStr">
        <is>
          <t>mọi SUM/COUNT đều đã coalesce (trực tiếp hoặc ở lớp ngoài)</t>
        </is>
      </c>
      <c r="I2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1" s="48" t="inlineStr">
        <is>
          <t>009. OCB_GOLD_TCKH_V_CUST_STATUS_NEW_BAOANH.xlsx [Script: V_CUST_STATUS_NEW]</t>
        </is>
      </c>
    </row>
    <row r="212">
      <c r="A212" s="48" t="inlineStr">
        <is>
          <t>TCKH.V_CUST_STATUS_NEW</t>
        </is>
      </c>
      <c r="B212" s="48" t="inlineStr">
        <is>
          <t>GOLD_DERIVED</t>
        </is>
      </c>
      <c r="C212" s="48" t="inlineStr">
        <is>
          <t>2.9</t>
        </is>
      </c>
      <c r="D212" s="48" t="inlineStr">
        <is>
          <t>Nhom 2 - Logic</t>
        </is>
      </c>
      <c r="E212" s="48" t="inlineStr">
        <is>
          <t>Subquery / custom function / điều kiện LIKE đúng ý nghĩa nghiệp vụ</t>
        </is>
      </c>
      <c r="F212" s="48" t="inlineStr">
        <is>
          <t>N-A</t>
        </is>
      </c>
      <c r="G212" s="48" t="inlineStr">
        <is>
          <t>Pass</t>
        </is>
      </c>
      <c r="H212" s="50" t="inlineStr">
        <is>
          <t>script không có điều kiện LIKE hay scalar subquery nào</t>
        </is>
      </c>
      <c r="I212" s="50" t="inlineStr">
        <is>
          <t>Đọc lại từng điều kiện LIKE và từng subquery, đối chiếu ý nghĩa nghiệp vụ với on-prem — đúng cú pháp không đủ. Chú ý pattern LIKE có ký tự % ở đầu/cuối và phân biệt chữ hoa/thường.</t>
        </is>
      </c>
      <c r="J212" s="48" t="inlineStr">
        <is>
          <t>009. OCB_GOLD_TCKH_V_CUST_STATUS_NEW_BAOANH.xlsx [Script: V_CUST_STATUS_NEW]</t>
        </is>
      </c>
    </row>
    <row r="213">
      <c r="A213" s="48" t="inlineStr">
        <is>
          <t>TCKH.V_CUST_STATUS_NEW</t>
        </is>
      </c>
      <c r="B213" s="48" t="inlineStr">
        <is>
          <t>GOLD_DERIVED</t>
        </is>
      </c>
      <c r="C213" s="48" t="inlineStr">
        <is>
          <t>2.10</t>
        </is>
      </c>
      <c r="D213" s="48" t="inlineStr">
        <is>
          <t>Nhom 2 - Logic</t>
        </is>
      </c>
      <c r="E213" s="48" t="inlineStr">
        <is>
          <t>Aggregation kèm filter date range chính xác</t>
        </is>
      </c>
      <c r="F213" s="49" t="inlineStr">
        <is>
          <t>PASS</t>
        </is>
      </c>
      <c r="G213" s="48" t="inlineStr">
        <is>
          <t>Pass</t>
        </is>
      </c>
      <c r="H213" s="50" t="inlineStr">
        <is>
          <t>mọi khối tổng hợp đều có điều kiện theo kỳ dữ liệu</t>
        </is>
      </c>
      <c r="I213" s="50" t="inlineStr">
        <is>
          <t>Mỗi khối SUM/COUNT/AVG phải có điều kiện lọc theo kỳ dữ liệu (CDR_DT_ID, DATA_DATE, :DATADT…). Nếu điều kiện nằm ở CTE nguồn thì ghi rõ trong comment để người review không phải truy ngược.</t>
        </is>
      </c>
      <c r="J213" s="48" t="inlineStr">
        <is>
          <t>009. OCB_GOLD_TCKH_V_CUST_STATUS_NEW_BAOANH.xlsx [Script: V_CUST_STATUS_NEW]</t>
        </is>
      </c>
    </row>
    <row r="214">
      <c r="A214" s="48" t="inlineStr">
        <is>
          <t>TCKH.V_CUST_STATUS_NEW</t>
        </is>
      </c>
      <c r="B214" s="48" t="inlineStr">
        <is>
          <t>GOLD_DERIVED</t>
        </is>
      </c>
      <c r="C214" s="48" t="inlineStr">
        <is>
          <t>2.11</t>
        </is>
      </c>
      <c r="D214" s="48" t="inlineStr">
        <is>
          <t>Nhom 2 - Logic</t>
        </is>
      </c>
      <c r="E214" s="48" t="inlineStr">
        <is>
          <t>Join dùng key hợp lý, không lạm dụng UNION ALL + EXISTS/NOT EXISTS</t>
        </is>
      </c>
      <c r="F214" s="49" t="inlineStr">
        <is>
          <t>PASS</t>
        </is>
      </c>
      <c r="G214" s="48" t="inlineStr">
        <is>
          <t>Pass</t>
        </is>
      </c>
      <c r="H214" s="50" t="inlineStr">
        <is>
          <t>join đều theo điều kiện bằng, không lạm dụng UNION ALL + EXISTS</t>
        </is>
      </c>
      <c r="I214" s="50" t="inlineStr">
        <is>
          <t>Ưu tiên LEFT JOIN theo business key hoặc hashkey. Xem lại các chỗ dùng UNION ALL kết hợp EXISTS/NOT EXISTS — thường thay được bằng một LEFT JOIN. Join không có điều kiện bằng (=) dễ tạo tích Descartes.</t>
        </is>
      </c>
      <c r="J214" s="48" t="inlineStr">
        <is>
          <t>009. OCB_GOLD_TCKH_V_CUST_STATUS_NEW_BAOANH.xlsx [Script: V_CUST_STATUS_NEW]</t>
        </is>
      </c>
    </row>
    <row r="215">
      <c r="A215" s="48" t="inlineStr">
        <is>
          <t>TCKH.V_CUST_STATUS_NEW</t>
        </is>
      </c>
      <c r="B215" s="48" t="inlineStr">
        <is>
          <t>GOLD_DERIVED</t>
        </is>
      </c>
      <c r="C215" s="48" t="inlineStr">
        <is>
          <t>2.12</t>
        </is>
      </c>
      <c r="D215" s="48" t="inlineStr">
        <is>
          <t>Nhom 2 - Logic</t>
        </is>
      </c>
      <c r="E215" s="48" t="inlineStr">
        <is>
          <t>Build Gold từ CTE snapshot Silver, không build nhiều tầng chồng chéo</t>
        </is>
      </c>
      <c r="F215" s="49" t="inlineStr">
        <is>
          <t>PASS</t>
        </is>
      </c>
      <c r="G215" s="48" t="inlineStr">
        <is>
          <t>Pass</t>
        </is>
      </c>
      <c r="H215" s="50" t="inlineStr">
        <is>
          <t>mỗi bảng nguồn chỉ đọc trong 1 khối SELECT</t>
        </is>
      </c>
      <c r="I2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5" s="48" t="inlineStr">
        <is>
          <t>009. OCB_GOLD_TCKH_V_CUST_STATUS_NEW_BAOANH.xlsx [Script: V_CUST_STATUS_NEW]</t>
        </is>
      </c>
    </row>
    <row r="216">
      <c r="A216" s="48" t="inlineStr">
        <is>
          <t>TCKH.V_CUST_STATUS_NEW</t>
        </is>
      </c>
      <c r="B216" s="48" t="inlineStr">
        <is>
          <t>GOLD_DERIVED</t>
        </is>
      </c>
      <c r="C216" s="48" t="inlineStr">
        <is>
          <t>3.1</t>
        </is>
      </c>
      <c r="D216" s="48" t="inlineStr">
        <is>
          <t>Nhom 3 - Optimization</t>
        </is>
      </c>
      <c r="E216" s="48" t="inlineStr">
        <is>
          <t>Không SELECT *</t>
        </is>
      </c>
      <c r="F216" s="49" t="inlineStr">
        <is>
          <t>PASS</t>
        </is>
      </c>
      <c r="G216" s="48" t="inlineStr">
        <is>
          <t>Pass</t>
        </is>
      </c>
      <c r="H216" s="50" t="inlineStr">
        <is>
          <t>không dùng SELECT * ở đâu</t>
        </is>
      </c>
      <c r="I216" s="50" t="inlineStr">
        <is>
          <t>Liệt kê tường minh các cột cần dùng, kể cả trong CTE trung gian. SELECT * làm tăng IO/memory và vỡ script khi bảng nguồn thêm cột.</t>
        </is>
      </c>
      <c r="J216" s="48" t="inlineStr">
        <is>
          <t>009. OCB_GOLD_TCKH_V_CUST_STATUS_NEW_BAOANH.xlsx [Script: V_CUST_STATUS_NEW]</t>
        </is>
      </c>
    </row>
    <row r="217">
      <c r="A217" s="48" t="inlineStr">
        <is>
          <t>TCKH.V_CUST_STATUS_NEW</t>
        </is>
      </c>
      <c r="B217" s="48" t="inlineStr">
        <is>
          <t>GOLD_DERIVED</t>
        </is>
      </c>
      <c r="C217" s="48" t="inlineStr">
        <is>
          <t>3.2</t>
        </is>
      </c>
      <c r="D217" s="48" t="inlineStr">
        <is>
          <t>Nhom 3 - Optimization</t>
        </is>
      </c>
      <c r="E217" s="48" t="inlineStr">
        <is>
          <t>CTE không bị scan lại nhiều lần</t>
        </is>
      </c>
      <c r="F217" s="49" t="inlineStr">
        <is>
          <t>PASS</t>
        </is>
      </c>
      <c r="G217" s="48" t="inlineStr">
        <is>
          <t>Pass</t>
        </is>
      </c>
      <c r="H217" s="50" t="inlineStr">
        <is>
          <t>không có CTE nào bị gọi lại</t>
        </is>
      </c>
      <c r="I217" s="50" t="inlineStr">
        <is>
          <t>Với CTE nặng (đọc nhiều bảng Silver) bị tham chiếu từ 2 chỗ trở lên: gom lại còn một lần dùng, hoặc vật chất hóa (CACHE / bảng tạm). CTE nhẹ chỉ chứa tham số thì bỏ qua được — tự tick Pass.</t>
        </is>
      </c>
      <c r="J217" s="48" t="inlineStr">
        <is>
          <t>009. OCB_GOLD_TCKH_V_CUST_STATUS_NEW_BAOANH.xlsx [Script: V_CUST_STATUS_NEW]</t>
        </is>
      </c>
    </row>
    <row r="218">
      <c r="A218" s="48" t="inlineStr">
        <is>
          <t>TCKH.V_CUST_STATUS_NEW</t>
        </is>
      </c>
      <c r="B218" s="48" t="inlineStr">
        <is>
          <t>GOLD_DERIVED</t>
        </is>
      </c>
      <c r="C218" s="48" t="inlineStr">
        <is>
          <t>3.3</t>
        </is>
      </c>
      <c r="D218" s="48" t="inlineStr">
        <is>
          <t>Nhom 3 - Optimization</t>
        </is>
      </c>
      <c r="E218" s="48" t="inlineStr">
        <is>
          <t>Filter trước khi join, tận dụng partition pruning</t>
        </is>
      </c>
      <c r="F218" s="49" t="inlineStr">
        <is>
          <t>PASS</t>
        </is>
      </c>
      <c r="G218" s="48" t="inlineStr">
        <is>
          <t>Pass</t>
        </is>
      </c>
      <c r="H218" s="50" t="inlineStr">
        <is>
          <t>các bảng join đều được filter trước</t>
        </is>
      </c>
      <c r="I218" s="50" t="inlineStr">
        <is>
          <t>Đưa điều kiện lọc (ngày dữ liệu, trạng thái) vào subquery của từng bảng TRƯỚC khi join, để tận dụng partition pruning. Bảng dim nhỏ không partition thì không cần — tự tick Pass.</t>
        </is>
      </c>
      <c r="J218" s="48" t="inlineStr">
        <is>
          <t>009. OCB_GOLD_TCKH_V_CUST_STATUS_NEW_BAOANH.xlsx [Script: V_CUST_STATUS_NEW]</t>
        </is>
      </c>
    </row>
    <row r="219">
      <c r="A219" s="48" t="inlineStr">
        <is>
          <t>TCKH.V_CUST_STATUS_NEW</t>
        </is>
      </c>
      <c r="B219" s="48" t="inlineStr">
        <is>
          <t>GOLD_DERIVED</t>
        </is>
      </c>
      <c r="C219" s="48" t="inlineStr">
        <is>
          <t>3.4</t>
        </is>
      </c>
      <c r="D219" s="48" t="inlineStr">
        <is>
          <t>Nhom 3 - Optimization</t>
        </is>
      </c>
      <c r="E219" s="48" t="inlineStr">
        <is>
          <t>Sử dụng CACHE cho query lặp lại trong cùng luồng</t>
        </is>
      </c>
      <c r="F219" s="48" t="inlineStr">
        <is>
          <t>N-A</t>
        </is>
      </c>
      <c r="G219" s="48" t="inlineStr">
        <is>
          <t>Pass</t>
        </is>
      </c>
      <c r="H219" s="50" t="inlineStr">
        <is>
          <t>không có kết quả nào được dùng lại nhiều lần nên chưa cần CACHE</t>
        </is>
      </c>
      <c r="I219" s="50" t="inlineStr">
        <is>
          <t>Nếu một kết quả nặng được dùng lại nhiều bước trong cùng luồng, thêm CACHE TABLE / CACHE SELECT. Kết quả nhỏ thì cache còn chậm hơn — tự tick Pass.</t>
        </is>
      </c>
      <c r="J219" s="48" t="inlineStr">
        <is>
          <t>009. OCB_GOLD_TCKH_V_CUST_STATUS_NEW_BAOANH.xlsx [Script: V_CUST_STATUS_NEW]</t>
        </is>
      </c>
    </row>
    <row r="220">
      <c r="A220" s="48" t="inlineStr">
        <is>
          <t>TCKH.V_CUST_STATUS_NEW</t>
        </is>
      </c>
      <c r="B220" s="48" t="inlineStr">
        <is>
          <t>GOLD_DERIVED</t>
        </is>
      </c>
      <c r="C220" s="48" t="inlineStr">
        <is>
          <t>3.5</t>
        </is>
      </c>
      <c r="D220" s="48" t="inlineStr">
        <is>
          <t>Nhom 3 - Optimization</t>
        </is>
      </c>
      <c r="E220" s="48" t="inlineStr">
        <is>
          <t>Ưu tiên MAX_BY + QUALIFY thay ROW_NUMBER() + WHERE rn = 1</t>
        </is>
      </c>
      <c r="F220" s="48" t="inlineStr">
        <is>
          <t>N-A</t>
        </is>
      </c>
      <c r="G220" s="48" t="inlineStr">
        <is>
          <t>Pass</t>
        </is>
      </c>
      <c r="H220" s="50" t="inlineStr">
        <is>
          <t>script không dùng ROW_NUMBER, và MAX_BY (nếu có) không vượt quá 5 cột/khối</t>
        </is>
      </c>
      <c r="I2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0" s="48" t="inlineStr">
        <is>
          <t>009. OCB_GOLD_TCKH_V_CUST_STATUS_NEW_BAOANH.xlsx [Script: V_CUST_STATUS_NEW]</t>
        </is>
      </c>
    </row>
    <row r="221">
      <c r="A221" s="48" t="inlineStr">
        <is>
          <t>TCKH.V_CUST_STATUS_NEW</t>
        </is>
      </c>
      <c r="B221" s="48" t="inlineStr">
        <is>
          <t>GOLD_DERIVED</t>
        </is>
      </c>
      <c r="C221" s="48" t="inlineStr">
        <is>
          <t>3.6</t>
        </is>
      </c>
      <c r="D221" s="48" t="inlineStr">
        <is>
          <t>Nhom 3 - Optimization</t>
        </is>
      </c>
      <c r="E221" s="48" t="inlineStr">
        <is>
          <t>Không lạm dụng window function; có comment khi dùng</t>
        </is>
      </c>
      <c r="F221" s="48" t="inlineStr">
        <is>
          <t>N-A</t>
        </is>
      </c>
      <c r="G221" s="48" t="inlineStr">
        <is>
          <t>Pass</t>
        </is>
      </c>
      <c r="H221" s="50" t="inlineStr">
        <is>
          <t>script không dùng window function</t>
        </is>
      </c>
      <c r="I221" s="50" t="inlineStr">
        <is>
          <t>Mỗi window function cần một comment ngay trên khối CTE chứa nó, nói rõ vì sao không dùng được max_by/QUALIFY đơn giản hơn.</t>
        </is>
      </c>
      <c r="J221" s="48" t="inlineStr">
        <is>
          <t>009. OCB_GOLD_TCKH_V_CUST_STATUS_NEW_BAOANH.xlsx [Script: V_CUST_STATUS_NEW]</t>
        </is>
      </c>
    </row>
    <row r="222">
      <c r="A222" s="48" t="inlineStr">
        <is>
          <t>TCKH.V_CUST_STATUS_NEW</t>
        </is>
      </c>
      <c r="B222" s="48" t="inlineStr">
        <is>
          <t>GOLD_DERIVED</t>
        </is>
      </c>
      <c r="C222" s="48" t="inlineStr">
        <is>
          <t>X.1</t>
        </is>
      </c>
      <c r="D222" s="48" t="inlineStr">
        <is>
          <t>Nhom X - Bo sung Raffles</t>
        </is>
      </c>
      <c r="E222" s="48" t="inlineStr">
        <is>
          <t>[Bổ sung] Link phải rút về current trước khi join (chống fan-out)</t>
        </is>
      </c>
      <c r="F222" s="48" t="inlineStr">
        <is>
          <t>N-A</t>
        </is>
      </c>
      <c r="G222" s="48" t="inlineStr">
        <is>
          <t>Pass</t>
        </is>
      </c>
      <c r="H222" s="50" t="inlineStr">
        <is>
          <t>khong ap dung cho profile GOLD_DERIVED</t>
        </is>
      </c>
      <c r="I2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2" s="48" t="inlineStr">
        <is>
          <t>009. OCB_GOLD_TCKH_V_CUST_STATUS_NEW_BAOANH.xlsx [Script: V_CUST_STATUS_NEW]</t>
        </is>
      </c>
    </row>
    <row r="223">
      <c r="A223" s="48" t="inlineStr">
        <is>
          <t>TCKH.V_CUST_STATUS_NEW</t>
        </is>
      </c>
      <c r="B223" s="48" t="inlineStr">
        <is>
          <t>GOLD_DERIVED</t>
        </is>
      </c>
      <c r="C223" s="48" t="inlineStr">
        <is>
          <t>X.6</t>
        </is>
      </c>
      <c r="D223" s="48" t="inlineStr">
        <is>
          <t>Nhom X - Bo sung Raffles</t>
        </is>
      </c>
      <c r="E223" s="48" t="inlineStr">
        <is>
          <t>[Bổ sung] Satellite phải LEFT JOIN, không INNER JOIN</t>
        </is>
      </c>
      <c r="F223" s="48" t="inlineStr">
        <is>
          <t>N-A</t>
        </is>
      </c>
      <c r="G223" s="48" t="inlineStr">
        <is>
          <t>Pass</t>
        </is>
      </c>
      <c r="H223" s="50" t="inlineStr">
        <is>
          <t>khong ap dung cho profile GOLD_DERIVED</t>
        </is>
      </c>
      <c r="I223" s="50" t="inlineStr">
        <is>
          <t>Technical Document III.4.2.2 nguyên tắc 1: làm giàu thuộc tính luôn dùng LEFT JOIN. INNER JOIN satellite sẽ loại mất bản ghi Hub đang còn hiệu lực nhưng chưa có dòng satellite.</t>
        </is>
      </c>
      <c r="J223" s="48" t="inlineStr">
        <is>
          <t>009. OCB_GOLD_TCKH_V_CUST_STATUS_NEW_BAOANH.xlsx [Script: V_CUST_STATUS_NEW]</t>
        </is>
      </c>
    </row>
    <row r="224">
      <c r="A224" s="48" t="inlineStr">
        <is>
          <t>TCKH.V_CUST_STATUS_NEW</t>
        </is>
      </c>
      <c r="B224" s="48" t="inlineStr">
        <is>
          <t>GOLD_DERIVED</t>
        </is>
      </c>
      <c r="C224" s="48" t="inlineStr">
        <is>
          <t>X.7</t>
        </is>
      </c>
      <c r="D224" s="48" t="inlineStr">
        <is>
          <t>Nhom X - Bo sung Raffles</t>
        </is>
      </c>
      <c r="E224" s="48" t="inlineStr">
        <is>
          <t>[Bổ sung] Không hard-code catalog, dùng biến môi trường</t>
        </is>
      </c>
      <c r="F224" s="49" t="inlineStr">
        <is>
          <t>PASS</t>
        </is>
      </c>
      <c r="G224" s="48" t="inlineStr">
        <is>
          <t>Pass</t>
        </is>
      </c>
      <c r="H224" s="50" t="inlineStr">
        <is>
          <t>dùng biến môi trường cho catalog</t>
        </is>
      </c>
      <c r="I2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24" s="48" t="inlineStr">
        <is>
          <t>009. OCB_GOLD_TCKH_V_CUST_STATUS_NEW_BAOANH.xlsx [Script: V_CUST_STATUS_NEW]</t>
        </is>
      </c>
    </row>
    <row r="225">
      <c r="A225" s="48" t="inlineStr">
        <is>
          <t>TCKH.V_CUST_STATUS_NEW</t>
        </is>
      </c>
      <c r="B225" s="48" t="inlineStr">
        <is>
          <t>GOLD_DERIVED</t>
        </is>
      </c>
      <c r="C225" s="48" t="inlineStr">
        <is>
          <t>X.10</t>
        </is>
      </c>
      <c r="D225" s="48" t="inlineStr">
        <is>
          <t>Nhom X - Bo sung Raffles</t>
        </is>
      </c>
      <c r="E225" s="48" t="inlineStr">
        <is>
          <t>Bang raw_vault/business_vault duoc doc phai TON TAI THAT trong Data Vault model</t>
        </is>
      </c>
      <c r="F225" s="48" t="inlineStr">
        <is>
          <t>N-A</t>
        </is>
      </c>
      <c r="G225" s="48" t="inlineStr">
        <is>
          <t>Pass</t>
        </is>
      </c>
      <c r="H225" s="50" t="inlineStr">
        <is>
          <t>script không đọc bảng raw_vault/business_vault nào</t>
        </is>
      </c>
      <c r="I225" s="50" t="inlineStr"/>
      <c r="J225" s="48" t="inlineStr">
        <is>
          <t>009. OCB_GOLD_TCKH_V_CUST_STATUS_NEW_BAOANH.xlsx [Script: V_CUST_STATUS_NEW]</t>
        </is>
      </c>
    </row>
    <row r="226">
      <c r="A226" s="48" t="inlineStr">
        <is>
          <t>TCKH.V_CUST_STATUS_NEW</t>
        </is>
      </c>
      <c r="B226" s="48" t="inlineStr">
        <is>
          <t>GOLD_DERIVED</t>
        </is>
      </c>
      <c r="C226" s="48" t="inlineStr">
        <is>
          <t>X.11</t>
        </is>
      </c>
      <c r="D226" s="48" t="inlineStr">
        <is>
          <t>Nhom X - Bo sung Raffles</t>
        </is>
      </c>
      <c r="E226" s="48" t="inlineStr">
        <is>
          <t>Cot doc tu satellite (sat_*) phai TON TAI THAT trong model</t>
        </is>
      </c>
      <c r="F226" s="48" t="inlineStr">
        <is>
          <t>N-A</t>
        </is>
      </c>
      <c r="G226" s="48" t="inlineStr">
        <is>
          <t>Pass</t>
        </is>
      </c>
      <c r="H226" s="50" t="inlineStr">
        <is>
          <t>không có bảng sat_* nào đủ điều kiện đối chiếu (Select chỉ đọc 1 bảng)</t>
        </is>
      </c>
      <c r="I226" s="50" t="inlineStr"/>
      <c r="J226" s="48" t="inlineStr">
        <is>
          <t>009. OCB_GOLD_TCKH_V_CUST_STATUS_NEW_BAOANH.xlsx [Script: V_CUST_STATUS_NEW]</t>
        </is>
      </c>
    </row>
    <row r="227">
      <c r="A227" s="48" t="inlineStr">
        <is>
          <t>TCKH.V_FTP_003</t>
        </is>
      </c>
      <c r="B227" s="48" t="inlineStr">
        <is>
          <t>SILVER_CONSUMER</t>
        </is>
      </c>
      <c r="C227" s="48" t="inlineStr">
        <is>
          <t>1.1</t>
        </is>
      </c>
      <c r="D227" s="48" t="inlineStr">
        <is>
          <t>Nhom 1 - Mapping</t>
        </is>
      </c>
      <c r="E227" s="48" t="inlineStr">
        <is>
          <t>Đầy đủ mapping từ Silver/manual sang Gold</t>
        </is>
      </c>
      <c r="F227" s="49" t="inlineStr">
        <is>
          <t>PASS</t>
        </is>
      </c>
      <c r="G227" s="48" t="inlineStr">
        <is>
          <t>Pass</t>
        </is>
      </c>
      <c r="H227" s="50" t="inlineStr">
        <is>
          <t>workbook 010. OCB_GOLD_TCKH_V_FTP_003_PHAT.xlsx: thiết kế 43 field, SQL có 43 cột</t>
        </is>
      </c>
      <c r="I2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27" s="48" t="inlineStr">
        <is>
          <t>010. OCB_GOLD_TCKH_V_FTP_003_PHAT.xlsx [SCRIPT_SQL: V_FTP_003]</t>
        </is>
      </c>
    </row>
    <row r="228">
      <c r="A228" s="48" t="inlineStr">
        <is>
          <t>TCKH.V_FTP_003</t>
        </is>
      </c>
      <c r="B228" s="48" t="inlineStr">
        <is>
          <t>SILVER_CONSUMER</t>
        </is>
      </c>
      <c r="C228" s="48" t="inlineStr">
        <is>
          <t>1.2</t>
        </is>
      </c>
      <c r="D228" s="48" t="inlineStr">
        <is>
          <t>Nhom 1 - Mapping</t>
        </is>
      </c>
      <c r="E228" s="48" t="inlineStr">
        <is>
          <t>Danh sách bảng/view Gold khớp tài liệu thiết kế đã duyệt</t>
        </is>
      </c>
      <c r="F228" s="49" t="inlineStr">
        <is>
          <t>PASS</t>
        </is>
      </c>
      <c r="G228" s="48" t="inlineStr">
        <is>
          <t>Pass</t>
        </is>
      </c>
      <c r="H228" s="50" t="inlineStr">
        <is>
          <t>V_FTP_003 có workbook thiết kế: 010. OCB_GOLD_TCKH_V_FTP_003_PHAT.xlsx</t>
        </is>
      </c>
      <c r="I228" s="50" t="inlineStr">
        <is>
          <t>Đảm bảo object có workbook thiết kế tương ứng trong thư mục --mapping-dir. Muốn đối chiếu với danh sách đã duyệt thì chạy thêm tham số --gold-list "&lt;file danh sách Gold&gt;.xlsx".</t>
        </is>
      </c>
      <c r="J228" s="48" t="inlineStr">
        <is>
          <t>010. OCB_GOLD_TCKH_V_FTP_003_PHAT.xlsx [SCRIPT_SQL: V_FTP_003]</t>
        </is>
      </c>
    </row>
    <row r="229">
      <c r="A229" s="48" t="inlineStr">
        <is>
          <t>TCKH.V_FTP_003</t>
        </is>
      </c>
      <c r="B229" s="48" t="inlineStr">
        <is>
          <t>SILVER_CONSUMER</t>
        </is>
      </c>
      <c r="C229" s="48" t="inlineStr">
        <is>
          <t>2.1</t>
        </is>
      </c>
      <c r="D229" s="48" t="inlineStr">
        <is>
          <t>Nhom 2 - Logic</t>
        </is>
      </c>
      <c r="E229" s="48" t="inlineStr">
        <is>
          <t>Chỉ lấy bản ghi active, loại bản ghi đã xóa (qua sts_hub)</t>
        </is>
      </c>
      <c r="F229" s="48" t="inlineStr">
        <is>
          <t>N-A</t>
        </is>
      </c>
      <c r="G229" s="48" t="inlineStr">
        <is>
          <t>Pass</t>
        </is>
      </c>
      <c r="H229" s="50" t="inlineStr">
        <is>
          <t>script không đọc sts_hub/satellite nào nên không có bản ghi xóa để lọc</t>
        </is>
      </c>
      <c r="I2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29" s="48" t="inlineStr">
        <is>
          <t>010. OCB_GOLD_TCKH_V_FTP_003_PHAT.xlsx [SCRIPT_SQL: V_FTP_003]</t>
        </is>
      </c>
    </row>
    <row r="230">
      <c r="A230" s="48" t="inlineStr">
        <is>
          <t>TCKH.V_FTP_003</t>
        </is>
      </c>
      <c r="B230" s="48" t="inlineStr">
        <is>
          <t>SILVER_CONSUMER</t>
        </is>
      </c>
      <c r="C230" s="48" t="inlineStr">
        <is>
          <t>2.2</t>
        </is>
      </c>
      <c r="D230" s="48" t="inlineStr">
        <is>
          <t>Nhom 2 - Logic</t>
        </is>
      </c>
      <c r="E230" s="48" t="inlineStr">
        <is>
          <t>Thống nhất MỘT pattern duy nhất xác định bản ghi active mới nhất</t>
        </is>
      </c>
      <c r="F230" s="48" t="inlineStr">
        <is>
          <t>N-A</t>
        </is>
      </c>
      <c r="G230" s="48" t="inlineStr">
        <is>
          <t>Pass</t>
        </is>
      </c>
      <c r="H230" s="50" t="inlineStr">
        <is>
          <t>script không có bước lấy bản ghi mới nhất nào tính là bất nhất (không dùng, hoặc chỉ dùng ROW_NUMBER cho block &gt;5 cột - đã miễn trừ)</t>
        </is>
      </c>
      <c r="I2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30" s="48" t="inlineStr">
        <is>
          <t>010. OCB_GOLD_TCKH_V_FTP_003_PHAT.xlsx [SCRIPT_SQL: V_FTP_003]</t>
        </is>
      </c>
    </row>
    <row r="231">
      <c r="A231" s="48" t="inlineStr">
        <is>
          <t>TCKH.V_FTP_003</t>
        </is>
      </c>
      <c r="B231" s="48" t="inlineStr">
        <is>
          <t>SILVER_CONSUMER</t>
        </is>
      </c>
      <c r="C231" s="48" t="inlineStr">
        <is>
          <t>2.3</t>
        </is>
      </c>
      <c r="D231" s="48" t="inlineStr">
        <is>
          <t>Nhom 2 - Logic</t>
        </is>
      </c>
      <c r="E231" s="48" t="inlineStr">
        <is>
          <t>Điều kiện lọc trạng thái đặt SAU khi xác định bản ghi mới nhất</t>
        </is>
      </c>
      <c r="F231" s="49" t="inlineStr">
        <is>
          <t>PASS</t>
        </is>
      </c>
      <c r="G231" s="48" t="inlineStr">
        <is>
          <t>Pass</t>
        </is>
      </c>
      <c r="H231" s="50" t="inlineStr">
        <is>
          <t>không có điều kiện trạng thái nào lồng trong JOIN ON</t>
        </is>
      </c>
      <c r="I2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31" s="48" t="inlineStr">
        <is>
          <t>010. OCB_GOLD_TCKH_V_FTP_003_PHAT.xlsx [SCRIPT_SQL: V_FTP_003]</t>
        </is>
      </c>
    </row>
    <row r="232">
      <c r="A232" s="48" t="inlineStr">
        <is>
          <t>TCKH.V_FTP_003</t>
        </is>
      </c>
      <c r="B232" s="48" t="inlineStr">
        <is>
          <t>SILVER_CONSUMER</t>
        </is>
      </c>
      <c r="C232" s="48" t="inlineStr">
        <is>
          <t>2.4</t>
        </is>
      </c>
      <c r="D232" s="48" t="inlineStr">
        <is>
          <t>Nhom 2 - Logic</t>
        </is>
      </c>
      <c r="E232" s="48" t="inlineStr">
        <is>
          <t>source_event_date áp dụng đúng dạng theo loại bảng</t>
        </is>
      </c>
      <c r="F232" s="48" t="inlineStr">
        <is>
          <t>N-A</t>
        </is>
      </c>
      <c r="G232" s="48" t="inlineStr">
        <is>
          <t>Pass</t>
        </is>
      </c>
      <c r="H232" s="50" t="inlineStr">
        <is>
          <t>script không đọc satellite nào</t>
        </is>
      </c>
      <c r="I2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32" s="48" t="inlineStr">
        <is>
          <t>010. OCB_GOLD_TCKH_V_FTP_003_PHAT.xlsx [SCRIPT_SQL: V_FTP_003]</t>
        </is>
      </c>
    </row>
    <row r="233">
      <c r="A233" s="48" t="inlineStr">
        <is>
          <t>TCKH.V_FTP_003</t>
        </is>
      </c>
      <c r="B233" s="48" t="inlineStr">
        <is>
          <t>SILVER_CONSUMER</t>
        </is>
      </c>
      <c r="C233" s="48" t="inlineStr">
        <is>
          <t>2.5</t>
        </is>
      </c>
      <c r="D233" s="48" t="inlineStr">
        <is>
          <t>Nhom 2 - Logic</t>
        </is>
      </c>
      <c r="E233" s="48" t="inlineStr">
        <is>
          <t>Không lặp lại lỗi logic cũ đã được DA Data Vault fix</t>
        </is>
      </c>
      <c r="F233" s="49" t="inlineStr">
        <is>
          <t>PASS</t>
        </is>
      </c>
      <c r="G233" s="48" t="inlineStr">
        <is>
          <t>Pass</t>
        </is>
      </c>
      <c r="H233" s="50" t="inlineStr">
        <is>
          <t>không trùng lỗi nào trong Issue log của DA Data Vault</t>
        </is>
      </c>
      <c r="I2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33" s="48" t="inlineStr">
        <is>
          <t>010. OCB_GOLD_TCKH_V_FTP_003_PHAT.xlsx [SCRIPT_SQL: V_FTP_003]</t>
        </is>
      </c>
    </row>
    <row r="234">
      <c r="A234" s="48" t="inlineStr">
        <is>
          <t>TCKH.V_FTP_003</t>
        </is>
      </c>
      <c r="B234" s="48" t="inlineStr">
        <is>
          <t>SILVER_CONSUMER</t>
        </is>
      </c>
      <c r="C234" s="48" t="inlineStr">
        <is>
          <t>2.6</t>
        </is>
      </c>
      <c r="D234" s="48" t="inlineStr">
        <is>
          <t>Nhom 2 - Logic</t>
        </is>
      </c>
      <c r="E234" s="48" t="inlineStr">
        <is>
          <t>SCD Type 2 cho bảng DIM áp dụng đúng kỹ thuật đã thống nhất</t>
        </is>
      </c>
      <c r="F234" s="48" t="inlineStr">
        <is>
          <t>N-A</t>
        </is>
      </c>
      <c r="G234" s="48" t="inlineStr">
        <is>
          <t>Pass</t>
        </is>
      </c>
      <c r="H234" s="50" t="inlineStr">
        <is>
          <t>object không phải bảng DIM nên không áp dụng SCD Type 2</t>
        </is>
      </c>
      <c r="I2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34" s="48" t="inlineStr">
        <is>
          <t>010. OCB_GOLD_TCKH_V_FTP_003_PHAT.xlsx [SCRIPT_SQL: V_FTP_003]</t>
        </is>
      </c>
    </row>
    <row r="235">
      <c r="A235" s="48" t="inlineStr">
        <is>
          <t>TCKH.V_FTP_003</t>
        </is>
      </c>
      <c r="B235" s="48" t="inlineStr">
        <is>
          <t>SILVER_CONSUMER</t>
        </is>
      </c>
      <c r="C235" s="48" t="inlineStr">
        <is>
          <t>2.7</t>
        </is>
      </c>
      <c r="D235" s="48" t="inlineStr">
        <is>
          <t>Nhom 2 - Logic</t>
        </is>
      </c>
      <c r="E235" s="48" t="inlineStr">
        <is>
          <t>CASE WHEN cover đủ nhánh như job on-prem</t>
        </is>
      </c>
      <c r="F235" s="48" t="inlineStr">
        <is>
          <t>N-A</t>
        </is>
      </c>
      <c r="G235" s="48" t="inlineStr">
        <is>
          <t>Pass</t>
        </is>
      </c>
      <c r="H235" s="50" t="inlineStr">
        <is>
          <t>script không có CASE WHEN nào</t>
        </is>
      </c>
      <c r="I235" s="50" t="inlineStr">
        <is>
          <t>Mở job on-prem tương ứng (DataStage DSX hoặc SQL cũ), đối chiếu từng nhánh WHEN và cả nhánh ELSE. CASE không có ELSE sẽ trả NULL âm thầm — xác nhận đó là ý muốn hay thiếu nhánh.</t>
        </is>
      </c>
      <c r="J235" s="48" t="inlineStr">
        <is>
          <t>010. OCB_GOLD_TCKH_V_FTP_003_PHAT.xlsx [SCRIPT_SQL: V_FTP_003]</t>
        </is>
      </c>
    </row>
    <row r="236">
      <c r="A236" s="48" t="inlineStr">
        <is>
          <t>TCKH.V_FTP_003</t>
        </is>
      </c>
      <c r="B236" s="48" t="inlineStr">
        <is>
          <t>SILVER_CONSUMER</t>
        </is>
      </c>
      <c r="C236" s="48" t="inlineStr">
        <is>
          <t>2.8</t>
        </is>
      </c>
      <c r="D236" s="48" t="inlineStr">
        <is>
          <t>Nhom 2 - Logic</t>
        </is>
      </c>
      <c r="E236" s="48" t="inlineStr">
        <is>
          <t>Cột SUM/COUNT được COALESCE/NVL hợp lý</t>
        </is>
      </c>
      <c r="F236" s="49" t="inlineStr">
        <is>
          <t>PASS</t>
        </is>
      </c>
      <c r="G236" s="48" t="inlineStr">
        <is>
          <t>Pass</t>
        </is>
      </c>
      <c r="H236" s="50" t="inlineStr">
        <is>
          <t>mọi SUM/COUNT đều đã coalesce (trực tiếp hoặc ở lớp ngoài)</t>
        </is>
      </c>
      <c r="I2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36" s="48" t="inlineStr">
        <is>
          <t>010. OCB_GOLD_TCKH_V_FTP_003_PHAT.xlsx [SCRIPT_SQL: V_FTP_003]</t>
        </is>
      </c>
    </row>
    <row r="237">
      <c r="A237" s="48" t="inlineStr">
        <is>
          <t>TCKH.V_FTP_003</t>
        </is>
      </c>
      <c r="B237" s="48" t="inlineStr">
        <is>
          <t>SILVER_CONSUMER</t>
        </is>
      </c>
      <c r="C237" s="48" t="inlineStr">
        <is>
          <t>2.9</t>
        </is>
      </c>
      <c r="D237" s="48" t="inlineStr">
        <is>
          <t>Nhom 2 - Logic</t>
        </is>
      </c>
      <c r="E237" s="48" t="inlineStr">
        <is>
          <t>Subquery / custom function / điều kiện LIKE đúng ý nghĩa nghiệp vụ</t>
        </is>
      </c>
      <c r="F237" s="48" t="inlineStr">
        <is>
          <t>N-A</t>
        </is>
      </c>
      <c r="G237" s="48" t="inlineStr">
        <is>
          <t>Pass</t>
        </is>
      </c>
      <c r="H237" s="50" t="inlineStr">
        <is>
          <t>script không có điều kiện LIKE hay scalar subquery nào</t>
        </is>
      </c>
      <c r="I237" s="50" t="inlineStr">
        <is>
          <t>Đọc lại từng điều kiện LIKE và từng subquery, đối chiếu ý nghĩa nghiệp vụ với on-prem — đúng cú pháp không đủ. Chú ý pattern LIKE có ký tự % ở đầu/cuối và phân biệt chữ hoa/thường.</t>
        </is>
      </c>
      <c r="J237" s="48" t="inlineStr">
        <is>
          <t>010. OCB_GOLD_TCKH_V_FTP_003_PHAT.xlsx [SCRIPT_SQL: V_FTP_003]</t>
        </is>
      </c>
    </row>
    <row r="238">
      <c r="A238" s="48" t="inlineStr">
        <is>
          <t>TCKH.V_FTP_003</t>
        </is>
      </c>
      <c r="B238" s="48" t="inlineStr">
        <is>
          <t>SILVER_CONSUMER</t>
        </is>
      </c>
      <c r="C238" s="48" t="inlineStr">
        <is>
          <t>2.10</t>
        </is>
      </c>
      <c r="D238" s="48" t="inlineStr">
        <is>
          <t>Nhom 2 - Logic</t>
        </is>
      </c>
      <c r="E238" s="48" t="inlineStr">
        <is>
          <t>Aggregation kèm filter date range chính xác</t>
        </is>
      </c>
      <c r="F238" s="49" t="inlineStr">
        <is>
          <t>PASS</t>
        </is>
      </c>
      <c r="G238" s="48" t="inlineStr">
        <is>
          <t>Pass</t>
        </is>
      </c>
      <c r="H238" s="50" t="inlineStr">
        <is>
          <t>mọi khối tổng hợp đều có điều kiện theo kỳ dữ liệu</t>
        </is>
      </c>
      <c r="I238" s="50" t="inlineStr">
        <is>
          <t>Mỗi khối SUM/COUNT/AVG phải có điều kiện lọc theo kỳ dữ liệu (CDR_DT_ID, DATA_DATE, :DATADT…). Nếu điều kiện nằm ở CTE nguồn thì ghi rõ trong comment để người review không phải truy ngược.</t>
        </is>
      </c>
      <c r="J238" s="48" t="inlineStr">
        <is>
          <t>010. OCB_GOLD_TCKH_V_FTP_003_PHAT.xlsx [SCRIPT_SQL: V_FTP_003]</t>
        </is>
      </c>
    </row>
    <row r="239">
      <c r="A239" s="48" t="inlineStr">
        <is>
          <t>TCKH.V_FTP_003</t>
        </is>
      </c>
      <c r="B239" s="48" t="inlineStr">
        <is>
          <t>SILVER_CONSUMER</t>
        </is>
      </c>
      <c r="C239" s="48" t="inlineStr">
        <is>
          <t>2.11</t>
        </is>
      </c>
      <c r="D239" s="48" t="inlineStr">
        <is>
          <t>Nhom 2 - Logic</t>
        </is>
      </c>
      <c r="E239" s="48" t="inlineStr">
        <is>
          <t>Join dùng key hợp lý, không lạm dụng UNION ALL + EXISTS/NOT EXISTS</t>
        </is>
      </c>
      <c r="F239" s="49" t="inlineStr">
        <is>
          <t>PASS</t>
        </is>
      </c>
      <c r="G239" s="48" t="inlineStr">
        <is>
          <t>Pass</t>
        </is>
      </c>
      <c r="H239" s="50" t="inlineStr">
        <is>
          <t>join đều theo điều kiện bằng, không lạm dụng UNION ALL + EXISTS</t>
        </is>
      </c>
      <c r="I239" s="50" t="inlineStr">
        <is>
          <t>Ưu tiên LEFT JOIN theo business key hoặc hashkey. Xem lại các chỗ dùng UNION ALL kết hợp EXISTS/NOT EXISTS — thường thay được bằng một LEFT JOIN. Join không có điều kiện bằng (=) dễ tạo tích Descartes.</t>
        </is>
      </c>
      <c r="J239" s="48" t="inlineStr">
        <is>
          <t>010. OCB_GOLD_TCKH_V_FTP_003_PHAT.xlsx [SCRIPT_SQL: V_FTP_003]</t>
        </is>
      </c>
    </row>
    <row r="240">
      <c r="A240" s="48" t="inlineStr">
        <is>
          <t>TCKH.V_FTP_003</t>
        </is>
      </c>
      <c r="B240" s="48" t="inlineStr">
        <is>
          <t>SILVER_CONSUMER</t>
        </is>
      </c>
      <c r="C240" s="48" t="inlineStr">
        <is>
          <t>2.12</t>
        </is>
      </c>
      <c r="D240" s="48" t="inlineStr">
        <is>
          <t>Nhom 2 - Logic</t>
        </is>
      </c>
      <c r="E240" s="48" t="inlineStr">
        <is>
          <t>Build Gold từ CTE snapshot Silver, không build nhiều tầng chồng chéo</t>
        </is>
      </c>
      <c r="F240" s="51" t="inlineStr">
        <is>
          <t>WARN</t>
        </is>
      </c>
      <c r="G240" s="48" t="inlineStr">
        <is>
          <t>WARN</t>
        </is>
      </c>
      <c r="H240" s="50" t="inlineStr">
        <is>
          <t>bảng bị đọc lại ở nhiều khối SELECT, xét gom thành 1 CTE: calendar ở 2 khối</t>
        </is>
      </c>
      <c r="I2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40" s="48" t="inlineStr">
        <is>
          <t>010. OCB_GOLD_TCKH_V_FTP_003_PHAT.xlsx [SCRIPT_SQL: V_FTP_003]</t>
        </is>
      </c>
    </row>
    <row r="241">
      <c r="A241" s="48" t="inlineStr">
        <is>
          <t>TCKH.V_FTP_003</t>
        </is>
      </c>
      <c r="B241" s="48" t="inlineStr">
        <is>
          <t>SILVER_CONSUMER</t>
        </is>
      </c>
      <c r="C241" s="48" t="inlineStr">
        <is>
          <t>3.1</t>
        </is>
      </c>
      <c r="D241" s="48" t="inlineStr">
        <is>
          <t>Nhom 3 - Optimization</t>
        </is>
      </c>
      <c r="E241" s="48" t="inlineStr">
        <is>
          <t>Không SELECT *</t>
        </is>
      </c>
      <c r="F241" s="49" t="inlineStr">
        <is>
          <t>PASS</t>
        </is>
      </c>
      <c r="G241" s="48" t="inlineStr">
        <is>
          <t>Pass</t>
        </is>
      </c>
      <c r="H241" s="50" t="inlineStr">
        <is>
          <t>không dùng SELECT * ở đâu</t>
        </is>
      </c>
      <c r="I241" s="50" t="inlineStr">
        <is>
          <t>Liệt kê tường minh các cột cần dùng, kể cả trong CTE trung gian. SELECT * làm tăng IO/memory và vỡ script khi bảng nguồn thêm cột.</t>
        </is>
      </c>
      <c r="J241" s="48" t="inlineStr">
        <is>
          <t>010. OCB_GOLD_TCKH_V_FTP_003_PHAT.xlsx [SCRIPT_SQL: V_FTP_003]</t>
        </is>
      </c>
    </row>
    <row r="242">
      <c r="A242" s="48" t="inlineStr">
        <is>
          <t>TCKH.V_FTP_003</t>
        </is>
      </c>
      <c r="B242" s="48" t="inlineStr">
        <is>
          <t>SILVER_CONSUMER</t>
        </is>
      </c>
      <c r="C242" s="48" t="inlineStr">
        <is>
          <t>3.2</t>
        </is>
      </c>
      <c r="D242" s="48" t="inlineStr">
        <is>
          <t>Nhom 3 - Optimization</t>
        </is>
      </c>
      <c r="E242" s="48" t="inlineStr">
        <is>
          <t>CTE không bị scan lại nhiều lần</t>
        </is>
      </c>
      <c r="F242" s="49" t="inlineStr">
        <is>
          <t>PASS</t>
        </is>
      </c>
      <c r="G242" s="48" t="inlineStr">
        <is>
          <t>Pass</t>
        </is>
      </c>
      <c r="H242" s="50" t="inlineStr">
        <is>
          <t>không có CTE nào bị gọi lại</t>
        </is>
      </c>
      <c r="I242" s="50" t="inlineStr">
        <is>
          <t>Với CTE nặng (đọc nhiều bảng Silver) bị tham chiếu từ 2 chỗ trở lên: gom lại còn một lần dùng, hoặc vật chất hóa (CACHE / bảng tạm). CTE nhẹ chỉ chứa tham số thì bỏ qua được — tự tick Pass.</t>
        </is>
      </c>
      <c r="J242" s="48" t="inlineStr">
        <is>
          <t>010. OCB_GOLD_TCKH_V_FTP_003_PHAT.xlsx [SCRIPT_SQL: V_FTP_003]</t>
        </is>
      </c>
    </row>
    <row r="243">
      <c r="A243" s="48" t="inlineStr">
        <is>
          <t>TCKH.V_FTP_003</t>
        </is>
      </c>
      <c r="B243" s="48" t="inlineStr">
        <is>
          <t>SILVER_CONSUMER</t>
        </is>
      </c>
      <c r="C243" s="48" t="inlineStr">
        <is>
          <t>3.3</t>
        </is>
      </c>
      <c r="D243" s="48" t="inlineStr">
        <is>
          <t>Nhom 3 - Optimization</t>
        </is>
      </c>
      <c r="E243" s="48" t="inlineStr">
        <is>
          <t>Filter trước khi join, tận dụng partition pruning</t>
        </is>
      </c>
      <c r="F243" s="49" t="inlineStr">
        <is>
          <t>PASS</t>
        </is>
      </c>
      <c r="G243" s="48" t="inlineStr">
        <is>
          <t>Pass</t>
        </is>
      </c>
      <c r="H243" s="50" t="inlineStr">
        <is>
          <t>các bảng join đều được filter trước</t>
        </is>
      </c>
      <c r="I243" s="50" t="inlineStr">
        <is>
          <t>Đưa điều kiện lọc (ngày dữ liệu, trạng thái) vào subquery của từng bảng TRƯỚC khi join, để tận dụng partition pruning. Bảng dim nhỏ không partition thì không cần — tự tick Pass.</t>
        </is>
      </c>
      <c r="J243" s="48" t="inlineStr">
        <is>
          <t>010. OCB_GOLD_TCKH_V_FTP_003_PHAT.xlsx [SCRIPT_SQL: V_FTP_003]</t>
        </is>
      </c>
    </row>
    <row r="244">
      <c r="A244" s="48" t="inlineStr">
        <is>
          <t>TCKH.V_FTP_003</t>
        </is>
      </c>
      <c r="B244" s="48" t="inlineStr">
        <is>
          <t>SILVER_CONSUMER</t>
        </is>
      </c>
      <c r="C244" s="48" t="inlineStr">
        <is>
          <t>3.4</t>
        </is>
      </c>
      <c r="D244" s="48" t="inlineStr">
        <is>
          <t>Nhom 3 - Optimization</t>
        </is>
      </c>
      <c r="E244" s="48" t="inlineStr">
        <is>
          <t>Sử dụng CACHE cho query lặp lại trong cùng luồng</t>
        </is>
      </c>
      <c r="F244" s="48" t="inlineStr">
        <is>
          <t>N-A</t>
        </is>
      </c>
      <c r="G244" s="48" t="inlineStr">
        <is>
          <t>Pass</t>
        </is>
      </c>
      <c r="H244" s="50" t="inlineStr">
        <is>
          <t>không có kết quả nào được dùng lại nhiều lần nên chưa cần CACHE</t>
        </is>
      </c>
      <c r="I244" s="50" t="inlineStr">
        <is>
          <t>Nếu một kết quả nặng được dùng lại nhiều bước trong cùng luồng, thêm CACHE TABLE / CACHE SELECT. Kết quả nhỏ thì cache còn chậm hơn — tự tick Pass.</t>
        </is>
      </c>
      <c r="J244" s="48" t="inlineStr">
        <is>
          <t>010. OCB_GOLD_TCKH_V_FTP_003_PHAT.xlsx [SCRIPT_SQL: V_FTP_003]</t>
        </is>
      </c>
    </row>
    <row r="245">
      <c r="A245" s="48" t="inlineStr">
        <is>
          <t>TCKH.V_FTP_003</t>
        </is>
      </c>
      <c r="B245" s="48" t="inlineStr">
        <is>
          <t>SILVER_CONSUMER</t>
        </is>
      </c>
      <c r="C245" s="48" t="inlineStr">
        <is>
          <t>3.5</t>
        </is>
      </c>
      <c r="D245" s="48" t="inlineStr">
        <is>
          <t>Nhom 3 - Optimization</t>
        </is>
      </c>
      <c r="E245" s="48" t="inlineStr">
        <is>
          <t>Ưu tiên MAX_BY + QUALIFY thay ROW_NUMBER() + WHERE rn = 1</t>
        </is>
      </c>
      <c r="F245" s="48" t="inlineStr">
        <is>
          <t>N-A</t>
        </is>
      </c>
      <c r="G245" s="48" t="inlineStr">
        <is>
          <t>Pass</t>
        </is>
      </c>
      <c r="H245" s="50" t="inlineStr">
        <is>
          <t>script không dùng ROW_NUMBER, và MAX_BY (nếu có) không vượt quá 5 cột/khối</t>
        </is>
      </c>
      <c r="I2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45" s="48" t="inlineStr">
        <is>
          <t>010. OCB_GOLD_TCKH_V_FTP_003_PHAT.xlsx [SCRIPT_SQL: V_FTP_003]</t>
        </is>
      </c>
    </row>
    <row r="246">
      <c r="A246" s="48" t="inlineStr">
        <is>
          <t>TCKH.V_FTP_003</t>
        </is>
      </c>
      <c r="B246" s="48" t="inlineStr">
        <is>
          <t>SILVER_CONSUMER</t>
        </is>
      </c>
      <c r="C246" s="48" t="inlineStr">
        <is>
          <t>3.6</t>
        </is>
      </c>
      <c r="D246" s="48" t="inlineStr">
        <is>
          <t>Nhom 3 - Optimization</t>
        </is>
      </c>
      <c r="E246" s="48" t="inlineStr">
        <is>
          <t>Không lạm dụng window function; có comment khi dùng</t>
        </is>
      </c>
      <c r="F246" s="48" t="inlineStr">
        <is>
          <t>N-A</t>
        </is>
      </c>
      <c r="G246" s="48" t="inlineStr">
        <is>
          <t>Pass</t>
        </is>
      </c>
      <c r="H246" s="50" t="inlineStr">
        <is>
          <t>script không dùng window function</t>
        </is>
      </c>
      <c r="I246" s="50" t="inlineStr">
        <is>
          <t>Mỗi window function cần một comment ngay trên khối CTE chứa nó, nói rõ vì sao không dùng được max_by/QUALIFY đơn giản hơn.</t>
        </is>
      </c>
      <c r="J246" s="48" t="inlineStr">
        <is>
          <t>010. OCB_GOLD_TCKH_V_FTP_003_PHAT.xlsx [SCRIPT_SQL: V_FTP_003]</t>
        </is>
      </c>
    </row>
    <row r="247">
      <c r="A247" s="48" t="inlineStr">
        <is>
          <t>TCKH.V_FTP_003</t>
        </is>
      </c>
      <c r="B247" s="48" t="inlineStr">
        <is>
          <t>SILVER_CONSUMER</t>
        </is>
      </c>
      <c r="C247" s="48" t="inlineStr">
        <is>
          <t>X.1</t>
        </is>
      </c>
      <c r="D247" s="48" t="inlineStr">
        <is>
          <t>Nhom X - Bo sung Raffles</t>
        </is>
      </c>
      <c r="E247" s="48" t="inlineStr">
        <is>
          <t>[Bổ sung] Link phải rút về current trước khi join (chống fan-out)</t>
        </is>
      </c>
      <c r="F247" s="49" t="inlineStr">
        <is>
          <t>PASS</t>
        </is>
      </c>
      <c r="G247" s="48" t="inlineStr">
        <is>
          <t>Pass</t>
        </is>
      </c>
      <c r="H247" s="50" t="inlineStr">
        <is>
          <t>các bảng link_* đều được rút về current trước khi join</t>
        </is>
      </c>
      <c r="I2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47" s="48" t="inlineStr">
        <is>
          <t>010. OCB_GOLD_TCKH_V_FTP_003_PHAT.xlsx [SCRIPT_SQL: V_FTP_003]</t>
        </is>
      </c>
    </row>
    <row r="248">
      <c r="A248" s="48" t="inlineStr">
        <is>
          <t>TCKH.V_FTP_003</t>
        </is>
      </c>
      <c r="B248" s="48" t="inlineStr">
        <is>
          <t>SILVER_CONSUMER</t>
        </is>
      </c>
      <c r="C248" s="48" t="inlineStr">
        <is>
          <t>X.6</t>
        </is>
      </c>
      <c r="D248" s="48" t="inlineStr">
        <is>
          <t>Nhom X - Bo sung Raffles</t>
        </is>
      </c>
      <c r="E248" s="48" t="inlineStr">
        <is>
          <t>[Bổ sung] Satellite phải LEFT JOIN, không INNER JOIN</t>
        </is>
      </c>
      <c r="F248" s="48" t="inlineStr">
        <is>
          <t>N-A</t>
        </is>
      </c>
      <c r="G248" s="48" t="inlineStr">
        <is>
          <t>Pass</t>
        </is>
      </c>
      <c r="H248" s="50" t="inlineStr">
        <is>
          <t>không join satellite trực tiếp</t>
        </is>
      </c>
      <c r="I248" s="50" t="inlineStr">
        <is>
          <t>Technical Document III.4.2.2 nguyên tắc 1: làm giàu thuộc tính luôn dùng LEFT JOIN. INNER JOIN satellite sẽ loại mất bản ghi Hub đang còn hiệu lực nhưng chưa có dòng satellite.</t>
        </is>
      </c>
      <c r="J248" s="48" t="inlineStr">
        <is>
          <t>010. OCB_GOLD_TCKH_V_FTP_003_PHAT.xlsx [SCRIPT_SQL: V_FTP_003]</t>
        </is>
      </c>
    </row>
    <row r="249">
      <c r="A249" s="48" t="inlineStr">
        <is>
          <t>TCKH.V_FTP_003</t>
        </is>
      </c>
      <c r="B249" s="48" t="inlineStr">
        <is>
          <t>SILVER_CONSUMER</t>
        </is>
      </c>
      <c r="C249" s="48" t="inlineStr">
        <is>
          <t>X.7</t>
        </is>
      </c>
      <c r="D249" s="48" t="inlineStr">
        <is>
          <t>Nhom X - Bo sung Raffles</t>
        </is>
      </c>
      <c r="E249" s="48" t="inlineStr">
        <is>
          <t>[Bổ sung] Không hard-code catalog, dùng biến môi trường</t>
        </is>
      </c>
      <c r="F249" s="49" t="inlineStr">
        <is>
          <t>PASS</t>
        </is>
      </c>
      <c r="G249" s="48" t="inlineStr">
        <is>
          <t>Pass</t>
        </is>
      </c>
      <c r="H249" s="50" t="inlineStr">
        <is>
          <t>dùng biến môi trường cho catalog</t>
        </is>
      </c>
      <c r="I2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49" s="48" t="inlineStr">
        <is>
          <t>010. OCB_GOLD_TCKH_V_FTP_003_PHAT.xlsx [SCRIPT_SQL: V_FTP_003]</t>
        </is>
      </c>
    </row>
    <row r="250">
      <c r="A250" s="48" t="inlineStr">
        <is>
          <t>TCKH.V_FTP_003</t>
        </is>
      </c>
      <c r="B250" s="48" t="inlineStr">
        <is>
          <t>SILVER_CONSUMER</t>
        </is>
      </c>
      <c r="C250" s="48" t="inlineStr">
        <is>
          <t>X.10</t>
        </is>
      </c>
      <c r="D250" s="48" t="inlineStr">
        <is>
          <t>Nhom X - Bo sung Raffles</t>
        </is>
      </c>
      <c r="E250" s="48" t="inlineStr">
        <is>
          <t>Bang raw_vault/business_vault duoc doc phai TON TAI THAT trong Data Vault model</t>
        </is>
      </c>
      <c r="F250" s="49" t="inlineStr">
        <is>
          <t>PASS</t>
        </is>
      </c>
      <c r="G250" s="48" t="inlineStr">
        <is>
          <t>Pass</t>
        </is>
      </c>
      <c r="H250" s="50" t="inlineStr">
        <is>
          <t>1 bảng Silver đều có thật trong Data Vault model</t>
        </is>
      </c>
      <c r="I250" s="50" t="inlineStr"/>
      <c r="J250" s="48" t="inlineStr">
        <is>
          <t>010. OCB_GOLD_TCKH_V_FTP_003_PHAT.xlsx [SCRIPT_SQL: V_FTP_003]</t>
        </is>
      </c>
    </row>
    <row r="251">
      <c r="A251" s="48" t="inlineStr">
        <is>
          <t>TCKH.V_FTP_003</t>
        </is>
      </c>
      <c r="B251" s="48" t="inlineStr">
        <is>
          <t>SILVER_CONSUMER</t>
        </is>
      </c>
      <c r="C251" s="48" t="inlineStr">
        <is>
          <t>X.11</t>
        </is>
      </c>
      <c r="D251" s="48" t="inlineStr">
        <is>
          <t>Nhom X - Bo sung Raffles</t>
        </is>
      </c>
      <c r="E251" s="48" t="inlineStr">
        <is>
          <t>Cot doc tu satellite (sat_*) phai TON TAI THAT trong model</t>
        </is>
      </c>
      <c r="F251" s="48" t="inlineStr">
        <is>
          <t>N-A</t>
        </is>
      </c>
      <c r="G251" s="48" t="inlineStr">
        <is>
          <t>Pass</t>
        </is>
      </c>
      <c r="H251" s="50" t="inlineStr">
        <is>
          <t>không có bảng sat_* nào đủ điều kiện đối chiếu (Select chỉ đọc 1 bảng)</t>
        </is>
      </c>
      <c r="I251" s="50" t="inlineStr"/>
      <c r="J251" s="48" t="inlineStr">
        <is>
          <t>010. OCB_GOLD_TCKH_V_FTP_003_PHAT.xlsx [SCRIPT_SQL: V_FTP_003]</t>
        </is>
      </c>
    </row>
    <row r="252">
      <c r="A252" s="48" t="inlineStr">
        <is>
          <t>TCKH.V_HT_CP_UPL</t>
        </is>
      </c>
      <c r="B252" s="48" t="inlineStr">
        <is>
          <t>UPLOAD_VIEW</t>
        </is>
      </c>
      <c r="C252" s="48" t="inlineStr">
        <is>
          <t>1.1</t>
        </is>
      </c>
      <c r="D252" s="48" t="inlineStr">
        <is>
          <t>Nhom 1 - Mapping</t>
        </is>
      </c>
      <c r="E252" s="48" t="inlineStr">
        <is>
          <t>Đầy đủ mapping từ Silver/manual sang Gold</t>
        </is>
      </c>
      <c r="F252" s="49" t="inlineStr">
        <is>
          <t>PASS</t>
        </is>
      </c>
      <c r="G252" s="48" t="inlineStr">
        <is>
          <t>Pass</t>
        </is>
      </c>
      <c r="H252" s="50" t="inlineStr">
        <is>
          <t>workbook 011. OCB_GOLD_TCKH_V_HT_CP_UPL_PHAT.xlsx: thiết kế 11 field, SQL có 11 cột</t>
        </is>
      </c>
      <c r="I2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52" s="48" t="inlineStr">
        <is>
          <t>011. OCB_GOLD_TCKH_V_HT_CP_UPL_PHAT.xlsx [SCRIPT: V_HT_CP_UPL]</t>
        </is>
      </c>
    </row>
    <row r="253">
      <c r="A253" s="48" t="inlineStr">
        <is>
          <t>TCKH.V_HT_CP_UPL</t>
        </is>
      </c>
      <c r="B253" s="48" t="inlineStr">
        <is>
          <t>UPLOAD_VIEW</t>
        </is>
      </c>
      <c r="C253" s="48" t="inlineStr">
        <is>
          <t>1.2</t>
        </is>
      </c>
      <c r="D253" s="48" t="inlineStr">
        <is>
          <t>Nhom 1 - Mapping</t>
        </is>
      </c>
      <c r="E253" s="48" t="inlineStr">
        <is>
          <t>Danh sách bảng/view Gold khớp tài liệu thiết kế đã duyệt</t>
        </is>
      </c>
      <c r="F253" s="49" t="inlineStr">
        <is>
          <t>PASS</t>
        </is>
      </c>
      <c r="G253" s="48" t="inlineStr">
        <is>
          <t>Pass</t>
        </is>
      </c>
      <c r="H253" s="50" t="inlineStr">
        <is>
          <t>V_HT_CP_UPL có workbook thiết kế: 011. OCB_GOLD_TCKH_V_HT_CP_UPL_PHAT.xlsx</t>
        </is>
      </c>
      <c r="I253" s="50" t="inlineStr">
        <is>
          <t>Đảm bảo object có workbook thiết kế tương ứng trong thư mục --mapping-dir. Muốn đối chiếu với danh sách đã duyệt thì chạy thêm tham số --gold-list "&lt;file danh sách Gold&gt;.xlsx".</t>
        </is>
      </c>
      <c r="J253" s="48" t="inlineStr">
        <is>
          <t>011. OCB_GOLD_TCKH_V_HT_CP_UPL_PHAT.xlsx [SCRIPT: V_HT_CP_UPL]</t>
        </is>
      </c>
    </row>
    <row r="254">
      <c r="A254" s="48" t="inlineStr">
        <is>
          <t>TCKH.V_HT_CP_UPL</t>
        </is>
      </c>
      <c r="B254" s="48" t="inlineStr">
        <is>
          <t>UPLOAD_VIEW</t>
        </is>
      </c>
      <c r="C254" s="48" t="inlineStr">
        <is>
          <t>2.1</t>
        </is>
      </c>
      <c r="D254" s="48" t="inlineStr">
        <is>
          <t>Nhom 2 - Logic</t>
        </is>
      </c>
      <c r="E254" s="48" t="inlineStr">
        <is>
          <t>Chỉ lấy bản ghi active, loại bản ghi đã xóa (qua sts_hub)</t>
        </is>
      </c>
      <c r="F254" s="48" t="inlineStr">
        <is>
          <t>N-A</t>
        </is>
      </c>
      <c r="G254" s="48" t="inlineStr">
        <is>
          <t>Pass</t>
        </is>
      </c>
      <c r="H254" s="50" t="inlineStr">
        <is>
          <t>khong ap dung cho profile UPLOAD_VIEW</t>
        </is>
      </c>
      <c r="I2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54" s="48" t="inlineStr">
        <is>
          <t>011. OCB_GOLD_TCKH_V_HT_CP_UPL_PHAT.xlsx [SCRIPT: V_HT_CP_UPL]</t>
        </is>
      </c>
    </row>
    <row r="255">
      <c r="A255" s="48" t="inlineStr">
        <is>
          <t>TCKH.V_HT_CP_UPL</t>
        </is>
      </c>
      <c r="B255" s="48" t="inlineStr">
        <is>
          <t>UPLOAD_VIEW</t>
        </is>
      </c>
      <c r="C255" s="48" t="inlineStr">
        <is>
          <t>2.2</t>
        </is>
      </c>
      <c r="D255" s="48" t="inlineStr">
        <is>
          <t>Nhom 2 - Logic</t>
        </is>
      </c>
      <c r="E255" s="48" t="inlineStr">
        <is>
          <t>Thống nhất MỘT pattern duy nhất xác định bản ghi active mới nhất</t>
        </is>
      </c>
      <c r="F255" s="48" t="inlineStr">
        <is>
          <t>N-A</t>
        </is>
      </c>
      <c r="G255" s="48" t="inlineStr">
        <is>
          <t>Pass</t>
        </is>
      </c>
      <c r="H255" s="50" t="inlineStr">
        <is>
          <t>khong ap dung cho profile UPLOAD_VIEW</t>
        </is>
      </c>
      <c r="I2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55" s="48" t="inlineStr">
        <is>
          <t>011. OCB_GOLD_TCKH_V_HT_CP_UPL_PHAT.xlsx [SCRIPT: V_HT_CP_UPL]</t>
        </is>
      </c>
    </row>
    <row r="256">
      <c r="A256" s="48" t="inlineStr">
        <is>
          <t>TCKH.V_HT_CP_UPL</t>
        </is>
      </c>
      <c r="B256" s="48" t="inlineStr">
        <is>
          <t>UPLOAD_VIEW</t>
        </is>
      </c>
      <c r="C256" s="48" t="inlineStr">
        <is>
          <t>2.3</t>
        </is>
      </c>
      <c r="D256" s="48" t="inlineStr">
        <is>
          <t>Nhom 2 - Logic</t>
        </is>
      </c>
      <c r="E256" s="48" t="inlineStr">
        <is>
          <t>Điều kiện lọc trạng thái đặt SAU khi xác định bản ghi mới nhất</t>
        </is>
      </c>
      <c r="F256" s="48" t="inlineStr">
        <is>
          <t>N-A</t>
        </is>
      </c>
      <c r="G256" s="48" t="inlineStr">
        <is>
          <t>Pass</t>
        </is>
      </c>
      <c r="H256" s="50" t="inlineStr">
        <is>
          <t>khong ap dung cho profile UPLOAD_VIEW</t>
        </is>
      </c>
      <c r="I2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56" s="48" t="inlineStr">
        <is>
          <t>011. OCB_GOLD_TCKH_V_HT_CP_UPL_PHAT.xlsx [SCRIPT: V_HT_CP_UPL]</t>
        </is>
      </c>
    </row>
    <row r="257">
      <c r="A257" s="48" t="inlineStr">
        <is>
          <t>TCKH.V_HT_CP_UPL</t>
        </is>
      </c>
      <c r="B257" s="48" t="inlineStr">
        <is>
          <t>UPLOAD_VIEW</t>
        </is>
      </c>
      <c r="C257" s="48" t="inlineStr">
        <is>
          <t>2.4</t>
        </is>
      </c>
      <c r="D257" s="48" t="inlineStr">
        <is>
          <t>Nhom 2 - Logic</t>
        </is>
      </c>
      <c r="E257" s="48" t="inlineStr">
        <is>
          <t>source_event_date áp dụng đúng dạng theo loại bảng</t>
        </is>
      </c>
      <c r="F257" s="48" t="inlineStr">
        <is>
          <t>N-A</t>
        </is>
      </c>
      <c r="G257" s="48" t="inlineStr">
        <is>
          <t>Pass</t>
        </is>
      </c>
      <c r="H257" s="50" t="inlineStr">
        <is>
          <t>khong ap dung cho profile UPLOAD_VIEW</t>
        </is>
      </c>
      <c r="I2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57" s="48" t="inlineStr">
        <is>
          <t>011. OCB_GOLD_TCKH_V_HT_CP_UPL_PHAT.xlsx [SCRIPT: V_HT_CP_UPL]</t>
        </is>
      </c>
    </row>
    <row r="258">
      <c r="A258" s="48" t="inlineStr">
        <is>
          <t>TCKH.V_HT_CP_UPL</t>
        </is>
      </c>
      <c r="B258" s="48" t="inlineStr">
        <is>
          <t>UPLOAD_VIEW</t>
        </is>
      </c>
      <c r="C258" s="48" t="inlineStr">
        <is>
          <t>2.5</t>
        </is>
      </c>
      <c r="D258" s="48" t="inlineStr">
        <is>
          <t>Nhom 2 - Logic</t>
        </is>
      </c>
      <c r="E258" s="48" t="inlineStr">
        <is>
          <t>Không lặp lại lỗi logic cũ đã được DA Data Vault fix</t>
        </is>
      </c>
      <c r="F258" s="49" t="inlineStr">
        <is>
          <t>PASS</t>
        </is>
      </c>
      <c r="G258" s="48" t="inlineStr">
        <is>
          <t>Pass</t>
        </is>
      </c>
      <c r="H258" s="50" t="inlineStr">
        <is>
          <t>không trùng lỗi nào trong Issue log của DA Data Vault</t>
        </is>
      </c>
      <c r="I2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58" s="48" t="inlineStr">
        <is>
          <t>011. OCB_GOLD_TCKH_V_HT_CP_UPL_PHAT.xlsx [SCRIPT: V_HT_CP_UPL]</t>
        </is>
      </c>
    </row>
    <row r="259">
      <c r="A259" s="48" t="inlineStr">
        <is>
          <t>TCKH.V_HT_CP_UPL</t>
        </is>
      </c>
      <c r="B259" s="48" t="inlineStr">
        <is>
          <t>UPLOAD_VIEW</t>
        </is>
      </c>
      <c r="C259" s="48" t="inlineStr">
        <is>
          <t>2.6</t>
        </is>
      </c>
      <c r="D259" s="48" t="inlineStr">
        <is>
          <t>Nhom 2 - Logic</t>
        </is>
      </c>
      <c r="E259" s="48" t="inlineStr">
        <is>
          <t>SCD Type 2 cho bảng DIM áp dụng đúng kỹ thuật đã thống nhất</t>
        </is>
      </c>
      <c r="F259" s="48" t="inlineStr">
        <is>
          <t>N-A</t>
        </is>
      </c>
      <c r="G259" s="48" t="inlineStr">
        <is>
          <t>Pass</t>
        </is>
      </c>
      <c r="H259" s="50" t="inlineStr">
        <is>
          <t>object không phải bảng DIM nên không áp dụng SCD Type 2</t>
        </is>
      </c>
      <c r="I2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59" s="48" t="inlineStr">
        <is>
          <t>011. OCB_GOLD_TCKH_V_HT_CP_UPL_PHAT.xlsx [SCRIPT: V_HT_CP_UPL]</t>
        </is>
      </c>
    </row>
    <row r="260">
      <c r="A260" s="48" t="inlineStr">
        <is>
          <t>TCKH.V_HT_CP_UPL</t>
        </is>
      </c>
      <c r="B260" s="48" t="inlineStr">
        <is>
          <t>UPLOAD_VIEW</t>
        </is>
      </c>
      <c r="C260" s="48" t="inlineStr">
        <is>
          <t>2.7</t>
        </is>
      </c>
      <c r="D260" s="48" t="inlineStr">
        <is>
          <t>Nhom 2 - Logic</t>
        </is>
      </c>
      <c r="E260" s="48" t="inlineStr">
        <is>
          <t>CASE WHEN cover đủ nhánh như job on-prem</t>
        </is>
      </c>
      <c r="F260" s="49" t="inlineStr">
        <is>
          <t>PASS</t>
        </is>
      </c>
      <c r="G260" s="48" t="inlineStr">
        <is>
          <t>Pass</t>
        </is>
      </c>
      <c r="H260" s="50" t="inlineStr">
        <is>
          <t>cả 1 CASE đều có nhánh ELSE</t>
        </is>
      </c>
      <c r="I260" s="50" t="inlineStr">
        <is>
          <t>Mở job on-prem tương ứng (DataStage DSX hoặc SQL cũ), đối chiếu từng nhánh WHEN và cả nhánh ELSE. CASE không có ELSE sẽ trả NULL âm thầm — xác nhận đó là ý muốn hay thiếu nhánh.</t>
        </is>
      </c>
      <c r="J260" s="48" t="inlineStr">
        <is>
          <t>011. OCB_GOLD_TCKH_V_HT_CP_UPL_PHAT.xlsx [SCRIPT: V_HT_CP_UPL]</t>
        </is>
      </c>
    </row>
    <row r="261">
      <c r="A261" s="48" t="inlineStr">
        <is>
          <t>TCKH.V_HT_CP_UPL</t>
        </is>
      </c>
      <c r="B261" s="48" t="inlineStr">
        <is>
          <t>UPLOAD_VIEW</t>
        </is>
      </c>
      <c r="C261" s="48" t="inlineStr">
        <is>
          <t>2.8</t>
        </is>
      </c>
      <c r="D261" s="48" t="inlineStr">
        <is>
          <t>Nhom 2 - Logic</t>
        </is>
      </c>
      <c r="E261" s="48" t="inlineStr">
        <is>
          <t>Cột SUM/COUNT được COALESCE/NVL hợp lý</t>
        </is>
      </c>
      <c r="F261" s="49" t="inlineStr">
        <is>
          <t>PASS</t>
        </is>
      </c>
      <c r="G261" s="48" t="inlineStr">
        <is>
          <t>Pass</t>
        </is>
      </c>
      <c r="H261" s="50" t="inlineStr">
        <is>
          <t>mọi SUM/COUNT đều đã coalesce (trực tiếp hoặc ở lớp ngoài)</t>
        </is>
      </c>
      <c r="I2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61" s="48" t="inlineStr">
        <is>
          <t>011. OCB_GOLD_TCKH_V_HT_CP_UPL_PHAT.xlsx [SCRIPT: V_HT_CP_UPL]</t>
        </is>
      </c>
    </row>
    <row r="262">
      <c r="A262" s="48" t="inlineStr">
        <is>
          <t>TCKH.V_HT_CP_UPL</t>
        </is>
      </c>
      <c r="B262" s="48" t="inlineStr">
        <is>
          <t>UPLOAD_VIEW</t>
        </is>
      </c>
      <c r="C262" s="48" t="inlineStr">
        <is>
          <t>2.9</t>
        </is>
      </c>
      <c r="D262" s="48" t="inlineStr">
        <is>
          <t>Nhom 2 - Logic</t>
        </is>
      </c>
      <c r="E262" s="48" t="inlineStr">
        <is>
          <t>Subquery / custom function / điều kiện LIKE đúng ý nghĩa nghiệp vụ</t>
        </is>
      </c>
      <c r="F262" s="48" t="inlineStr">
        <is>
          <t>N-A</t>
        </is>
      </c>
      <c r="G262" s="48" t="inlineStr">
        <is>
          <t>Pass</t>
        </is>
      </c>
      <c r="H262" s="50" t="inlineStr">
        <is>
          <t>script không có điều kiện LIKE hay scalar subquery nào</t>
        </is>
      </c>
      <c r="I262" s="50" t="inlineStr">
        <is>
          <t>Đọc lại từng điều kiện LIKE và từng subquery, đối chiếu ý nghĩa nghiệp vụ với on-prem — đúng cú pháp không đủ. Chú ý pattern LIKE có ký tự % ở đầu/cuối và phân biệt chữ hoa/thường.</t>
        </is>
      </c>
      <c r="J262" s="48" t="inlineStr">
        <is>
          <t>011. OCB_GOLD_TCKH_V_HT_CP_UPL_PHAT.xlsx [SCRIPT: V_HT_CP_UPL]</t>
        </is>
      </c>
    </row>
    <row r="263">
      <c r="A263" s="48" t="inlineStr">
        <is>
          <t>TCKH.V_HT_CP_UPL</t>
        </is>
      </c>
      <c r="B263" s="48" t="inlineStr">
        <is>
          <t>UPLOAD_VIEW</t>
        </is>
      </c>
      <c r="C263" s="48" t="inlineStr">
        <is>
          <t>2.10</t>
        </is>
      </c>
      <c r="D263" s="48" t="inlineStr">
        <is>
          <t>Nhom 2 - Logic</t>
        </is>
      </c>
      <c r="E263" s="48" t="inlineStr">
        <is>
          <t>Aggregation kèm filter date range chính xác</t>
        </is>
      </c>
      <c r="F263" s="49" t="inlineStr">
        <is>
          <t>PASS</t>
        </is>
      </c>
      <c r="G263" s="48" t="inlineStr">
        <is>
          <t>Pass</t>
        </is>
      </c>
      <c r="H263" s="50" t="inlineStr">
        <is>
          <t>mọi khối tổng hợp đều có điều kiện theo kỳ dữ liệu</t>
        </is>
      </c>
      <c r="I263" s="50" t="inlineStr">
        <is>
          <t>Mỗi khối SUM/COUNT/AVG phải có điều kiện lọc theo kỳ dữ liệu (CDR_DT_ID, DATA_DATE, :DATADT…). Nếu điều kiện nằm ở CTE nguồn thì ghi rõ trong comment để người review không phải truy ngược.</t>
        </is>
      </c>
      <c r="J263" s="48" t="inlineStr">
        <is>
          <t>011. OCB_GOLD_TCKH_V_HT_CP_UPL_PHAT.xlsx [SCRIPT: V_HT_CP_UPL]</t>
        </is>
      </c>
    </row>
    <row r="264">
      <c r="A264" s="48" t="inlineStr">
        <is>
          <t>TCKH.V_HT_CP_UPL</t>
        </is>
      </c>
      <c r="B264" s="48" t="inlineStr">
        <is>
          <t>UPLOAD_VIEW</t>
        </is>
      </c>
      <c r="C264" s="48" t="inlineStr">
        <is>
          <t>2.11</t>
        </is>
      </c>
      <c r="D264" s="48" t="inlineStr">
        <is>
          <t>Nhom 2 - Logic</t>
        </is>
      </c>
      <c r="E264" s="48" t="inlineStr">
        <is>
          <t>Join dùng key hợp lý, không lạm dụng UNION ALL + EXISTS/NOT EXISTS</t>
        </is>
      </c>
      <c r="F264" s="49" t="inlineStr">
        <is>
          <t>PASS</t>
        </is>
      </c>
      <c r="G264" s="48" t="inlineStr">
        <is>
          <t>Pass</t>
        </is>
      </c>
      <c r="H264" s="50" t="inlineStr">
        <is>
          <t>join đều theo điều kiện bằng, không lạm dụng UNION ALL + EXISTS</t>
        </is>
      </c>
      <c r="I264" s="50" t="inlineStr">
        <is>
          <t>Ưu tiên LEFT JOIN theo business key hoặc hashkey. Xem lại các chỗ dùng UNION ALL kết hợp EXISTS/NOT EXISTS — thường thay được bằng một LEFT JOIN. Join không có điều kiện bằng (=) dễ tạo tích Descartes.</t>
        </is>
      </c>
      <c r="J264" s="48" t="inlineStr">
        <is>
          <t>011. OCB_GOLD_TCKH_V_HT_CP_UPL_PHAT.xlsx [SCRIPT: V_HT_CP_UPL]</t>
        </is>
      </c>
    </row>
    <row r="265">
      <c r="A265" s="48" t="inlineStr">
        <is>
          <t>TCKH.V_HT_CP_UPL</t>
        </is>
      </c>
      <c r="B265" s="48" t="inlineStr">
        <is>
          <t>UPLOAD_VIEW</t>
        </is>
      </c>
      <c r="C265" s="48" t="inlineStr">
        <is>
          <t>2.12</t>
        </is>
      </c>
      <c r="D265" s="48" t="inlineStr">
        <is>
          <t>Nhom 2 - Logic</t>
        </is>
      </c>
      <c r="E265" s="48" t="inlineStr">
        <is>
          <t>Build Gold từ CTE snapshot Silver, không build nhiều tầng chồng chéo</t>
        </is>
      </c>
      <c r="F265" s="48" t="inlineStr">
        <is>
          <t>N-A</t>
        </is>
      </c>
      <c r="G265" s="48" t="inlineStr">
        <is>
          <t>Pass</t>
        </is>
      </c>
      <c r="H265" s="50" t="inlineStr">
        <is>
          <t>khong ap dung cho profile UPLOAD_VIEW</t>
        </is>
      </c>
      <c r="I2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65" s="48" t="inlineStr">
        <is>
          <t>011. OCB_GOLD_TCKH_V_HT_CP_UPL_PHAT.xlsx [SCRIPT: V_HT_CP_UPL]</t>
        </is>
      </c>
    </row>
    <row r="266">
      <c r="A266" s="48" t="inlineStr">
        <is>
          <t>TCKH.V_HT_CP_UPL</t>
        </is>
      </c>
      <c r="B266" s="48" t="inlineStr">
        <is>
          <t>UPLOAD_VIEW</t>
        </is>
      </c>
      <c r="C266" s="48" t="inlineStr">
        <is>
          <t>3.1</t>
        </is>
      </c>
      <c r="D266" s="48" t="inlineStr">
        <is>
          <t>Nhom 3 - Optimization</t>
        </is>
      </c>
      <c r="E266" s="48" t="inlineStr">
        <is>
          <t>Không SELECT *</t>
        </is>
      </c>
      <c r="F266" s="49" t="inlineStr">
        <is>
          <t>PASS</t>
        </is>
      </c>
      <c r="G266" s="48" t="inlineStr">
        <is>
          <t>Pass</t>
        </is>
      </c>
      <c r="H266" s="50" t="inlineStr">
        <is>
          <t>không dùng SELECT * ở đâu</t>
        </is>
      </c>
      <c r="I266" s="50" t="inlineStr">
        <is>
          <t>Liệt kê tường minh các cột cần dùng, kể cả trong CTE trung gian. SELECT * làm tăng IO/memory và vỡ script khi bảng nguồn thêm cột.</t>
        </is>
      </c>
      <c r="J266" s="48" t="inlineStr">
        <is>
          <t>011. OCB_GOLD_TCKH_V_HT_CP_UPL_PHAT.xlsx [SCRIPT: V_HT_CP_UPL]</t>
        </is>
      </c>
    </row>
    <row r="267">
      <c r="A267" s="48" t="inlineStr">
        <is>
          <t>TCKH.V_HT_CP_UPL</t>
        </is>
      </c>
      <c r="B267" s="48" t="inlineStr">
        <is>
          <t>UPLOAD_VIEW</t>
        </is>
      </c>
      <c r="C267" s="48" t="inlineStr">
        <is>
          <t>3.2</t>
        </is>
      </c>
      <c r="D267" s="48" t="inlineStr">
        <is>
          <t>Nhom 3 - Optimization</t>
        </is>
      </c>
      <c r="E267" s="48" t="inlineStr">
        <is>
          <t>CTE không bị scan lại nhiều lần</t>
        </is>
      </c>
      <c r="F267" s="49" t="inlineStr">
        <is>
          <t>PASS</t>
        </is>
      </c>
      <c r="G267" s="48" t="inlineStr">
        <is>
          <t>Pass</t>
        </is>
      </c>
      <c r="H267" s="50" t="inlineStr">
        <is>
          <t>không có CTE nào bị gọi lại</t>
        </is>
      </c>
      <c r="I267" s="50" t="inlineStr">
        <is>
          <t>Với CTE nặng (đọc nhiều bảng Silver) bị tham chiếu từ 2 chỗ trở lên: gom lại còn một lần dùng, hoặc vật chất hóa (CACHE / bảng tạm). CTE nhẹ chỉ chứa tham số thì bỏ qua được — tự tick Pass.</t>
        </is>
      </c>
      <c r="J267" s="48" t="inlineStr">
        <is>
          <t>011. OCB_GOLD_TCKH_V_HT_CP_UPL_PHAT.xlsx [SCRIPT: V_HT_CP_UPL]</t>
        </is>
      </c>
    </row>
    <row r="268">
      <c r="A268" s="48" t="inlineStr">
        <is>
          <t>TCKH.V_HT_CP_UPL</t>
        </is>
      </c>
      <c r="B268" s="48" t="inlineStr">
        <is>
          <t>UPLOAD_VIEW</t>
        </is>
      </c>
      <c r="C268" s="48" t="inlineStr">
        <is>
          <t>3.3</t>
        </is>
      </c>
      <c r="D268" s="48" t="inlineStr">
        <is>
          <t>Nhom 3 - Optimization</t>
        </is>
      </c>
      <c r="E268" s="48" t="inlineStr">
        <is>
          <t>Filter trước khi join, tận dụng partition pruning</t>
        </is>
      </c>
      <c r="F268" s="48" t="inlineStr">
        <is>
          <t>N-A</t>
        </is>
      </c>
      <c r="G268" s="48" t="inlineStr">
        <is>
          <t>Pass</t>
        </is>
      </c>
      <c r="H268" s="50" t="inlineStr">
        <is>
          <t>khong ap dung cho profile UPLOAD_VIEW</t>
        </is>
      </c>
      <c r="I268" s="50" t="inlineStr">
        <is>
          <t>Đưa điều kiện lọc (ngày dữ liệu, trạng thái) vào subquery của từng bảng TRƯỚC khi join, để tận dụng partition pruning. Bảng dim nhỏ không partition thì không cần — tự tick Pass.</t>
        </is>
      </c>
      <c r="J268" s="48" t="inlineStr">
        <is>
          <t>011. OCB_GOLD_TCKH_V_HT_CP_UPL_PHAT.xlsx [SCRIPT: V_HT_CP_UPL]</t>
        </is>
      </c>
    </row>
    <row r="269">
      <c r="A269" s="48" t="inlineStr">
        <is>
          <t>TCKH.V_HT_CP_UPL</t>
        </is>
      </c>
      <c r="B269" s="48" t="inlineStr">
        <is>
          <t>UPLOAD_VIEW</t>
        </is>
      </c>
      <c r="C269" s="48" t="inlineStr">
        <is>
          <t>3.4</t>
        </is>
      </c>
      <c r="D269" s="48" t="inlineStr">
        <is>
          <t>Nhom 3 - Optimization</t>
        </is>
      </c>
      <c r="E269" s="48" t="inlineStr">
        <is>
          <t>Sử dụng CACHE cho query lặp lại trong cùng luồng</t>
        </is>
      </c>
      <c r="F269" s="48" t="inlineStr">
        <is>
          <t>N-A</t>
        </is>
      </c>
      <c r="G269" s="48" t="inlineStr">
        <is>
          <t>Pass</t>
        </is>
      </c>
      <c r="H269" s="50" t="inlineStr">
        <is>
          <t>không có kết quả nào được dùng lại nhiều lần nên chưa cần CACHE</t>
        </is>
      </c>
      <c r="I269" s="50" t="inlineStr">
        <is>
          <t>Nếu một kết quả nặng được dùng lại nhiều bước trong cùng luồng, thêm CACHE TABLE / CACHE SELECT. Kết quả nhỏ thì cache còn chậm hơn — tự tick Pass.</t>
        </is>
      </c>
      <c r="J269" s="48" t="inlineStr">
        <is>
          <t>011. OCB_GOLD_TCKH_V_HT_CP_UPL_PHAT.xlsx [SCRIPT: V_HT_CP_UPL]</t>
        </is>
      </c>
    </row>
    <row r="270">
      <c r="A270" s="48" t="inlineStr">
        <is>
          <t>TCKH.V_HT_CP_UPL</t>
        </is>
      </c>
      <c r="B270" s="48" t="inlineStr">
        <is>
          <t>UPLOAD_VIEW</t>
        </is>
      </c>
      <c r="C270" s="48" t="inlineStr">
        <is>
          <t>3.5</t>
        </is>
      </c>
      <c r="D270" s="48" t="inlineStr">
        <is>
          <t>Nhom 3 - Optimization</t>
        </is>
      </c>
      <c r="E270" s="48" t="inlineStr">
        <is>
          <t>Ưu tiên MAX_BY + QUALIFY thay ROW_NUMBER() + WHERE rn = 1</t>
        </is>
      </c>
      <c r="F270" s="48" t="inlineStr">
        <is>
          <t>N-A</t>
        </is>
      </c>
      <c r="G270" s="48" t="inlineStr">
        <is>
          <t>Pass</t>
        </is>
      </c>
      <c r="H270" s="50" t="inlineStr">
        <is>
          <t>script không dùng ROW_NUMBER, và MAX_BY (nếu có) không vượt quá 5 cột/khối</t>
        </is>
      </c>
      <c r="I2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70" s="48" t="inlineStr">
        <is>
          <t>011. OCB_GOLD_TCKH_V_HT_CP_UPL_PHAT.xlsx [SCRIPT: V_HT_CP_UPL]</t>
        </is>
      </c>
    </row>
    <row r="271">
      <c r="A271" s="48" t="inlineStr">
        <is>
          <t>TCKH.V_HT_CP_UPL</t>
        </is>
      </c>
      <c r="B271" s="48" t="inlineStr">
        <is>
          <t>UPLOAD_VIEW</t>
        </is>
      </c>
      <c r="C271" s="48" t="inlineStr">
        <is>
          <t>3.6</t>
        </is>
      </c>
      <c r="D271" s="48" t="inlineStr">
        <is>
          <t>Nhom 3 - Optimization</t>
        </is>
      </c>
      <c r="E271" s="48" t="inlineStr">
        <is>
          <t>Không lạm dụng window function; có comment khi dùng</t>
        </is>
      </c>
      <c r="F271" s="48" t="inlineStr">
        <is>
          <t>N-A</t>
        </is>
      </c>
      <c r="G271" s="48" t="inlineStr">
        <is>
          <t>Pass</t>
        </is>
      </c>
      <c r="H271" s="50" t="inlineStr">
        <is>
          <t>script không dùng window function</t>
        </is>
      </c>
      <c r="I271" s="50" t="inlineStr">
        <is>
          <t>Mỗi window function cần một comment ngay trên khối CTE chứa nó, nói rõ vì sao không dùng được max_by/QUALIFY đơn giản hơn.</t>
        </is>
      </c>
      <c r="J271" s="48" t="inlineStr">
        <is>
          <t>011. OCB_GOLD_TCKH_V_HT_CP_UPL_PHAT.xlsx [SCRIPT: V_HT_CP_UPL]</t>
        </is>
      </c>
    </row>
    <row r="272">
      <c r="A272" s="48" t="inlineStr">
        <is>
          <t>TCKH.V_HT_CP_UPL</t>
        </is>
      </c>
      <c r="B272" s="48" t="inlineStr">
        <is>
          <t>UPLOAD_VIEW</t>
        </is>
      </c>
      <c r="C272" s="48" t="inlineStr">
        <is>
          <t>X.1</t>
        </is>
      </c>
      <c r="D272" s="48" t="inlineStr">
        <is>
          <t>Nhom X - Bo sung Raffles</t>
        </is>
      </c>
      <c r="E272" s="48" t="inlineStr">
        <is>
          <t>[Bổ sung] Link phải rút về current trước khi join (chống fan-out)</t>
        </is>
      </c>
      <c r="F272" s="48" t="inlineStr">
        <is>
          <t>N-A</t>
        </is>
      </c>
      <c r="G272" s="48" t="inlineStr">
        <is>
          <t>Pass</t>
        </is>
      </c>
      <c r="H272" s="50" t="inlineStr">
        <is>
          <t>khong ap dung cho profile UPLOAD_VIEW</t>
        </is>
      </c>
      <c r="I2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72" s="48" t="inlineStr">
        <is>
          <t>011. OCB_GOLD_TCKH_V_HT_CP_UPL_PHAT.xlsx [SCRIPT: V_HT_CP_UPL]</t>
        </is>
      </c>
    </row>
    <row r="273">
      <c r="A273" s="48" t="inlineStr">
        <is>
          <t>TCKH.V_HT_CP_UPL</t>
        </is>
      </c>
      <c r="B273" s="48" t="inlineStr">
        <is>
          <t>UPLOAD_VIEW</t>
        </is>
      </c>
      <c r="C273" s="48" t="inlineStr">
        <is>
          <t>X.6</t>
        </is>
      </c>
      <c r="D273" s="48" t="inlineStr">
        <is>
          <t>Nhom X - Bo sung Raffles</t>
        </is>
      </c>
      <c r="E273" s="48" t="inlineStr">
        <is>
          <t>[Bổ sung] Satellite phải LEFT JOIN, không INNER JOIN</t>
        </is>
      </c>
      <c r="F273" s="48" t="inlineStr">
        <is>
          <t>N-A</t>
        </is>
      </c>
      <c r="G273" s="48" t="inlineStr">
        <is>
          <t>Pass</t>
        </is>
      </c>
      <c r="H273" s="50" t="inlineStr">
        <is>
          <t>khong ap dung cho profile UPLOAD_VIEW</t>
        </is>
      </c>
      <c r="I273" s="50" t="inlineStr">
        <is>
          <t>Technical Document III.4.2.2 nguyên tắc 1: làm giàu thuộc tính luôn dùng LEFT JOIN. INNER JOIN satellite sẽ loại mất bản ghi Hub đang còn hiệu lực nhưng chưa có dòng satellite.</t>
        </is>
      </c>
      <c r="J273" s="48" t="inlineStr">
        <is>
          <t>011. OCB_GOLD_TCKH_V_HT_CP_UPL_PHAT.xlsx [SCRIPT: V_HT_CP_UPL]</t>
        </is>
      </c>
    </row>
    <row r="274">
      <c r="A274" s="48" t="inlineStr">
        <is>
          <t>TCKH.V_HT_CP_UPL</t>
        </is>
      </c>
      <c r="B274" s="48" t="inlineStr">
        <is>
          <t>UPLOAD_VIEW</t>
        </is>
      </c>
      <c r="C274" s="48" t="inlineStr">
        <is>
          <t>X.7</t>
        </is>
      </c>
      <c r="D274" s="48" t="inlineStr">
        <is>
          <t>Nhom X - Bo sung Raffles</t>
        </is>
      </c>
      <c r="E274" s="48" t="inlineStr">
        <is>
          <t>[Bổ sung] Không hard-code catalog, dùng biến môi trường</t>
        </is>
      </c>
      <c r="F274" s="48" t="inlineStr">
        <is>
          <t>N-A</t>
        </is>
      </c>
      <c r="G274" s="48" t="inlineStr">
        <is>
          <t>Pass</t>
        </is>
      </c>
      <c r="H274" s="50" t="inlineStr">
        <is>
          <t>khong ap dung cho profile UPLOAD_VIEW</t>
        </is>
      </c>
      <c r="I2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74" s="48" t="inlineStr">
        <is>
          <t>011. OCB_GOLD_TCKH_V_HT_CP_UPL_PHAT.xlsx [SCRIPT: V_HT_CP_UPL]</t>
        </is>
      </c>
    </row>
    <row r="275">
      <c r="A275" s="48" t="inlineStr">
        <is>
          <t>TCKH.V_HT_CP_UPL</t>
        </is>
      </c>
      <c r="B275" s="48" t="inlineStr">
        <is>
          <t>UPLOAD_VIEW</t>
        </is>
      </c>
      <c r="C275" s="48" t="inlineStr">
        <is>
          <t>X.10</t>
        </is>
      </c>
      <c r="D275" s="48" t="inlineStr">
        <is>
          <t>Nhom X - Bo sung Raffles</t>
        </is>
      </c>
      <c r="E275" s="48" t="inlineStr">
        <is>
          <t>Bang raw_vault/business_vault duoc doc phai TON TAI THAT trong Data Vault model</t>
        </is>
      </c>
      <c r="F275" s="48" t="inlineStr">
        <is>
          <t>N-A</t>
        </is>
      </c>
      <c r="G275" s="48" t="inlineStr">
        <is>
          <t>Pass</t>
        </is>
      </c>
      <c r="H275" s="50" t="inlineStr">
        <is>
          <t>script không đọc bảng raw_vault/business_vault nào</t>
        </is>
      </c>
      <c r="I275" s="50" t="inlineStr"/>
      <c r="J275" s="48" t="inlineStr">
        <is>
          <t>011. OCB_GOLD_TCKH_V_HT_CP_UPL_PHAT.xlsx [SCRIPT: V_HT_CP_UPL]</t>
        </is>
      </c>
    </row>
    <row r="276">
      <c r="A276" s="48" t="inlineStr">
        <is>
          <t>TCKH.V_HT_CP_UPL</t>
        </is>
      </c>
      <c r="B276" s="48" t="inlineStr">
        <is>
          <t>UPLOAD_VIEW</t>
        </is>
      </c>
      <c r="C276" s="48" t="inlineStr">
        <is>
          <t>X.11</t>
        </is>
      </c>
      <c r="D276" s="48" t="inlineStr">
        <is>
          <t>Nhom X - Bo sung Raffles</t>
        </is>
      </c>
      <c r="E276" s="48" t="inlineStr">
        <is>
          <t>Cot doc tu satellite (sat_*) phai TON TAI THAT trong model</t>
        </is>
      </c>
      <c r="F276" s="48" t="inlineStr">
        <is>
          <t>N-A</t>
        </is>
      </c>
      <c r="G276" s="48" t="inlineStr">
        <is>
          <t>Pass</t>
        </is>
      </c>
      <c r="H276" s="50" t="inlineStr">
        <is>
          <t>không có bảng sat_* nào đủ điều kiện đối chiếu (Select chỉ đọc 1 bảng)</t>
        </is>
      </c>
      <c r="I276" s="50" t="inlineStr"/>
      <c r="J276" s="48" t="inlineStr">
        <is>
          <t>011. OCB_GOLD_TCKH_V_HT_CP_UPL_PHAT.xlsx [SCRIPT: V_HT_CP_UPL]</t>
        </is>
      </c>
    </row>
    <row r="277">
      <c r="A277" s="48" t="inlineStr">
        <is>
          <t>TCKH.V_LNSCHD_AVY</t>
        </is>
      </c>
      <c r="B277" s="48" t="inlineStr">
        <is>
          <t>SILVER_CONSUMER</t>
        </is>
      </c>
      <c r="C277" s="48" t="inlineStr">
        <is>
          <t>1.1</t>
        </is>
      </c>
      <c r="D277" s="48" t="inlineStr">
        <is>
          <t>Nhom 1 - Mapping</t>
        </is>
      </c>
      <c r="E277" s="48" t="inlineStr">
        <is>
          <t>Đầy đủ mapping từ Silver/manual sang Gold</t>
        </is>
      </c>
      <c r="F277" s="49" t="inlineStr">
        <is>
          <t>PASS</t>
        </is>
      </c>
      <c r="G277" s="48" t="inlineStr">
        <is>
          <t>Pass</t>
        </is>
      </c>
      <c r="H277" s="50" t="inlineStr">
        <is>
          <t>workbook 012. OCB_GOLD_TCKH_V_LNSCHD_AVY_BAOANH.xlsx: thiết kế 8 field, SQL có 8 cột</t>
        </is>
      </c>
      <c r="I2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77" s="48" t="inlineStr">
        <is>
          <t>012. OCB_GOLD_TCKH_V_LNSCHD_AVY_BAOANH.xlsx [Script: V_LNSCHD_AVY]</t>
        </is>
      </c>
    </row>
    <row r="278">
      <c r="A278" s="48" t="inlineStr">
        <is>
          <t>TCKH.V_LNSCHD_AVY</t>
        </is>
      </c>
      <c r="B278" s="48" t="inlineStr">
        <is>
          <t>SILVER_CONSUMER</t>
        </is>
      </c>
      <c r="C278" s="48" t="inlineStr">
        <is>
          <t>1.2</t>
        </is>
      </c>
      <c r="D278" s="48" t="inlineStr">
        <is>
          <t>Nhom 1 - Mapping</t>
        </is>
      </c>
      <c r="E278" s="48" t="inlineStr">
        <is>
          <t>Danh sách bảng/view Gold khớp tài liệu thiết kế đã duyệt</t>
        </is>
      </c>
      <c r="F278" s="49" t="inlineStr">
        <is>
          <t>PASS</t>
        </is>
      </c>
      <c r="G278" s="48" t="inlineStr">
        <is>
          <t>Pass</t>
        </is>
      </c>
      <c r="H278" s="50" t="inlineStr">
        <is>
          <t>V_LNSCHD_AVY có workbook thiết kế: 012. OCB_GOLD_TCKH_V_LNSCHD_AVY_BAOANH.xlsx</t>
        </is>
      </c>
      <c r="I278" s="50" t="inlineStr">
        <is>
          <t>Đảm bảo object có workbook thiết kế tương ứng trong thư mục --mapping-dir. Muốn đối chiếu với danh sách đã duyệt thì chạy thêm tham số --gold-list "&lt;file danh sách Gold&gt;.xlsx".</t>
        </is>
      </c>
      <c r="J278" s="48" t="inlineStr">
        <is>
          <t>012. OCB_GOLD_TCKH_V_LNSCHD_AVY_BAOANH.xlsx [Script: V_LNSCHD_AVY]</t>
        </is>
      </c>
    </row>
    <row r="279">
      <c r="A279" s="48" t="inlineStr">
        <is>
          <t>TCKH.V_LNSCHD_AVY</t>
        </is>
      </c>
      <c r="B279" s="48" t="inlineStr">
        <is>
          <t>SILVER_CONSUMER</t>
        </is>
      </c>
      <c r="C279" s="48" t="inlineStr">
        <is>
          <t>2.1</t>
        </is>
      </c>
      <c r="D279" s="48" t="inlineStr">
        <is>
          <t>Nhom 2 - Logic</t>
        </is>
      </c>
      <c r="E279" s="48" t="inlineStr">
        <is>
          <t>Chỉ lấy bản ghi active, loại bản ghi đã xóa (qua sts_hub)</t>
        </is>
      </c>
      <c r="F279" s="49" t="inlineStr">
        <is>
          <t>PASS</t>
        </is>
      </c>
      <c r="G279" s="48" t="inlineStr">
        <is>
          <t>Pass</t>
        </is>
      </c>
      <c r="H279" s="50" t="inlineStr">
        <is>
          <t>4 sts_hub_* đọc đúng format</t>
        </is>
      </c>
      <c r="I2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79" s="48" t="inlineStr">
        <is>
          <t>012. OCB_GOLD_TCKH_V_LNSCHD_AVY_BAOANH.xlsx [Script: V_LNSCHD_AVY]</t>
        </is>
      </c>
    </row>
    <row r="280">
      <c r="A280" s="48" t="inlineStr">
        <is>
          <t>TCKH.V_LNSCHD_AVY</t>
        </is>
      </c>
      <c r="B280" s="48" t="inlineStr">
        <is>
          <t>SILVER_CONSUMER</t>
        </is>
      </c>
      <c r="C280" s="48" t="inlineStr">
        <is>
          <t>2.2</t>
        </is>
      </c>
      <c r="D280" s="48" t="inlineStr">
        <is>
          <t>Nhom 2 - Logic</t>
        </is>
      </c>
      <c r="E280" s="48" t="inlineStr">
        <is>
          <t>Thống nhất MỘT pattern duy nhất xác định bản ghi active mới nhất</t>
        </is>
      </c>
      <c r="F280" s="49" t="inlineStr">
        <is>
          <t>PASS</t>
        </is>
      </c>
      <c r="G280" s="48" t="inlineStr">
        <is>
          <t>Pass</t>
        </is>
      </c>
      <c r="H280" s="50" t="inlineStr">
        <is>
          <t>file này dùng: ['MAX_BY']; toàn batch dùng: ['MAX_BY']</t>
        </is>
      </c>
      <c r="I2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80" s="48" t="inlineStr">
        <is>
          <t>012. OCB_GOLD_TCKH_V_LNSCHD_AVY_BAOANH.xlsx [Script: V_LNSCHD_AVY]</t>
        </is>
      </c>
    </row>
    <row r="281">
      <c r="A281" s="48" t="inlineStr">
        <is>
          <t>TCKH.V_LNSCHD_AVY</t>
        </is>
      </c>
      <c r="B281" s="48" t="inlineStr">
        <is>
          <t>SILVER_CONSUMER</t>
        </is>
      </c>
      <c r="C281" s="48" t="inlineStr">
        <is>
          <t>2.3</t>
        </is>
      </c>
      <c r="D281" s="48" t="inlineStr">
        <is>
          <t>Nhom 2 - Logic</t>
        </is>
      </c>
      <c r="E281" s="48" t="inlineStr">
        <is>
          <t>Điều kiện lọc trạng thái đặt SAU khi xác định bản ghi mới nhất</t>
        </is>
      </c>
      <c r="F281" s="49" t="inlineStr">
        <is>
          <t>PASS</t>
        </is>
      </c>
      <c r="G281" s="48" t="inlineStr">
        <is>
          <t>Pass</t>
        </is>
      </c>
      <c r="H281" s="50" t="inlineStr">
        <is>
          <t>không có điều kiện trạng thái nào lồng trong JOIN ON</t>
        </is>
      </c>
      <c r="I2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81" s="48" t="inlineStr">
        <is>
          <t>012. OCB_GOLD_TCKH_V_LNSCHD_AVY_BAOANH.xlsx [Script: V_LNSCHD_AVY]</t>
        </is>
      </c>
    </row>
    <row r="282">
      <c r="A282" s="48" t="inlineStr">
        <is>
          <t>TCKH.V_LNSCHD_AVY</t>
        </is>
      </c>
      <c r="B282" s="48" t="inlineStr">
        <is>
          <t>SILVER_CONSUMER</t>
        </is>
      </c>
      <c r="C282" s="48" t="inlineStr">
        <is>
          <t>2.4</t>
        </is>
      </c>
      <c r="D282" s="48" t="inlineStr">
        <is>
          <t>Nhom 2 - Logic</t>
        </is>
      </c>
      <c r="E282" s="48" t="inlineStr">
        <is>
          <t>source_event_date áp dụng đúng dạng theo loại bảng</t>
        </is>
      </c>
      <c r="F282" s="49" t="inlineStr">
        <is>
          <t>PASS</t>
        </is>
      </c>
      <c r="G282" s="48" t="inlineStr">
        <is>
          <t>Pass</t>
        </is>
      </c>
      <c r="H282" s="50" t="inlineStr">
        <is>
          <t>8 satellite đều đúng dạng điều kiện source_event_date</t>
        </is>
      </c>
      <c r="I2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82" s="48" t="inlineStr">
        <is>
          <t>012. OCB_GOLD_TCKH_V_LNSCHD_AVY_BAOANH.xlsx [Script: V_LNSCHD_AVY]</t>
        </is>
      </c>
    </row>
    <row r="283">
      <c r="A283" s="48" t="inlineStr">
        <is>
          <t>TCKH.V_LNSCHD_AVY</t>
        </is>
      </c>
      <c r="B283" s="48" t="inlineStr">
        <is>
          <t>SILVER_CONSUMER</t>
        </is>
      </c>
      <c r="C283" s="48" t="inlineStr">
        <is>
          <t>2.5</t>
        </is>
      </c>
      <c r="D283" s="48" t="inlineStr">
        <is>
          <t>Nhom 2 - Logic</t>
        </is>
      </c>
      <c r="E283" s="48" t="inlineStr">
        <is>
          <t>Không lặp lại lỗi logic cũ đã được DA Data Vault fix</t>
        </is>
      </c>
      <c r="F283" s="49" t="inlineStr">
        <is>
          <t>PASS</t>
        </is>
      </c>
      <c r="G283" s="48" t="inlineStr">
        <is>
          <t>Pass</t>
        </is>
      </c>
      <c r="H283" s="50" t="inlineStr">
        <is>
          <t>không trùng lỗi nào trong Issue log của DA Data Vault</t>
        </is>
      </c>
      <c r="I2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83" s="48" t="inlineStr">
        <is>
          <t>012. OCB_GOLD_TCKH_V_LNSCHD_AVY_BAOANH.xlsx [Script: V_LNSCHD_AVY]</t>
        </is>
      </c>
    </row>
    <row r="284">
      <c r="A284" s="48" t="inlineStr">
        <is>
          <t>TCKH.V_LNSCHD_AVY</t>
        </is>
      </c>
      <c r="B284" s="48" t="inlineStr">
        <is>
          <t>SILVER_CONSUMER</t>
        </is>
      </c>
      <c r="C284" s="48" t="inlineStr">
        <is>
          <t>2.6</t>
        </is>
      </c>
      <c r="D284" s="48" t="inlineStr">
        <is>
          <t>Nhom 2 - Logic</t>
        </is>
      </c>
      <c r="E284" s="48" t="inlineStr">
        <is>
          <t>SCD Type 2 cho bảng DIM áp dụng đúng kỹ thuật đã thống nhất</t>
        </is>
      </c>
      <c r="F284" s="48" t="inlineStr">
        <is>
          <t>N-A</t>
        </is>
      </c>
      <c r="G284" s="48" t="inlineStr">
        <is>
          <t>Pass</t>
        </is>
      </c>
      <c r="H284" s="50" t="inlineStr">
        <is>
          <t>object không phải bảng DIM nên không áp dụng SCD Type 2</t>
        </is>
      </c>
      <c r="I2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84" s="48" t="inlineStr">
        <is>
          <t>012. OCB_GOLD_TCKH_V_LNSCHD_AVY_BAOANH.xlsx [Script: V_LNSCHD_AVY]</t>
        </is>
      </c>
    </row>
    <row r="285">
      <c r="A285" s="48" t="inlineStr">
        <is>
          <t>TCKH.V_LNSCHD_AVY</t>
        </is>
      </c>
      <c r="B285" s="48" t="inlineStr">
        <is>
          <t>SILVER_CONSUMER</t>
        </is>
      </c>
      <c r="C285" s="48" t="inlineStr">
        <is>
          <t>2.7</t>
        </is>
      </c>
      <c r="D285" s="48" t="inlineStr">
        <is>
          <t>Nhom 2 - Logic</t>
        </is>
      </c>
      <c r="E285" s="48" t="inlineStr">
        <is>
          <t>CASE WHEN cover đủ nhánh như job on-prem</t>
        </is>
      </c>
      <c r="F285" s="49" t="inlineStr">
        <is>
          <t>PASS</t>
        </is>
      </c>
      <c r="G285" s="48" t="inlineStr">
        <is>
          <t>Pass</t>
        </is>
      </c>
      <c r="H285" s="50" t="inlineStr">
        <is>
          <t>cả 9 CASE đều có nhánh ELSE</t>
        </is>
      </c>
      <c r="I285" s="50" t="inlineStr">
        <is>
          <t>Mở job on-prem tương ứng (DataStage DSX hoặc SQL cũ), đối chiếu từng nhánh WHEN và cả nhánh ELSE. CASE không có ELSE sẽ trả NULL âm thầm — xác nhận đó là ý muốn hay thiếu nhánh.</t>
        </is>
      </c>
      <c r="J285" s="48" t="inlineStr">
        <is>
          <t>012. OCB_GOLD_TCKH_V_LNSCHD_AVY_BAOANH.xlsx [Script: V_LNSCHD_AVY]</t>
        </is>
      </c>
    </row>
    <row r="286">
      <c r="A286" s="48" t="inlineStr">
        <is>
          <t>TCKH.V_LNSCHD_AVY</t>
        </is>
      </c>
      <c r="B286" s="48" t="inlineStr">
        <is>
          <t>SILVER_CONSUMER</t>
        </is>
      </c>
      <c r="C286" s="48" t="inlineStr">
        <is>
          <t>2.8</t>
        </is>
      </c>
      <c r="D286" s="48" t="inlineStr">
        <is>
          <t>Nhom 2 - Logic</t>
        </is>
      </c>
      <c r="E286" s="48" t="inlineStr">
        <is>
          <t>Cột SUM/COUNT được COALESCE/NVL hợp lý</t>
        </is>
      </c>
      <c r="F286" s="51" t="inlineStr">
        <is>
          <t>WARN</t>
        </is>
      </c>
      <c r="G286" s="48" t="inlineStr">
        <is>
          <t>WARN</t>
        </is>
      </c>
      <c r="H286" s="50" t="inlineStr">
        <is>
          <t>1 biểu thức tổng hợp chưa coalesce: shd_amount = SUM(shd_amount); khi đối soát với hệ thống cũ phải bọc NVL/ISNULL CẢ HAI phía để không lệch khi trừ (Checklist RVN-OCB #11)</t>
        </is>
      </c>
      <c r="I2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86" s="48" t="inlineStr">
        <is>
          <t>012. OCB_GOLD_TCKH_V_LNSCHD_AVY_BAOANH.xlsx [Script: V_LNSCHD_AVY]</t>
        </is>
      </c>
    </row>
    <row r="287">
      <c r="A287" s="48" t="inlineStr">
        <is>
          <t>TCKH.V_LNSCHD_AVY</t>
        </is>
      </c>
      <c r="B287" s="48" t="inlineStr">
        <is>
          <t>SILVER_CONSUMER</t>
        </is>
      </c>
      <c r="C287" s="48" t="inlineStr">
        <is>
          <t>2.9</t>
        </is>
      </c>
      <c r="D287" s="48" t="inlineStr">
        <is>
          <t>Nhom 2 - Logic</t>
        </is>
      </c>
      <c r="E287" s="48" t="inlineStr">
        <is>
          <t>Subquery / custom function / điều kiện LIKE đúng ý nghĩa nghiệp vụ</t>
        </is>
      </c>
      <c r="F287" s="49" t="inlineStr">
        <is>
          <t>PASS</t>
        </is>
      </c>
      <c r="G287" s="48" t="inlineStr">
        <is>
          <t>Pass</t>
        </is>
      </c>
      <c r="H287" s="50" t="inlineStr">
        <is>
          <t>1 điều kiện LIKE: h.business_key LIKE 'PDPD%'; cú pháp hợp lệ; ý nghĩa nghiệp vụ cần người review đối chiếu job on-prem</t>
        </is>
      </c>
      <c r="I287" s="50" t="inlineStr">
        <is>
          <t>Đọc lại từng điều kiện LIKE và từng subquery, đối chiếu ý nghĩa nghiệp vụ với on-prem — đúng cú pháp không đủ. Chú ý pattern LIKE có ký tự % ở đầu/cuối và phân biệt chữ hoa/thường.</t>
        </is>
      </c>
      <c r="J287" s="48" t="inlineStr">
        <is>
          <t>012. OCB_GOLD_TCKH_V_LNSCHD_AVY_BAOANH.xlsx [Script: V_LNSCHD_AVY]</t>
        </is>
      </c>
    </row>
    <row r="288">
      <c r="A288" s="48" t="inlineStr">
        <is>
          <t>TCKH.V_LNSCHD_AVY</t>
        </is>
      </c>
      <c r="B288" s="48" t="inlineStr">
        <is>
          <t>SILVER_CONSUMER</t>
        </is>
      </c>
      <c r="C288" s="48" t="inlineStr">
        <is>
          <t>2.10</t>
        </is>
      </c>
      <c r="D288" s="48" t="inlineStr">
        <is>
          <t>Nhom 2 - Logic</t>
        </is>
      </c>
      <c r="E288" s="48" t="inlineStr">
        <is>
          <t>Aggregation kèm filter date range chính xác</t>
        </is>
      </c>
      <c r="F288" s="49" t="inlineStr">
        <is>
          <t>PASS</t>
        </is>
      </c>
      <c r="G288" s="48" t="inlineStr">
        <is>
          <t>Pass</t>
        </is>
      </c>
      <c r="H288" s="50" t="inlineStr">
        <is>
          <t>mọi khối tổng hợp đều có điều kiện theo kỳ dữ liệu</t>
        </is>
      </c>
      <c r="I288" s="50" t="inlineStr">
        <is>
          <t>Mỗi khối SUM/COUNT/AVG phải có điều kiện lọc theo kỳ dữ liệu (CDR_DT_ID, DATA_DATE, :DATADT…). Nếu điều kiện nằm ở CTE nguồn thì ghi rõ trong comment để người review không phải truy ngược.</t>
        </is>
      </c>
      <c r="J288" s="48" t="inlineStr">
        <is>
          <t>012. OCB_GOLD_TCKH_V_LNSCHD_AVY_BAOANH.xlsx [Script: V_LNSCHD_AVY]</t>
        </is>
      </c>
    </row>
    <row r="289">
      <c r="A289" s="48" t="inlineStr">
        <is>
          <t>TCKH.V_LNSCHD_AVY</t>
        </is>
      </c>
      <c r="B289" s="48" t="inlineStr">
        <is>
          <t>SILVER_CONSUMER</t>
        </is>
      </c>
      <c r="C289" s="48" t="inlineStr">
        <is>
          <t>2.11</t>
        </is>
      </c>
      <c r="D289" s="48" t="inlineStr">
        <is>
          <t>Nhom 2 - Logic</t>
        </is>
      </c>
      <c r="E289" s="48" t="inlineStr">
        <is>
          <t>Join dùng key hợp lý, không lạm dụng UNION ALL + EXISTS/NOT EXISTS</t>
        </is>
      </c>
      <c r="F289" s="51" t="inlineStr">
        <is>
          <t>WARN</t>
        </is>
      </c>
      <c r="G289" s="48" t="inlineStr">
        <is>
          <t>WARN</t>
        </is>
      </c>
      <c r="H289" s="50" t="inlineStr">
        <is>
          <t>join không có điều kiện bằng (=): ['h', 's']</t>
        </is>
      </c>
      <c r="I289" s="50" t="inlineStr">
        <is>
          <t>Ưu tiên LEFT JOIN theo business key hoặc hashkey. Xem lại các chỗ dùng UNION ALL kết hợp EXISTS/NOT EXISTS — thường thay được bằng một LEFT JOIN. Join không có điều kiện bằng (=) dễ tạo tích Descartes.</t>
        </is>
      </c>
      <c r="J289" s="48" t="inlineStr">
        <is>
          <t>012. OCB_GOLD_TCKH_V_LNSCHD_AVY_BAOANH.xlsx [Script: V_LNSCHD_AVY]</t>
        </is>
      </c>
    </row>
    <row r="290">
      <c r="A290" s="48" t="inlineStr">
        <is>
          <t>TCKH.V_LNSCHD_AVY</t>
        </is>
      </c>
      <c r="B290" s="48" t="inlineStr">
        <is>
          <t>SILVER_CONSUMER</t>
        </is>
      </c>
      <c r="C290" s="48" t="inlineStr">
        <is>
          <t>2.12</t>
        </is>
      </c>
      <c r="D290" s="48" t="inlineStr">
        <is>
          <t>Nhom 2 - Logic</t>
        </is>
      </c>
      <c r="E290" s="48" t="inlineStr">
        <is>
          <t>Build Gold từ CTE snapshot Silver, không build nhiều tầng chồng chéo</t>
        </is>
      </c>
      <c r="F290" s="49" t="inlineStr">
        <is>
          <t>PASS</t>
        </is>
      </c>
      <c r="G290" s="48" t="inlineStr">
        <is>
          <t>Pass</t>
        </is>
      </c>
      <c r="H290" s="50" t="inlineStr">
        <is>
          <t>mỗi bảng nguồn chỉ đọc trong 1 khối SELECT</t>
        </is>
      </c>
      <c r="I2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90" s="48" t="inlineStr">
        <is>
          <t>012. OCB_GOLD_TCKH_V_LNSCHD_AVY_BAOANH.xlsx [Script: V_LNSCHD_AVY]</t>
        </is>
      </c>
    </row>
    <row r="291">
      <c r="A291" s="48" t="inlineStr">
        <is>
          <t>TCKH.V_LNSCHD_AVY</t>
        </is>
      </c>
      <c r="B291" s="48" t="inlineStr">
        <is>
          <t>SILVER_CONSUMER</t>
        </is>
      </c>
      <c r="C291" s="48" t="inlineStr">
        <is>
          <t>3.1</t>
        </is>
      </c>
      <c r="D291" s="48" t="inlineStr">
        <is>
          <t>Nhom 3 - Optimization</t>
        </is>
      </c>
      <c r="E291" s="48" t="inlineStr">
        <is>
          <t>Không SELECT *</t>
        </is>
      </c>
      <c r="F291" s="49" t="inlineStr">
        <is>
          <t>PASS</t>
        </is>
      </c>
      <c r="G291" s="48" t="inlineStr">
        <is>
          <t>Pass</t>
        </is>
      </c>
      <c r="H291" s="50" t="inlineStr">
        <is>
          <t>không dùng SELECT * ở đâu</t>
        </is>
      </c>
      <c r="I291" s="50" t="inlineStr">
        <is>
          <t>Liệt kê tường minh các cột cần dùng, kể cả trong CTE trung gian. SELECT * làm tăng IO/memory và vỡ script khi bảng nguồn thêm cột.</t>
        </is>
      </c>
      <c r="J291" s="48" t="inlineStr">
        <is>
          <t>012. OCB_GOLD_TCKH_V_LNSCHD_AVY_BAOANH.xlsx [Script: V_LNSCHD_AVY]</t>
        </is>
      </c>
    </row>
    <row r="292">
      <c r="A292" s="48" t="inlineStr">
        <is>
          <t>TCKH.V_LNSCHD_AVY</t>
        </is>
      </c>
      <c r="B292" s="48" t="inlineStr">
        <is>
          <t>SILVER_CONSUMER</t>
        </is>
      </c>
      <c r="C292" s="48" t="inlineStr">
        <is>
          <t>3.2</t>
        </is>
      </c>
      <c r="D292" s="48" t="inlineStr">
        <is>
          <t>Nhom 3 - Optimization</t>
        </is>
      </c>
      <c r="E292" s="48" t="inlineStr">
        <is>
          <t>CTE không bị scan lại nhiều lần</t>
        </is>
      </c>
      <c r="F292" s="51" t="inlineStr">
        <is>
          <t>WARN</t>
        </is>
      </c>
      <c r="G292" s="48" t="inlineStr">
        <is>
          <t>WARN</t>
        </is>
      </c>
      <c r="H292" s="50" t="inlineStr">
        <is>
          <t>CTE bị tham chiếu lại nhiều lần: calendar_dates x3, hub_loans_by_date x2, hub_md_deal_by_date x2, cte_snap_sts_hub_loans_payment_due x2, cte_snap_sat_loans_payment_due_information x2, cte_snap_sat_loans_payment_due_overdue x2, payment_due_link_by_date x2, pdpd_hub_by_date x2</t>
        </is>
      </c>
      <c r="I292" s="50" t="inlineStr">
        <is>
          <t>Với CTE nặng (đọc nhiều bảng Silver) bị tham chiếu từ 2 chỗ trở lên: gom lại còn một lần dùng, hoặc vật chất hóa (CACHE / bảng tạm). CTE nhẹ chỉ chứa tham số thì bỏ qua được — tự tick Pass.</t>
        </is>
      </c>
      <c r="J292" s="48" t="inlineStr">
        <is>
          <t>012. OCB_GOLD_TCKH_V_LNSCHD_AVY_BAOANH.xlsx [Script: V_LNSCHD_AVY]</t>
        </is>
      </c>
    </row>
    <row r="293">
      <c r="A293" s="48" t="inlineStr">
        <is>
          <t>TCKH.V_LNSCHD_AVY</t>
        </is>
      </c>
      <c r="B293" s="48" t="inlineStr">
        <is>
          <t>SILVER_CONSUMER</t>
        </is>
      </c>
      <c r="C293" s="48" t="inlineStr">
        <is>
          <t>3.3</t>
        </is>
      </c>
      <c r="D293" s="48" t="inlineStr">
        <is>
          <t>Nhom 3 - Optimization</t>
        </is>
      </c>
      <c r="E293" s="48" t="inlineStr">
        <is>
          <t>Filter trước khi join, tận dụng partition pruning</t>
        </is>
      </c>
      <c r="F293" s="51" t="inlineStr">
        <is>
          <t>WARN</t>
        </is>
      </c>
      <c r="G293" s="48" t="inlineStr">
        <is>
          <t>WARN</t>
        </is>
      </c>
      <c r="H293" s="50" t="inlineStr">
        <is>
          <t>12 bảng join trực tiếp mà không có filter riêng: hub_limit (lim), hub_loans (h), hub_md_deal (md), link_loans_limit (ll), link_loans_payment_due (l), sat_limit_information (info), sat_loans_schedule (s), sat_md_deal_information (di)</t>
        </is>
      </c>
      <c r="I293" s="50" t="inlineStr">
        <is>
          <t>Đưa điều kiện lọc (ngày dữ liệu, trạng thái) vào subquery của từng bảng TRƯỚC khi join, để tận dụng partition pruning. Bảng dim nhỏ không partition thì không cần — tự tick Pass.</t>
        </is>
      </c>
      <c r="J293" s="48" t="inlineStr">
        <is>
          <t>012. OCB_GOLD_TCKH_V_LNSCHD_AVY_BAOANH.xlsx [Script: V_LNSCHD_AVY]</t>
        </is>
      </c>
    </row>
    <row r="294">
      <c r="A294" s="48" t="inlineStr">
        <is>
          <t>TCKH.V_LNSCHD_AVY</t>
        </is>
      </c>
      <c r="B294" s="48" t="inlineStr">
        <is>
          <t>SILVER_CONSUMER</t>
        </is>
      </c>
      <c r="C294" s="48" t="inlineStr">
        <is>
          <t>3.4</t>
        </is>
      </c>
      <c r="D294" s="48" t="inlineStr">
        <is>
          <t>Nhom 3 - Optimization</t>
        </is>
      </c>
      <c r="E294" s="48" t="inlineStr">
        <is>
          <t>Sử dụng CACHE cho query lặp lại trong cùng luồng</t>
        </is>
      </c>
      <c r="F294" s="51" t="inlineStr">
        <is>
          <t>WARN</t>
        </is>
      </c>
      <c r="G294" s="48" t="inlineStr">
        <is>
          <t>WARN</t>
        </is>
      </c>
      <c r="H294" s="50" t="inlineStr">
        <is>
          <t>8 CTE nặng dùng lại &gt;= 2 lần mà không có CACHE: calendar_dates, cte_snap_sat_loans_payment_due_information, cte_snap_sat_loans_payment_due_overdue, cte_snap_sts_hub_loans_payment_due, hub_loans_by_date, hub_md_deal_by_date, payment_due_link_by_date, pdpd_hub_by_date</t>
        </is>
      </c>
      <c r="I294" s="50" t="inlineStr">
        <is>
          <t>Nếu một kết quả nặng được dùng lại nhiều bước trong cùng luồng, thêm CACHE TABLE / CACHE SELECT. Kết quả nhỏ thì cache còn chậm hơn — tự tick Pass.</t>
        </is>
      </c>
      <c r="J294" s="48" t="inlineStr">
        <is>
          <t>012. OCB_GOLD_TCKH_V_LNSCHD_AVY_BAOANH.xlsx [Script: V_LNSCHD_AVY]</t>
        </is>
      </c>
    </row>
    <row r="295">
      <c r="A295" s="48" t="inlineStr">
        <is>
          <t>TCKH.V_LNSCHD_AVY</t>
        </is>
      </c>
      <c r="B295" s="48" t="inlineStr">
        <is>
          <t>SILVER_CONSUMER</t>
        </is>
      </c>
      <c r="C295" s="48" t="inlineStr">
        <is>
          <t>3.5</t>
        </is>
      </c>
      <c r="D295" s="48" t="inlineStr">
        <is>
          <t>Nhom 3 - Optimization</t>
        </is>
      </c>
      <c r="E295" s="48" t="inlineStr">
        <is>
          <t>Ưu tiên MAX_BY + QUALIFY thay ROW_NUMBER() + WHERE rn = 1</t>
        </is>
      </c>
      <c r="F295" s="49" t="inlineStr">
        <is>
          <t>PASS</t>
        </is>
      </c>
      <c r="G295" s="48" t="inlineStr">
        <is>
          <t>Pass</t>
        </is>
      </c>
      <c r="H295" s="50" t="inlineStr">
        <is>
          <t>MAX_BY/ROW_NUMBER đang dùng đúng theo số cột (≤5 cột dùng MAX_BY, &gt;5 cột dùng ROW_NUMBER)</t>
        </is>
      </c>
      <c r="I2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95" s="48" t="inlineStr">
        <is>
          <t>012. OCB_GOLD_TCKH_V_LNSCHD_AVY_BAOANH.xlsx [Script: V_LNSCHD_AVY]</t>
        </is>
      </c>
    </row>
    <row r="296">
      <c r="A296" s="48" t="inlineStr">
        <is>
          <t>TCKH.V_LNSCHD_AVY</t>
        </is>
      </c>
      <c r="B296" s="48" t="inlineStr">
        <is>
          <t>SILVER_CONSUMER</t>
        </is>
      </c>
      <c r="C296" s="48" t="inlineStr">
        <is>
          <t>3.6</t>
        </is>
      </c>
      <c r="D296" s="48" t="inlineStr">
        <is>
          <t>Nhom 3 - Optimization</t>
        </is>
      </c>
      <c r="E296" s="48" t="inlineStr">
        <is>
          <t>Không lạm dụng window function; có comment khi dùng</t>
        </is>
      </c>
      <c r="F296" s="49" t="inlineStr">
        <is>
          <t>PASS</t>
        </is>
      </c>
      <c r="G296" s="48" t="inlineStr">
        <is>
          <t>Pass</t>
        </is>
      </c>
      <c r="H296" s="50" t="inlineStr">
        <is>
          <t>1 window function đều có comment</t>
        </is>
      </c>
      <c r="I296" s="50" t="inlineStr">
        <is>
          <t>Mỗi window function cần một comment ngay trên khối CTE chứa nó, nói rõ vì sao không dùng được max_by/QUALIFY đơn giản hơn.</t>
        </is>
      </c>
      <c r="J296" s="48" t="inlineStr">
        <is>
          <t>012. OCB_GOLD_TCKH_V_LNSCHD_AVY_BAOANH.xlsx [Script: V_LNSCHD_AVY]</t>
        </is>
      </c>
    </row>
    <row r="297">
      <c r="A297" s="48" t="inlineStr">
        <is>
          <t>TCKH.V_LNSCHD_AVY</t>
        </is>
      </c>
      <c r="B297" s="48" t="inlineStr">
        <is>
          <t>SILVER_CONSUMER</t>
        </is>
      </c>
      <c r="C297" s="48" t="inlineStr">
        <is>
          <t>X.1</t>
        </is>
      </c>
      <c r="D297" s="48" t="inlineStr">
        <is>
          <t>Nhom X - Bo sung Raffles</t>
        </is>
      </c>
      <c r="E297" s="48" t="inlineStr">
        <is>
          <t>[Bổ sung] Link phải rút về current trước khi join (chống fan-out)</t>
        </is>
      </c>
      <c r="F297" s="52" t="inlineStr">
        <is>
          <t>FAIL</t>
        </is>
      </c>
      <c r="G297" s="48" t="inlineStr">
        <is>
          <t>Fail</t>
        </is>
      </c>
      <c r="H297" s="50" t="inlineStr">
        <is>
          <t>2 bảng link_* join trực tiếp mà chưa rút về current, sẽ nhân đôi số dòng: link_loans_limit (dong 470), link_loans_payment_due (dong 306)</t>
        </is>
      </c>
      <c r="I2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97" s="48" t="inlineStr">
        <is>
          <t>012. OCB_GOLD_TCKH_V_LNSCHD_AVY_BAOANH.xlsx [Script: V_LNSCHD_AVY]</t>
        </is>
      </c>
    </row>
    <row r="298">
      <c r="A298" s="48" t="inlineStr">
        <is>
          <t>TCKH.V_LNSCHD_AVY</t>
        </is>
      </c>
      <c r="B298" s="48" t="inlineStr">
        <is>
          <t>SILVER_CONSUMER</t>
        </is>
      </c>
      <c r="C298" s="48" t="inlineStr">
        <is>
          <t>X.6</t>
        </is>
      </c>
      <c r="D298" s="48" t="inlineStr">
        <is>
          <t>Nhom X - Bo sung Raffles</t>
        </is>
      </c>
      <c r="E298" s="48" t="inlineStr">
        <is>
          <t>[Bổ sung] Satellite phải LEFT JOIN, không INNER JOIN</t>
        </is>
      </c>
      <c r="F298" s="49" t="inlineStr">
        <is>
          <t>PASS</t>
        </is>
      </c>
      <c r="G298" s="48" t="inlineStr">
        <is>
          <t>Pass</t>
        </is>
      </c>
      <c r="H298" s="50" t="inlineStr">
        <is>
          <t>các satellite đều LEFT JOIN</t>
        </is>
      </c>
      <c r="I298" s="50" t="inlineStr">
        <is>
          <t>Technical Document III.4.2.2 nguyên tắc 1: làm giàu thuộc tính luôn dùng LEFT JOIN. INNER JOIN satellite sẽ loại mất bản ghi Hub đang còn hiệu lực nhưng chưa có dòng satellite.</t>
        </is>
      </c>
      <c r="J298" s="48" t="inlineStr">
        <is>
          <t>012. OCB_GOLD_TCKH_V_LNSCHD_AVY_BAOANH.xlsx [Script: V_LNSCHD_AVY]</t>
        </is>
      </c>
    </row>
    <row r="299">
      <c r="A299" s="48" t="inlineStr">
        <is>
          <t>TCKH.V_LNSCHD_AVY</t>
        </is>
      </c>
      <c r="B299" s="48" t="inlineStr">
        <is>
          <t>SILVER_CONSUMER</t>
        </is>
      </c>
      <c r="C299" s="48" t="inlineStr">
        <is>
          <t>X.7</t>
        </is>
      </c>
      <c r="D299" s="48" t="inlineStr">
        <is>
          <t>Nhom X - Bo sung Raffles</t>
        </is>
      </c>
      <c r="E299" s="48" t="inlineStr">
        <is>
          <t>[Bổ sung] Không hard-code catalog, dùng biến môi trường</t>
        </is>
      </c>
      <c r="F299" s="49" t="inlineStr">
        <is>
          <t>PASS</t>
        </is>
      </c>
      <c r="G299" s="48" t="inlineStr">
        <is>
          <t>Pass</t>
        </is>
      </c>
      <c r="H299" s="50" t="inlineStr">
        <is>
          <t>dùng biến môi trường cho catalog</t>
        </is>
      </c>
      <c r="I2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99" s="48" t="inlineStr">
        <is>
          <t>012. OCB_GOLD_TCKH_V_LNSCHD_AVY_BAOANH.xlsx [Script: V_LNSCHD_AVY]</t>
        </is>
      </c>
    </row>
    <row r="300">
      <c r="A300" s="48" t="inlineStr">
        <is>
          <t>TCKH.V_LNSCHD_AVY</t>
        </is>
      </c>
      <c r="B300" s="48" t="inlineStr">
        <is>
          <t>SILVER_CONSUMER</t>
        </is>
      </c>
      <c r="C300" s="48" t="inlineStr">
        <is>
          <t>X.10</t>
        </is>
      </c>
      <c r="D300" s="48" t="inlineStr">
        <is>
          <t>Nhom X - Bo sung Raffles</t>
        </is>
      </c>
      <c r="E300" s="48" t="inlineStr">
        <is>
          <t>Bang raw_vault/business_vault duoc doc phai TON TAI THAT trong Data Vault model</t>
        </is>
      </c>
      <c r="F300" s="49" t="inlineStr">
        <is>
          <t>PASS</t>
        </is>
      </c>
      <c r="G300" s="48" t="inlineStr">
        <is>
          <t>Pass</t>
        </is>
      </c>
      <c r="H300" s="50" t="inlineStr">
        <is>
          <t>19 bảng Silver đều có thật trong Data Vault model</t>
        </is>
      </c>
      <c r="I300" s="50" t="inlineStr"/>
      <c r="J300" s="48" t="inlineStr">
        <is>
          <t>012. OCB_GOLD_TCKH_V_LNSCHD_AVY_BAOANH.xlsx [Script: V_LNSCHD_AVY]</t>
        </is>
      </c>
    </row>
    <row r="301">
      <c r="A301" s="48" t="inlineStr">
        <is>
          <t>TCKH.V_LNSCHD_AVY</t>
        </is>
      </c>
      <c r="B301" s="48" t="inlineStr">
        <is>
          <t>SILVER_CONSUMER</t>
        </is>
      </c>
      <c r="C301" s="48" t="inlineStr">
        <is>
          <t>X.11</t>
        </is>
      </c>
      <c r="D301" s="48" t="inlineStr">
        <is>
          <t>Nhom X - Bo sung Raffles</t>
        </is>
      </c>
      <c r="E301" s="48" t="inlineStr">
        <is>
          <t>Cot doc tu satellite (sat_*) phai TON TAI THAT trong model</t>
        </is>
      </c>
      <c r="F301" s="49" t="inlineStr">
        <is>
          <t>PASS</t>
        </is>
      </c>
      <c r="G301" s="48" t="inlineStr">
        <is>
          <t>Pass</t>
        </is>
      </c>
      <c r="H301" s="50" t="inlineStr">
        <is>
          <t>mọi cột đọc từ sat_* đều tồn tại trong model thật</t>
        </is>
      </c>
      <c r="I301" s="50" t="inlineStr"/>
      <c r="J301" s="48" t="inlineStr">
        <is>
          <t>012. OCB_GOLD_TCKH_V_LNSCHD_AVY_BAOANH.xlsx [Script: V_LNSCHD_AVY]</t>
        </is>
      </c>
    </row>
    <row r="302">
      <c r="A302" s="48" t="inlineStr">
        <is>
          <t>TCKH.V_LOAN_BY_PRD_DAILY</t>
        </is>
      </c>
      <c r="B302" s="48" t="inlineStr">
        <is>
          <t>UPLOAD_VIEW</t>
        </is>
      </c>
      <c r="C302" s="48" t="inlineStr">
        <is>
          <t>1.1</t>
        </is>
      </c>
      <c r="D302" s="48" t="inlineStr">
        <is>
          <t>Nhom 1 - Mapping</t>
        </is>
      </c>
      <c r="E302" s="48" t="inlineStr">
        <is>
          <t>Đầy đủ mapping từ Silver/manual sang Gold</t>
        </is>
      </c>
      <c r="F302" s="49" t="inlineStr">
        <is>
          <t>PASS</t>
        </is>
      </c>
      <c r="G302" s="48" t="inlineStr">
        <is>
          <t>Pass</t>
        </is>
      </c>
      <c r="H302" s="50" t="inlineStr">
        <is>
          <t>workbook 013. OCB_GOLD_TCKH_V_LOAN_BY_PRD_DAILY_PHAT.xlsx: thiết kế 61 field, SQL có 61 cột</t>
        </is>
      </c>
      <c r="I3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02" s="48" t="inlineStr">
        <is>
          <t>013. OCB_GOLD_TCKH_V_LOAN_BY_PRD_DAILY_PHAT.xlsx [Script: V_LOAN_BY_PRD_DAILY]</t>
        </is>
      </c>
    </row>
    <row r="303">
      <c r="A303" s="48" t="inlineStr">
        <is>
          <t>TCKH.V_LOAN_BY_PRD_DAILY</t>
        </is>
      </c>
      <c r="B303" s="48" t="inlineStr">
        <is>
          <t>UPLOAD_VIEW</t>
        </is>
      </c>
      <c r="C303" s="48" t="inlineStr">
        <is>
          <t>1.2</t>
        </is>
      </c>
      <c r="D303" s="48" t="inlineStr">
        <is>
          <t>Nhom 1 - Mapping</t>
        </is>
      </c>
      <c r="E303" s="48" t="inlineStr">
        <is>
          <t>Danh sách bảng/view Gold khớp tài liệu thiết kế đã duyệt</t>
        </is>
      </c>
      <c r="F303" s="49" t="inlineStr">
        <is>
          <t>PASS</t>
        </is>
      </c>
      <c r="G303" s="48" t="inlineStr">
        <is>
          <t>Pass</t>
        </is>
      </c>
      <c r="H303" s="50" t="inlineStr">
        <is>
          <t>V_LOAN_BY_PRD_DAILY có workbook thiết kế: 013. OCB_GOLD_TCKH_V_LOAN_BY_PRD_DAILY_PHAT.xlsx</t>
        </is>
      </c>
      <c r="I303" s="50" t="inlineStr">
        <is>
          <t>Đảm bảo object có workbook thiết kế tương ứng trong thư mục --mapping-dir. Muốn đối chiếu với danh sách đã duyệt thì chạy thêm tham số --gold-list "&lt;file danh sách Gold&gt;.xlsx".</t>
        </is>
      </c>
      <c r="J303" s="48" t="inlineStr">
        <is>
          <t>013. OCB_GOLD_TCKH_V_LOAN_BY_PRD_DAILY_PHAT.xlsx [Script: V_LOAN_BY_PRD_DAILY]</t>
        </is>
      </c>
    </row>
    <row r="304">
      <c r="A304" s="48" t="inlineStr">
        <is>
          <t>TCKH.V_LOAN_BY_PRD_DAILY</t>
        </is>
      </c>
      <c r="B304" s="48" t="inlineStr">
        <is>
          <t>UPLOAD_VIEW</t>
        </is>
      </c>
      <c r="C304" s="48" t="inlineStr">
        <is>
          <t>2.1</t>
        </is>
      </c>
      <c r="D304" s="48" t="inlineStr">
        <is>
          <t>Nhom 2 - Logic</t>
        </is>
      </c>
      <c r="E304" s="48" t="inlineStr">
        <is>
          <t>Chỉ lấy bản ghi active, loại bản ghi đã xóa (qua sts_hub)</t>
        </is>
      </c>
      <c r="F304" s="48" t="inlineStr">
        <is>
          <t>N-A</t>
        </is>
      </c>
      <c r="G304" s="48" t="inlineStr">
        <is>
          <t>Pass</t>
        </is>
      </c>
      <c r="H304" s="50" t="inlineStr">
        <is>
          <t>khong ap dung cho profile UPLOAD_VIEW</t>
        </is>
      </c>
      <c r="I3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04" s="48" t="inlineStr">
        <is>
          <t>013. OCB_GOLD_TCKH_V_LOAN_BY_PRD_DAILY_PHAT.xlsx [Script: V_LOAN_BY_PRD_DAILY]</t>
        </is>
      </c>
    </row>
    <row r="305">
      <c r="A305" s="48" t="inlineStr">
        <is>
          <t>TCKH.V_LOAN_BY_PRD_DAILY</t>
        </is>
      </c>
      <c r="B305" s="48" t="inlineStr">
        <is>
          <t>UPLOAD_VIEW</t>
        </is>
      </c>
      <c r="C305" s="48" t="inlineStr">
        <is>
          <t>2.2</t>
        </is>
      </c>
      <c r="D305" s="48" t="inlineStr">
        <is>
          <t>Nhom 2 - Logic</t>
        </is>
      </c>
      <c r="E305" s="48" t="inlineStr">
        <is>
          <t>Thống nhất MỘT pattern duy nhất xác định bản ghi active mới nhất</t>
        </is>
      </c>
      <c r="F305" s="48" t="inlineStr">
        <is>
          <t>N-A</t>
        </is>
      </c>
      <c r="G305" s="48" t="inlineStr">
        <is>
          <t>Pass</t>
        </is>
      </c>
      <c r="H305" s="50" t="inlineStr">
        <is>
          <t>khong ap dung cho profile UPLOAD_VIEW</t>
        </is>
      </c>
      <c r="I3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05" s="48" t="inlineStr">
        <is>
          <t>013. OCB_GOLD_TCKH_V_LOAN_BY_PRD_DAILY_PHAT.xlsx [Script: V_LOAN_BY_PRD_DAILY]</t>
        </is>
      </c>
    </row>
    <row r="306">
      <c r="A306" s="48" t="inlineStr">
        <is>
          <t>TCKH.V_LOAN_BY_PRD_DAILY</t>
        </is>
      </c>
      <c r="B306" s="48" t="inlineStr">
        <is>
          <t>UPLOAD_VIEW</t>
        </is>
      </c>
      <c r="C306" s="48" t="inlineStr">
        <is>
          <t>2.3</t>
        </is>
      </c>
      <c r="D306" s="48" t="inlineStr">
        <is>
          <t>Nhom 2 - Logic</t>
        </is>
      </c>
      <c r="E306" s="48" t="inlineStr">
        <is>
          <t>Điều kiện lọc trạng thái đặt SAU khi xác định bản ghi mới nhất</t>
        </is>
      </c>
      <c r="F306" s="48" t="inlineStr">
        <is>
          <t>N-A</t>
        </is>
      </c>
      <c r="G306" s="48" t="inlineStr">
        <is>
          <t>Pass</t>
        </is>
      </c>
      <c r="H306" s="50" t="inlineStr">
        <is>
          <t>khong ap dung cho profile UPLOAD_VIEW</t>
        </is>
      </c>
      <c r="I3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06" s="48" t="inlineStr">
        <is>
          <t>013. OCB_GOLD_TCKH_V_LOAN_BY_PRD_DAILY_PHAT.xlsx [Script: V_LOAN_BY_PRD_DAILY]</t>
        </is>
      </c>
    </row>
    <row r="307">
      <c r="A307" s="48" t="inlineStr">
        <is>
          <t>TCKH.V_LOAN_BY_PRD_DAILY</t>
        </is>
      </c>
      <c r="B307" s="48" t="inlineStr">
        <is>
          <t>UPLOAD_VIEW</t>
        </is>
      </c>
      <c r="C307" s="48" t="inlineStr">
        <is>
          <t>2.4</t>
        </is>
      </c>
      <c r="D307" s="48" t="inlineStr">
        <is>
          <t>Nhom 2 - Logic</t>
        </is>
      </c>
      <c r="E307" s="48" t="inlineStr">
        <is>
          <t>source_event_date áp dụng đúng dạng theo loại bảng</t>
        </is>
      </c>
      <c r="F307" s="48" t="inlineStr">
        <is>
          <t>N-A</t>
        </is>
      </c>
      <c r="G307" s="48" t="inlineStr">
        <is>
          <t>Pass</t>
        </is>
      </c>
      <c r="H307" s="50" t="inlineStr">
        <is>
          <t>khong ap dung cho profile UPLOAD_VIEW</t>
        </is>
      </c>
      <c r="I3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07" s="48" t="inlineStr">
        <is>
          <t>013. OCB_GOLD_TCKH_V_LOAN_BY_PRD_DAILY_PHAT.xlsx [Script: V_LOAN_BY_PRD_DAILY]</t>
        </is>
      </c>
    </row>
    <row r="308">
      <c r="A308" s="48" t="inlineStr">
        <is>
          <t>TCKH.V_LOAN_BY_PRD_DAILY</t>
        </is>
      </c>
      <c r="B308" s="48" t="inlineStr">
        <is>
          <t>UPLOAD_VIEW</t>
        </is>
      </c>
      <c r="C308" s="48" t="inlineStr">
        <is>
          <t>2.5</t>
        </is>
      </c>
      <c r="D308" s="48" t="inlineStr">
        <is>
          <t>Nhom 2 - Logic</t>
        </is>
      </c>
      <c r="E308" s="48" t="inlineStr">
        <is>
          <t>Không lặp lại lỗi logic cũ đã được DA Data Vault fix</t>
        </is>
      </c>
      <c r="F308" s="49" t="inlineStr">
        <is>
          <t>PASS</t>
        </is>
      </c>
      <c r="G308" s="48" t="inlineStr">
        <is>
          <t>Pass</t>
        </is>
      </c>
      <c r="H308" s="50" t="inlineStr">
        <is>
          <t>không trùng lỗi nào trong Issue log của DA Data Vault</t>
        </is>
      </c>
      <c r="I3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08" s="48" t="inlineStr">
        <is>
          <t>013. OCB_GOLD_TCKH_V_LOAN_BY_PRD_DAILY_PHAT.xlsx [Script: V_LOAN_BY_PRD_DAILY]</t>
        </is>
      </c>
    </row>
    <row r="309">
      <c r="A309" s="48" t="inlineStr">
        <is>
          <t>TCKH.V_LOAN_BY_PRD_DAILY</t>
        </is>
      </c>
      <c r="B309" s="48" t="inlineStr">
        <is>
          <t>UPLOAD_VIEW</t>
        </is>
      </c>
      <c r="C309" s="48" t="inlineStr">
        <is>
          <t>2.6</t>
        </is>
      </c>
      <c r="D309" s="48" t="inlineStr">
        <is>
          <t>Nhom 2 - Logic</t>
        </is>
      </c>
      <c r="E309" s="48" t="inlineStr">
        <is>
          <t>SCD Type 2 cho bảng DIM áp dụng đúng kỹ thuật đã thống nhất</t>
        </is>
      </c>
      <c r="F309" s="48" t="inlineStr">
        <is>
          <t>N-A</t>
        </is>
      </c>
      <c r="G309" s="48" t="inlineStr">
        <is>
          <t>Pass</t>
        </is>
      </c>
      <c r="H309" s="50" t="inlineStr">
        <is>
          <t>object không phải bảng DIM nên không áp dụng SCD Type 2</t>
        </is>
      </c>
      <c r="I3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09" s="48" t="inlineStr">
        <is>
          <t>013. OCB_GOLD_TCKH_V_LOAN_BY_PRD_DAILY_PHAT.xlsx [Script: V_LOAN_BY_PRD_DAILY]</t>
        </is>
      </c>
    </row>
    <row r="310">
      <c r="A310" s="48" t="inlineStr">
        <is>
          <t>TCKH.V_LOAN_BY_PRD_DAILY</t>
        </is>
      </c>
      <c r="B310" s="48" t="inlineStr">
        <is>
          <t>UPLOAD_VIEW</t>
        </is>
      </c>
      <c r="C310" s="48" t="inlineStr">
        <is>
          <t>2.7</t>
        </is>
      </c>
      <c r="D310" s="48" t="inlineStr">
        <is>
          <t>Nhom 2 - Logic</t>
        </is>
      </c>
      <c r="E310" s="48" t="inlineStr">
        <is>
          <t>CASE WHEN cover đủ nhánh như job on-prem</t>
        </is>
      </c>
      <c r="F310" s="49" t="inlineStr">
        <is>
          <t>PASS</t>
        </is>
      </c>
      <c r="G310" s="48" t="inlineStr">
        <is>
          <t>Pass</t>
        </is>
      </c>
      <c r="H310" s="50" t="inlineStr">
        <is>
          <t>cả 18 CASE đều có nhánh ELSE</t>
        </is>
      </c>
      <c r="I310" s="50" t="inlineStr">
        <is>
          <t>Mở job on-prem tương ứng (DataStage DSX hoặc SQL cũ), đối chiếu từng nhánh WHEN và cả nhánh ELSE. CASE không có ELSE sẽ trả NULL âm thầm — xác nhận đó là ý muốn hay thiếu nhánh.</t>
        </is>
      </c>
      <c r="J310" s="48" t="inlineStr">
        <is>
          <t>013. OCB_GOLD_TCKH_V_LOAN_BY_PRD_DAILY_PHAT.xlsx [Script: V_LOAN_BY_PRD_DAILY]</t>
        </is>
      </c>
    </row>
    <row r="311">
      <c r="A311" s="48" t="inlineStr">
        <is>
          <t>TCKH.V_LOAN_BY_PRD_DAILY</t>
        </is>
      </c>
      <c r="B311" s="48" t="inlineStr">
        <is>
          <t>UPLOAD_VIEW</t>
        </is>
      </c>
      <c r="C311" s="48" t="inlineStr">
        <is>
          <t>2.8</t>
        </is>
      </c>
      <c r="D311" s="48" t="inlineStr">
        <is>
          <t>Nhom 2 - Logic</t>
        </is>
      </c>
      <c r="E311" s="48" t="inlineStr">
        <is>
          <t>Cột SUM/COUNT được COALESCE/NVL hợp lý</t>
        </is>
      </c>
      <c r="F311" s="49" t="inlineStr">
        <is>
          <t>PASS</t>
        </is>
      </c>
      <c r="G311" s="48" t="inlineStr">
        <is>
          <t>Pass</t>
        </is>
      </c>
      <c r="H311" s="50" t="inlineStr">
        <is>
          <t>mọi SUM/COUNT đều đã coalesce (trực tiếp hoặc ở lớp ngoài)</t>
        </is>
      </c>
      <c r="I3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11" s="48" t="inlineStr">
        <is>
          <t>013. OCB_GOLD_TCKH_V_LOAN_BY_PRD_DAILY_PHAT.xlsx [Script: V_LOAN_BY_PRD_DAILY]</t>
        </is>
      </c>
    </row>
    <row r="312">
      <c r="A312" s="48" t="inlineStr">
        <is>
          <t>TCKH.V_LOAN_BY_PRD_DAILY</t>
        </is>
      </c>
      <c r="B312" s="48" t="inlineStr">
        <is>
          <t>UPLOAD_VIEW</t>
        </is>
      </c>
      <c r="C312" s="48" t="inlineStr">
        <is>
          <t>2.9</t>
        </is>
      </c>
      <c r="D312" s="48" t="inlineStr">
        <is>
          <t>Nhom 2 - Logic</t>
        </is>
      </c>
      <c r="E312" s="48" t="inlineStr">
        <is>
          <t>Subquery / custom function / điều kiện LIKE đúng ý nghĩa nghiệp vụ</t>
        </is>
      </c>
      <c r="F312" s="49" t="inlineStr">
        <is>
          <t>PASS</t>
        </is>
      </c>
      <c r="G312" s="48" t="inlineStr">
        <is>
          <t>Pass</t>
        </is>
      </c>
      <c r="H312" s="50" t="inlineStr">
        <is>
          <t>13 điều kiện LIKE: A.CONTRACT_NO LIKE '%PDPD%' | A.CONTRACT_NO LIKE 'VND17948%' | A.CONTRACT_NO NOT LIKE 'VND%133' | COALESCE(LOAN.SECTOR, '1001') LIKE REPLACE(P5.SECTOR, '*', '%'); cú pháp hợp lệ; ý nghĩa nghiệp vụ cần người review đối chiếu job on-prem</t>
        </is>
      </c>
      <c r="I312" s="50" t="inlineStr">
        <is>
          <t>Đọc lại từng điều kiện LIKE và từng subquery, đối chiếu ý nghĩa nghiệp vụ với on-prem — đúng cú pháp không đủ. Chú ý pattern LIKE có ký tự % ở đầu/cuối và phân biệt chữ hoa/thường.</t>
        </is>
      </c>
      <c r="J312" s="48" t="inlineStr">
        <is>
          <t>013. OCB_GOLD_TCKH_V_LOAN_BY_PRD_DAILY_PHAT.xlsx [Script: V_LOAN_BY_PRD_DAILY]</t>
        </is>
      </c>
    </row>
    <row r="313">
      <c r="A313" s="48" t="inlineStr">
        <is>
          <t>TCKH.V_LOAN_BY_PRD_DAILY</t>
        </is>
      </c>
      <c r="B313" s="48" t="inlineStr">
        <is>
          <t>UPLOAD_VIEW</t>
        </is>
      </c>
      <c r="C313" s="48" t="inlineStr">
        <is>
          <t>2.10</t>
        </is>
      </c>
      <c r="D313" s="48" t="inlineStr">
        <is>
          <t>Nhom 2 - Logic</t>
        </is>
      </c>
      <c r="E313" s="48" t="inlineStr">
        <is>
          <t>Aggregation kèm filter date range chính xác</t>
        </is>
      </c>
      <c r="F313" s="49" t="inlineStr">
        <is>
          <t>PASS</t>
        </is>
      </c>
      <c r="G313" s="48" t="inlineStr">
        <is>
          <t>Pass</t>
        </is>
      </c>
      <c r="H313" s="50" t="inlineStr">
        <is>
          <t>mọi khối tổng hợp đều có điều kiện theo kỳ dữ liệu</t>
        </is>
      </c>
      <c r="I313" s="50" t="inlineStr">
        <is>
          <t>Mỗi khối SUM/COUNT/AVG phải có điều kiện lọc theo kỳ dữ liệu (CDR_DT_ID, DATA_DATE, :DATADT…). Nếu điều kiện nằm ở CTE nguồn thì ghi rõ trong comment để người review không phải truy ngược.</t>
        </is>
      </c>
      <c r="J313" s="48" t="inlineStr">
        <is>
          <t>013. OCB_GOLD_TCKH_V_LOAN_BY_PRD_DAILY_PHAT.xlsx [Script: V_LOAN_BY_PRD_DAILY]</t>
        </is>
      </c>
    </row>
    <row r="314">
      <c r="A314" s="48" t="inlineStr">
        <is>
          <t>TCKH.V_LOAN_BY_PRD_DAILY</t>
        </is>
      </c>
      <c r="B314" s="48" t="inlineStr">
        <is>
          <t>UPLOAD_VIEW</t>
        </is>
      </c>
      <c r="C314" s="48" t="inlineStr">
        <is>
          <t>2.11</t>
        </is>
      </c>
      <c r="D314" s="48" t="inlineStr">
        <is>
          <t>Nhom 2 - Logic</t>
        </is>
      </c>
      <c r="E314" s="48" t="inlineStr">
        <is>
          <t>Join dùng key hợp lý, không lạm dụng UNION ALL + EXISTS/NOT EXISTS</t>
        </is>
      </c>
      <c r="F314" s="51" t="inlineStr">
        <is>
          <t>WARN</t>
        </is>
      </c>
      <c r="G314" s="48" t="inlineStr">
        <is>
          <t>WARN</t>
        </is>
      </c>
      <c r="H314" s="50" t="inlineStr">
        <is>
          <t>join không có điều kiện bằng (=): ['T']</t>
        </is>
      </c>
      <c r="I314" s="50" t="inlineStr">
        <is>
          <t>Ưu tiên LEFT JOIN theo business key hoặc hashkey. Xem lại các chỗ dùng UNION ALL kết hợp EXISTS/NOT EXISTS — thường thay được bằng một LEFT JOIN. Join không có điều kiện bằng (=) dễ tạo tích Descartes.</t>
        </is>
      </c>
      <c r="J314" s="48" t="inlineStr">
        <is>
          <t>013. OCB_GOLD_TCKH_V_LOAN_BY_PRD_DAILY_PHAT.xlsx [Script: V_LOAN_BY_PRD_DAILY]</t>
        </is>
      </c>
    </row>
    <row r="315">
      <c r="A315" s="48" t="inlineStr">
        <is>
          <t>TCKH.V_LOAN_BY_PRD_DAILY</t>
        </is>
      </c>
      <c r="B315" s="48" t="inlineStr">
        <is>
          <t>UPLOAD_VIEW</t>
        </is>
      </c>
      <c r="C315" s="48" t="inlineStr">
        <is>
          <t>2.12</t>
        </is>
      </c>
      <c r="D315" s="48" t="inlineStr">
        <is>
          <t>Nhom 2 - Logic</t>
        </is>
      </c>
      <c r="E315" s="48" t="inlineStr">
        <is>
          <t>Build Gold từ CTE snapshot Silver, không build nhiều tầng chồng chéo</t>
        </is>
      </c>
      <c r="F315" s="48" t="inlineStr">
        <is>
          <t>N-A</t>
        </is>
      </c>
      <c r="G315" s="48" t="inlineStr">
        <is>
          <t>Pass</t>
        </is>
      </c>
      <c r="H315" s="50" t="inlineStr">
        <is>
          <t>khong ap dung cho profile UPLOAD_VIEW</t>
        </is>
      </c>
      <c r="I3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15" s="48" t="inlineStr">
        <is>
          <t>013. OCB_GOLD_TCKH_V_LOAN_BY_PRD_DAILY_PHAT.xlsx [Script: V_LOAN_BY_PRD_DAILY]</t>
        </is>
      </c>
    </row>
    <row r="316">
      <c r="A316" s="48" t="inlineStr">
        <is>
          <t>TCKH.V_LOAN_BY_PRD_DAILY</t>
        </is>
      </c>
      <c r="B316" s="48" t="inlineStr">
        <is>
          <t>UPLOAD_VIEW</t>
        </is>
      </c>
      <c r="C316" s="48" t="inlineStr">
        <is>
          <t>3.1</t>
        </is>
      </c>
      <c r="D316" s="48" t="inlineStr">
        <is>
          <t>Nhom 3 - Optimization</t>
        </is>
      </c>
      <c r="E316" s="48" t="inlineStr">
        <is>
          <t>Không SELECT *</t>
        </is>
      </c>
      <c r="F316" s="49" t="inlineStr">
        <is>
          <t>PASS</t>
        </is>
      </c>
      <c r="G316" s="48" t="inlineStr">
        <is>
          <t>Pass</t>
        </is>
      </c>
      <c r="H316" s="50" t="inlineStr">
        <is>
          <t>không dùng SELECT * ở đâu</t>
        </is>
      </c>
      <c r="I316" s="50" t="inlineStr">
        <is>
          <t>Liệt kê tường minh các cột cần dùng, kể cả trong CTE trung gian. SELECT * làm tăng IO/memory và vỡ script khi bảng nguồn thêm cột.</t>
        </is>
      </c>
      <c r="J316" s="48" t="inlineStr">
        <is>
          <t>013. OCB_GOLD_TCKH_V_LOAN_BY_PRD_DAILY_PHAT.xlsx [Script: V_LOAN_BY_PRD_DAILY]</t>
        </is>
      </c>
    </row>
    <row r="317">
      <c r="A317" s="48" t="inlineStr">
        <is>
          <t>TCKH.V_LOAN_BY_PRD_DAILY</t>
        </is>
      </c>
      <c r="B317" s="48" t="inlineStr">
        <is>
          <t>UPLOAD_VIEW</t>
        </is>
      </c>
      <c r="C317" s="48" t="inlineStr">
        <is>
          <t>3.2</t>
        </is>
      </c>
      <c r="D317" s="48" t="inlineStr">
        <is>
          <t>Nhom 3 - Optimization</t>
        </is>
      </c>
      <c r="E317" s="48" t="inlineStr">
        <is>
          <t>CTE không bị scan lại nhiều lần</t>
        </is>
      </c>
      <c r="F317" s="51" t="inlineStr">
        <is>
          <t>WARN</t>
        </is>
      </c>
      <c r="G317" s="48" t="inlineStr">
        <is>
          <t>WARN</t>
        </is>
      </c>
      <c r="H317" s="50" t="inlineStr">
        <is>
          <t>CTE bị tham chiếu lại nhiều lần: ar_dtl_daily x4</t>
        </is>
      </c>
      <c r="I317" s="50" t="inlineStr">
        <is>
          <t>Với CTE nặng (đọc nhiều bảng Silver) bị tham chiếu từ 2 chỗ trở lên: gom lại còn một lần dùng, hoặc vật chất hóa (CACHE / bảng tạm). CTE nhẹ chỉ chứa tham số thì bỏ qua được — tự tick Pass.</t>
        </is>
      </c>
      <c r="J317" s="48" t="inlineStr">
        <is>
          <t>013. OCB_GOLD_TCKH_V_LOAN_BY_PRD_DAILY_PHAT.xlsx [Script: V_LOAN_BY_PRD_DAILY]</t>
        </is>
      </c>
    </row>
    <row r="318">
      <c r="A318" s="48" t="inlineStr">
        <is>
          <t>TCKH.V_LOAN_BY_PRD_DAILY</t>
        </is>
      </c>
      <c r="B318" s="48" t="inlineStr">
        <is>
          <t>UPLOAD_VIEW</t>
        </is>
      </c>
      <c r="C318" s="48" t="inlineStr">
        <is>
          <t>3.3</t>
        </is>
      </c>
      <c r="D318" s="48" t="inlineStr">
        <is>
          <t>Nhom 3 - Optimization</t>
        </is>
      </c>
      <c r="E318" s="48" t="inlineStr">
        <is>
          <t>Filter trước khi join, tận dụng partition pruning</t>
        </is>
      </c>
      <c r="F318" s="48" t="inlineStr">
        <is>
          <t>N-A</t>
        </is>
      </c>
      <c r="G318" s="48" t="inlineStr">
        <is>
          <t>Pass</t>
        </is>
      </c>
      <c r="H318" s="50" t="inlineStr">
        <is>
          <t>khong ap dung cho profile UPLOAD_VIEW</t>
        </is>
      </c>
      <c r="I318" s="50" t="inlineStr">
        <is>
          <t>Đưa điều kiện lọc (ngày dữ liệu, trạng thái) vào subquery của từng bảng TRƯỚC khi join, để tận dụng partition pruning. Bảng dim nhỏ không partition thì không cần — tự tick Pass.</t>
        </is>
      </c>
      <c r="J318" s="48" t="inlineStr">
        <is>
          <t>013. OCB_GOLD_TCKH_V_LOAN_BY_PRD_DAILY_PHAT.xlsx [Script: V_LOAN_BY_PRD_DAILY]</t>
        </is>
      </c>
    </row>
    <row r="319">
      <c r="A319" s="48" t="inlineStr">
        <is>
          <t>TCKH.V_LOAN_BY_PRD_DAILY</t>
        </is>
      </c>
      <c r="B319" s="48" t="inlineStr">
        <is>
          <t>UPLOAD_VIEW</t>
        </is>
      </c>
      <c r="C319" s="48" t="inlineStr">
        <is>
          <t>3.4</t>
        </is>
      </c>
      <c r="D319" s="48" t="inlineStr">
        <is>
          <t>Nhom 3 - Optimization</t>
        </is>
      </c>
      <c r="E319" s="48" t="inlineStr">
        <is>
          <t>Sử dụng CACHE cho query lặp lại trong cùng luồng</t>
        </is>
      </c>
      <c r="F319" s="51" t="inlineStr">
        <is>
          <t>WARN</t>
        </is>
      </c>
      <c r="G319" s="48" t="inlineStr">
        <is>
          <t>WARN</t>
        </is>
      </c>
      <c r="H319" s="50" t="inlineStr">
        <is>
          <t>1 CTE nặng dùng lại &gt;= 2 lần mà không có CACHE: ar_dtl_daily</t>
        </is>
      </c>
      <c r="I319" s="50" t="inlineStr">
        <is>
          <t>Nếu một kết quả nặng được dùng lại nhiều bước trong cùng luồng, thêm CACHE TABLE / CACHE SELECT. Kết quả nhỏ thì cache còn chậm hơn — tự tick Pass.</t>
        </is>
      </c>
      <c r="J319" s="48" t="inlineStr">
        <is>
          <t>013. OCB_GOLD_TCKH_V_LOAN_BY_PRD_DAILY_PHAT.xlsx [Script: V_LOAN_BY_PRD_DAILY]</t>
        </is>
      </c>
    </row>
    <row r="320">
      <c r="A320" s="48" t="inlineStr">
        <is>
          <t>TCKH.V_LOAN_BY_PRD_DAILY</t>
        </is>
      </c>
      <c r="B320" s="48" t="inlineStr">
        <is>
          <t>UPLOAD_VIEW</t>
        </is>
      </c>
      <c r="C320" s="48" t="inlineStr">
        <is>
          <t>3.5</t>
        </is>
      </c>
      <c r="D320" s="48" t="inlineStr">
        <is>
          <t>Nhom 3 - Optimization</t>
        </is>
      </c>
      <c r="E320" s="48" t="inlineStr">
        <is>
          <t>Ưu tiên MAX_BY + QUALIFY thay ROW_NUMBER() + WHERE rn = 1</t>
        </is>
      </c>
      <c r="F320" s="48" t="inlineStr">
        <is>
          <t>N-A</t>
        </is>
      </c>
      <c r="G320" s="48" t="inlineStr">
        <is>
          <t>Pass</t>
        </is>
      </c>
      <c r="H320" s="50" t="inlineStr">
        <is>
          <t>script không dùng ROW_NUMBER, và MAX_BY (nếu có) không vượt quá 5 cột/khối</t>
        </is>
      </c>
      <c r="I3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20" s="48" t="inlineStr">
        <is>
          <t>013. OCB_GOLD_TCKH_V_LOAN_BY_PRD_DAILY_PHAT.xlsx [Script: V_LOAN_BY_PRD_DAILY]</t>
        </is>
      </c>
    </row>
    <row r="321">
      <c r="A321" s="48" t="inlineStr">
        <is>
          <t>TCKH.V_LOAN_BY_PRD_DAILY</t>
        </is>
      </c>
      <c r="B321" s="48" t="inlineStr">
        <is>
          <t>UPLOAD_VIEW</t>
        </is>
      </c>
      <c r="C321" s="48" t="inlineStr">
        <is>
          <t>3.6</t>
        </is>
      </c>
      <c r="D321" s="48" t="inlineStr">
        <is>
          <t>Nhom 3 - Optimization</t>
        </is>
      </c>
      <c r="E321" s="48" t="inlineStr">
        <is>
          <t>Không lạm dụng window function; có comment khi dùng</t>
        </is>
      </c>
      <c r="F321" s="48" t="inlineStr">
        <is>
          <t>N-A</t>
        </is>
      </c>
      <c r="G321" s="48" t="inlineStr">
        <is>
          <t>Pass</t>
        </is>
      </c>
      <c r="H321" s="50" t="inlineStr">
        <is>
          <t>script không dùng window function</t>
        </is>
      </c>
      <c r="I321" s="50" t="inlineStr">
        <is>
          <t>Mỗi window function cần một comment ngay trên khối CTE chứa nó, nói rõ vì sao không dùng được max_by/QUALIFY đơn giản hơn.</t>
        </is>
      </c>
      <c r="J321" s="48" t="inlineStr">
        <is>
          <t>013. OCB_GOLD_TCKH_V_LOAN_BY_PRD_DAILY_PHAT.xlsx [Script: V_LOAN_BY_PRD_DAILY]</t>
        </is>
      </c>
    </row>
    <row r="322">
      <c r="A322" s="48" t="inlineStr">
        <is>
          <t>TCKH.V_LOAN_BY_PRD_DAILY</t>
        </is>
      </c>
      <c r="B322" s="48" t="inlineStr">
        <is>
          <t>UPLOAD_VIEW</t>
        </is>
      </c>
      <c r="C322" s="48" t="inlineStr">
        <is>
          <t>X.1</t>
        </is>
      </c>
      <c r="D322" s="48" t="inlineStr">
        <is>
          <t>Nhom X - Bo sung Raffles</t>
        </is>
      </c>
      <c r="E322" s="48" t="inlineStr">
        <is>
          <t>[Bổ sung] Link phải rút về current trước khi join (chống fan-out)</t>
        </is>
      </c>
      <c r="F322" s="48" t="inlineStr">
        <is>
          <t>N-A</t>
        </is>
      </c>
      <c r="G322" s="48" t="inlineStr">
        <is>
          <t>Pass</t>
        </is>
      </c>
      <c r="H322" s="50" t="inlineStr">
        <is>
          <t>khong ap dung cho profile UPLOAD_VIEW</t>
        </is>
      </c>
      <c r="I3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22" s="48" t="inlineStr">
        <is>
          <t>013. OCB_GOLD_TCKH_V_LOAN_BY_PRD_DAILY_PHAT.xlsx [Script: V_LOAN_BY_PRD_DAILY]</t>
        </is>
      </c>
    </row>
    <row r="323">
      <c r="A323" s="48" t="inlineStr">
        <is>
          <t>TCKH.V_LOAN_BY_PRD_DAILY</t>
        </is>
      </c>
      <c r="B323" s="48" t="inlineStr">
        <is>
          <t>UPLOAD_VIEW</t>
        </is>
      </c>
      <c r="C323" s="48" t="inlineStr">
        <is>
          <t>X.6</t>
        </is>
      </c>
      <c r="D323" s="48" t="inlineStr">
        <is>
          <t>Nhom X - Bo sung Raffles</t>
        </is>
      </c>
      <c r="E323" s="48" t="inlineStr">
        <is>
          <t>[Bổ sung] Satellite phải LEFT JOIN, không INNER JOIN</t>
        </is>
      </c>
      <c r="F323" s="48" t="inlineStr">
        <is>
          <t>N-A</t>
        </is>
      </c>
      <c r="G323" s="48" t="inlineStr">
        <is>
          <t>Pass</t>
        </is>
      </c>
      <c r="H323" s="50" t="inlineStr">
        <is>
          <t>khong ap dung cho profile UPLOAD_VIEW</t>
        </is>
      </c>
      <c r="I323" s="50" t="inlineStr">
        <is>
          <t>Technical Document III.4.2.2 nguyên tắc 1: làm giàu thuộc tính luôn dùng LEFT JOIN. INNER JOIN satellite sẽ loại mất bản ghi Hub đang còn hiệu lực nhưng chưa có dòng satellite.</t>
        </is>
      </c>
      <c r="J323" s="48" t="inlineStr">
        <is>
          <t>013. OCB_GOLD_TCKH_V_LOAN_BY_PRD_DAILY_PHAT.xlsx [Script: V_LOAN_BY_PRD_DAILY]</t>
        </is>
      </c>
    </row>
    <row r="324">
      <c r="A324" s="48" t="inlineStr">
        <is>
          <t>TCKH.V_LOAN_BY_PRD_DAILY</t>
        </is>
      </c>
      <c r="B324" s="48" t="inlineStr">
        <is>
          <t>UPLOAD_VIEW</t>
        </is>
      </c>
      <c r="C324" s="48" t="inlineStr">
        <is>
          <t>X.7</t>
        </is>
      </c>
      <c r="D324" s="48" t="inlineStr">
        <is>
          <t>Nhom X - Bo sung Raffles</t>
        </is>
      </c>
      <c r="E324" s="48" t="inlineStr">
        <is>
          <t>[Bổ sung] Không hard-code catalog, dùng biến môi trường</t>
        </is>
      </c>
      <c r="F324" s="48" t="inlineStr">
        <is>
          <t>N-A</t>
        </is>
      </c>
      <c r="G324" s="48" t="inlineStr">
        <is>
          <t>Pass</t>
        </is>
      </c>
      <c r="H324" s="50" t="inlineStr">
        <is>
          <t>khong ap dung cho profile UPLOAD_VIEW</t>
        </is>
      </c>
      <c r="I3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24" s="48" t="inlineStr">
        <is>
          <t>013. OCB_GOLD_TCKH_V_LOAN_BY_PRD_DAILY_PHAT.xlsx [Script: V_LOAN_BY_PRD_DAILY]</t>
        </is>
      </c>
    </row>
    <row r="325">
      <c r="A325" s="48" t="inlineStr">
        <is>
          <t>TCKH.V_LOAN_BY_PRD_DAILY</t>
        </is>
      </c>
      <c r="B325" s="48" t="inlineStr">
        <is>
          <t>UPLOAD_VIEW</t>
        </is>
      </c>
      <c r="C325" s="48" t="inlineStr">
        <is>
          <t>X.10</t>
        </is>
      </c>
      <c r="D325" s="48" t="inlineStr">
        <is>
          <t>Nhom X - Bo sung Raffles</t>
        </is>
      </c>
      <c r="E325" s="48" t="inlineStr">
        <is>
          <t>Bang raw_vault/business_vault duoc doc phai TON TAI THAT trong Data Vault model</t>
        </is>
      </c>
      <c r="F325" s="48" t="inlineStr">
        <is>
          <t>N-A</t>
        </is>
      </c>
      <c r="G325" s="48" t="inlineStr">
        <is>
          <t>Pass</t>
        </is>
      </c>
      <c r="H325" s="50" t="inlineStr">
        <is>
          <t>script không đọc bảng raw_vault/business_vault nào</t>
        </is>
      </c>
      <c r="I325" s="50" t="inlineStr"/>
      <c r="J325" s="48" t="inlineStr">
        <is>
          <t>013. OCB_GOLD_TCKH_V_LOAN_BY_PRD_DAILY_PHAT.xlsx [Script: V_LOAN_BY_PRD_DAILY]</t>
        </is>
      </c>
    </row>
    <row r="326">
      <c r="A326" s="48" t="inlineStr">
        <is>
          <t>TCKH.V_LOAN_BY_PRD_DAILY</t>
        </is>
      </c>
      <c r="B326" s="48" t="inlineStr">
        <is>
          <t>UPLOAD_VIEW</t>
        </is>
      </c>
      <c r="C326" s="48" t="inlineStr">
        <is>
          <t>X.11</t>
        </is>
      </c>
      <c r="D326" s="48" t="inlineStr">
        <is>
          <t>Nhom X - Bo sung Raffles</t>
        </is>
      </c>
      <c r="E326" s="48" t="inlineStr">
        <is>
          <t>Cot doc tu satellite (sat_*) phai TON TAI THAT trong model</t>
        </is>
      </c>
      <c r="F326" s="48" t="inlineStr">
        <is>
          <t>N-A</t>
        </is>
      </c>
      <c r="G326" s="48" t="inlineStr">
        <is>
          <t>Pass</t>
        </is>
      </c>
      <c r="H326" s="50" t="inlineStr">
        <is>
          <t>không có bảng sat_* nào đủ điều kiện đối chiếu (Select chỉ đọc 1 bảng)</t>
        </is>
      </c>
      <c r="I326" s="50" t="inlineStr"/>
      <c r="J326" s="48" t="inlineStr">
        <is>
          <t>013. OCB_GOLD_TCKH_V_LOAN_BY_PRD_DAILY_PHAT.xlsx [Script: V_LOAN_BY_PRD_DAILY]</t>
        </is>
      </c>
    </row>
    <row r="327">
      <c r="A327" s="48" t="inlineStr">
        <is>
          <t>TCKH.V_PLA_CPHD_UPL</t>
        </is>
      </c>
      <c r="B327" s="48" t="inlineStr">
        <is>
          <t>UPLOAD_VIEW</t>
        </is>
      </c>
      <c r="C327" s="48" t="inlineStr">
        <is>
          <t>1.1</t>
        </is>
      </c>
      <c r="D327" s="48" t="inlineStr">
        <is>
          <t>Nhom 1 - Mapping</t>
        </is>
      </c>
      <c r="E327" s="48" t="inlineStr">
        <is>
          <t>Đầy đủ mapping từ Silver/manual sang Gold</t>
        </is>
      </c>
      <c r="F327" s="49" t="inlineStr">
        <is>
          <t>PASS</t>
        </is>
      </c>
      <c r="G327" s="48" t="inlineStr">
        <is>
          <t>Pass</t>
        </is>
      </c>
      <c r="H327" s="50" t="inlineStr">
        <is>
          <t>workbook 016. OCB_GOLD_TCKH_V_PLA_CPHD_UPL_QUANG.xlsx: thiết kế 11 field, SQL có 11 cột</t>
        </is>
      </c>
      <c r="I3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27" s="48" t="inlineStr">
        <is>
          <t>016. OCB_GOLD_TCKH_V_PLA_CPHD_UPL_QUANG.xlsx [Script SQL: V_PLA_CPHD_UPL]</t>
        </is>
      </c>
    </row>
    <row r="328">
      <c r="A328" s="48" t="inlineStr">
        <is>
          <t>TCKH.V_PLA_CPHD_UPL</t>
        </is>
      </c>
      <c r="B328" s="48" t="inlineStr">
        <is>
          <t>UPLOAD_VIEW</t>
        </is>
      </c>
      <c r="C328" s="48" t="inlineStr">
        <is>
          <t>1.2</t>
        </is>
      </c>
      <c r="D328" s="48" t="inlineStr">
        <is>
          <t>Nhom 1 - Mapping</t>
        </is>
      </c>
      <c r="E328" s="48" t="inlineStr">
        <is>
          <t>Danh sách bảng/view Gold khớp tài liệu thiết kế đã duyệt</t>
        </is>
      </c>
      <c r="F328" s="49" t="inlineStr">
        <is>
          <t>PASS</t>
        </is>
      </c>
      <c r="G328" s="48" t="inlineStr">
        <is>
          <t>Pass</t>
        </is>
      </c>
      <c r="H328" s="50" t="inlineStr">
        <is>
          <t>V_PLA_CPHD_UPL có workbook thiết kế: 016. OCB_GOLD_TCKH_V_PLA_CPHD_UPL_QUANG.xlsx</t>
        </is>
      </c>
      <c r="I328" s="50" t="inlineStr">
        <is>
          <t>Đảm bảo object có workbook thiết kế tương ứng trong thư mục --mapping-dir. Muốn đối chiếu với danh sách đã duyệt thì chạy thêm tham số --gold-list "&lt;file danh sách Gold&gt;.xlsx".</t>
        </is>
      </c>
      <c r="J328" s="48" t="inlineStr">
        <is>
          <t>016. OCB_GOLD_TCKH_V_PLA_CPHD_UPL_QUANG.xlsx [Script SQL: V_PLA_CPHD_UPL]</t>
        </is>
      </c>
    </row>
    <row r="329">
      <c r="A329" s="48" t="inlineStr">
        <is>
          <t>TCKH.V_PLA_CPHD_UPL</t>
        </is>
      </c>
      <c r="B329" s="48" t="inlineStr">
        <is>
          <t>UPLOAD_VIEW</t>
        </is>
      </c>
      <c r="C329" s="48" t="inlineStr">
        <is>
          <t>2.1</t>
        </is>
      </c>
      <c r="D329" s="48" t="inlineStr">
        <is>
          <t>Nhom 2 - Logic</t>
        </is>
      </c>
      <c r="E329" s="48" t="inlineStr">
        <is>
          <t>Chỉ lấy bản ghi active, loại bản ghi đã xóa (qua sts_hub)</t>
        </is>
      </c>
      <c r="F329" s="48" t="inlineStr">
        <is>
          <t>N-A</t>
        </is>
      </c>
      <c r="G329" s="48" t="inlineStr">
        <is>
          <t>Pass</t>
        </is>
      </c>
      <c r="H329" s="50" t="inlineStr">
        <is>
          <t>khong ap dung cho profile UPLOAD_VIEW</t>
        </is>
      </c>
      <c r="I3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29" s="48" t="inlineStr">
        <is>
          <t>016. OCB_GOLD_TCKH_V_PLA_CPHD_UPL_QUANG.xlsx [Script SQL: V_PLA_CPHD_UPL]</t>
        </is>
      </c>
    </row>
    <row r="330">
      <c r="A330" s="48" t="inlineStr">
        <is>
          <t>TCKH.V_PLA_CPHD_UPL</t>
        </is>
      </c>
      <c r="B330" s="48" t="inlineStr">
        <is>
          <t>UPLOAD_VIEW</t>
        </is>
      </c>
      <c r="C330" s="48" t="inlineStr">
        <is>
          <t>2.2</t>
        </is>
      </c>
      <c r="D330" s="48" t="inlineStr">
        <is>
          <t>Nhom 2 - Logic</t>
        </is>
      </c>
      <c r="E330" s="48" t="inlineStr">
        <is>
          <t>Thống nhất MỘT pattern duy nhất xác định bản ghi active mới nhất</t>
        </is>
      </c>
      <c r="F330" s="48" t="inlineStr">
        <is>
          <t>N-A</t>
        </is>
      </c>
      <c r="G330" s="48" t="inlineStr">
        <is>
          <t>Pass</t>
        </is>
      </c>
      <c r="H330" s="50" t="inlineStr">
        <is>
          <t>khong ap dung cho profile UPLOAD_VIEW</t>
        </is>
      </c>
      <c r="I3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30" s="48" t="inlineStr">
        <is>
          <t>016. OCB_GOLD_TCKH_V_PLA_CPHD_UPL_QUANG.xlsx [Script SQL: V_PLA_CPHD_UPL]</t>
        </is>
      </c>
    </row>
    <row r="331">
      <c r="A331" s="48" t="inlineStr">
        <is>
          <t>TCKH.V_PLA_CPHD_UPL</t>
        </is>
      </c>
      <c r="B331" s="48" t="inlineStr">
        <is>
          <t>UPLOAD_VIEW</t>
        </is>
      </c>
      <c r="C331" s="48" t="inlineStr">
        <is>
          <t>2.3</t>
        </is>
      </c>
      <c r="D331" s="48" t="inlineStr">
        <is>
          <t>Nhom 2 - Logic</t>
        </is>
      </c>
      <c r="E331" s="48" t="inlineStr">
        <is>
          <t>Điều kiện lọc trạng thái đặt SAU khi xác định bản ghi mới nhất</t>
        </is>
      </c>
      <c r="F331" s="48" t="inlineStr">
        <is>
          <t>N-A</t>
        </is>
      </c>
      <c r="G331" s="48" t="inlineStr">
        <is>
          <t>Pass</t>
        </is>
      </c>
      <c r="H331" s="50" t="inlineStr">
        <is>
          <t>khong ap dung cho profile UPLOAD_VIEW</t>
        </is>
      </c>
      <c r="I3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31" s="48" t="inlineStr">
        <is>
          <t>016. OCB_GOLD_TCKH_V_PLA_CPHD_UPL_QUANG.xlsx [Script SQL: V_PLA_CPHD_UPL]</t>
        </is>
      </c>
    </row>
    <row r="332">
      <c r="A332" s="48" t="inlineStr">
        <is>
          <t>TCKH.V_PLA_CPHD_UPL</t>
        </is>
      </c>
      <c r="B332" s="48" t="inlineStr">
        <is>
          <t>UPLOAD_VIEW</t>
        </is>
      </c>
      <c r="C332" s="48" t="inlineStr">
        <is>
          <t>2.4</t>
        </is>
      </c>
      <c r="D332" s="48" t="inlineStr">
        <is>
          <t>Nhom 2 - Logic</t>
        </is>
      </c>
      <c r="E332" s="48" t="inlineStr">
        <is>
          <t>source_event_date áp dụng đúng dạng theo loại bảng</t>
        </is>
      </c>
      <c r="F332" s="48" t="inlineStr">
        <is>
          <t>N-A</t>
        </is>
      </c>
      <c r="G332" s="48" t="inlineStr">
        <is>
          <t>Pass</t>
        </is>
      </c>
      <c r="H332" s="50" t="inlineStr">
        <is>
          <t>khong ap dung cho profile UPLOAD_VIEW</t>
        </is>
      </c>
      <c r="I3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32" s="48" t="inlineStr">
        <is>
          <t>016. OCB_GOLD_TCKH_V_PLA_CPHD_UPL_QUANG.xlsx [Script SQL: V_PLA_CPHD_UPL]</t>
        </is>
      </c>
    </row>
    <row r="333">
      <c r="A333" s="48" t="inlineStr">
        <is>
          <t>TCKH.V_PLA_CPHD_UPL</t>
        </is>
      </c>
      <c r="B333" s="48" t="inlineStr">
        <is>
          <t>UPLOAD_VIEW</t>
        </is>
      </c>
      <c r="C333" s="48" t="inlineStr">
        <is>
          <t>2.5</t>
        </is>
      </c>
      <c r="D333" s="48" t="inlineStr">
        <is>
          <t>Nhom 2 - Logic</t>
        </is>
      </c>
      <c r="E333" s="48" t="inlineStr">
        <is>
          <t>Không lặp lại lỗi logic cũ đã được DA Data Vault fix</t>
        </is>
      </c>
      <c r="F333" s="49" t="inlineStr">
        <is>
          <t>PASS</t>
        </is>
      </c>
      <c r="G333" s="48" t="inlineStr">
        <is>
          <t>Pass</t>
        </is>
      </c>
      <c r="H333" s="50" t="inlineStr">
        <is>
          <t>không trùng lỗi nào trong Issue log của DA Data Vault</t>
        </is>
      </c>
      <c r="I3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33" s="48" t="inlineStr">
        <is>
          <t>016. OCB_GOLD_TCKH_V_PLA_CPHD_UPL_QUANG.xlsx [Script SQL: V_PLA_CPHD_UPL]</t>
        </is>
      </c>
    </row>
    <row r="334">
      <c r="A334" s="48" t="inlineStr">
        <is>
          <t>TCKH.V_PLA_CPHD_UPL</t>
        </is>
      </c>
      <c r="B334" s="48" t="inlineStr">
        <is>
          <t>UPLOAD_VIEW</t>
        </is>
      </c>
      <c r="C334" s="48" t="inlineStr">
        <is>
          <t>2.6</t>
        </is>
      </c>
      <c r="D334" s="48" t="inlineStr">
        <is>
          <t>Nhom 2 - Logic</t>
        </is>
      </c>
      <c r="E334" s="48" t="inlineStr">
        <is>
          <t>SCD Type 2 cho bảng DIM áp dụng đúng kỹ thuật đã thống nhất</t>
        </is>
      </c>
      <c r="F334" s="48" t="inlineStr">
        <is>
          <t>N-A</t>
        </is>
      </c>
      <c r="G334" s="48" t="inlineStr">
        <is>
          <t>Pass</t>
        </is>
      </c>
      <c r="H334" s="50" t="inlineStr">
        <is>
          <t>object không phải bảng DIM nên không áp dụng SCD Type 2</t>
        </is>
      </c>
      <c r="I3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34" s="48" t="inlineStr">
        <is>
          <t>016. OCB_GOLD_TCKH_V_PLA_CPHD_UPL_QUANG.xlsx [Script SQL: V_PLA_CPHD_UPL]</t>
        </is>
      </c>
    </row>
    <row r="335">
      <c r="A335" s="48" t="inlineStr">
        <is>
          <t>TCKH.V_PLA_CPHD_UPL</t>
        </is>
      </c>
      <c r="B335" s="48" t="inlineStr">
        <is>
          <t>UPLOAD_VIEW</t>
        </is>
      </c>
      <c r="C335" s="48" t="inlineStr">
        <is>
          <t>2.7</t>
        </is>
      </c>
      <c r="D335" s="48" t="inlineStr">
        <is>
          <t>Nhom 2 - Logic</t>
        </is>
      </c>
      <c r="E335" s="48" t="inlineStr">
        <is>
          <t>CASE WHEN cover đủ nhánh như job on-prem</t>
        </is>
      </c>
      <c r="F335" s="49" t="inlineStr">
        <is>
          <t>PASS</t>
        </is>
      </c>
      <c r="G335" s="48" t="inlineStr">
        <is>
          <t>Pass</t>
        </is>
      </c>
      <c r="H335" s="50" t="inlineStr">
        <is>
          <t>cả 1 CASE đều có nhánh ELSE</t>
        </is>
      </c>
      <c r="I335" s="50" t="inlineStr">
        <is>
          <t>Mở job on-prem tương ứng (DataStage DSX hoặc SQL cũ), đối chiếu từng nhánh WHEN và cả nhánh ELSE. CASE không có ELSE sẽ trả NULL âm thầm — xác nhận đó là ý muốn hay thiếu nhánh.</t>
        </is>
      </c>
      <c r="J335" s="48" t="inlineStr">
        <is>
          <t>016. OCB_GOLD_TCKH_V_PLA_CPHD_UPL_QUANG.xlsx [Script SQL: V_PLA_CPHD_UPL]</t>
        </is>
      </c>
    </row>
    <row r="336">
      <c r="A336" s="48" t="inlineStr">
        <is>
          <t>TCKH.V_PLA_CPHD_UPL</t>
        </is>
      </c>
      <c r="B336" s="48" t="inlineStr">
        <is>
          <t>UPLOAD_VIEW</t>
        </is>
      </c>
      <c r="C336" s="48" t="inlineStr">
        <is>
          <t>2.8</t>
        </is>
      </c>
      <c r="D336" s="48" t="inlineStr">
        <is>
          <t>Nhom 2 - Logic</t>
        </is>
      </c>
      <c r="E336" s="48" t="inlineStr">
        <is>
          <t>Cột SUM/COUNT được COALESCE/NVL hợp lý</t>
        </is>
      </c>
      <c r="F336" s="49" t="inlineStr">
        <is>
          <t>PASS</t>
        </is>
      </c>
      <c r="G336" s="48" t="inlineStr">
        <is>
          <t>Pass</t>
        </is>
      </c>
      <c r="H336" s="50" t="inlineStr">
        <is>
          <t>mọi SUM/COUNT đều đã coalesce (trực tiếp hoặc ở lớp ngoài)</t>
        </is>
      </c>
      <c r="I3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36" s="48" t="inlineStr">
        <is>
          <t>016. OCB_GOLD_TCKH_V_PLA_CPHD_UPL_QUANG.xlsx [Script SQL: V_PLA_CPHD_UPL]</t>
        </is>
      </c>
    </row>
    <row r="337">
      <c r="A337" s="48" t="inlineStr">
        <is>
          <t>TCKH.V_PLA_CPHD_UPL</t>
        </is>
      </c>
      <c r="B337" s="48" t="inlineStr">
        <is>
          <t>UPLOAD_VIEW</t>
        </is>
      </c>
      <c r="C337" s="48" t="inlineStr">
        <is>
          <t>2.9</t>
        </is>
      </c>
      <c r="D337" s="48" t="inlineStr">
        <is>
          <t>Nhom 2 - Logic</t>
        </is>
      </c>
      <c r="E337" s="48" t="inlineStr">
        <is>
          <t>Subquery / custom function / điều kiện LIKE đúng ý nghĩa nghiệp vụ</t>
        </is>
      </c>
      <c r="F337" s="48" t="inlineStr">
        <is>
          <t>N-A</t>
        </is>
      </c>
      <c r="G337" s="48" t="inlineStr">
        <is>
          <t>Pass</t>
        </is>
      </c>
      <c r="H337" s="50" t="inlineStr">
        <is>
          <t>script không có điều kiện LIKE hay scalar subquery nào</t>
        </is>
      </c>
      <c r="I337" s="50" t="inlineStr">
        <is>
          <t>Đọc lại từng điều kiện LIKE và từng subquery, đối chiếu ý nghĩa nghiệp vụ với on-prem — đúng cú pháp không đủ. Chú ý pattern LIKE có ký tự % ở đầu/cuối và phân biệt chữ hoa/thường.</t>
        </is>
      </c>
      <c r="J337" s="48" t="inlineStr">
        <is>
          <t>016. OCB_GOLD_TCKH_V_PLA_CPHD_UPL_QUANG.xlsx [Script SQL: V_PLA_CPHD_UPL]</t>
        </is>
      </c>
    </row>
    <row r="338">
      <c r="A338" s="48" t="inlineStr">
        <is>
          <t>TCKH.V_PLA_CPHD_UPL</t>
        </is>
      </c>
      <c r="B338" s="48" t="inlineStr">
        <is>
          <t>UPLOAD_VIEW</t>
        </is>
      </c>
      <c r="C338" s="48" t="inlineStr">
        <is>
          <t>2.10</t>
        </is>
      </c>
      <c r="D338" s="48" t="inlineStr">
        <is>
          <t>Nhom 2 - Logic</t>
        </is>
      </c>
      <c r="E338" s="48" t="inlineStr">
        <is>
          <t>Aggregation kèm filter date range chính xác</t>
        </is>
      </c>
      <c r="F338" s="49" t="inlineStr">
        <is>
          <t>PASS</t>
        </is>
      </c>
      <c r="G338" s="48" t="inlineStr">
        <is>
          <t>Pass</t>
        </is>
      </c>
      <c r="H338" s="50" t="inlineStr">
        <is>
          <t>mọi khối tổng hợp đều có điều kiện theo kỳ dữ liệu</t>
        </is>
      </c>
      <c r="I338" s="50" t="inlineStr">
        <is>
          <t>Mỗi khối SUM/COUNT/AVG phải có điều kiện lọc theo kỳ dữ liệu (CDR_DT_ID, DATA_DATE, :DATADT…). Nếu điều kiện nằm ở CTE nguồn thì ghi rõ trong comment để người review không phải truy ngược.</t>
        </is>
      </c>
      <c r="J338" s="48" t="inlineStr">
        <is>
          <t>016. OCB_GOLD_TCKH_V_PLA_CPHD_UPL_QUANG.xlsx [Script SQL: V_PLA_CPHD_UPL]</t>
        </is>
      </c>
    </row>
    <row r="339">
      <c r="A339" s="48" t="inlineStr">
        <is>
          <t>TCKH.V_PLA_CPHD_UPL</t>
        </is>
      </c>
      <c r="B339" s="48" t="inlineStr">
        <is>
          <t>UPLOAD_VIEW</t>
        </is>
      </c>
      <c r="C339" s="48" t="inlineStr">
        <is>
          <t>2.11</t>
        </is>
      </c>
      <c r="D339" s="48" t="inlineStr">
        <is>
          <t>Nhom 2 - Logic</t>
        </is>
      </c>
      <c r="E339" s="48" t="inlineStr">
        <is>
          <t>Join dùng key hợp lý, không lạm dụng UNION ALL + EXISTS/NOT EXISTS</t>
        </is>
      </c>
      <c r="F339" s="49" t="inlineStr">
        <is>
          <t>PASS</t>
        </is>
      </c>
      <c r="G339" s="48" t="inlineStr">
        <is>
          <t>Pass</t>
        </is>
      </c>
      <c r="H339" s="50" t="inlineStr">
        <is>
          <t>join đều theo điều kiện bằng, không lạm dụng UNION ALL + EXISTS</t>
        </is>
      </c>
      <c r="I339" s="50" t="inlineStr">
        <is>
          <t>Ưu tiên LEFT JOIN theo business key hoặc hashkey. Xem lại các chỗ dùng UNION ALL kết hợp EXISTS/NOT EXISTS — thường thay được bằng một LEFT JOIN. Join không có điều kiện bằng (=) dễ tạo tích Descartes.</t>
        </is>
      </c>
      <c r="J339" s="48" t="inlineStr">
        <is>
          <t>016. OCB_GOLD_TCKH_V_PLA_CPHD_UPL_QUANG.xlsx [Script SQL: V_PLA_CPHD_UPL]</t>
        </is>
      </c>
    </row>
    <row r="340">
      <c r="A340" s="48" t="inlineStr">
        <is>
          <t>TCKH.V_PLA_CPHD_UPL</t>
        </is>
      </c>
      <c r="B340" s="48" t="inlineStr">
        <is>
          <t>UPLOAD_VIEW</t>
        </is>
      </c>
      <c r="C340" s="48" t="inlineStr">
        <is>
          <t>2.12</t>
        </is>
      </c>
      <c r="D340" s="48" t="inlineStr">
        <is>
          <t>Nhom 2 - Logic</t>
        </is>
      </c>
      <c r="E340" s="48" t="inlineStr">
        <is>
          <t>Build Gold từ CTE snapshot Silver, không build nhiều tầng chồng chéo</t>
        </is>
      </c>
      <c r="F340" s="48" t="inlineStr">
        <is>
          <t>N-A</t>
        </is>
      </c>
      <c r="G340" s="48" t="inlineStr">
        <is>
          <t>Pass</t>
        </is>
      </c>
      <c r="H340" s="50" t="inlineStr">
        <is>
          <t>khong ap dung cho profile UPLOAD_VIEW</t>
        </is>
      </c>
      <c r="I3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40" s="48" t="inlineStr">
        <is>
          <t>016. OCB_GOLD_TCKH_V_PLA_CPHD_UPL_QUANG.xlsx [Script SQL: V_PLA_CPHD_UPL]</t>
        </is>
      </c>
    </row>
    <row r="341">
      <c r="A341" s="48" t="inlineStr">
        <is>
          <t>TCKH.V_PLA_CPHD_UPL</t>
        </is>
      </c>
      <c r="B341" s="48" t="inlineStr">
        <is>
          <t>UPLOAD_VIEW</t>
        </is>
      </c>
      <c r="C341" s="48" t="inlineStr">
        <is>
          <t>3.1</t>
        </is>
      </c>
      <c r="D341" s="48" t="inlineStr">
        <is>
          <t>Nhom 3 - Optimization</t>
        </is>
      </c>
      <c r="E341" s="48" t="inlineStr">
        <is>
          <t>Không SELECT *</t>
        </is>
      </c>
      <c r="F341" s="49" t="inlineStr">
        <is>
          <t>PASS</t>
        </is>
      </c>
      <c r="G341" s="48" t="inlineStr">
        <is>
          <t>Pass</t>
        </is>
      </c>
      <c r="H341" s="50" t="inlineStr">
        <is>
          <t>không dùng SELECT * ở đâu</t>
        </is>
      </c>
      <c r="I341" s="50" t="inlineStr">
        <is>
          <t>Liệt kê tường minh các cột cần dùng, kể cả trong CTE trung gian. SELECT * làm tăng IO/memory và vỡ script khi bảng nguồn thêm cột.</t>
        </is>
      </c>
      <c r="J341" s="48" t="inlineStr">
        <is>
          <t>016. OCB_GOLD_TCKH_V_PLA_CPHD_UPL_QUANG.xlsx [Script SQL: V_PLA_CPHD_UPL]</t>
        </is>
      </c>
    </row>
    <row r="342">
      <c r="A342" s="48" t="inlineStr">
        <is>
          <t>TCKH.V_PLA_CPHD_UPL</t>
        </is>
      </c>
      <c r="B342" s="48" t="inlineStr">
        <is>
          <t>UPLOAD_VIEW</t>
        </is>
      </c>
      <c r="C342" s="48" t="inlineStr">
        <is>
          <t>3.2</t>
        </is>
      </c>
      <c r="D342" s="48" t="inlineStr">
        <is>
          <t>Nhom 3 - Optimization</t>
        </is>
      </c>
      <c r="E342" s="48" t="inlineStr">
        <is>
          <t>CTE không bị scan lại nhiều lần</t>
        </is>
      </c>
      <c r="F342" s="49" t="inlineStr">
        <is>
          <t>PASS</t>
        </is>
      </c>
      <c r="G342" s="48" t="inlineStr">
        <is>
          <t>Pass</t>
        </is>
      </c>
      <c r="H342" s="50" t="inlineStr">
        <is>
          <t>không có CTE nào bị gọi lại</t>
        </is>
      </c>
      <c r="I342" s="50" t="inlineStr">
        <is>
          <t>Với CTE nặng (đọc nhiều bảng Silver) bị tham chiếu từ 2 chỗ trở lên: gom lại còn một lần dùng, hoặc vật chất hóa (CACHE / bảng tạm). CTE nhẹ chỉ chứa tham số thì bỏ qua được — tự tick Pass.</t>
        </is>
      </c>
      <c r="J342" s="48" t="inlineStr">
        <is>
          <t>016. OCB_GOLD_TCKH_V_PLA_CPHD_UPL_QUANG.xlsx [Script SQL: V_PLA_CPHD_UPL]</t>
        </is>
      </c>
    </row>
    <row r="343">
      <c r="A343" s="48" t="inlineStr">
        <is>
          <t>TCKH.V_PLA_CPHD_UPL</t>
        </is>
      </c>
      <c r="B343" s="48" t="inlineStr">
        <is>
          <t>UPLOAD_VIEW</t>
        </is>
      </c>
      <c r="C343" s="48" t="inlineStr">
        <is>
          <t>3.3</t>
        </is>
      </c>
      <c r="D343" s="48" t="inlineStr">
        <is>
          <t>Nhom 3 - Optimization</t>
        </is>
      </c>
      <c r="E343" s="48" t="inlineStr">
        <is>
          <t>Filter trước khi join, tận dụng partition pruning</t>
        </is>
      </c>
      <c r="F343" s="48" t="inlineStr">
        <is>
          <t>N-A</t>
        </is>
      </c>
      <c r="G343" s="48" t="inlineStr">
        <is>
          <t>Pass</t>
        </is>
      </c>
      <c r="H343" s="50" t="inlineStr">
        <is>
          <t>khong ap dung cho profile UPLOAD_VIEW</t>
        </is>
      </c>
      <c r="I343" s="50" t="inlineStr">
        <is>
          <t>Đưa điều kiện lọc (ngày dữ liệu, trạng thái) vào subquery của từng bảng TRƯỚC khi join, để tận dụng partition pruning. Bảng dim nhỏ không partition thì không cần — tự tick Pass.</t>
        </is>
      </c>
      <c r="J343" s="48" t="inlineStr">
        <is>
          <t>016. OCB_GOLD_TCKH_V_PLA_CPHD_UPL_QUANG.xlsx [Script SQL: V_PLA_CPHD_UPL]</t>
        </is>
      </c>
    </row>
    <row r="344">
      <c r="A344" s="48" t="inlineStr">
        <is>
          <t>TCKH.V_PLA_CPHD_UPL</t>
        </is>
      </c>
      <c r="B344" s="48" t="inlineStr">
        <is>
          <t>UPLOAD_VIEW</t>
        </is>
      </c>
      <c r="C344" s="48" t="inlineStr">
        <is>
          <t>3.4</t>
        </is>
      </c>
      <c r="D344" s="48" t="inlineStr">
        <is>
          <t>Nhom 3 - Optimization</t>
        </is>
      </c>
      <c r="E344" s="48" t="inlineStr">
        <is>
          <t>Sử dụng CACHE cho query lặp lại trong cùng luồng</t>
        </is>
      </c>
      <c r="F344" s="48" t="inlineStr">
        <is>
          <t>N-A</t>
        </is>
      </c>
      <c r="G344" s="48" t="inlineStr">
        <is>
          <t>Pass</t>
        </is>
      </c>
      <c r="H344" s="50" t="inlineStr">
        <is>
          <t>không có kết quả nào được dùng lại nhiều lần nên chưa cần CACHE</t>
        </is>
      </c>
      <c r="I344" s="50" t="inlineStr">
        <is>
          <t>Nếu một kết quả nặng được dùng lại nhiều bước trong cùng luồng, thêm CACHE TABLE / CACHE SELECT. Kết quả nhỏ thì cache còn chậm hơn — tự tick Pass.</t>
        </is>
      </c>
      <c r="J344" s="48" t="inlineStr">
        <is>
          <t>016. OCB_GOLD_TCKH_V_PLA_CPHD_UPL_QUANG.xlsx [Script SQL: V_PLA_CPHD_UPL]</t>
        </is>
      </c>
    </row>
    <row r="345">
      <c r="A345" s="48" t="inlineStr">
        <is>
          <t>TCKH.V_PLA_CPHD_UPL</t>
        </is>
      </c>
      <c r="B345" s="48" t="inlineStr">
        <is>
          <t>UPLOAD_VIEW</t>
        </is>
      </c>
      <c r="C345" s="48" t="inlineStr">
        <is>
          <t>3.5</t>
        </is>
      </c>
      <c r="D345" s="48" t="inlineStr">
        <is>
          <t>Nhom 3 - Optimization</t>
        </is>
      </c>
      <c r="E345" s="48" t="inlineStr">
        <is>
          <t>Ưu tiên MAX_BY + QUALIFY thay ROW_NUMBER() + WHERE rn = 1</t>
        </is>
      </c>
      <c r="F345" s="48" t="inlineStr">
        <is>
          <t>N-A</t>
        </is>
      </c>
      <c r="G345" s="48" t="inlineStr">
        <is>
          <t>Pass</t>
        </is>
      </c>
      <c r="H345" s="50" t="inlineStr">
        <is>
          <t>script không dùng ROW_NUMBER, và MAX_BY (nếu có) không vượt quá 5 cột/khối</t>
        </is>
      </c>
      <c r="I3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45" s="48" t="inlineStr">
        <is>
          <t>016. OCB_GOLD_TCKH_V_PLA_CPHD_UPL_QUANG.xlsx [Script SQL: V_PLA_CPHD_UPL]</t>
        </is>
      </c>
    </row>
    <row r="346">
      <c r="A346" s="48" t="inlineStr">
        <is>
          <t>TCKH.V_PLA_CPHD_UPL</t>
        </is>
      </c>
      <c r="B346" s="48" t="inlineStr">
        <is>
          <t>UPLOAD_VIEW</t>
        </is>
      </c>
      <c r="C346" s="48" t="inlineStr">
        <is>
          <t>3.6</t>
        </is>
      </c>
      <c r="D346" s="48" t="inlineStr">
        <is>
          <t>Nhom 3 - Optimization</t>
        </is>
      </c>
      <c r="E346" s="48" t="inlineStr">
        <is>
          <t>Không lạm dụng window function; có comment khi dùng</t>
        </is>
      </c>
      <c r="F346" s="48" t="inlineStr">
        <is>
          <t>N-A</t>
        </is>
      </c>
      <c r="G346" s="48" t="inlineStr">
        <is>
          <t>Pass</t>
        </is>
      </c>
      <c r="H346" s="50" t="inlineStr">
        <is>
          <t>script không dùng window function</t>
        </is>
      </c>
      <c r="I346" s="50" t="inlineStr">
        <is>
          <t>Mỗi window function cần một comment ngay trên khối CTE chứa nó, nói rõ vì sao không dùng được max_by/QUALIFY đơn giản hơn.</t>
        </is>
      </c>
      <c r="J346" s="48" t="inlineStr">
        <is>
          <t>016. OCB_GOLD_TCKH_V_PLA_CPHD_UPL_QUANG.xlsx [Script SQL: V_PLA_CPHD_UPL]</t>
        </is>
      </c>
    </row>
    <row r="347">
      <c r="A347" s="48" t="inlineStr">
        <is>
          <t>TCKH.V_PLA_CPHD_UPL</t>
        </is>
      </c>
      <c r="B347" s="48" t="inlineStr">
        <is>
          <t>UPLOAD_VIEW</t>
        </is>
      </c>
      <c r="C347" s="48" t="inlineStr">
        <is>
          <t>X.1</t>
        </is>
      </c>
      <c r="D347" s="48" t="inlineStr">
        <is>
          <t>Nhom X - Bo sung Raffles</t>
        </is>
      </c>
      <c r="E347" s="48" t="inlineStr">
        <is>
          <t>[Bổ sung] Link phải rút về current trước khi join (chống fan-out)</t>
        </is>
      </c>
      <c r="F347" s="48" t="inlineStr">
        <is>
          <t>N-A</t>
        </is>
      </c>
      <c r="G347" s="48" t="inlineStr">
        <is>
          <t>Pass</t>
        </is>
      </c>
      <c r="H347" s="50" t="inlineStr">
        <is>
          <t>khong ap dung cho profile UPLOAD_VIEW</t>
        </is>
      </c>
      <c r="I3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47" s="48" t="inlineStr">
        <is>
          <t>016. OCB_GOLD_TCKH_V_PLA_CPHD_UPL_QUANG.xlsx [Script SQL: V_PLA_CPHD_UPL]</t>
        </is>
      </c>
    </row>
    <row r="348">
      <c r="A348" s="48" t="inlineStr">
        <is>
          <t>TCKH.V_PLA_CPHD_UPL</t>
        </is>
      </c>
      <c r="B348" s="48" t="inlineStr">
        <is>
          <t>UPLOAD_VIEW</t>
        </is>
      </c>
      <c r="C348" s="48" t="inlineStr">
        <is>
          <t>X.6</t>
        </is>
      </c>
      <c r="D348" s="48" t="inlineStr">
        <is>
          <t>Nhom X - Bo sung Raffles</t>
        </is>
      </c>
      <c r="E348" s="48" t="inlineStr">
        <is>
          <t>[Bổ sung] Satellite phải LEFT JOIN, không INNER JOIN</t>
        </is>
      </c>
      <c r="F348" s="48" t="inlineStr">
        <is>
          <t>N-A</t>
        </is>
      </c>
      <c r="G348" s="48" t="inlineStr">
        <is>
          <t>Pass</t>
        </is>
      </c>
      <c r="H348" s="50" t="inlineStr">
        <is>
          <t>khong ap dung cho profile UPLOAD_VIEW</t>
        </is>
      </c>
      <c r="I348" s="50" t="inlineStr">
        <is>
          <t>Technical Document III.4.2.2 nguyên tắc 1: làm giàu thuộc tính luôn dùng LEFT JOIN. INNER JOIN satellite sẽ loại mất bản ghi Hub đang còn hiệu lực nhưng chưa có dòng satellite.</t>
        </is>
      </c>
      <c r="J348" s="48" t="inlineStr">
        <is>
          <t>016. OCB_GOLD_TCKH_V_PLA_CPHD_UPL_QUANG.xlsx [Script SQL: V_PLA_CPHD_UPL]</t>
        </is>
      </c>
    </row>
    <row r="349">
      <c r="A349" s="48" t="inlineStr">
        <is>
          <t>TCKH.V_PLA_CPHD_UPL</t>
        </is>
      </c>
      <c r="B349" s="48" t="inlineStr">
        <is>
          <t>UPLOAD_VIEW</t>
        </is>
      </c>
      <c r="C349" s="48" t="inlineStr">
        <is>
          <t>X.7</t>
        </is>
      </c>
      <c r="D349" s="48" t="inlineStr">
        <is>
          <t>Nhom X - Bo sung Raffles</t>
        </is>
      </c>
      <c r="E349" s="48" t="inlineStr">
        <is>
          <t>[Bổ sung] Không hard-code catalog, dùng biến môi trường</t>
        </is>
      </c>
      <c r="F349" s="48" t="inlineStr">
        <is>
          <t>N-A</t>
        </is>
      </c>
      <c r="G349" s="48" t="inlineStr">
        <is>
          <t>Pass</t>
        </is>
      </c>
      <c r="H349" s="50" t="inlineStr">
        <is>
          <t>khong ap dung cho profile UPLOAD_VIEW</t>
        </is>
      </c>
      <c r="I3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49" s="48" t="inlineStr">
        <is>
          <t>016. OCB_GOLD_TCKH_V_PLA_CPHD_UPL_QUANG.xlsx [Script SQL: V_PLA_CPHD_UPL]</t>
        </is>
      </c>
    </row>
    <row r="350">
      <c r="A350" s="48" t="inlineStr">
        <is>
          <t>TCKH.V_PLA_CPHD_UPL</t>
        </is>
      </c>
      <c r="B350" s="48" t="inlineStr">
        <is>
          <t>UPLOAD_VIEW</t>
        </is>
      </c>
      <c r="C350" s="48" t="inlineStr">
        <is>
          <t>X.10</t>
        </is>
      </c>
      <c r="D350" s="48" t="inlineStr">
        <is>
          <t>Nhom X - Bo sung Raffles</t>
        </is>
      </c>
      <c r="E350" s="48" t="inlineStr">
        <is>
          <t>Bang raw_vault/business_vault duoc doc phai TON TAI THAT trong Data Vault model</t>
        </is>
      </c>
      <c r="F350" s="48" t="inlineStr">
        <is>
          <t>N-A</t>
        </is>
      </c>
      <c r="G350" s="48" t="inlineStr">
        <is>
          <t>Pass</t>
        </is>
      </c>
      <c r="H350" s="50" t="inlineStr">
        <is>
          <t>script không đọc bảng raw_vault/business_vault nào</t>
        </is>
      </c>
      <c r="I350" s="50" t="inlineStr"/>
      <c r="J350" s="48" t="inlineStr">
        <is>
          <t>016. OCB_GOLD_TCKH_V_PLA_CPHD_UPL_QUANG.xlsx [Script SQL: V_PLA_CPHD_UPL]</t>
        </is>
      </c>
    </row>
    <row r="351">
      <c r="A351" s="48" t="inlineStr">
        <is>
          <t>TCKH.V_PLA_CPHD_UPL</t>
        </is>
      </c>
      <c r="B351" s="48" t="inlineStr">
        <is>
          <t>UPLOAD_VIEW</t>
        </is>
      </c>
      <c r="C351" s="48" t="inlineStr">
        <is>
          <t>X.11</t>
        </is>
      </c>
      <c r="D351" s="48" t="inlineStr">
        <is>
          <t>Nhom X - Bo sung Raffles</t>
        </is>
      </c>
      <c r="E351" s="48" t="inlineStr">
        <is>
          <t>Cot doc tu satellite (sat_*) phai TON TAI THAT trong model</t>
        </is>
      </c>
      <c r="F351" s="48" t="inlineStr">
        <is>
          <t>N-A</t>
        </is>
      </c>
      <c r="G351" s="48" t="inlineStr">
        <is>
          <t>Pass</t>
        </is>
      </c>
      <c r="H351" s="50" t="inlineStr">
        <is>
          <t>không có bảng sat_* nào đủ điều kiện đối chiếu (Select chỉ đọc 1 bảng)</t>
        </is>
      </c>
      <c r="I351" s="50" t="inlineStr"/>
      <c r="J351" s="48" t="inlineStr">
        <is>
          <t>016. OCB_GOLD_TCKH_V_PLA_CPHD_UPL_QUANG.xlsx [Script SQL: V_PLA_CPHD_UPL]</t>
        </is>
      </c>
    </row>
    <row r="352">
      <c r="A352" s="48" t="inlineStr">
        <is>
          <t>TCKH.V_PLA_NIM_UPL</t>
        </is>
      </c>
      <c r="B352" s="48" t="inlineStr">
        <is>
          <t>UPLOAD_VIEW</t>
        </is>
      </c>
      <c r="C352" s="48" t="inlineStr">
        <is>
          <t>1.1</t>
        </is>
      </c>
      <c r="D352" s="48" t="inlineStr">
        <is>
          <t>Nhom 1 - Mapping</t>
        </is>
      </c>
      <c r="E352" s="48" t="inlineStr">
        <is>
          <t>Đầy đủ mapping từ Silver/manual sang Gold</t>
        </is>
      </c>
      <c r="F352" s="49" t="inlineStr">
        <is>
          <t>PASS</t>
        </is>
      </c>
      <c r="G352" s="48" t="inlineStr">
        <is>
          <t>Pass</t>
        </is>
      </c>
      <c r="H352" s="50" t="inlineStr">
        <is>
          <t>workbook 017. OCB_GOLD_TCKH_V_PLA_NIM_UPL_QUANG.xlsx: thiết kế 15 field, SQL có 15 cột</t>
        </is>
      </c>
      <c r="I3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52" s="48" t="inlineStr">
        <is>
          <t>017. OCB_GOLD_TCKH_V_PLA_NIM_UPL_QUANG.xlsx [Script SQL: V_PLA_NIM_UPL]</t>
        </is>
      </c>
    </row>
    <row r="353">
      <c r="A353" s="48" t="inlineStr">
        <is>
          <t>TCKH.V_PLA_NIM_UPL</t>
        </is>
      </c>
      <c r="B353" s="48" t="inlineStr">
        <is>
          <t>UPLOAD_VIEW</t>
        </is>
      </c>
      <c r="C353" s="48" t="inlineStr">
        <is>
          <t>1.2</t>
        </is>
      </c>
      <c r="D353" s="48" t="inlineStr">
        <is>
          <t>Nhom 1 - Mapping</t>
        </is>
      </c>
      <c r="E353" s="48" t="inlineStr">
        <is>
          <t>Danh sách bảng/view Gold khớp tài liệu thiết kế đã duyệt</t>
        </is>
      </c>
      <c r="F353" s="49" t="inlineStr">
        <is>
          <t>PASS</t>
        </is>
      </c>
      <c r="G353" s="48" t="inlineStr">
        <is>
          <t>Pass</t>
        </is>
      </c>
      <c r="H353" s="50" t="inlineStr">
        <is>
          <t>V_PLA_NIM_UPL có workbook thiết kế: 017. OCB_GOLD_TCKH_V_PLA_NIM_UPL_QUANG.xlsx</t>
        </is>
      </c>
      <c r="I353" s="50" t="inlineStr">
        <is>
          <t>Đảm bảo object có workbook thiết kế tương ứng trong thư mục --mapping-dir. Muốn đối chiếu với danh sách đã duyệt thì chạy thêm tham số --gold-list "&lt;file danh sách Gold&gt;.xlsx".</t>
        </is>
      </c>
      <c r="J353" s="48" t="inlineStr">
        <is>
          <t>017. OCB_GOLD_TCKH_V_PLA_NIM_UPL_QUANG.xlsx [Script SQL: V_PLA_NIM_UPL]</t>
        </is>
      </c>
    </row>
    <row r="354">
      <c r="A354" s="48" t="inlineStr">
        <is>
          <t>TCKH.V_PLA_NIM_UPL</t>
        </is>
      </c>
      <c r="B354" s="48" t="inlineStr">
        <is>
          <t>UPLOAD_VIEW</t>
        </is>
      </c>
      <c r="C354" s="48" t="inlineStr">
        <is>
          <t>2.1</t>
        </is>
      </c>
      <c r="D354" s="48" t="inlineStr">
        <is>
          <t>Nhom 2 - Logic</t>
        </is>
      </c>
      <c r="E354" s="48" t="inlineStr">
        <is>
          <t>Chỉ lấy bản ghi active, loại bản ghi đã xóa (qua sts_hub)</t>
        </is>
      </c>
      <c r="F354" s="48" t="inlineStr">
        <is>
          <t>N-A</t>
        </is>
      </c>
      <c r="G354" s="48" t="inlineStr">
        <is>
          <t>Pass</t>
        </is>
      </c>
      <c r="H354" s="50" t="inlineStr">
        <is>
          <t>khong ap dung cho profile UPLOAD_VIEW</t>
        </is>
      </c>
      <c r="I3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54" s="48" t="inlineStr">
        <is>
          <t>017. OCB_GOLD_TCKH_V_PLA_NIM_UPL_QUANG.xlsx [Script SQL: V_PLA_NIM_UPL]</t>
        </is>
      </c>
    </row>
    <row r="355">
      <c r="A355" s="48" t="inlineStr">
        <is>
          <t>TCKH.V_PLA_NIM_UPL</t>
        </is>
      </c>
      <c r="B355" s="48" t="inlineStr">
        <is>
          <t>UPLOAD_VIEW</t>
        </is>
      </c>
      <c r="C355" s="48" t="inlineStr">
        <is>
          <t>2.2</t>
        </is>
      </c>
      <c r="D355" s="48" t="inlineStr">
        <is>
          <t>Nhom 2 - Logic</t>
        </is>
      </c>
      <c r="E355" s="48" t="inlineStr">
        <is>
          <t>Thống nhất MỘT pattern duy nhất xác định bản ghi active mới nhất</t>
        </is>
      </c>
      <c r="F355" s="48" t="inlineStr">
        <is>
          <t>N-A</t>
        </is>
      </c>
      <c r="G355" s="48" t="inlineStr">
        <is>
          <t>Pass</t>
        </is>
      </c>
      <c r="H355" s="50" t="inlineStr">
        <is>
          <t>khong ap dung cho profile UPLOAD_VIEW</t>
        </is>
      </c>
      <c r="I3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55" s="48" t="inlineStr">
        <is>
          <t>017. OCB_GOLD_TCKH_V_PLA_NIM_UPL_QUANG.xlsx [Script SQL: V_PLA_NIM_UPL]</t>
        </is>
      </c>
    </row>
    <row r="356">
      <c r="A356" s="48" t="inlineStr">
        <is>
          <t>TCKH.V_PLA_NIM_UPL</t>
        </is>
      </c>
      <c r="B356" s="48" t="inlineStr">
        <is>
          <t>UPLOAD_VIEW</t>
        </is>
      </c>
      <c r="C356" s="48" t="inlineStr">
        <is>
          <t>2.3</t>
        </is>
      </c>
      <c r="D356" s="48" t="inlineStr">
        <is>
          <t>Nhom 2 - Logic</t>
        </is>
      </c>
      <c r="E356" s="48" t="inlineStr">
        <is>
          <t>Điều kiện lọc trạng thái đặt SAU khi xác định bản ghi mới nhất</t>
        </is>
      </c>
      <c r="F356" s="48" t="inlineStr">
        <is>
          <t>N-A</t>
        </is>
      </c>
      <c r="G356" s="48" t="inlineStr">
        <is>
          <t>Pass</t>
        </is>
      </c>
      <c r="H356" s="50" t="inlineStr">
        <is>
          <t>khong ap dung cho profile UPLOAD_VIEW</t>
        </is>
      </c>
      <c r="I3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56" s="48" t="inlineStr">
        <is>
          <t>017. OCB_GOLD_TCKH_V_PLA_NIM_UPL_QUANG.xlsx [Script SQL: V_PLA_NIM_UPL]</t>
        </is>
      </c>
    </row>
    <row r="357">
      <c r="A357" s="48" t="inlineStr">
        <is>
          <t>TCKH.V_PLA_NIM_UPL</t>
        </is>
      </c>
      <c r="B357" s="48" t="inlineStr">
        <is>
          <t>UPLOAD_VIEW</t>
        </is>
      </c>
      <c r="C357" s="48" t="inlineStr">
        <is>
          <t>2.4</t>
        </is>
      </c>
      <c r="D357" s="48" t="inlineStr">
        <is>
          <t>Nhom 2 - Logic</t>
        </is>
      </c>
      <c r="E357" s="48" t="inlineStr">
        <is>
          <t>source_event_date áp dụng đúng dạng theo loại bảng</t>
        </is>
      </c>
      <c r="F357" s="48" t="inlineStr">
        <is>
          <t>N-A</t>
        </is>
      </c>
      <c r="G357" s="48" t="inlineStr">
        <is>
          <t>Pass</t>
        </is>
      </c>
      <c r="H357" s="50" t="inlineStr">
        <is>
          <t>khong ap dung cho profile UPLOAD_VIEW</t>
        </is>
      </c>
      <c r="I3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57" s="48" t="inlineStr">
        <is>
          <t>017. OCB_GOLD_TCKH_V_PLA_NIM_UPL_QUANG.xlsx [Script SQL: V_PLA_NIM_UPL]</t>
        </is>
      </c>
    </row>
    <row r="358">
      <c r="A358" s="48" t="inlineStr">
        <is>
          <t>TCKH.V_PLA_NIM_UPL</t>
        </is>
      </c>
      <c r="B358" s="48" t="inlineStr">
        <is>
          <t>UPLOAD_VIEW</t>
        </is>
      </c>
      <c r="C358" s="48" t="inlineStr">
        <is>
          <t>2.5</t>
        </is>
      </c>
      <c r="D358" s="48" t="inlineStr">
        <is>
          <t>Nhom 2 - Logic</t>
        </is>
      </c>
      <c r="E358" s="48" t="inlineStr">
        <is>
          <t>Không lặp lại lỗi logic cũ đã được DA Data Vault fix</t>
        </is>
      </c>
      <c r="F358" s="49" t="inlineStr">
        <is>
          <t>PASS</t>
        </is>
      </c>
      <c r="G358" s="48" t="inlineStr">
        <is>
          <t>Pass</t>
        </is>
      </c>
      <c r="H358" s="50" t="inlineStr">
        <is>
          <t>không trùng lỗi nào trong Issue log của DA Data Vault</t>
        </is>
      </c>
      <c r="I3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58" s="48" t="inlineStr">
        <is>
          <t>017. OCB_GOLD_TCKH_V_PLA_NIM_UPL_QUANG.xlsx [Script SQL: V_PLA_NIM_UPL]</t>
        </is>
      </c>
    </row>
    <row r="359">
      <c r="A359" s="48" t="inlineStr">
        <is>
          <t>TCKH.V_PLA_NIM_UPL</t>
        </is>
      </c>
      <c r="B359" s="48" t="inlineStr">
        <is>
          <t>UPLOAD_VIEW</t>
        </is>
      </c>
      <c r="C359" s="48" t="inlineStr">
        <is>
          <t>2.6</t>
        </is>
      </c>
      <c r="D359" s="48" t="inlineStr">
        <is>
          <t>Nhom 2 - Logic</t>
        </is>
      </c>
      <c r="E359" s="48" t="inlineStr">
        <is>
          <t>SCD Type 2 cho bảng DIM áp dụng đúng kỹ thuật đã thống nhất</t>
        </is>
      </c>
      <c r="F359" s="48" t="inlineStr">
        <is>
          <t>N-A</t>
        </is>
      </c>
      <c r="G359" s="48" t="inlineStr">
        <is>
          <t>Pass</t>
        </is>
      </c>
      <c r="H359" s="50" t="inlineStr">
        <is>
          <t>object không phải bảng DIM nên không áp dụng SCD Type 2</t>
        </is>
      </c>
      <c r="I3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59" s="48" t="inlineStr">
        <is>
          <t>017. OCB_GOLD_TCKH_V_PLA_NIM_UPL_QUANG.xlsx [Script SQL: V_PLA_NIM_UPL]</t>
        </is>
      </c>
    </row>
    <row r="360">
      <c r="A360" s="48" t="inlineStr">
        <is>
          <t>TCKH.V_PLA_NIM_UPL</t>
        </is>
      </c>
      <c r="B360" s="48" t="inlineStr">
        <is>
          <t>UPLOAD_VIEW</t>
        </is>
      </c>
      <c r="C360" s="48" t="inlineStr">
        <is>
          <t>2.7</t>
        </is>
      </c>
      <c r="D360" s="48" t="inlineStr">
        <is>
          <t>Nhom 2 - Logic</t>
        </is>
      </c>
      <c r="E360" s="48" t="inlineStr">
        <is>
          <t>CASE WHEN cover đủ nhánh như job on-prem</t>
        </is>
      </c>
      <c r="F360" s="48" t="inlineStr">
        <is>
          <t>N-A</t>
        </is>
      </c>
      <c r="G360" s="48" t="inlineStr">
        <is>
          <t>Pass</t>
        </is>
      </c>
      <c r="H360" s="50" t="inlineStr">
        <is>
          <t>script không có CASE WHEN nào</t>
        </is>
      </c>
      <c r="I360" s="50" t="inlineStr">
        <is>
          <t>Mở job on-prem tương ứng (DataStage DSX hoặc SQL cũ), đối chiếu từng nhánh WHEN và cả nhánh ELSE. CASE không có ELSE sẽ trả NULL âm thầm — xác nhận đó là ý muốn hay thiếu nhánh.</t>
        </is>
      </c>
      <c r="J360" s="48" t="inlineStr">
        <is>
          <t>017. OCB_GOLD_TCKH_V_PLA_NIM_UPL_QUANG.xlsx [Script SQL: V_PLA_NIM_UPL]</t>
        </is>
      </c>
    </row>
    <row r="361">
      <c r="A361" s="48" t="inlineStr">
        <is>
          <t>TCKH.V_PLA_NIM_UPL</t>
        </is>
      </c>
      <c r="B361" s="48" t="inlineStr">
        <is>
          <t>UPLOAD_VIEW</t>
        </is>
      </c>
      <c r="C361" s="48" t="inlineStr">
        <is>
          <t>2.8</t>
        </is>
      </c>
      <c r="D361" s="48" t="inlineStr">
        <is>
          <t>Nhom 2 - Logic</t>
        </is>
      </c>
      <c r="E361" s="48" t="inlineStr">
        <is>
          <t>Cột SUM/COUNT được COALESCE/NVL hợp lý</t>
        </is>
      </c>
      <c r="F361" s="49" t="inlineStr">
        <is>
          <t>PASS</t>
        </is>
      </c>
      <c r="G361" s="48" t="inlineStr">
        <is>
          <t>Pass</t>
        </is>
      </c>
      <c r="H361" s="50" t="inlineStr">
        <is>
          <t>mọi SUM/COUNT đều đã coalesce (trực tiếp hoặc ở lớp ngoài)</t>
        </is>
      </c>
      <c r="I3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61" s="48" t="inlineStr">
        <is>
          <t>017. OCB_GOLD_TCKH_V_PLA_NIM_UPL_QUANG.xlsx [Script SQL: V_PLA_NIM_UPL]</t>
        </is>
      </c>
    </row>
    <row r="362">
      <c r="A362" s="48" t="inlineStr">
        <is>
          <t>TCKH.V_PLA_NIM_UPL</t>
        </is>
      </c>
      <c r="B362" s="48" t="inlineStr">
        <is>
          <t>UPLOAD_VIEW</t>
        </is>
      </c>
      <c r="C362" s="48" t="inlineStr">
        <is>
          <t>2.9</t>
        </is>
      </c>
      <c r="D362" s="48" t="inlineStr">
        <is>
          <t>Nhom 2 - Logic</t>
        </is>
      </c>
      <c r="E362" s="48" t="inlineStr">
        <is>
          <t>Subquery / custom function / điều kiện LIKE đúng ý nghĩa nghiệp vụ</t>
        </is>
      </c>
      <c r="F362" s="48" t="inlineStr">
        <is>
          <t>N-A</t>
        </is>
      </c>
      <c r="G362" s="48" t="inlineStr">
        <is>
          <t>Pass</t>
        </is>
      </c>
      <c r="H362" s="50" t="inlineStr">
        <is>
          <t>script không có điều kiện LIKE hay scalar subquery nào</t>
        </is>
      </c>
      <c r="I362" s="50" t="inlineStr">
        <is>
          <t>Đọc lại từng điều kiện LIKE và từng subquery, đối chiếu ý nghĩa nghiệp vụ với on-prem — đúng cú pháp không đủ. Chú ý pattern LIKE có ký tự % ở đầu/cuối và phân biệt chữ hoa/thường.</t>
        </is>
      </c>
      <c r="J362" s="48" t="inlineStr">
        <is>
          <t>017. OCB_GOLD_TCKH_V_PLA_NIM_UPL_QUANG.xlsx [Script SQL: V_PLA_NIM_UPL]</t>
        </is>
      </c>
    </row>
    <row r="363">
      <c r="A363" s="48" t="inlineStr">
        <is>
          <t>TCKH.V_PLA_NIM_UPL</t>
        </is>
      </c>
      <c r="B363" s="48" t="inlineStr">
        <is>
          <t>UPLOAD_VIEW</t>
        </is>
      </c>
      <c r="C363" s="48" t="inlineStr">
        <is>
          <t>2.10</t>
        </is>
      </c>
      <c r="D363" s="48" t="inlineStr">
        <is>
          <t>Nhom 2 - Logic</t>
        </is>
      </c>
      <c r="E363" s="48" t="inlineStr">
        <is>
          <t>Aggregation kèm filter date range chính xác</t>
        </is>
      </c>
      <c r="F363" s="49" t="inlineStr">
        <is>
          <t>PASS</t>
        </is>
      </c>
      <c r="G363" s="48" t="inlineStr">
        <is>
          <t>Pass</t>
        </is>
      </c>
      <c r="H363" s="50" t="inlineStr">
        <is>
          <t>mọi khối tổng hợp đều có điều kiện theo kỳ dữ liệu</t>
        </is>
      </c>
      <c r="I363" s="50" t="inlineStr">
        <is>
          <t>Mỗi khối SUM/COUNT/AVG phải có điều kiện lọc theo kỳ dữ liệu (CDR_DT_ID, DATA_DATE, :DATADT…). Nếu điều kiện nằm ở CTE nguồn thì ghi rõ trong comment để người review không phải truy ngược.</t>
        </is>
      </c>
      <c r="J363" s="48" t="inlineStr">
        <is>
          <t>017. OCB_GOLD_TCKH_V_PLA_NIM_UPL_QUANG.xlsx [Script SQL: V_PLA_NIM_UPL]</t>
        </is>
      </c>
    </row>
    <row r="364">
      <c r="A364" s="48" t="inlineStr">
        <is>
          <t>TCKH.V_PLA_NIM_UPL</t>
        </is>
      </c>
      <c r="B364" s="48" t="inlineStr">
        <is>
          <t>UPLOAD_VIEW</t>
        </is>
      </c>
      <c r="C364" s="48" t="inlineStr">
        <is>
          <t>2.11</t>
        </is>
      </c>
      <c r="D364" s="48" t="inlineStr">
        <is>
          <t>Nhom 2 - Logic</t>
        </is>
      </c>
      <c r="E364" s="48" t="inlineStr">
        <is>
          <t>Join dùng key hợp lý, không lạm dụng UNION ALL + EXISTS/NOT EXISTS</t>
        </is>
      </c>
      <c r="F364" s="49" t="inlineStr">
        <is>
          <t>PASS</t>
        </is>
      </c>
      <c r="G364" s="48" t="inlineStr">
        <is>
          <t>Pass</t>
        </is>
      </c>
      <c r="H364" s="50" t="inlineStr">
        <is>
          <t>join đều theo điều kiện bằng, không lạm dụng UNION ALL + EXISTS</t>
        </is>
      </c>
      <c r="I364" s="50" t="inlineStr">
        <is>
          <t>Ưu tiên LEFT JOIN theo business key hoặc hashkey. Xem lại các chỗ dùng UNION ALL kết hợp EXISTS/NOT EXISTS — thường thay được bằng một LEFT JOIN. Join không có điều kiện bằng (=) dễ tạo tích Descartes.</t>
        </is>
      </c>
      <c r="J364" s="48" t="inlineStr">
        <is>
          <t>017. OCB_GOLD_TCKH_V_PLA_NIM_UPL_QUANG.xlsx [Script SQL: V_PLA_NIM_UPL]</t>
        </is>
      </c>
    </row>
    <row r="365">
      <c r="A365" s="48" t="inlineStr">
        <is>
          <t>TCKH.V_PLA_NIM_UPL</t>
        </is>
      </c>
      <c r="B365" s="48" t="inlineStr">
        <is>
          <t>UPLOAD_VIEW</t>
        </is>
      </c>
      <c r="C365" s="48" t="inlineStr">
        <is>
          <t>2.12</t>
        </is>
      </c>
      <c r="D365" s="48" t="inlineStr">
        <is>
          <t>Nhom 2 - Logic</t>
        </is>
      </c>
      <c r="E365" s="48" t="inlineStr">
        <is>
          <t>Build Gold từ CTE snapshot Silver, không build nhiều tầng chồng chéo</t>
        </is>
      </c>
      <c r="F365" s="48" t="inlineStr">
        <is>
          <t>N-A</t>
        </is>
      </c>
      <c r="G365" s="48" t="inlineStr">
        <is>
          <t>Pass</t>
        </is>
      </c>
      <c r="H365" s="50" t="inlineStr">
        <is>
          <t>khong ap dung cho profile UPLOAD_VIEW</t>
        </is>
      </c>
      <c r="I3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65" s="48" t="inlineStr">
        <is>
          <t>017. OCB_GOLD_TCKH_V_PLA_NIM_UPL_QUANG.xlsx [Script SQL: V_PLA_NIM_UPL]</t>
        </is>
      </c>
    </row>
    <row r="366">
      <c r="A366" s="48" t="inlineStr">
        <is>
          <t>TCKH.V_PLA_NIM_UPL</t>
        </is>
      </c>
      <c r="B366" s="48" t="inlineStr">
        <is>
          <t>UPLOAD_VIEW</t>
        </is>
      </c>
      <c r="C366" s="48" t="inlineStr">
        <is>
          <t>3.1</t>
        </is>
      </c>
      <c r="D366" s="48" t="inlineStr">
        <is>
          <t>Nhom 3 - Optimization</t>
        </is>
      </c>
      <c r="E366" s="48" t="inlineStr">
        <is>
          <t>Không SELECT *</t>
        </is>
      </c>
      <c r="F366" s="49" t="inlineStr">
        <is>
          <t>PASS</t>
        </is>
      </c>
      <c r="G366" s="48" t="inlineStr">
        <is>
          <t>Pass</t>
        </is>
      </c>
      <c r="H366" s="50" t="inlineStr">
        <is>
          <t>không dùng SELECT * ở đâu</t>
        </is>
      </c>
      <c r="I366" s="50" t="inlineStr">
        <is>
          <t>Liệt kê tường minh các cột cần dùng, kể cả trong CTE trung gian. SELECT * làm tăng IO/memory và vỡ script khi bảng nguồn thêm cột.</t>
        </is>
      </c>
      <c r="J366" s="48" t="inlineStr">
        <is>
          <t>017. OCB_GOLD_TCKH_V_PLA_NIM_UPL_QUANG.xlsx [Script SQL: V_PLA_NIM_UPL]</t>
        </is>
      </c>
    </row>
    <row r="367">
      <c r="A367" s="48" t="inlineStr">
        <is>
          <t>TCKH.V_PLA_NIM_UPL</t>
        </is>
      </c>
      <c r="B367" s="48" t="inlineStr">
        <is>
          <t>UPLOAD_VIEW</t>
        </is>
      </c>
      <c r="C367" s="48" t="inlineStr">
        <is>
          <t>3.2</t>
        </is>
      </c>
      <c r="D367" s="48" t="inlineStr">
        <is>
          <t>Nhom 3 - Optimization</t>
        </is>
      </c>
      <c r="E367" s="48" t="inlineStr">
        <is>
          <t>CTE không bị scan lại nhiều lần</t>
        </is>
      </c>
      <c r="F367" s="49" t="inlineStr">
        <is>
          <t>PASS</t>
        </is>
      </c>
      <c r="G367" s="48" t="inlineStr">
        <is>
          <t>Pass</t>
        </is>
      </c>
      <c r="H367" s="50" t="inlineStr">
        <is>
          <t>không có CTE nào bị gọi lại</t>
        </is>
      </c>
      <c r="I367" s="50" t="inlineStr">
        <is>
          <t>Với CTE nặng (đọc nhiều bảng Silver) bị tham chiếu từ 2 chỗ trở lên: gom lại còn một lần dùng, hoặc vật chất hóa (CACHE / bảng tạm). CTE nhẹ chỉ chứa tham số thì bỏ qua được — tự tick Pass.</t>
        </is>
      </c>
      <c r="J367" s="48" t="inlineStr">
        <is>
          <t>017. OCB_GOLD_TCKH_V_PLA_NIM_UPL_QUANG.xlsx [Script SQL: V_PLA_NIM_UPL]</t>
        </is>
      </c>
    </row>
    <row r="368">
      <c r="A368" s="48" t="inlineStr">
        <is>
          <t>TCKH.V_PLA_NIM_UPL</t>
        </is>
      </c>
      <c r="B368" s="48" t="inlineStr">
        <is>
          <t>UPLOAD_VIEW</t>
        </is>
      </c>
      <c r="C368" s="48" t="inlineStr">
        <is>
          <t>3.3</t>
        </is>
      </c>
      <c r="D368" s="48" t="inlineStr">
        <is>
          <t>Nhom 3 - Optimization</t>
        </is>
      </c>
      <c r="E368" s="48" t="inlineStr">
        <is>
          <t>Filter trước khi join, tận dụng partition pruning</t>
        </is>
      </c>
      <c r="F368" s="48" t="inlineStr">
        <is>
          <t>N-A</t>
        </is>
      </c>
      <c r="G368" s="48" t="inlineStr">
        <is>
          <t>Pass</t>
        </is>
      </c>
      <c r="H368" s="50" t="inlineStr">
        <is>
          <t>khong ap dung cho profile UPLOAD_VIEW</t>
        </is>
      </c>
      <c r="I368" s="50" t="inlineStr">
        <is>
          <t>Đưa điều kiện lọc (ngày dữ liệu, trạng thái) vào subquery của từng bảng TRƯỚC khi join, để tận dụng partition pruning. Bảng dim nhỏ không partition thì không cần — tự tick Pass.</t>
        </is>
      </c>
      <c r="J368" s="48" t="inlineStr">
        <is>
          <t>017. OCB_GOLD_TCKH_V_PLA_NIM_UPL_QUANG.xlsx [Script SQL: V_PLA_NIM_UPL]</t>
        </is>
      </c>
    </row>
    <row r="369">
      <c r="A369" s="48" t="inlineStr">
        <is>
          <t>TCKH.V_PLA_NIM_UPL</t>
        </is>
      </c>
      <c r="B369" s="48" t="inlineStr">
        <is>
          <t>UPLOAD_VIEW</t>
        </is>
      </c>
      <c r="C369" s="48" t="inlineStr">
        <is>
          <t>3.4</t>
        </is>
      </c>
      <c r="D369" s="48" t="inlineStr">
        <is>
          <t>Nhom 3 - Optimization</t>
        </is>
      </c>
      <c r="E369" s="48" t="inlineStr">
        <is>
          <t>Sử dụng CACHE cho query lặp lại trong cùng luồng</t>
        </is>
      </c>
      <c r="F369" s="48" t="inlineStr">
        <is>
          <t>N-A</t>
        </is>
      </c>
      <c r="G369" s="48" t="inlineStr">
        <is>
          <t>Pass</t>
        </is>
      </c>
      <c r="H369" s="50" t="inlineStr">
        <is>
          <t>không có kết quả nào được dùng lại nhiều lần nên chưa cần CACHE</t>
        </is>
      </c>
      <c r="I369" s="50" t="inlineStr">
        <is>
          <t>Nếu một kết quả nặng được dùng lại nhiều bước trong cùng luồng, thêm CACHE TABLE / CACHE SELECT. Kết quả nhỏ thì cache còn chậm hơn — tự tick Pass.</t>
        </is>
      </c>
      <c r="J369" s="48" t="inlineStr">
        <is>
          <t>017. OCB_GOLD_TCKH_V_PLA_NIM_UPL_QUANG.xlsx [Script SQL: V_PLA_NIM_UPL]</t>
        </is>
      </c>
    </row>
    <row r="370">
      <c r="A370" s="48" t="inlineStr">
        <is>
          <t>TCKH.V_PLA_NIM_UPL</t>
        </is>
      </c>
      <c r="B370" s="48" t="inlineStr">
        <is>
          <t>UPLOAD_VIEW</t>
        </is>
      </c>
      <c r="C370" s="48" t="inlineStr">
        <is>
          <t>3.5</t>
        </is>
      </c>
      <c r="D370" s="48" t="inlineStr">
        <is>
          <t>Nhom 3 - Optimization</t>
        </is>
      </c>
      <c r="E370" s="48" t="inlineStr">
        <is>
          <t>Ưu tiên MAX_BY + QUALIFY thay ROW_NUMBER() + WHERE rn = 1</t>
        </is>
      </c>
      <c r="F370" s="48" t="inlineStr">
        <is>
          <t>N-A</t>
        </is>
      </c>
      <c r="G370" s="48" t="inlineStr">
        <is>
          <t>Pass</t>
        </is>
      </c>
      <c r="H370" s="50" t="inlineStr">
        <is>
          <t>script không dùng ROW_NUMBER, và MAX_BY (nếu có) không vượt quá 5 cột/khối</t>
        </is>
      </c>
      <c r="I3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70" s="48" t="inlineStr">
        <is>
          <t>017. OCB_GOLD_TCKH_V_PLA_NIM_UPL_QUANG.xlsx [Script SQL: V_PLA_NIM_UPL]</t>
        </is>
      </c>
    </row>
    <row r="371">
      <c r="A371" s="48" t="inlineStr">
        <is>
          <t>TCKH.V_PLA_NIM_UPL</t>
        </is>
      </c>
      <c r="B371" s="48" t="inlineStr">
        <is>
          <t>UPLOAD_VIEW</t>
        </is>
      </c>
      <c r="C371" s="48" t="inlineStr">
        <is>
          <t>3.6</t>
        </is>
      </c>
      <c r="D371" s="48" t="inlineStr">
        <is>
          <t>Nhom 3 - Optimization</t>
        </is>
      </c>
      <c r="E371" s="48" t="inlineStr">
        <is>
          <t>Không lạm dụng window function; có comment khi dùng</t>
        </is>
      </c>
      <c r="F371" s="48" t="inlineStr">
        <is>
          <t>N-A</t>
        </is>
      </c>
      <c r="G371" s="48" t="inlineStr">
        <is>
          <t>Pass</t>
        </is>
      </c>
      <c r="H371" s="50" t="inlineStr">
        <is>
          <t>script không dùng window function</t>
        </is>
      </c>
      <c r="I371" s="50" t="inlineStr">
        <is>
          <t>Mỗi window function cần một comment ngay trên khối CTE chứa nó, nói rõ vì sao không dùng được max_by/QUALIFY đơn giản hơn.</t>
        </is>
      </c>
      <c r="J371" s="48" t="inlineStr">
        <is>
          <t>017. OCB_GOLD_TCKH_V_PLA_NIM_UPL_QUANG.xlsx [Script SQL: V_PLA_NIM_UPL]</t>
        </is>
      </c>
    </row>
    <row r="372">
      <c r="A372" s="48" t="inlineStr">
        <is>
          <t>TCKH.V_PLA_NIM_UPL</t>
        </is>
      </c>
      <c r="B372" s="48" t="inlineStr">
        <is>
          <t>UPLOAD_VIEW</t>
        </is>
      </c>
      <c r="C372" s="48" t="inlineStr">
        <is>
          <t>X.1</t>
        </is>
      </c>
      <c r="D372" s="48" t="inlineStr">
        <is>
          <t>Nhom X - Bo sung Raffles</t>
        </is>
      </c>
      <c r="E372" s="48" t="inlineStr">
        <is>
          <t>[Bổ sung] Link phải rút về current trước khi join (chống fan-out)</t>
        </is>
      </c>
      <c r="F372" s="48" t="inlineStr">
        <is>
          <t>N-A</t>
        </is>
      </c>
      <c r="G372" s="48" t="inlineStr">
        <is>
          <t>Pass</t>
        </is>
      </c>
      <c r="H372" s="50" t="inlineStr">
        <is>
          <t>khong ap dung cho profile UPLOAD_VIEW</t>
        </is>
      </c>
      <c r="I3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72" s="48" t="inlineStr">
        <is>
          <t>017. OCB_GOLD_TCKH_V_PLA_NIM_UPL_QUANG.xlsx [Script SQL: V_PLA_NIM_UPL]</t>
        </is>
      </c>
    </row>
    <row r="373">
      <c r="A373" s="48" t="inlineStr">
        <is>
          <t>TCKH.V_PLA_NIM_UPL</t>
        </is>
      </c>
      <c r="B373" s="48" t="inlineStr">
        <is>
          <t>UPLOAD_VIEW</t>
        </is>
      </c>
      <c r="C373" s="48" t="inlineStr">
        <is>
          <t>X.6</t>
        </is>
      </c>
      <c r="D373" s="48" t="inlineStr">
        <is>
          <t>Nhom X - Bo sung Raffles</t>
        </is>
      </c>
      <c r="E373" s="48" t="inlineStr">
        <is>
          <t>[Bổ sung] Satellite phải LEFT JOIN, không INNER JOIN</t>
        </is>
      </c>
      <c r="F373" s="48" t="inlineStr">
        <is>
          <t>N-A</t>
        </is>
      </c>
      <c r="G373" s="48" t="inlineStr">
        <is>
          <t>Pass</t>
        </is>
      </c>
      <c r="H373" s="50" t="inlineStr">
        <is>
          <t>khong ap dung cho profile UPLOAD_VIEW</t>
        </is>
      </c>
      <c r="I373" s="50" t="inlineStr">
        <is>
          <t>Technical Document III.4.2.2 nguyên tắc 1: làm giàu thuộc tính luôn dùng LEFT JOIN. INNER JOIN satellite sẽ loại mất bản ghi Hub đang còn hiệu lực nhưng chưa có dòng satellite.</t>
        </is>
      </c>
      <c r="J373" s="48" t="inlineStr">
        <is>
          <t>017. OCB_GOLD_TCKH_V_PLA_NIM_UPL_QUANG.xlsx [Script SQL: V_PLA_NIM_UPL]</t>
        </is>
      </c>
    </row>
    <row r="374">
      <c r="A374" s="48" t="inlineStr">
        <is>
          <t>TCKH.V_PLA_NIM_UPL</t>
        </is>
      </c>
      <c r="B374" s="48" t="inlineStr">
        <is>
          <t>UPLOAD_VIEW</t>
        </is>
      </c>
      <c r="C374" s="48" t="inlineStr">
        <is>
          <t>X.7</t>
        </is>
      </c>
      <c r="D374" s="48" t="inlineStr">
        <is>
          <t>Nhom X - Bo sung Raffles</t>
        </is>
      </c>
      <c r="E374" s="48" t="inlineStr">
        <is>
          <t>[Bổ sung] Không hard-code catalog, dùng biến môi trường</t>
        </is>
      </c>
      <c r="F374" s="48" t="inlineStr">
        <is>
          <t>N-A</t>
        </is>
      </c>
      <c r="G374" s="48" t="inlineStr">
        <is>
          <t>Pass</t>
        </is>
      </c>
      <c r="H374" s="50" t="inlineStr">
        <is>
          <t>khong ap dung cho profile UPLOAD_VIEW</t>
        </is>
      </c>
      <c r="I3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74" s="48" t="inlineStr">
        <is>
          <t>017. OCB_GOLD_TCKH_V_PLA_NIM_UPL_QUANG.xlsx [Script SQL: V_PLA_NIM_UPL]</t>
        </is>
      </c>
    </row>
    <row r="375">
      <c r="A375" s="48" t="inlineStr">
        <is>
          <t>TCKH.V_PLA_NIM_UPL</t>
        </is>
      </c>
      <c r="B375" s="48" t="inlineStr">
        <is>
          <t>UPLOAD_VIEW</t>
        </is>
      </c>
      <c r="C375" s="48" t="inlineStr">
        <is>
          <t>X.10</t>
        </is>
      </c>
      <c r="D375" s="48" t="inlineStr">
        <is>
          <t>Nhom X - Bo sung Raffles</t>
        </is>
      </c>
      <c r="E375" s="48" t="inlineStr">
        <is>
          <t>Bang raw_vault/business_vault duoc doc phai TON TAI THAT trong Data Vault model</t>
        </is>
      </c>
      <c r="F375" s="48" t="inlineStr">
        <is>
          <t>N-A</t>
        </is>
      </c>
      <c r="G375" s="48" t="inlineStr">
        <is>
          <t>Pass</t>
        </is>
      </c>
      <c r="H375" s="50" t="inlineStr">
        <is>
          <t>script không đọc bảng raw_vault/business_vault nào</t>
        </is>
      </c>
      <c r="I375" s="50" t="inlineStr"/>
      <c r="J375" s="48" t="inlineStr">
        <is>
          <t>017. OCB_GOLD_TCKH_V_PLA_NIM_UPL_QUANG.xlsx [Script SQL: V_PLA_NIM_UPL]</t>
        </is>
      </c>
    </row>
    <row r="376">
      <c r="A376" s="48" t="inlineStr">
        <is>
          <t>TCKH.V_PLA_NIM_UPL</t>
        </is>
      </c>
      <c r="B376" s="48" t="inlineStr">
        <is>
          <t>UPLOAD_VIEW</t>
        </is>
      </c>
      <c r="C376" s="48" t="inlineStr">
        <is>
          <t>X.11</t>
        </is>
      </c>
      <c r="D376" s="48" t="inlineStr">
        <is>
          <t>Nhom X - Bo sung Raffles</t>
        </is>
      </c>
      <c r="E376" s="48" t="inlineStr">
        <is>
          <t>Cot doc tu satellite (sat_*) phai TON TAI THAT trong model</t>
        </is>
      </c>
      <c r="F376" s="48" t="inlineStr">
        <is>
          <t>N-A</t>
        </is>
      </c>
      <c r="G376" s="48" t="inlineStr">
        <is>
          <t>Pass</t>
        </is>
      </c>
      <c r="H376" s="50" t="inlineStr">
        <is>
          <t>không có bảng sat_* nào đủ điều kiện đối chiếu (Select chỉ đọc 1 bảng)</t>
        </is>
      </c>
      <c r="I376" s="50" t="inlineStr"/>
      <c r="J376" s="48" t="inlineStr">
        <is>
          <t>017. OCB_GOLD_TCKH_V_PLA_NIM_UPL_QUANG.xlsx [Script SQL: V_PLA_NIM_UPL]</t>
        </is>
      </c>
    </row>
    <row r="377">
      <c r="A377" s="48" t="inlineStr">
        <is>
          <t>TCKH.V_PLA_QUYMO_CHUNG_UPL</t>
        </is>
      </c>
      <c r="B377" s="48" t="inlineStr">
        <is>
          <t>UPLOAD_VIEW</t>
        </is>
      </c>
      <c r="C377" s="48" t="inlineStr">
        <is>
          <t>1.1</t>
        </is>
      </c>
      <c r="D377" s="48" t="inlineStr">
        <is>
          <t>Nhom 1 - Mapping</t>
        </is>
      </c>
      <c r="E377" s="48" t="inlineStr">
        <is>
          <t>Đầy đủ mapping từ Silver/manual sang Gold</t>
        </is>
      </c>
      <c r="F377" s="49" t="inlineStr">
        <is>
          <t>PASS</t>
        </is>
      </c>
      <c r="G377" s="48" t="inlineStr">
        <is>
          <t>Pass</t>
        </is>
      </c>
      <c r="H377" s="50" t="inlineStr">
        <is>
          <t>workbook 018. OCB_GOLD_TCKH_V_PLA_QUYMO_CHUNG_UPL_QUANG.xlsx: thiết kế 25 field, SQL có 25 cột</t>
        </is>
      </c>
      <c r="I3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77" s="48" t="inlineStr">
        <is>
          <t>018. OCB_GOLD_TCKH_V_PLA_QUYMO_CHUNG_UPL_QUANG.xlsx [Script: V_PLA_QUYMO_CHUNG_UPL]</t>
        </is>
      </c>
    </row>
    <row r="378">
      <c r="A378" s="48" t="inlineStr">
        <is>
          <t>TCKH.V_PLA_QUYMO_CHUNG_UPL</t>
        </is>
      </c>
      <c r="B378" s="48" t="inlineStr">
        <is>
          <t>UPLOAD_VIEW</t>
        </is>
      </c>
      <c r="C378" s="48" t="inlineStr">
        <is>
          <t>1.2</t>
        </is>
      </c>
      <c r="D378" s="48" t="inlineStr">
        <is>
          <t>Nhom 1 - Mapping</t>
        </is>
      </c>
      <c r="E378" s="48" t="inlineStr">
        <is>
          <t>Danh sách bảng/view Gold khớp tài liệu thiết kế đã duyệt</t>
        </is>
      </c>
      <c r="F378" s="49" t="inlineStr">
        <is>
          <t>PASS</t>
        </is>
      </c>
      <c r="G378" s="48" t="inlineStr">
        <is>
          <t>Pass</t>
        </is>
      </c>
      <c r="H378" s="50" t="inlineStr">
        <is>
          <t>V_PLA_QUYMO_CHUNG_UPL có workbook thiết kế: 018. OCB_GOLD_TCKH_V_PLA_QUYMO_CHUNG_UPL_QUANG.xlsx</t>
        </is>
      </c>
      <c r="I378" s="50" t="inlineStr">
        <is>
          <t>Đảm bảo object có workbook thiết kế tương ứng trong thư mục --mapping-dir. Muốn đối chiếu với danh sách đã duyệt thì chạy thêm tham số --gold-list "&lt;file danh sách Gold&gt;.xlsx".</t>
        </is>
      </c>
      <c r="J378" s="48" t="inlineStr">
        <is>
          <t>018. OCB_GOLD_TCKH_V_PLA_QUYMO_CHUNG_UPL_QUANG.xlsx [Script: V_PLA_QUYMO_CHUNG_UPL]</t>
        </is>
      </c>
    </row>
    <row r="379">
      <c r="A379" s="48" t="inlineStr">
        <is>
          <t>TCKH.V_PLA_QUYMO_CHUNG_UPL</t>
        </is>
      </c>
      <c r="B379" s="48" t="inlineStr">
        <is>
          <t>UPLOAD_VIEW</t>
        </is>
      </c>
      <c r="C379" s="48" t="inlineStr">
        <is>
          <t>2.1</t>
        </is>
      </c>
      <c r="D379" s="48" t="inlineStr">
        <is>
          <t>Nhom 2 - Logic</t>
        </is>
      </c>
      <c r="E379" s="48" t="inlineStr">
        <is>
          <t>Chỉ lấy bản ghi active, loại bản ghi đã xóa (qua sts_hub)</t>
        </is>
      </c>
      <c r="F379" s="48" t="inlineStr">
        <is>
          <t>N-A</t>
        </is>
      </c>
      <c r="G379" s="48" t="inlineStr">
        <is>
          <t>Pass</t>
        </is>
      </c>
      <c r="H379" s="50" t="inlineStr">
        <is>
          <t>khong ap dung cho profile UPLOAD_VIEW</t>
        </is>
      </c>
      <c r="I3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79" s="48" t="inlineStr">
        <is>
          <t>018. OCB_GOLD_TCKH_V_PLA_QUYMO_CHUNG_UPL_QUANG.xlsx [Script: V_PLA_QUYMO_CHUNG_UPL]</t>
        </is>
      </c>
    </row>
    <row r="380">
      <c r="A380" s="48" t="inlineStr">
        <is>
          <t>TCKH.V_PLA_QUYMO_CHUNG_UPL</t>
        </is>
      </c>
      <c r="B380" s="48" t="inlineStr">
        <is>
          <t>UPLOAD_VIEW</t>
        </is>
      </c>
      <c r="C380" s="48" t="inlineStr">
        <is>
          <t>2.2</t>
        </is>
      </c>
      <c r="D380" s="48" t="inlineStr">
        <is>
          <t>Nhom 2 - Logic</t>
        </is>
      </c>
      <c r="E380" s="48" t="inlineStr">
        <is>
          <t>Thống nhất MỘT pattern duy nhất xác định bản ghi active mới nhất</t>
        </is>
      </c>
      <c r="F380" s="48" t="inlineStr">
        <is>
          <t>N-A</t>
        </is>
      </c>
      <c r="G380" s="48" t="inlineStr">
        <is>
          <t>Pass</t>
        </is>
      </c>
      <c r="H380" s="50" t="inlineStr">
        <is>
          <t>khong ap dung cho profile UPLOAD_VIEW</t>
        </is>
      </c>
      <c r="I3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80" s="48" t="inlineStr">
        <is>
          <t>018. OCB_GOLD_TCKH_V_PLA_QUYMO_CHUNG_UPL_QUANG.xlsx [Script: V_PLA_QUYMO_CHUNG_UPL]</t>
        </is>
      </c>
    </row>
    <row r="381">
      <c r="A381" s="48" t="inlineStr">
        <is>
          <t>TCKH.V_PLA_QUYMO_CHUNG_UPL</t>
        </is>
      </c>
      <c r="B381" s="48" t="inlineStr">
        <is>
          <t>UPLOAD_VIEW</t>
        </is>
      </c>
      <c r="C381" s="48" t="inlineStr">
        <is>
          <t>2.3</t>
        </is>
      </c>
      <c r="D381" s="48" t="inlineStr">
        <is>
          <t>Nhom 2 - Logic</t>
        </is>
      </c>
      <c r="E381" s="48" t="inlineStr">
        <is>
          <t>Điều kiện lọc trạng thái đặt SAU khi xác định bản ghi mới nhất</t>
        </is>
      </c>
      <c r="F381" s="48" t="inlineStr">
        <is>
          <t>N-A</t>
        </is>
      </c>
      <c r="G381" s="48" t="inlineStr">
        <is>
          <t>Pass</t>
        </is>
      </c>
      <c r="H381" s="50" t="inlineStr">
        <is>
          <t>khong ap dung cho profile UPLOAD_VIEW</t>
        </is>
      </c>
      <c r="I3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81" s="48" t="inlineStr">
        <is>
          <t>018. OCB_GOLD_TCKH_V_PLA_QUYMO_CHUNG_UPL_QUANG.xlsx [Script: V_PLA_QUYMO_CHUNG_UPL]</t>
        </is>
      </c>
    </row>
    <row r="382">
      <c r="A382" s="48" t="inlineStr">
        <is>
          <t>TCKH.V_PLA_QUYMO_CHUNG_UPL</t>
        </is>
      </c>
      <c r="B382" s="48" t="inlineStr">
        <is>
          <t>UPLOAD_VIEW</t>
        </is>
      </c>
      <c r="C382" s="48" t="inlineStr">
        <is>
          <t>2.4</t>
        </is>
      </c>
      <c r="D382" s="48" t="inlineStr">
        <is>
          <t>Nhom 2 - Logic</t>
        </is>
      </c>
      <c r="E382" s="48" t="inlineStr">
        <is>
          <t>source_event_date áp dụng đúng dạng theo loại bảng</t>
        </is>
      </c>
      <c r="F382" s="48" t="inlineStr">
        <is>
          <t>N-A</t>
        </is>
      </c>
      <c r="G382" s="48" t="inlineStr">
        <is>
          <t>Pass</t>
        </is>
      </c>
      <c r="H382" s="50" t="inlineStr">
        <is>
          <t>khong ap dung cho profile UPLOAD_VIEW</t>
        </is>
      </c>
      <c r="I3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82" s="48" t="inlineStr">
        <is>
          <t>018. OCB_GOLD_TCKH_V_PLA_QUYMO_CHUNG_UPL_QUANG.xlsx [Script: V_PLA_QUYMO_CHUNG_UPL]</t>
        </is>
      </c>
    </row>
    <row r="383">
      <c r="A383" s="48" t="inlineStr">
        <is>
          <t>TCKH.V_PLA_QUYMO_CHUNG_UPL</t>
        </is>
      </c>
      <c r="B383" s="48" t="inlineStr">
        <is>
          <t>UPLOAD_VIEW</t>
        </is>
      </c>
      <c r="C383" s="48" t="inlineStr">
        <is>
          <t>2.5</t>
        </is>
      </c>
      <c r="D383" s="48" t="inlineStr">
        <is>
          <t>Nhom 2 - Logic</t>
        </is>
      </c>
      <c r="E383" s="48" t="inlineStr">
        <is>
          <t>Không lặp lại lỗi logic cũ đã được DA Data Vault fix</t>
        </is>
      </c>
      <c r="F383" s="49" t="inlineStr">
        <is>
          <t>PASS</t>
        </is>
      </c>
      <c r="G383" s="48" t="inlineStr">
        <is>
          <t>Pass</t>
        </is>
      </c>
      <c r="H383" s="50" t="inlineStr">
        <is>
          <t>không trùng lỗi nào trong Issue log của DA Data Vault</t>
        </is>
      </c>
      <c r="I3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83" s="48" t="inlineStr">
        <is>
          <t>018. OCB_GOLD_TCKH_V_PLA_QUYMO_CHUNG_UPL_QUANG.xlsx [Script: V_PLA_QUYMO_CHUNG_UPL]</t>
        </is>
      </c>
    </row>
    <row r="384">
      <c r="A384" s="48" t="inlineStr">
        <is>
          <t>TCKH.V_PLA_QUYMO_CHUNG_UPL</t>
        </is>
      </c>
      <c r="B384" s="48" t="inlineStr">
        <is>
          <t>UPLOAD_VIEW</t>
        </is>
      </c>
      <c r="C384" s="48" t="inlineStr">
        <is>
          <t>2.6</t>
        </is>
      </c>
      <c r="D384" s="48" t="inlineStr">
        <is>
          <t>Nhom 2 - Logic</t>
        </is>
      </c>
      <c r="E384" s="48" t="inlineStr">
        <is>
          <t>SCD Type 2 cho bảng DIM áp dụng đúng kỹ thuật đã thống nhất</t>
        </is>
      </c>
      <c r="F384" s="48" t="inlineStr">
        <is>
          <t>N-A</t>
        </is>
      </c>
      <c r="G384" s="48" t="inlineStr">
        <is>
          <t>Pass</t>
        </is>
      </c>
      <c r="H384" s="50" t="inlineStr">
        <is>
          <t>object không phải bảng DIM nên không áp dụng SCD Type 2</t>
        </is>
      </c>
      <c r="I3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84" s="48" t="inlineStr">
        <is>
          <t>018. OCB_GOLD_TCKH_V_PLA_QUYMO_CHUNG_UPL_QUANG.xlsx [Script: V_PLA_QUYMO_CHUNG_UPL]</t>
        </is>
      </c>
    </row>
    <row r="385">
      <c r="A385" s="48" t="inlineStr">
        <is>
          <t>TCKH.V_PLA_QUYMO_CHUNG_UPL</t>
        </is>
      </c>
      <c r="B385" s="48" t="inlineStr">
        <is>
          <t>UPLOAD_VIEW</t>
        </is>
      </c>
      <c r="C385" s="48" t="inlineStr">
        <is>
          <t>2.7</t>
        </is>
      </c>
      <c r="D385" s="48" t="inlineStr">
        <is>
          <t>Nhom 2 - Logic</t>
        </is>
      </c>
      <c r="E385" s="48" t="inlineStr">
        <is>
          <t>CASE WHEN cover đủ nhánh như job on-prem</t>
        </is>
      </c>
      <c r="F385" s="48" t="inlineStr">
        <is>
          <t>N-A</t>
        </is>
      </c>
      <c r="G385" s="48" t="inlineStr">
        <is>
          <t>Pass</t>
        </is>
      </c>
      <c r="H385" s="50" t="inlineStr">
        <is>
          <t>script không có CASE WHEN nào</t>
        </is>
      </c>
      <c r="I385" s="50" t="inlineStr">
        <is>
          <t>Mở job on-prem tương ứng (DataStage DSX hoặc SQL cũ), đối chiếu từng nhánh WHEN và cả nhánh ELSE. CASE không có ELSE sẽ trả NULL âm thầm — xác nhận đó là ý muốn hay thiếu nhánh.</t>
        </is>
      </c>
      <c r="J385" s="48" t="inlineStr">
        <is>
          <t>018. OCB_GOLD_TCKH_V_PLA_QUYMO_CHUNG_UPL_QUANG.xlsx [Script: V_PLA_QUYMO_CHUNG_UPL]</t>
        </is>
      </c>
    </row>
    <row r="386">
      <c r="A386" s="48" t="inlineStr">
        <is>
          <t>TCKH.V_PLA_QUYMO_CHUNG_UPL</t>
        </is>
      </c>
      <c r="B386" s="48" t="inlineStr">
        <is>
          <t>UPLOAD_VIEW</t>
        </is>
      </c>
      <c r="C386" s="48" t="inlineStr">
        <is>
          <t>2.8</t>
        </is>
      </c>
      <c r="D386" s="48" t="inlineStr">
        <is>
          <t>Nhom 2 - Logic</t>
        </is>
      </c>
      <c r="E386" s="48" t="inlineStr">
        <is>
          <t>Cột SUM/COUNT được COALESCE/NVL hợp lý</t>
        </is>
      </c>
      <c r="F386" s="49" t="inlineStr">
        <is>
          <t>PASS</t>
        </is>
      </c>
      <c r="G386" s="48" t="inlineStr">
        <is>
          <t>Pass</t>
        </is>
      </c>
      <c r="H386" s="50" t="inlineStr">
        <is>
          <t>mọi SUM/COUNT đều đã coalesce (trực tiếp hoặc ở lớp ngoài)</t>
        </is>
      </c>
      <c r="I3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86" s="48" t="inlineStr">
        <is>
          <t>018. OCB_GOLD_TCKH_V_PLA_QUYMO_CHUNG_UPL_QUANG.xlsx [Script: V_PLA_QUYMO_CHUNG_UPL]</t>
        </is>
      </c>
    </row>
    <row r="387">
      <c r="A387" s="48" t="inlineStr">
        <is>
          <t>TCKH.V_PLA_QUYMO_CHUNG_UPL</t>
        </is>
      </c>
      <c r="B387" s="48" t="inlineStr">
        <is>
          <t>UPLOAD_VIEW</t>
        </is>
      </c>
      <c r="C387" s="48" t="inlineStr">
        <is>
          <t>2.9</t>
        </is>
      </c>
      <c r="D387" s="48" t="inlineStr">
        <is>
          <t>Nhom 2 - Logic</t>
        </is>
      </c>
      <c r="E387" s="48" t="inlineStr">
        <is>
          <t>Subquery / custom function / điều kiện LIKE đúng ý nghĩa nghiệp vụ</t>
        </is>
      </c>
      <c r="F387" s="48" t="inlineStr">
        <is>
          <t>N-A</t>
        </is>
      </c>
      <c r="G387" s="48" t="inlineStr">
        <is>
          <t>Pass</t>
        </is>
      </c>
      <c r="H387" s="50" t="inlineStr">
        <is>
          <t>script không có điều kiện LIKE hay scalar subquery nào</t>
        </is>
      </c>
      <c r="I387" s="50" t="inlineStr">
        <is>
          <t>Đọc lại từng điều kiện LIKE và từng subquery, đối chiếu ý nghĩa nghiệp vụ với on-prem — đúng cú pháp không đủ. Chú ý pattern LIKE có ký tự % ở đầu/cuối và phân biệt chữ hoa/thường.</t>
        </is>
      </c>
      <c r="J387" s="48" t="inlineStr">
        <is>
          <t>018. OCB_GOLD_TCKH_V_PLA_QUYMO_CHUNG_UPL_QUANG.xlsx [Script: V_PLA_QUYMO_CHUNG_UPL]</t>
        </is>
      </c>
    </row>
    <row r="388">
      <c r="A388" s="48" t="inlineStr">
        <is>
          <t>TCKH.V_PLA_QUYMO_CHUNG_UPL</t>
        </is>
      </c>
      <c r="B388" s="48" t="inlineStr">
        <is>
          <t>UPLOAD_VIEW</t>
        </is>
      </c>
      <c r="C388" s="48" t="inlineStr">
        <is>
          <t>2.10</t>
        </is>
      </c>
      <c r="D388" s="48" t="inlineStr">
        <is>
          <t>Nhom 2 - Logic</t>
        </is>
      </c>
      <c r="E388" s="48" t="inlineStr">
        <is>
          <t>Aggregation kèm filter date range chính xác</t>
        </is>
      </c>
      <c r="F388" s="49" t="inlineStr">
        <is>
          <t>PASS</t>
        </is>
      </c>
      <c r="G388" s="48" t="inlineStr">
        <is>
          <t>Pass</t>
        </is>
      </c>
      <c r="H388" s="50" t="inlineStr">
        <is>
          <t>mọi khối tổng hợp đều có điều kiện theo kỳ dữ liệu</t>
        </is>
      </c>
      <c r="I388" s="50" t="inlineStr">
        <is>
          <t>Mỗi khối SUM/COUNT/AVG phải có điều kiện lọc theo kỳ dữ liệu (CDR_DT_ID, DATA_DATE, :DATADT…). Nếu điều kiện nằm ở CTE nguồn thì ghi rõ trong comment để người review không phải truy ngược.</t>
        </is>
      </c>
      <c r="J388" s="48" t="inlineStr">
        <is>
          <t>018. OCB_GOLD_TCKH_V_PLA_QUYMO_CHUNG_UPL_QUANG.xlsx [Script: V_PLA_QUYMO_CHUNG_UPL]</t>
        </is>
      </c>
    </row>
    <row r="389">
      <c r="A389" s="48" t="inlineStr">
        <is>
          <t>TCKH.V_PLA_QUYMO_CHUNG_UPL</t>
        </is>
      </c>
      <c r="B389" s="48" t="inlineStr">
        <is>
          <t>UPLOAD_VIEW</t>
        </is>
      </c>
      <c r="C389" s="48" t="inlineStr">
        <is>
          <t>2.11</t>
        </is>
      </c>
      <c r="D389" s="48" t="inlineStr">
        <is>
          <t>Nhom 2 - Logic</t>
        </is>
      </c>
      <c r="E389" s="48" t="inlineStr">
        <is>
          <t>Join dùng key hợp lý, không lạm dụng UNION ALL + EXISTS/NOT EXISTS</t>
        </is>
      </c>
      <c r="F389" s="49" t="inlineStr">
        <is>
          <t>PASS</t>
        </is>
      </c>
      <c r="G389" s="48" t="inlineStr">
        <is>
          <t>Pass</t>
        </is>
      </c>
      <c r="H389" s="50" t="inlineStr">
        <is>
          <t>join đều theo điều kiện bằng, không lạm dụng UNION ALL + EXISTS</t>
        </is>
      </c>
      <c r="I389" s="50" t="inlineStr">
        <is>
          <t>Ưu tiên LEFT JOIN theo business key hoặc hashkey. Xem lại các chỗ dùng UNION ALL kết hợp EXISTS/NOT EXISTS — thường thay được bằng một LEFT JOIN. Join không có điều kiện bằng (=) dễ tạo tích Descartes.</t>
        </is>
      </c>
      <c r="J389" s="48" t="inlineStr">
        <is>
          <t>018. OCB_GOLD_TCKH_V_PLA_QUYMO_CHUNG_UPL_QUANG.xlsx [Script: V_PLA_QUYMO_CHUNG_UPL]</t>
        </is>
      </c>
    </row>
    <row r="390">
      <c r="A390" s="48" t="inlineStr">
        <is>
          <t>TCKH.V_PLA_QUYMO_CHUNG_UPL</t>
        </is>
      </c>
      <c r="B390" s="48" t="inlineStr">
        <is>
          <t>UPLOAD_VIEW</t>
        </is>
      </c>
      <c r="C390" s="48" t="inlineStr">
        <is>
          <t>2.12</t>
        </is>
      </c>
      <c r="D390" s="48" t="inlineStr">
        <is>
          <t>Nhom 2 - Logic</t>
        </is>
      </c>
      <c r="E390" s="48" t="inlineStr">
        <is>
          <t>Build Gold từ CTE snapshot Silver, không build nhiều tầng chồng chéo</t>
        </is>
      </c>
      <c r="F390" s="48" t="inlineStr">
        <is>
          <t>N-A</t>
        </is>
      </c>
      <c r="G390" s="48" t="inlineStr">
        <is>
          <t>Pass</t>
        </is>
      </c>
      <c r="H390" s="50" t="inlineStr">
        <is>
          <t>khong ap dung cho profile UPLOAD_VIEW</t>
        </is>
      </c>
      <c r="I3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90" s="48" t="inlineStr">
        <is>
          <t>018. OCB_GOLD_TCKH_V_PLA_QUYMO_CHUNG_UPL_QUANG.xlsx [Script: V_PLA_QUYMO_CHUNG_UPL]</t>
        </is>
      </c>
    </row>
    <row r="391">
      <c r="A391" s="48" t="inlineStr">
        <is>
          <t>TCKH.V_PLA_QUYMO_CHUNG_UPL</t>
        </is>
      </c>
      <c r="B391" s="48" t="inlineStr">
        <is>
          <t>UPLOAD_VIEW</t>
        </is>
      </c>
      <c r="C391" s="48" t="inlineStr">
        <is>
          <t>3.1</t>
        </is>
      </c>
      <c r="D391" s="48" t="inlineStr">
        <is>
          <t>Nhom 3 - Optimization</t>
        </is>
      </c>
      <c r="E391" s="48" t="inlineStr">
        <is>
          <t>Không SELECT *</t>
        </is>
      </c>
      <c r="F391" s="49" t="inlineStr">
        <is>
          <t>PASS</t>
        </is>
      </c>
      <c r="G391" s="48" t="inlineStr">
        <is>
          <t>Pass</t>
        </is>
      </c>
      <c r="H391" s="50" t="inlineStr">
        <is>
          <t>không dùng SELECT * ở đâu</t>
        </is>
      </c>
      <c r="I391" s="50" t="inlineStr">
        <is>
          <t>Liệt kê tường minh các cột cần dùng, kể cả trong CTE trung gian. SELECT * làm tăng IO/memory và vỡ script khi bảng nguồn thêm cột.</t>
        </is>
      </c>
      <c r="J391" s="48" t="inlineStr">
        <is>
          <t>018. OCB_GOLD_TCKH_V_PLA_QUYMO_CHUNG_UPL_QUANG.xlsx [Script: V_PLA_QUYMO_CHUNG_UPL]</t>
        </is>
      </c>
    </row>
    <row r="392">
      <c r="A392" s="48" t="inlineStr">
        <is>
          <t>TCKH.V_PLA_QUYMO_CHUNG_UPL</t>
        </is>
      </c>
      <c r="B392" s="48" t="inlineStr">
        <is>
          <t>UPLOAD_VIEW</t>
        </is>
      </c>
      <c r="C392" s="48" t="inlineStr">
        <is>
          <t>3.2</t>
        </is>
      </c>
      <c r="D392" s="48" t="inlineStr">
        <is>
          <t>Nhom 3 - Optimization</t>
        </is>
      </c>
      <c r="E392" s="48" t="inlineStr">
        <is>
          <t>CTE không bị scan lại nhiều lần</t>
        </is>
      </c>
      <c r="F392" s="49" t="inlineStr">
        <is>
          <t>PASS</t>
        </is>
      </c>
      <c r="G392" s="48" t="inlineStr">
        <is>
          <t>Pass</t>
        </is>
      </c>
      <c r="H392" s="50" t="inlineStr">
        <is>
          <t>không có CTE nào bị gọi lại</t>
        </is>
      </c>
      <c r="I392" s="50" t="inlineStr">
        <is>
          <t>Với CTE nặng (đọc nhiều bảng Silver) bị tham chiếu từ 2 chỗ trở lên: gom lại còn một lần dùng, hoặc vật chất hóa (CACHE / bảng tạm). CTE nhẹ chỉ chứa tham số thì bỏ qua được — tự tick Pass.</t>
        </is>
      </c>
      <c r="J392" s="48" t="inlineStr">
        <is>
          <t>018. OCB_GOLD_TCKH_V_PLA_QUYMO_CHUNG_UPL_QUANG.xlsx [Script: V_PLA_QUYMO_CHUNG_UPL]</t>
        </is>
      </c>
    </row>
    <row r="393">
      <c r="A393" s="48" t="inlineStr">
        <is>
          <t>TCKH.V_PLA_QUYMO_CHUNG_UPL</t>
        </is>
      </c>
      <c r="B393" s="48" t="inlineStr">
        <is>
          <t>UPLOAD_VIEW</t>
        </is>
      </c>
      <c r="C393" s="48" t="inlineStr">
        <is>
          <t>3.3</t>
        </is>
      </c>
      <c r="D393" s="48" t="inlineStr">
        <is>
          <t>Nhom 3 - Optimization</t>
        </is>
      </c>
      <c r="E393" s="48" t="inlineStr">
        <is>
          <t>Filter trước khi join, tận dụng partition pruning</t>
        </is>
      </c>
      <c r="F393" s="48" t="inlineStr">
        <is>
          <t>N-A</t>
        </is>
      </c>
      <c r="G393" s="48" t="inlineStr">
        <is>
          <t>Pass</t>
        </is>
      </c>
      <c r="H393" s="50" t="inlineStr">
        <is>
          <t>khong ap dung cho profile UPLOAD_VIEW</t>
        </is>
      </c>
      <c r="I393" s="50" t="inlineStr">
        <is>
          <t>Đưa điều kiện lọc (ngày dữ liệu, trạng thái) vào subquery của từng bảng TRƯỚC khi join, để tận dụng partition pruning. Bảng dim nhỏ không partition thì không cần — tự tick Pass.</t>
        </is>
      </c>
      <c r="J393" s="48" t="inlineStr">
        <is>
          <t>018. OCB_GOLD_TCKH_V_PLA_QUYMO_CHUNG_UPL_QUANG.xlsx [Script: V_PLA_QUYMO_CHUNG_UPL]</t>
        </is>
      </c>
    </row>
    <row r="394">
      <c r="A394" s="48" t="inlineStr">
        <is>
          <t>TCKH.V_PLA_QUYMO_CHUNG_UPL</t>
        </is>
      </c>
      <c r="B394" s="48" t="inlineStr">
        <is>
          <t>UPLOAD_VIEW</t>
        </is>
      </c>
      <c r="C394" s="48" t="inlineStr">
        <is>
          <t>3.4</t>
        </is>
      </c>
      <c r="D394" s="48" t="inlineStr">
        <is>
          <t>Nhom 3 - Optimization</t>
        </is>
      </c>
      <c r="E394" s="48" t="inlineStr">
        <is>
          <t>Sử dụng CACHE cho query lặp lại trong cùng luồng</t>
        </is>
      </c>
      <c r="F394" s="48" t="inlineStr">
        <is>
          <t>N-A</t>
        </is>
      </c>
      <c r="G394" s="48" t="inlineStr">
        <is>
          <t>Pass</t>
        </is>
      </c>
      <c r="H394" s="50" t="inlineStr">
        <is>
          <t>không có kết quả nào được dùng lại nhiều lần nên chưa cần CACHE</t>
        </is>
      </c>
      <c r="I394" s="50" t="inlineStr">
        <is>
          <t>Nếu một kết quả nặng được dùng lại nhiều bước trong cùng luồng, thêm CACHE TABLE / CACHE SELECT. Kết quả nhỏ thì cache còn chậm hơn — tự tick Pass.</t>
        </is>
      </c>
      <c r="J394" s="48" t="inlineStr">
        <is>
          <t>018. OCB_GOLD_TCKH_V_PLA_QUYMO_CHUNG_UPL_QUANG.xlsx [Script: V_PLA_QUYMO_CHUNG_UPL]</t>
        </is>
      </c>
    </row>
    <row r="395">
      <c r="A395" s="48" t="inlineStr">
        <is>
          <t>TCKH.V_PLA_QUYMO_CHUNG_UPL</t>
        </is>
      </c>
      <c r="B395" s="48" t="inlineStr">
        <is>
          <t>UPLOAD_VIEW</t>
        </is>
      </c>
      <c r="C395" s="48" t="inlineStr">
        <is>
          <t>3.5</t>
        </is>
      </c>
      <c r="D395" s="48" t="inlineStr">
        <is>
          <t>Nhom 3 - Optimization</t>
        </is>
      </c>
      <c r="E395" s="48" t="inlineStr">
        <is>
          <t>Ưu tiên MAX_BY + QUALIFY thay ROW_NUMBER() + WHERE rn = 1</t>
        </is>
      </c>
      <c r="F395" s="48" t="inlineStr">
        <is>
          <t>N-A</t>
        </is>
      </c>
      <c r="G395" s="48" t="inlineStr">
        <is>
          <t>Pass</t>
        </is>
      </c>
      <c r="H395" s="50" t="inlineStr">
        <is>
          <t>script không dùng ROW_NUMBER, và MAX_BY (nếu có) không vượt quá 5 cột/khối</t>
        </is>
      </c>
      <c r="I3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95" s="48" t="inlineStr">
        <is>
          <t>018. OCB_GOLD_TCKH_V_PLA_QUYMO_CHUNG_UPL_QUANG.xlsx [Script: V_PLA_QUYMO_CHUNG_UPL]</t>
        </is>
      </c>
    </row>
    <row r="396">
      <c r="A396" s="48" t="inlineStr">
        <is>
          <t>TCKH.V_PLA_QUYMO_CHUNG_UPL</t>
        </is>
      </c>
      <c r="B396" s="48" t="inlineStr">
        <is>
          <t>UPLOAD_VIEW</t>
        </is>
      </c>
      <c r="C396" s="48" t="inlineStr">
        <is>
          <t>3.6</t>
        </is>
      </c>
      <c r="D396" s="48" t="inlineStr">
        <is>
          <t>Nhom 3 - Optimization</t>
        </is>
      </c>
      <c r="E396" s="48" t="inlineStr">
        <is>
          <t>Không lạm dụng window function; có comment khi dùng</t>
        </is>
      </c>
      <c r="F396" s="48" t="inlineStr">
        <is>
          <t>N-A</t>
        </is>
      </c>
      <c r="G396" s="48" t="inlineStr">
        <is>
          <t>Pass</t>
        </is>
      </c>
      <c r="H396" s="50" t="inlineStr">
        <is>
          <t>script không dùng window function</t>
        </is>
      </c>
      <c r="I396" s="50" t="inlineStr">
        <is>
          <t>Mỗi window function cần một comment ngay trên khối CTE chứa nó, nói rõ vì sao không dùng được max_by/QUALIFY đơn giản hơn.</t>
        </is>
      </c>
      <c r="J396" s="48" t="inlineStr">
        <is>
          <t>018. OCB_GOLD_TCKH_V_PLA_QUYMO_CHUNG_UPL_QUANG.xlsx [Script: V_PLA_QUYMO_CHUNG_UPL]</t>
        </is>
      </c>
    </row>
    <row r="397">
      <c r="A397" s="48" t="inlineStr">
        <is>
          <t>TCKH.V_PLA_QUYMO_CHUNG_UPL</t>
        </is>
      </c>
      <c r="B397" s="48" t="inlineStr">
        <is>
          <t>UPLOAD_VIEW</t>
        </is>
      </c>
      <c r="C397" s="48" t="inlineStr">
        <is>
          <t>X.1</t>
        </is>
      </c>
      <c r="D397" s="48" t="inlineStr">
        <is>
          <t>Nhom X - Bo sung Raffles</t>
        </is>
      </c>
      <c r="E397" s="48" t="inlineStr">
        <is>
          <t>[Bổ sung] Link phải rút về current trước khi join (chống fan-out)</t>
        </is>
      </c>
      <c r="F397" s="48" t="inlineStr">
        <is>
          <t>N-A</t>
        </is>
      </c>
      <c r="G397" s="48" t="inlineStr">
        <is>
          <t>Pass</t>
        </is>
      </c>
      <c r="H397" s="50" t="inlineStr">
        <is>
          <t>khong ap dung cho profile UPLOAD_VIEW</t>
        </is>
      </c>
      <c r="I3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97" s="48" t="inlineStr">
        <is>
          <t>018. OCB_GOLD_TCKH_V_PLA_QUYMO_CHUNG_UPL_QUANG.xlsx [Script: V_PLA_QUYMO_CHUNG_UPL]</t>
        </is>
      </c>
    </row>
    <row r="398">
      <c r="A398" s="48" t="inlineStr">
        <is>
          <t>TCKH.V_PLA_QUYMO_CHUNG_UPL</t>
        </is>
      </c>
      <c r="B398" s="48" t="inlineStr">
        <is>
          <t>UPLOAD_VIEW</t>
        </is>
      </c>
      <c r="C398" s="48" t="inlineStr">
        <is>
          <t>X.6</t>
        </is>
      </c>
      <c r="D398" s="48" t="inlineStr">
        <is>
          <t>Nhom X - Bo sung Raffles</t>
        </is>
      </c>
      <c r="E398" s="48" t="inlineStr">
        <is>
          <t>[Bổ sung] Satellite phải LEFT JOIN, không INNER JOIN</t>
        </is>
      </c>
      <c r="F398" s="48" t="inlineStr">
        <is>
          <t>N-A</t>
        </is>
      </c>
      <c r="G398" s="48" t="inlineStr">
        <is>
          <t>Pass</t>
        </is>
      </c>
      <c r="H398" s="50" t="inlineStr">
        <is>
          <t>khong ap dung cho profile UPLOAD_VIEW</t>
        </is>
      </c>
      <c r="I398" s="50" t="inlineStr">
        <is>
          <t>Technical Document III.4.2.2 nguyên tắc 1: làm giàu thuộc tính luôn dùng LEFT JOIN. INNER JOIN satellite sẽ loại mất bản ghi Hub đang còn hiệu lực nhưng chưa có dòng satellite.</t>
        </is>
      </c>
      <c r="J398" s="48" t="inlineStr">
        <is>
          <t>018. OCB_GOLD_TCKH_V_PLA_QUYMO_CHUNG_UPL_QUANG.xlsx [Script: V_PLA_QUYMO_CHUNG_UPL]</t>
        </is>
      </c>
    </row>
    <row r="399">
      <c r="A399" s="48" t="inlineStr">
        <is>
          <t>TCKH.V_PLA_QUYMO_CHUNG_UPL</t>
        </is>
      </c>
      <c r="B399" s="48" t="inlineStr">
        <is>
          <t>UPLOAD_VIEW</t>
        </is>
      </c>
      <c r="C399" s="48" t="inlineStr">
        <is>
          <t>X.7</t>
        </is>
      </c>
      <c r="D399" s="48" t="inlineStr">
        <is>
          <t>Nhom X - Bo sung Raffles</t>
        </is>
      </c>
      <c r="E399" s="48" t="inlineStr">
        <is>
          <t>[Bổ sung] Không hard-code catalog, dùng biến môi trường</t>
        </is>
      </c>
      <c r="F399" s="48" t="inlineStr">
        <is>
          <t>N-A</t>
        </is>
      </c>
      <c r="G399" s="48" t="inlineStr">
        <is>
          <t>Pass</t>
        </is>
      </c>
      <c r="H399" s="50" t="inlineStr">
        <is>
          <t>khong ap dung cho profile UPLOAD_VIEW</t>
        </is>
      </c>
      <c r="I3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99" s="48" t="inlineStr">
        <is>
          <t>018. OCB_GOLD_TCKH_V_PLA_QUYMO_CHUNG_UPL_QUANG.xlsx [Script: V_PLA_QUYMO_CHUNG_UPL]</t>
        </is>
      </c>
    </row>
    <row r="400">
      <c r="A400" s="48" t="inlineStr">
        <is>
          <t>TCKH.V_PLA_QUYMO_CHUNG_UPL</t>
        </is>
      </c>
      <c r="B400" s="48" t="inlineStr">
        <is>
          <t>UPLOAD_VIEW</t>
        </is>
      </c>
      <c r="C400" s="48" t="inlineStr">
        <is>
          <t>X.10</t>
        </is>
      </c>
      <c r="D400" s="48" t="inlineStr">
        <is>
          <t>Nhom X - Bo sung Raffles</t>
        </is>
      </c>
      <c r="E400" s="48" t="inlineStr">
        <is>
          <t>Bang raw_vault/business_vault duoc doc phai TON TAI THAT trong Data Vault model</t>
        </is>
      </c>
      <c r="F400" s="48" t="inlineStr">
        <is>
          <t>N-A</t>
        </is>
      </c>
      <c r="G400" s="48" t="inlineStr">
        <is>
          <t>Pass</t>
        </is>
      </c>
      <c r="H400" s="50" t="inlineStr">
        <is>
          <t>script không đọc bảng raw_vault/business_vault nào</t>
        </is>
      </c>
      <c r="I400" s="50" t="inlineStr"/>
      <c r="J400" s="48" t="inlineStr">
        <is>
          <t>018. OCB_GOLD_TCKH_V_PLA_QUYMO_CHUNG_UPL_QUANG.xlsx [Script: V_PLA_QUYMO_CHUNG_UPL]</t>
        </is>
      </c>
    </row>
    <row r="401">
      <c r="A401" s="48" t="inlineStr">
        <is>
          <t>TCKH.V_PLA_QUYMO_CHUNG_UPL</t>
        </is>
      </c>
      <c r="B401" s="48" t="inlineStr">
        <is>
          <t>UPLOAD_VIEW</t>
        </is>
      </c>
      <c r="C401" s="48" t="inlineStr">
        <is>
          <t>X.11</t>
        </is>
      </c>
      <c r="D401" s="48" t="inlineStr">
        <is>
          <t>Nhom X - Bo sung Raffles</t>
        </is>
      </c>
      <c r="E401" s="48" t="inlineStr">
        <is>
          <t>Cot doc tu satellite (sat_*) phai TON TAI THAT trong model</t>
        </is>
      </c>
      <c r="F401" s="48" t="inlineStr">
        <is>
          <t>N-A</t>
        </is>
      </c>
      <c r="G401" s="48" t="inlineStr">
        <is>
          <t>Pass</t>
        </is>
      </c>
      <c r="H401" s="50" t="inlineStr">
        <is>
          <t>không có bảng sat_* nào đủ điều kiện đối chiếu (Select chỉ đọc 1 bảng)</t>
        </is>
      </c>
      <c r="I401" s="50" t="inlineStr"/>
      <c r="J401" s="48" t="inlineStr">
        <is>
          <t>018. OCB_GOLD_TCKH_V_PLA_QUYMO_CHUNG_UPL_QUANG.xlsx [Script: V_PLA_QUYMO_CHUNG_UPL]</t>
        </is>
      </c>
    </row>
    <row r="402">
      <c r="A402" s="48" t="inlineStr">
        <is>
          <t>TCKH.V_PLA_QUYMO_NOXAU_UPL</t>
        </is>
      </c>
      <c r="B402" s="48" t="inlineStr">
        <is>
          <t>UPLOAD_VIEW</t>
        </is>
      </c>
      <c r="C402" s="48" t="inlineStr">
        <is>
          <t>1.1</t>
        </is>
      </c>
      <c r="D402" s="48" t="inlineStr">
        <is>
          <t>Nhom 1 - Mapping</t>
        </is>
      </c>
      <c r="E402" s="48" t="inlineStr">
        <is>
          <t>Đầy đủ mapping từ Silver/manual sang Gold</t>
        </is>
      </c>
      <c r="F402" s="49" t="inlineStr">
        <is>
          <t>PASS</t>
        </is>
      </c>
      <c r="G402" s="48" t="inlineStr">
        <is>
          <t>Pass</t>
        </is>
      </c>
      <c r="H402" s="50" t="inlineStr">
        <is>
          <t>workbook 019. OCB_GOLD_TCKH_V_PLA_QUYMO_NOXAU_UPL_QUANG.xlsx: thiết kế 11 field, SQL có 11 cột</t>
        </is>
      </c>
      <c r="I4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02" s="48" t="inlineStr">
        <is>
          <t>019. OCB_GOLD_TCKH_V_PLA_QUYMO_NOXAU_UPL_QUANG.xlsx [Script SQL: V_PLA_QUYMO_NOXAU_UPL]</t>
        </is>
      </c>
    </row>
    <row r="403">
      <c r="A403" s="48" t="inlineStr">
        <is>
          <t>TCKH.V_PLA_QUYMO_NOXAU_UPL</t>
        </is>
      </c>
      <c r="B403" s="48" t="inlineStr">
        <is>
          <t>UPLOAD_VIEW</t>
        </is>
      </c>
      <c r="C403" s="48" t="inlineStr">
        <is>
          <t>1.2</t>
        </is>
      </c>
      <c r="D403" s="48" t="inlineStr">
        <is>
          <t>Nhom 1 - Mapping</t>
        </is>
      </c>
      <c r="E403" s="48" t="inlineStr">
        <is>
          <t>Danh sách bảng/view Gold khớp tài liệu thiết kế đã duyệt</t>
        </is>
      </c>
      <c r="F403" s="49" t="inlineStr">
        <is>
          <t>PASS</t>
        </is>
      </c>
      <c r="G403" s="48" t="inlineStr">
        <is>
          <t>Pass</t>
        </is>
      </c>
      <c r="H403" s="50" t="inlineStr">
        <is>
          <t>V_PLA_QUYMO_NOXAU_UPL có workbook thiết kế: 019. OCB_GOLD_TCKH_V_PLA_QUYMO_NOXAU_UPL_QUANG.xlsx</t>
        </is>
      </c>
      <c r="I403" s="50" t="inlineStr">
        <is>
          <t>Đảm bảo object có workbook thiết kế tương ứng trong thư mục --mapping-dir. Muốn đối chiếu với danh sách đã duyệt thì chạy thêm tham số --gold-list "&lt;file danh sách Gold&gt;.xlsx".</t>
        </is>
      </c>
      <c r="J403" s="48" t="inlineStr">
        <is>
          <t>019. OCB_GOLD_TCKH_V_PLA_QUYMO_NOXAU_UPL_QUANG.xlsx [Script SQL: V_PLA_QUYMO_NOXAU_UPL]</t>
        </is>
      </c>
    </row>
    <row r="404">
      <c r="A404" s="48" t="inlineStr">
        <is>
          <t>TCKH.V_PLA_QUYMO_NOXAU_UPL</t>
        </is>
      </c>
      <c r="B404" s="48" t="inlineStr">
        <is>
          <t>UPLOAD_VIEW</t>
        </is>
      </c>
      <c r="C404" s="48" t="inlineStr">
        <is>
          <t>2.1</t>
        </is>
      </c>
      <c r="D404" s="48" t="inlineStr">
        <is>
          <t>Nhom 2 - Logic</t>
        </is>
      </c>
      <c r="E404" s="48" t="inlineStr">
        <is>
          <t>Chỉ lấy bản ghi active, loại bản ghi đã xóa (qua sts_hub)</t>
        </is>
      </c>
      <c r="F404" s="48" t="inlineStr">
        <is>
          <t>N-A</t>
        </is>
      </c>
      <c r="G404" s="48" t="inlineStr">
        <is>
          <t>Pass</t>
        </is>
      </c>
      <c r="H404" s="50" t="inlineStr">
        <is>
          <t>khong ap dung cho profile UPLOAD_VIEW</t>
        </is>
      </c>
      <c r="I4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04" s="48" t="inlineStr">
        <is>
          <t>019. OCB_GOLD_TCKH_V_PLA_QUYMO_NOXAU_UPL_QUANG.xlsx [Script SQL: V_PLA_QUYMO_NOXAU_UPL]</t>
        </is>
      </c>
    </row>
    <row r="405">
      <c r="A405" s="48" t="inlineStr">
        <is>
          <t>TCKH.V_PLA_QUYMO_NOXAU_UPL</t>
        </is>
      </c>
      <c r="B405" s="48" t="inlineStr">
        <is>
          <t>UPLOAD_VIEW</t>
        </is>
      </c>
      <c r="C405" s="48" t="inlineStr">
        <is>
          <t>2.2</t>
        </is>
      </c>
      <c r="D405" s="48" t="inlineStr">
        <is>
          <t>Nhom 2 - Logic</t>
        </is>
      </c>
      <c r="E405" s="48" t="inlineStr">
        <is>
          <t>Thống nhất MỘT pattern duy nhất xác định bản ghi active mới nhất</t>
        </is>
      </c>
      <c r="F405" s="48" t="inlineStr">
        <is>
          <t>N-A</t>
        </is>
      </c>
      <c r="G405" s="48" t="inlineStr">
        <is>
          <t>Pass</t>
        </is>
      </c>
      <c r="H405" s="50" t="inlineStr">
        <is>
          <t>khong ap dung cho profile UPLOAD_VIEW</t>
        </is>
      </c>
      <c r="I4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05" s="48" t="inlineStr">
        <is>
          <t>019. OCB_GOLD_TCKH_V_PLA_QUYMO_NOXAU_UPL_QUANG.xlsx [Script SQL: V_PLA_QUYMO_NOXAU_UPL]</t>
        </is>
      </c>
    </row>
    <row r="406">
      <c r="A406" s="48" t="inlineStr">
        <is>
          <t>TCKH.V_PLA_QUYMO_NOXAU_UPL</t>
        </is>
      </c>
      <c r="B406" s="48" t="inlineStr">
        <is>
          <t>UPLOAD_VIEW</t>
        </is>
      </c>
      <c r="C406" s="48" t="inlineStr">
        <is>
          <t>2.3</t>
        </is>
      </c>
      <c r="D406" s="48" t="inlineStr">
        <is>
          <t>Nhom 2 - Logic</t>
        </is>
      </c>
      <c r="E406" s="48" t="inlineStr">
        <is>
          <t>Điều kiện lọc trạng thái đặt SAU khi xác định bản ghi mới nhất</t>
        </is>
      </c>
      <c r="F406" s="48" t="inlineStr">
        <is>
          <t>N-A</t>
        </is>
      </c>
      <c r="G406" s="48" t="inlineStr">
        <is>
          <t>Pass</t>
        </is>
      </c>
      <c r="H406" s="50" t="inlineStr">
        <is>
          <t>khong ap dung cho profile UPLOAD_VIEW</t>
        </is>
      </c>
      <c r="I4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06" s="48" t="inlineStr">
        <is>
          <t>019. OCB_GOLD_TCKH_V_PLA_QUYMO_NOXAU_UPL_QUANG.xlsx [Script SQL: V_PLA_QUYMO_NOXAU_UPL]</t>
        </is>
      </c>
    </row>
    <row r="407">
      <c r="A407" s="48" t="inlineStr">
        <is>
          <t>TCKH.V_PLA_QUYMO_NOXAU_UPL</t>
        </is>
      </c>
      <c r="B407" s="48" t="inlineStr">
        <is>
          <t>UPLOAD_VIEW</t>
        </is>
      </c>
      <c r="C407" s="48" t="inlineStr">
        <is>
          <t>2.4</t>
        </is>
      </c>
      <c r="D407" s="48" t="inlineStr">
        <is>
          <t>Nhom 2 - Logic</t>
        </is>
      </c>
      <c r="E407" s="48" t="inlineStr">
        <is>
          <t>source_event_date áp dụng đúng dạng theo loại bảng</t>
        </is>
      </c>
      <c r="F407" s="48" t="inlineStr">
        <is>
          <t>N-A</t>
        </is>
      </c>
      <c r="G407" s="48" t="inlineStr">
        <is>
          <t>Pass</t>
        </is>
      </c>
      <c r="H407" s="50" t="inlineStr">
        <is>
          <t>khong ap dung cho profile UPLOAD_VIEW</t>
        </is>
      </c>
      <c r="I4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07" s="48" t="inlineStr">
        <is>
          <t>019. OCB_GOLD_TCKH_V_PLA_QUYMO_NOXAU_UPL_QUANG.xlsx [Script SQL: V_PLA_QUYMO_NOXAU_UPL]</t>
        </is>
      </c>
    </row>
    <row r="408">
      <c r="A408" s="48" t="inlineStr">
        <is>
          <t>TCKH.V_PLA_QUYMO_NOXAU_UPL</t>
        </is>
      </c>
      <c r="B408" s="48" t="inlineStr">
        <is>
          <t>UPLOAD_VIEW</t>
        </is>
      </c>
      <c r="C408" s="48" t="inlineStr">
        <is>
          <t>2.5</t>
        </is>
      </c>
      <c r="D408" s="48" t="inlineStr">
        <is>
          <t>Nhom 2 - Logic</t>
        </is>
      </c>
      <c r="E408" s="48" t="inlineStr">
        <is>
          <t>Không lặp lại lỗi logic cũ đã được DA Data Vault fix</t>
        </is>
      </c>
      <c r="F408" s="49" t="inlineStr">
        <is>
          <t>PASS</t>
        </is>
      </c>
      <c r="G408" s="48" t="inlineStr">
        <is>
          <t>Pass</t>
        </is>
      </c>
      <c r="H408" s="50" t="inlineStr">
        <is>
          <t>không trùng lỗi nào trong Issue log của DA Data Vault</t>
        </is>
      </c>
      <c r="I4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08" s="48" t="inlineStr">
        <is>
          <t>019. OCB_GOLD_TCKH_V_PLA_QUYMO_NOXAU_UPL_QUANG.xlsx [Script SQL: V_PLA_QUYMO_NOXAU_UPL]</t>
        </is>
      </c>
    </row>
    <row r="409">
      <c r="A409" s="48" t="inlineStr">
        <is>
          <t>TCKH.V_PLA_QUYMO_NOXAU_UPL</t>
        </is>
      </c>
      <c r="B409" s="48" t="inlineStr">
        <is>
          <t>UPLOAD_VIEW</t>
        </is>
      </c>
      <c r="C409" s="48" t="inlineStr">
        <is>
          <t>2.6</t>
        </is>
      </c>
      <c r="D409" s="48" t="inlineStr">
        <is>
          <t>Nhom 2 - Logic</t>
        </is>
      </c>
      <c r="E409" s="48" t="inlineStr">
        <is>
          <t>SCD Type 2 cho bảng DIM áp dụng đúng kỹ thuật đã thống nhất</t>
        </is>
      </c>
      <c r="F409" s="48" t="inlineStr">
        <is>
          <t>N-A</t>
        </is>
      </c>
      <c r="G409" s="48" t="inlineStr">
        <is>
          <t>Pass</t>
        </is>
      </c>
      <c r="H409" s="50" t="inlineStr">
        <is>
          <t>object không phải bảng DIM nên không áp dụng SCD Type 2</t>
        </is>
      </c>
      <c r="I4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09" s="48" t="inlineStr">
        <is>
          <t>019. OCB_GOLD_TCKH_V_PLA_QUYMO_NOXAU_UPL_QUANG.xlsx [Script SQL: V_PLA_QUYMO_NOXAU_UPL]</t>
        </is>
      </c>
    </row>
    <row r="410">
      <c r="A410" s="48" t="inlineStr">
        <is>
          <t>TCKH.V_PLA_QUYMO_NOXAU_UPL</t>
        </is>
      </c>
      <c r="B410" s="48" t="inlineStr">
        <is>
          <t>UPLOAD_VIEW</t>
        </is>
      </c>
      <c r="C410" s="48" t="inlineStr">
        <is>
          <t>2.7</t>
        </is>
      </c>
      <c r="D410" s="48" t="inlineStr">
        <is>
          <t>Nhom 2 - Logic</t>
        </is>
      </c>
      <c r="E410" s="48" t="inlineStr">
        <is>
          <t>CASE WHEN cover đủ nhánh như job on-prem</t>
        </is>
      </c>
      <c r="F410" s="48" t="inlineStr">
        <is>
          <t>N-A</t>
        </is>
      </c>
      <c r="G410" s="48" t="inlineStr">
        <is>
          <t>Pass</t>
        </is>
      </c>
      <c r="H410" s="50" t="inlineStr">
        <is>
          <t>script không có CASE WHEN nào</t>
        </is>
      </c>
      <c r="I410" s="50" t="inlineStr">
        <is>
          <t>Mở job on-prem tương ứng (DataStage DSX hoặc SQL cũ), đối chiếu từng nhánh WHEN và cả nhánh ELSE. CASE không có ELSE sẽ trả NULL âm thầm — xác nhận đó là ý muốn hay thiếu nhánh.</t>
        </is>
      </c>
      <c r="J410" s="48" t="inlineStr">
        <is>
          <t>019. OCB_GOLD_TCKH_V_PLA_QUYMO_NOXAU_UPL_QUANG.xlsx [Script SQL: V_PLA_QUYMO_NOXAU_UPL]</t>
        </is>
      </c>
    </row>
    <row r="411">
      <c r="A411" s="48" t="inlineStr">
        <is>
          <t>TCKH.V_PLA_QUYMO_NOXAU_UPL</t>
        </is>
      </c>
      <c r="B411" s="48" t="inlineStr">
        <is>
          <t>UPLOAD_VIEW</t>
        </is>
      </c>
      <c r="C411" s="48" t="inlineStr">
        <is>
          <t>2.8</t>
        </is>
      </c>
      <c r="D411" s="48" t="inlineStr">
        <is>
          <t>Nhom 2 - Logic</t>
        </is>
      </c>
      <c r="E411" s="48" t="inlineStr">
        <is>
          <t>Cột SUM/COUNT được COALESCE/NVL hợp lý</t>
        </is>
      </c>
      <c r="F411" s="49" t="inlineStr">
        <is>
          <t>PASS</t>
        </is>
      </c>
      <c r="G411" s="48" t="inlineStr">
        <is>
          <t>Pass</t>
        </is>
      </c>
      <c r="H411" s="50" t="inlineStr">
        <is>
          <t>mọi SUM/COUNT đều đã coalesce (trực tiếp hoặc ở lớp ngoài)</t>
        </is>
      </c>
      <c r="I4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11" s="48" t="inlineStr">
        <is>
          <t>019. OCB_GOLD_TCKH_V_PLA_QUYMO_NOXAU_UPL_QUANG.xlsx [Script SQL: V_PLA_QUYMO_NOXAU_UPL]</t>
        </is>
      </c>
    </row>
    <row r="412">
      <c r="A412" s="48" t="inlineStr">
        <is>
          <t>TCKH.V_PLA_QUYMO_NOXAU_UPL</t>
        </is>
      </c>
      <c r="B412" s="48" t="inlineStr">
        <is>
          <t>UPLOAD_VIEW</t>
        </is>
      </c>
      <c r="C412" s="48" t="inlineStr">
        <is>
          <t>2.9</t>
        </is>
      </c>
      <c r="D412" s="48" t="inlineStr">
        <is>
          <t>Nhom 2 - Logic</t>
        </is>
      </c>
      <c r="E412" s="48" t="inlineStr">
        <is>
          <t>Subquery / custom function / điều kiện LIKE đúng ý nghĩa nghiệp vụ</t>
        </is>
      </c>
      <c r="F412" s="48" t="inlineStr">
        <is>
          <t>N-A</t>
        </is>
      </c>
      <c r="G412" s="48" t="inlineStr">
        <is>
          <t>Pass</t>
        </is>
      </c>
      <c r="H412" s="50" t="inlineStr">
        <is>
          <t>script không có điều kiện LIKE hay scalar subquery nào</t>
        </is>
      </c>
      <c r="I412" s="50" t="inlineStr">
        <is>
          <t>Đọc lại từng điều kiện LIKE và từng subquery, đối chiếu ý nghĩa nghiệp vụ với on-prem — đúng cú pháp không đủ. Chú ý pattern LIKE có ký tự % ở đầu/cuối và phân biệt chữ hoa/thường.</t>
        </is>
      </c>
      <c r="J412" s="48" t="inlineStr">
        <is>
          <t>019. OCB_GOLD_TCKH_V_PLA_QUYMO_NOXAU_UPL_QUANG.xlsx [Script SQL: V_PLA_QUYMO_NOXAU_UPL]</t>
        </is>
      </c>
    </row>
    <row r="413">
      <c r="A413" s="48" t="inlineStr">
        <is>
          <t>TCKH.V_PLA_QUYMO_NOXAU_UPL</t>
        </is>
      </c>
      <c r="B413" s="48" t="inlineStr">
        <is>
          <t>UPLOAD_VIEW</t>
        </is>
      </c>
      <c r="C413" s="48" t="inlineStr">
        <is>
          <t>2.10</t>
        </is>
      </c>
      <c r="D413" s="48" t="inlineStr">
        <is>
          <t>Nhom 2 - Logic</t>
        </is>
      </c>
      <c r="E413" s="48" t="inlineStr">
        <is>
          <t>Aggregation kèm filter date range chính xác</t>
        </is>
      </c>
      <c r="F413" s="49" t="inlineStr">
        <is>
          <t>PASS</t>
        </is>
      </c>
      <c r="G413" s="48" t="inlineStr">
        <is>
          <t>Pass</t>
        </is>
      </c>
      <c r="H413" s="50" t="inlineStr">
        <is>
          <t>mọi khối tổng hợp đều có điều kiện theo kỳ dữ liệu</t>
        </is>
      </c>
      <c r="I413" s="50" t="inlineStr">
        <is>
          <t>Mỗi khối SUM/COUNT/AVG phải có điều kiện lọc theo kỳ dữ liệu (CDR_DT_ID, DATA_DATE, :DATADT…). Nếu điều kiện nằm ở CTE nguồn thì ghi rõ trong comment để người review không phải truy ngược.</t>
        </is>
      </c>
      <c r="J413" s="48" t="inlineStr">
        <is>
          <t>019. OCB_GOLD_TCKH_V_PLA_QUYMO_NOXAU_UPL_QUANG.xlsx [Script SQL: V_PLA_QUYMO_NOXAU_UPL]</t>
        </is>
      </c>
    </row>
    <row r="414">
      <c r="A414" s="48" t="inlineStr">
        <is>
          <t>TCKH.V_PLA_QUYMO_NOXAU_UPL</t>
        </is>
      </c>
      <c r="B414" s="48" t="inlineStr">
        <is>
          <t>UPLOAD_VIEW</t>
        </is>
      </c>
      <c r="C414" s="48" t="inlineStr">
        <is>
          <t>2.11</t>
        </is>
      </c>
      <c r="D414" s="48" t="inlineStr">
        <is>
          <t>Nhom 2 - Logic</t>
        </is>
      </c>
      <c r="E414" s="48" t="inlineStr">
        <is>
          <t>Join dùng key hợp lý, không lạm dụng UNION ALL + EXISTS/NOT EXISTS</t>
        </is>
      </c>
      <c r="F414" s="49" t="inlineStr">
        <is>
          <t>PASS</t>
        </is>
      </c>
      <c r="G414" s="48" t="inlineStr">
        <is>
          <t>Pass</t>
        </is>
      </c>
      <c r="H414" s="50" t="inlineStr">
        <is>
          <t>join đều theo điều kiện bằng, không lạm dụng UNION ALL + EXISTS</t>
        </is>
      </c>
      <c r="I414" s="50" t="inlineStr">
        <is>
          <t>Ưu tiên LEFT JOIN theo business key hoặc hashkey. Xem lại các chỗ dùng UNION ALL kết hợp EXISTS/NOT EXISTS — thường thay được bằng một LEFT JOIN. Join không có điều kiện bằng (=) dễ tạo tích Descartes.</t>
        </is>
      </c>
      <c r="J414" s="48" t="inlineStr">
        <is>
          <t>019. OCB_GOLD_TCKH_V_PLA_QUYMO_NOXAU_UPL_QUANG.xlsx [Script SQL: V_PLA_QUYMO_NOXAU_UPL]</t>
        </is>
      </c>
    </row>
    <row r="415">
      <c r="A415" s="48" t="inlineStr">
        <is>
          <t>TCKH.V_PLA_QUYMO_NOXAU_UPL</t>
        </is>
      </c>
      <c r="B415" s="48" t="inlineStr">
        <is>
          <t>UPLOAD_VIEW</t>
        </is>
      </c>
      <c r="C415" s="48" t="inlineStr">
        <is>
          <t>2.12</t>
        </is>
      </c>
      <c r="D415" s="48" t="inlineStr">
        <is>
          <t>Nhom 2 - Logic</t>
        </is>
      </c>
      <c r="E415" s="48" t="inlineStr">
        <is>
          <t>Build Gold từ CTE snapshot Silver, không build nhiều tầng chồng chéo</t>
        </is>
      </c>
      <c r="F415" s="48" t="inlineStr">
        <is>
          <t>N-A</t>
        </is>
      </c>
      <c r="G415" s="48" t="inlineStr">
        <is>
          <t>Pass</t>
        </is>
      </c>
      <c r="H415" s="50" t="inlineStr">
        <is>
          <t>khong ap dung cho profile UPLOAD_VIEW</t>
        </is>
      </c>
      <c r="I4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15" s="48" t="inlineStr">
        <is>
          <t>019. OCB_GOLD_TCKH_V_PLA_QUYMO_NOXAU_UPL_QUANG.xlsx [Script SQL: V_PLA_QUYMO_NOXAU_UPL]</t>
        </is>
      </c>
    </row>
    <row r="416">
      <c r="A416" s="48" t="inlineStr">
        <is>
          <t>TCKH.V_PLA_QUYMO_NOXAU_UPL</t>
        </is>
      </c>
      <c r="B416" s="48" t="inlineStr">
        <is>
          <t>UPLOAD_VIEW</t>
        </is>
      </c>
      <c r="C416" s="48" t="inlineStr">
        <is>
          <t>3.1</t>
        </is>
      </c>
      <c r="D416" s="48" t="inlineStr">
        <is>
          <t>Nhom 3 - Optimization</t>
        </is>
      </c>
      <c r="E416" s="48" t="inlineStr">
        <is>
          <t>Không SELECT *</t>
        </is>
      </c>
      <c r="F416" s="49" t="inlineStr">
        <is>
          <t>PASS</t>
        </is>
      </c>
      <c r="G416" s="48" t="inlineStr">
        <is>
          <t>Pass</t>
        </is>
      </c>
      <c r="H416" s="50" t="inlineStr">
        <is>
          <t>không dùng SELECT * ở đâu</t>
        </is>
      </c>
      <c r="I416" s="50" t="inlineStr">
        <is>
          <t>Liệt kê tường minh các cột cần dùng, kể cả trong CTE trung gian. SELECT * làm tăng IO/memory và vỡ script khi bảng nguồn thêm cột.</t>
        </is>
      </c>
      <c r="J416" s="48" t="inlineStr">
        <is>
          <t>019. OCB_GOLD_TCKH_V_PLA_QUYMO_NOXAU_UPL_QUANG.xlsx [Script SQL: V_PLA_QUYMO_NOXAU_UPL]</t>
        </is>
      </c>
    </row>
    <row r="417">
      <c r="A417" s="48" t="inlineStr">
        <is>
          <t>TCKH.V_PLA_QUYMO_NOXAU_UPL</t>
        </is>
      </c>
      <c r="B417" s="48" t="inlineStr">
        <is>
          <t>UPLOAD_VIEW</t>
        </is>
      </c>
      <c r="C417" s="48" t="inlineStr">
        <is>
          <t>3.2</t>
        </is>
      </c>
      <c r="D417" s="48" t="inlineStr">
        <is>
          <t>Nhom 3 - Optimization</t>
        </is>
      </c>
      <c r="E417" s="48" t="inlineStr">
        <is>
          <t>CTE không bị scan lại nhiều lần</t>
        </is>
      </c>
      <c r="F417" s="49" t="inlineStr">
        <is>
          <t>PASS</t>
        </is>
      </c>
      <c r="G417" s="48" t="inlineStr">
        <is>
          <t>Pass</t>
        </is>
      </c>
      <c r="H417" s="50" t="inlineStr">
        <is>
          <t>không có CTE nào bị gọi lại</t>
        </is>
      </c>
      <c r="I417" s="50" t="inlineStr">
        <is>
          <t>Với CTE nặng (đọc nhiều bảng Silver) bị tham chiếu từ 2 chỗ trở lên: gom lại còn một lần dùng, hoặc vật chất hóa (CACHE / bảng tạm). CTE nhẹ chỉ chứa tham số thì bỏ qua được — tự tick Pass.</t>
        </is>
      </c>
      <c r="J417" s="48" t="inlineStr">
        <is>
          <t>019. OCB_GOLD_TCKH_V_PLA_QUYMO_NOXAU_UPL_QUANG.xlsx [Script SQL: V_PLA_QUYMO_NOXAU_UPL]</t>
        </is>
      </c>
    </row>
    <row r="418">
      <c r="A418" s="48" t="inlineStr">
        <is>
          <t>TCKH.V_PLA_QUYMO_NOXAU_UPL</t>
        </is>
      </c>
      <c r="B418" s="48" t="inlineStr">
        <is>
          <t>UPLOAD_VIEW</t>
        </is>
      </c>
      <c r="C418" s="48" t="inlineStr">
        <is>
          <t>3.3</t>
        </is>
      </c>
      <c r="D418" s="48" t="inlineStr">
        <is>
          <t>Nhom 3 - Optimization</t>
        </is>
      </c>
      <c r="E418" s="48" t="inlineStr">
        <is>
          <t>Filter trước khi join, tận dụng partition pruning</t>
        </is>
      </c>
      <c r="F418" s="48" t="inlineStr">
        <is>
          <t>N-A</t>
        </is>
      </c>
      <c r="G418" s="48" t="inlineStr">
        <is>
          <t>Pass</t>
        </is>
      </c>
      <c r="H418" s="50" t="inlineStr">
        <is>
          <t>khong ap dung cho profile UPLOAD_VIEW</t>
        </is>
      </c>
      <c r="I418" s="50" t="inlineStr">
        <is>
          <t>Đưa điều kiện lọc (ngày dữ liệu, trạng thái) vào subquery của từng bảng TRƯỚC khi join, để tận dụng partition pruning. Bảng dim nhỏ không partition thì không cần — tự tick Pass.</t>
        </is>
      </c>
      <c r="J418" s="48" t="inlineStr">
        <is>
          <t>019. OCB_GOLD_TCKH_V_PLA_QUYMO_NOXAU_UPL_QUANG.xlsx [Script SQL: V_PLA_QUYMO_NOXAU_UPL]</t>
        </is>
      </c>
    </row>
    <row r="419">
      <c r="A419" s="48" t="inlineStr">
        <is>
          <t>TCKH.V_PLA_QUYMO_NOXAU_UPL</t>
        </is>
      </c>
      <c r="B419" s="48" t="inlineStr">
        <is>
          <t>UPLOAD_VIEW</t>
        </is>
      </c>
      <c r="C419" s="48" t="inlineStr">
        <is>
          <t>3.4</t>
        </is>
      </c>
      <c r="D419" s="48" t="inlineStr">
        <is>
          <t>Nhom 3 - Optimization</t>
        </is>
      </c>
      <c r="E419" s="48" t="inlineStr">
        <is>
          <t>Sử dụng CACHE cho query lặp lại trong cùng luồng</t>
        </is>
      </c>
      <c r="F419" s="48" t="inlineStr">
        <is>
          <t>N-A</t>
        </is>
      </c>
      <c r="G419" s="48" t="inlineStr">
        <is>
          <t>Pass</t>
        </is>
      </c>
      <c r="H419" s="50" t="inlineStr">
        <is>
          <t>không có kết quả nào được dùng lại nhiều lần nên chưa cần CACHE</t>
        </is>
      </c>
      <c r="I419" s="50" t="inlineStr">
        <is>
          <t>Nếu một kết quả nặng được dùng lại nhiều bước trong cùng luồng, thêm CACHE TABLE / CACHE SELECT. Kết quả nhỏ thì cache còn chậm hơn — tự tick Pass.</t>
        </is>
      </c>
      <c r="J419" s="48" t="inlineStr">
        <is>
          <t>019. OCB_GOLD_TCKH_V_PLA_QUYMO_NOXAU_UPL_QUANG.xlsx [Script SQL: V_PLA_QUYMO_NOXAU_UPL]</t>
        </is>
      </c>
    </row>
    <row r="420">
      <c r="A420" s="48" t="inlineStr">
        <is>
          <t>TCKH.V_PLA_QUYMO_NOXAU_UPL</t>
        </is>
      </c>
      <c r="B420" s="48" t="inlineStr">
        <is>
          <t>UPLOAD_VIEW</t>
        </is>
      </c>
      <c r="C420" s="48" t="inlineStr">
        <is>
          <t>3.5</t>
        </is>
      </c>
      <c r="D420" s="48" t="inlineStr">
        <is>
          <t>Nhom 3 - Optimization</t>
        </is>
      </c>
      <c r="E420" s="48" t="inlineStr">
        <is>
          <t>Ưu tiên MAX_BY + QUALIFY thay ROW_NUMBER() + WHERE rn = 1</t>
        </is>
      </c>
      <c r="F420" s="48" t="inlineStr">
        <is>
          <t>N-A</t>
        </is>
      </c>
      <c r="G420" s="48" t="inlineStr">
        <is>
          <t>Pass</t>
        </is>
      </c>
      <c r="H420" s="50" t="inlineStr">
        <is>
          <t>script không dùng ROW_NUMBER, và MAX_BY (nếu có) không vượt quá 5 cột/khối</t>
        </is>
      </c>
      <c r="I4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20" s="48" t="inlineStr">
        <is>
          <t>019. OCB_GOLD_TCKH_V_PLA_QUYMO_NOXAU_UPL_QUANG.xlsx [Script SQL: V_PLA_QUYMO_NOXAU_UPL]</t>
        </is>
      </c>
    </row>
    <row r="421">
      <c r="A421" s="48" t="inlineStr">
        <is>
          <t>TCKH.V_PLA_QUYMO_NOXAU_UPL</t>
        </is>
      </c>
      <c r="B421" s="48" t="inlineStr">
        <is>
          <t>UPLOAD_VIEW</t>
        </is>
      </c>
      <c r="C421" s="48" t="inlineStr">
        <is>
          <t>3.6</t>
        </is>
      </c>
      <c r="D421" s="48" t="inlineStr">
        <is>
          <t>Nhom 3 - Optimization</t>
        </is>
      </c>
      <c r="E421" s="48" t="inlineStr">
        <is>
          <t>Không lạm dụng window function; có comment khi dùng</t>
        </is>
      </c>
      <c r="F421" s="48" t="inlineStr">
        <is>
          <t>N-A</t>
        </is>
      </c>
      <c r="G421" s="48" t="inlineStr">
        <is>
          <t>Pass</t>
        </is>
      </c>
      <c r="H421" s="50" t="inlineStr">
        <is>
          <t>script không dùng window function</t>
        </is>
      </c>
      <c r="I421" s="50" t="inlineStr">
        <is>
          <t>Mỗi window function cần một comment ngay trên khối CTE chứa nó, nói rõ vì sao không dùng được max_by/QUALIFY đơn giản hơn.</t>
        </is>
      </c>
      <c r="J421" s="48" t="inlineStr">
        <is>
          <t>019. OCB_GOLD_TCKH_V_PLA_QUYMO_NOXAU_UPL_QUANG.xlsx [Script SQL: V_PLA_QUYMO_NOXAU_UPL]</t>
        </is>
      </c>
    </row>
    <row r="422">
      <c r="A422" s="48" t="inlineStr">
        <is>
          <t>TCKH.V_PLA_QUYMO_NOXAU_UPL</t>
        </is>
      </c>
      <c r="B422" s="48" t="inlineStr">
        <is>
          <t>UPLOAD_VIEW</t>
        </is>
      </c>
      <c r="C422" s="48" t="inlineStr">
        <is>
          <t>X.1</t>
        </is>
      </c>
      <c r="D422" s="48" t="inlineStr">
        <is>
          <t>Nhom X - Bo sung Raffles</t>
        </is>
      </c>
      <c r="E422" s="48" t="inlineStr">
        <is>
          <t>[Bổ sung] Link phải rút về current trước khi join (chống fan-out)</t>
        </is>
      </c>
      <c r="F422" s="48" t="inlineStr">
        <is>
          <t>N-A</t>
        </is>
      </c>
      <c r="G422" s="48" t="inlineStr">
        <is>
          <t>Pass</t>
        </is>
      </c>
      <c r="H422" s="50" t="inlineStr">
        <is>
          <t>khong ap dung cho profile UPLOAD_VIEW</t>
        </is>
      </c>
      <c r="I4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22" s="48" t="inlineStr">
        <is>
          <t>019. OCB_GOLD_TCKH_V_PLA_QUYMO_NOXAU_UPL_QUANG.xlsx [Script SQL: V_PLA_QUYMO_NOXAU_UPL]</t>
        </is>
      </c>
    </row>
    <row r="423">
      <c r="A423" s="48" t="inlineStr">
        <is>
          <t>TCKH.V_PLA_QUYMO_NOXAU_UPL</t>
        </is>
      </c>
      <c r="B423" s="48" t="inlineStr">
        <is>
          <t>UPLOAD_VIEW</t>
        </is>
      </c>
      <c r="C423" s="48" t="inlineStr">
        <is>
          <t>X.6</t>
        </is>
      </c>
      <c r="D423" s="48" t="inlineStr">
        <is>
          <t>Nhom X - Bo sung Raffles</t>
        </is>
      </c>
      <c r="E423" s="48" t="inlineStr">
        <is>
          <t>[Bổ sung] Satellite phải LEFT JOIN, không INNER JOIN</t>
        </is>
      </c>
      <c r="F423" s="48" t="inlineStr">
        <is>
          <t>N-A</t>
        </is>
      </c>
      <c r="G423" s="48" t="inlineStr">
        <is>
          <t>Pass</t>
        </is>
      </c>
      <c r="H423" s="50" t="inlineStr">
        <is>
          <t>khong ap dung cho profile UPLOAD_VIEW</t>
        </is>
      </c>
      <c r="I423" s="50" t="inlineStr">
        <is>
          <t>Technical Document III.4.2.2 nguyên tắc 1: làm giàu thuộc tính luôn dùng LEFT JOIN. INNER JOIN satellite sẽ loại mất bản ghi Hub đang còn hiệu lực nhưng chưa có dòng satellite.</t>
        </is>
      </c>
      <c r="J423" s="48" t="inlineStr">
        <is>
          <t>019. OCB_GOLD_TCKH_V_PLA_QUYMO_NOXAU_UPL_QUANG.xlsx [Script SQL: V_PLA_QUYMO_NOXAU_UPL]</t>
        </is>
      </c>
    </row>
    <row r="424">
      <c r="A424" s="48" t="inlineStr">
        <is>
          <t>TCKH.V_PLA_QUYMO_NOXAU_UPL</t>
        </is>
      </c>
      <c r="B424" s="48" t="inlineStr">
        <is>
          <t>UPLOAD_VIEW</t>
        </is>
      </c>
      <c r="C424" s="48" t="inlineStr">
        <is>
          <t>X.7</t>
        </is>
      </c>
      <c r="D424" s="48" t="inlineStr">
        <is>
          <t>Nhom X - Bo sung Raffles</t>
        </is>
      </c>
      <c r="E424" s="48" t="inlineStr">
        <is>
          <t>[Bổ sung] Không hard-code catalog, dùng biến môi trường</t>
        </is>
      </c>
      <c r="F424" s="48" t="inlineStr">
        <is>
          <t>N-A</t>
        </is>
      </c>
      <c r="G424" s="48" t="inlineStr">
        <is>
          <t>Pass</t>
        </is>
      </c>
      <c r="H424" s="50" t="inlineStr">
        <is>
          <t>khong ap dung cho profile UPLOAD_VIEW</t>
        </is>
      </c>
      <c r="I4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24" s="48" t="inlineStr">
        <is>
          <t>019. OCB_GOLD_TCKH_V_PLA_QUYMO_NOXAU_UPL_QUANG.xlsx [Script SQL: V_PLA_QUYMO_NOXAU_UPL]</t>
        </is>
      </c>
    </row>
    <row r="425">
      <c r="A425" s="48" t="inlineStr">
        <is>
          <t>TCKH.V_PLA_QUYMO_NOXAU_UPL</t>
        </is>
      </c>
      <c r="B425" s="48" t="inlineStr">
        <is>
          <t>UPLOAD_VIEW</t>
        </is>
      </c>
      <c r="C425" s="48" t="inlineStr">
        <is>
          <t>X.10</t>
        </is>
      </c>
      <c r="D425" s="48" t="inlineStr">
        <is>
          <t>Nhom X - Bo sung Raffles</t>
        </is>
      </c>
      <c r="E425" s="48" t="inlineStr">
        <is>
          <t>Bang raw_vault/business_vault duoc doc phai TON TAI THAT trong Data Vault model</t>
        </is>
      </c>
      <c r="F425" s="48" t="inlineStr">
        <is>
          <t>N-A</t>
        </is>
      </c>
      <c r="G425" s="48" t="inlineStr">
        <is>
          <t>Pass</t>
        </is>
      </c>
      <c r="H425" s="50" t="inlineStr">
        <is>
          <t>script không đọc bảng raw_vault/business_vault nào</t>
        </is>
      </c>
      <c r="I425" s="50" t="inlineStr"/>
      <c r="J425" s="48" t="inlineStr">
        <is>
          <t>019. OCB_GOLD_TCKH_V_PLA_QUYMO_NOXAU_UPL_QUANG.xlsx [Script SQL: V_PLA_QUYMO_NOXAU_UPL]</t>
        </is>
      </c>
    </row>
    <row r="426">
      <c r="A426" s="48" t="inlineStr">
        <is>
          <t>TCKH.V_PLA_QUYMO_NOXAU_UPL</t>
        </is>
      </c>
      <c r="B426" s="48" t="inlineStr">
        <is>
          <t>UPLOAD_VIEW</t>
        </is>
      </c>
      <c r="C426" s="48" t="inlineStr">
        <is>
          <t>X.11</t>
        </is>
      </c>
      <c r="D426" s="48" t="inlineStr">
        <is>
          <t>Nhom X - Bo sung Raffles</t>
        </is>
      </c>
      <c r="E426" s="48" t="inlineStr">
        <is>
          <t>Cot doc tu satellite (sat_*) phai TON TAI THAT trong model</t>
        </is>
      </c>
      <c r="F426" s="48" t="inlineStr">
        <is>
          <t>N-A</t>
        </is>
      </c>
      <c r="G426" s="48" t="inlineStr">
        <is>
          <t>Pass</t>
        </is>
      </c>
      <c r="H426" s="50" t="inlineStr">
        <is>
          <t>không có bảng sat_* nào đủ điều kiện đối chiếu (Select chỉ đọc 1 bảng)</t>
        </is>
      </c>
      <c r="I426" s="50" t="inlineStr"/>
      <c r="J426" s="48" t="inlineStr">
        <is>
          <t>019. OCB_GOLD_TCKH_V_PLA_QUYMO_NOXAU_UPL_QUANG.xlsx [Script SQL: V_PLA_QUYMO_NOXAU_UPL]</t>
        </is>
      </c>
    </row>
    <row r="427">
      <c r="A427" s="48" t="inlineStr">
        <is>
          <t>TCKH.V_PR_COLLECTION</t>
        </is>
      </c>
      <c r="B427" s="48" t="inlineStr">
        <is>
          <t>SILVER_CONSUMER</t>
        </is>
      </c>
      <c r="C427" s="48" t="inlineStr">
        <is>
          <t>1.1</t>
        </is>
      </c>
      <c r="D427" s="48" t="inlineStr">
        <is>
          <t>Nhom 1 - Mapping</t>
        </is>
      </c>
      <c r="E427" s="48" t="inlineStr">
        <is>
          <t>Đầy đủ mapping từ Silver/manual sang Gold</t>
        </is>
      </c>
      <c r="F427" s="49" t="inlineStr">
        <is>
          <t>PASS</t>
        </is>
      </c>
      <c r="G427" s="48" t="inlineStr">
        <is>
          <t>Pass</t>
        </is>
      </c>
      <c r="H427" s="50" t="inlineStr">
        <is>
          <t>workbook 024. OCB_GOLD_TCKH_V_PR_COLLECTION_PHAT.xlsx: thiết kế 3 field, SQL có 3 cột</t>
        </is>
      </c>
      <c r="I4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27" s="48" t="inlineStr">
        <is>
          <t>024. OCB_GOLD_TCKH_V_PR_COLLECTION_PHAT.xlsx [Script: V_PR_COLLECTION]</t>
        </is>
      </c>
    </row>
    <row r="428">
      <c r="A428" s="48" t="inlineStr">
        <is>
          <t>TCKH.V_PR_COLLECTION</t>
        </is>
      </c>
      <c r="B428" s="48" t="inlineStr">
        <is>
          <t>SILVER_CONSUMER</t>
        </is>
      </c>
      <c r="C428" s="48" t="inlineStr">
        <is>
          <t>1.2</t>
        </is>
      </c>
      <c r="D428" s="48" t="inlineStr">
        <is>
          <t>Nhom 1 - Mapping</t>
        </is>
      </c>
      <c r="E428" s="48" t="inlineStr">
        <is>
          <t>Danh sách bảng/view Gold khớp tài liệu thiết kế đã duyệt</t>
        </is>
      </c>
      <c r="F428" s="49" t="inlineStr">
        <is>
          <t>PASS</t>
        </is>
      </c>
      <c r="G428" s="48" t="inlineStr">
        <is>
          <t>Pass</t>
        </is>
      </c>
      <c r="H428" s="50" t="inlineStr">
        <is>
          <t>V_PR_COLLECTION có workbook thiết kế: 024. OCB_GOLD_TCKH_V_PR_COLLECTION_PHAT.xlsx</t>
        </is>
      </c>
      <c r="I428" s="50" t="inlineStr">
        <is>
          <t>Đảm bảo object có workbook thiết kế tương ứng trong thư mục --mapping-dir. Muốn đối chiếu với danh sách đã duyệt thì chạy thêm tham số --gold-list "&lt;file danh sách Gold&gt;.xlsx".</t>
        </is>
      </c>
      <c r="J428" s="48" t="inlineStr">
        <is>
          <t>024. OCB_GOLD_TCKH_V_PR_COLLECTION_PHAT.xlsx [Script: V_PR_COLLECTION]</t>
        </is>
      </c>
    </row>
    <row r="429">
      <c r="A429" s="48" t="inlineStr">
        <is>
          <t>TCKH.V_PR_COLLECTION</t>
        </is>
      </c>
      <c r="B429" s="48" t="inlineStr">
        <is>
          <t>SILVER_CONSUMER</t>
        </is>
      </c>
      <c r="C429" s="48" t="inlineStr">
        <is>
          <t>2.1</t>
        </is>
      </c>
      <c r="D429" s="48" t="inlineStr">
        <is>
          <t>Nhom 2 - Logic</t>
        </is>
      </c>
      <c r="E429" s="48" t="inlineStr">
        <is>
          <t>Chỉ lấy bản ghi active, loại bản ghi đã xóa (qua sts_hub)</t>
        </is>
      </c>
      <c r="F429" s="49" t="inlineStr">
        <is>
          <t>PASS</t>
        </is>
      </c>
      <c r="G429" s="48" t="inlineStr">
        <is>
          <t>Pass</t>
        </is>
      </c>
      <c r="H429" s="50" t="inlineStr">
        <is>
          <t>không dùng sts_hub_* (không có yêu cầu nghiệp vụ giữ bản ghi đã xóa)</t>
        </is>
      </c>
      <c r="I4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29" s="48" t="inlineStr">
        <is>
          <t>024. OCB_GOLD_TCKH_V_PR_COLLECTION_PHAT.xlsx [Script: V_PR_COLLECTION]</t>
        </is>
      </c>
    </row>
    <row r="430">
      <c r="A430" s="48" t="inlineStr">
        <is>
          <t>TCKH.V_PR_COLLECTION</t>
        </is>
      </c>
      <c r="B430" s="48" t="inlineStr">
        <is>
          <t>SILVER_CONSUMER</t>
        </is>
      </c>
      <c r="C430" s="48" t="inlineStr">
        <is>
          <t>2.2</t>
        </is>
      </c>
      <c r="D430" s="48" t="inlineStr">
        <is>
          <t>Nhom 2 - Logic</t>
        </is>
      </c>
      <c r="E430" s="48" t="inlineStr">
        <is>
          <t>Thống nhất MỘT pattern duy nhất xác định bản ghi active mới nhất</t>
        </is>
      </c>
      <c r="F430" s="48" t="inlineStr">
        <is>
          <t>N-A</t>
        </is>
      </c>
      <c r="G430" s="48" t="inlineStr">
        <is>
          <t>Pass</t>
        </is>
      </c>
      <c r="H430" s="50" t="inlineStr">
        <is>
          <t>script không có bước lấy bản ghi mới nhất nào tính là bất nhất (không dùng, hoặc chỉ dùng ROW_NUMBER cho block &gt;5 cột - đã miễn trừ)</t>
        </is>
      </c>
      <c r="I4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30" s="48" t="inlineStr">
        <is>
          <t>024. OCB_GOLD_TCKH_V_PR_COLLECTION_PHAT.xlsx [Script: V_PR_COLLECTION]</t>
        </is>
      </c>
    </row>
    <row r="431">
      <c r="A431" s="48" t="inlineStr">
        <is>
          <t>TCKH.V_PR_COLLECTION</t>
        </is>
      </c>
      <c r="B431" s="48" t="inlineStr">
        <is>
          <t>SILVER_CONSUMER</t>
        </is>
      </c>
      <c r="C431" s="48" t="inlineStr">
        <is>
          <t>2.3</t>
        </is>
      </c>
      <c r="D431" s="48" t="inlineStr">
        <is>
          <t>Nhom 2 - Logic</t>
        </is>
      </c>
      <c r="E431" s="48" t="inlineStr">
        <is>
          <t>Điều kiện lọc trạng thái đặt SAU khi xác định bản ghi mới nhất</t>
        </is>
      </c>
      <c r="F431" s="49" t="inlineStr">
        <is>
          <t>PASS</t>
        </is>
      </c>
      <c r="G431" s="48" t="inlineStr">
        <is>
          <t>Pass</t>
        </is>
      </c>
      <c r="H431" s="50" t="inlineStr">
        <is>
          <t>không có điều kiện trạng thái nào lồng trong JOIN ON</t>
        </is>
      </c>
      <c r="I4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31" s="48" t="inlineStr">
        <is>
          <t>024. OCB_GOLD_TCKH_V_PR_COLLECTION_PHAT.xlsx [Script: V_PR_COLLECTION]</t>
        </is>
      </c>
    </row>
    <row r="432">
      <c r="A432" s="48" t="inlineStr">
        <is>
          <t>TCKH.V_PR_COLLECTION</t>
        </is>
      </c>
      <c r="B432" s="48" t="inlineStr">
        <is>
          <t>SILVER_CONSUMER</t>
        </is>
      </c>
      <c r="C432" s="48" t="inlineStr">
        <is>
          <t>2.4</t>
        </is>
      </c>
      <c r="D432" s="48" t="inlineStr">
        <is>
          <t>Nhom 2 - Logic</t>
        </is>
      </c>
      <c r="E432" s="48" t="inlineStr">
        <is>
          <t>source_event_date áp dụng đúng dạng theo loại bảng</t>
        </is>
      </c>
      <c r="F432" s="49" t="inlineStr">
        <is>
          <t>PASS</t>
        </is>
      </c>
      <c r="G432" s="48" t="inlineStr">
        <is>
          <t>Pass</t>
        </is>
      </c>
      <c r="H432" s="50" t="inlineStr">
        <is>
          <t>6 satellite đều đúng dạng điều kiện source_event_date</t>
        </is>
      </c>
      <c r="I4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32" s="48" t="inlineStr">
        <is>
          <t>024. OCB_GOLD_TCKH_V_PR_COLLECTION_PHAT.xlsx [Script: V_PR_COLLECTION]</t>
        </is>
      </c>
    </row>
    <row r="433">
      <c r="A433" s="48" t="inlineStr">
        <is>
          <t>TCKH.V_PR_COLLECTION</t>
        </is>
      </c>
      <c r="B433" s="48" t="inlineStr">
        <is>
          <t>SILVER_CONSUMER</t>
        </is>
      </c>
      <c r="C433" s="48" t="inlineStr">
        <is>
          <t>2.5</t>
        </is>
      </c>
      <c r="D433" s="48" t="inlineStr">
        <is>
          <t>Nhom 2 - Logic</t>
        </is>
      </c>
      <c r="E433" s="48" t="inlineStr">
        <is>
          <t>Không lặp lại lỗi logic cũ đã được DA Data Vault fix</t>
        </is>
      </c>
      <c r="F433" s="49" t="inlineStr">
        <is>
          <t>PASS</t>
        </is>
      </c>
      <c r="G433" s="48" t="inlineStr">
        <is>
          <t>Pass</t>
        </is>
      </c>
      <c r="H433" s="50" t="inlineStr">
        <is>
          <t>không trùng lỗi nào trong Issue log của DA Data Vault</t>
        </is>
      </c>
      <c r="I4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33" s="48" t="inlineStr">
        <is>
          <t>024. OCB_GOLD_TCKH_V_PR_COLLECTION_PHAT.xlsx [Script: V_PR_COLLECTION]</t>
        </is>
      </c>
    </row>
    <row r="434">
      <c r="A434" s="48" t="inlineStr">
        <is>
          <t>TCKH.V_PR_COLLECTION</t>
        </is>
      </c>
      <c r="B434" s="48" t="inlineStr">
        <is>
          <t>SILVER_CONSUMER</t>
        </is>
      </c>
      <c r="C434" s="48" t="inlineStr">
        <is>
          <t>2.6</t>
        </is>
      </c>
      <c r="D434" s="48" t="inlineStr">
        <is>
          <t>Nhom 2 - Logic</t>
        </is>
      </c>
      <c r="E434" s="48" t="inlineStr">
        <is>
          <t>SCD Type 2 cho bảng DIM áp dụng đúng kỹ thuật đã thống nhất</t>
        </is>
      </c>
      <c r="F434" s="48" t="inlineStr">
        <is>
          <t>N-A</t>
        </is>
      </c>
      <c r="G434" s="48" t="inlineStr">
        <is>
          <t>Pass</t>
        </is>
      </c>
      <c r="H434" s="50" t="inlineStr">
        <is>
          <t>object không phải bảng DIM nên không áp dụng SCD Type 2</t>
        </is>
      </c>
      <c r="I4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34" s="48" t="inlineStr">
        <is>
          <t>024. OCB_GOLD_TCKH_V_PR_COLLECTION_PHAT.xlsx [Script: V_PR_COLLECTION]</t>
        </is>
      </c>
    </row>
    <row r="435">
      <c r="A435" s="48" t="inlineStr">
        <is>
          <t>TCKH.V_PR_COLLECTION</t>
        </is>
      </c>
      <c r="B435" s="48" t="inlineStr">
        <is>
          <t>SILVER_CONSUMER</t>
        </is>
      </c>
      <c r="C435" s="48" t="inlineStr">
        <is>
          <t>2.7</t>
        </is>
      </c>
      <c r="D435" s="48" t="inlineStr">
        <is>
          <t>Nhom 2 - Logic</t>
        </is>
      </c>
      <c r="E435" s="48" t="inlineStr">
        <is>
          <t>CASE WHEN cover đủ nhánh như job on-prem</t>
        </is>
      </c>
      <c r="F435" s="48" t="inlineStr">
        <is>
          <t>N-A</t>
        </is>
      </c>
      <c r="G435" s="48" t="inlineStr">
        <is>
          <t>Pass</t>
        </is>
      </c>
      <c r="H435" s="50" t="inlineStr">
        <is>
          <t>script không có CASE WHEN nào</t>
        </is>
      </c>
      <c r="I435" s="50" t="inlineStr">
        <is>
          <t>Mở job on-prem tương ứng (DataStage DSX hoặc SQL cũ), đối chiếu từng nhánh WHEN và cả nhánh ELSE. CASE không có ELSE sẽ trả NULL âm thầm — xác nhận đó là ý muốn hay thiếu nhánh.</t>
        </is>
      </c>
      <c r="J435" s="48" t="inlineStr">
        <is>
          <t>024. OCB_GOLD_TCKH_V_PR_COLLECTION_PHAT.xlsx [Script: V_PR_COLLECTION]</t>
        </is>
      </c>
    </row>
    <row r="436">
      <c r="A436" s="48" t="inlineStr">
        <is>
          <t>TCKH.V_PR_COLLECTION</t>
        </is>
      </c>
      <c r="B436" s="48" t="inlineStr">
        <is>
          <t>SILVER_CONSUMER</t>
        </is>
      </c>
      <c r="C436" s="48" t="inlineStr">
        <is>
          <t>2.8</t>
        </is>
      </c>
      <c r="D436" s="48" t="inlineStr">
        <is>
          <t>Nhom 2 - Logic</t>
        </is>
      </c>
      <c r="E436" s="48" t="inlineStr">
        <is>
          <t>Cột SUM/COUNT được COALESCE/NVL hợp lý</t>
        </is>
      </c>
      <c r="F436" s="49" t="inlineStr">
        <is>
          <t>PASS</t>
        </is>
      </c>
      <c r="G436" s="48" t="inlineStr">
        <is>
          <t>Pass</t>
        </is>
      </c>
      <c r="H436" s="50" t="inlineStr">
        <is>
          <t>mọi SUM/COUNT đều đã coalesce (trực tiếp hoặc ở lớp ngoài)</t>
        </is>
      </c>
      <c r="I4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36" s="48" t="inlineStr">
        <is>
          <t>024. OCB_GOLD_TCKH_V_PR_COLLECTION_PHAT.xlsx [Script: V_PR_COLLECTION]</t>
        </is>
      </c>
    </row>
    <row r="437">
      <c r="A437" s="48" t="inlineStr">
        <is>
          <t>TCKH.V_PR_COLLECTION</t>
        </is>
      </c>
      <c r="B437" s="48" t="inlineStr">
        <is>
          <t>SILVER_CONSUMER</t>
        </is>
      </c>
      <c r="C437" s="48" t="inlineStr">
        <is>
          <t>2.9</t>
        </is>
      </c>
      <c r="D437" s="48" t="inlineStr">
        <is>
          <t>Nhom 2 - Logic</t>
        </is>
      </c>
      <c r="E437" s="48" t="inlineStr">
        <is>
          <t>Subquery / custom function / điều kiện LIKE đúng ý nghĩa nghiệp vụ</t>
        </is>
      </c>
      <c r="F437" s="48" t="inlineStr">
        <is>
          <t>N-A</t>
        </is>
      </c>
      <c r="G437" s="48" t="inlineStr">
        <is>
          <t>Pass</t>
        </is>
      </c>
      <c r="H437" s="50" t="inlineStr">
        <is>
          <t>script không có điều kiện LIKE hay scalar subquery nào</t>
        </is>
      </c>
      <c r="I437" s="50" t="inlineStr">
        <is>
          <t>Đọc lại từng điều kiện LIKE và từng subquery, đối chiếu ý nghĩa nghiệp vụ với on-prem — đúng cú pháp không đủ. Chú ý pattern LIKE có ký tự % ở đầu/cuối và phân biệt chữ hoa/thường.</t>
        </is>
      </c>
      <c r="J437" s="48" t="inlineStr">
        <is>
          <t>024. OCB_GOLD_TCKH_V_PR_COLLECTION_PHAT.xlsx [Script: V_PR_COLLECTION]</t>
        </is>
      </c>
    </row>
    <row r="438">
      <c r="A438" s="48" t="inlineStr">
        <is>
          <t>TCKH.V_PR_COLLECTION</t>
        </is>
      </c>
      <c r="B438" s="48" t="inlineStr">
        <is>
          <t>SILVER_CONSUMER</t>
        </is>
      </c>
      <c r="C438" s="48" t="inlineStr">
        <is>
          <t>2.10</t>
        </is>
      </c>
      <c r="D438" s="48" t="inlineStr">
        <is>
          <t>Nhom 2 - Logic</t>
        </is>
      </c>
      <c r="E438" s="48" t="inlineStr">
        <is>
          <t>Aggregation kèm filter date range chính xác</t>
        </is>
      </c>
      <c r="F438" s="49" t="inlineStr">
        <is>
          <t>PASS</t>
        </is>
      </c>
      <c r="G438" s="48" t="inlineStr">
        <is>
          <t>Pass</t>
        </is>
      </c>
      <c r="H438" s="50" t="inlineStr">
        <is>
          <t>mọi khối tổng hợp đều có điều kiện theo kỳ dữ liệu</t>
        </is>
      </c>
      <c r="I438" s="50" t="inlineStr">
        <is>
          <t>Mỗi khối SUM/COUNT/AVG phải có điều kiện lọc theo kỳ dữ liệu (CDR_DT_ID, DATA_DATE, :DATADT…). Nếu điều kiện nằm ở CTE nguồn thì ghi rõ trong comment để người review không phải truy ngược.</t>
        </is>
      </c>
      <c r="J438" s="48" t="inlineStr">
        <is>
          <t>024. OCB_GOLD_TCKH_V_PR_COLLECTION_PHAT.xlsx [Script: V_PR_COLLECTION]</t>
        </is>
      </c>
    </row>
    <row r="439">
      <c r="A439" s="48" t="inlineStr">
        <is>
          <t>TCKH.V_PR_COLLECTION</t>
        </is>
      </c>
      <c r="B439" s="48" t="inlineStr">
        <is>
          <t>SILVER_CONSUMER</t>
        </is>
      </c>
      <c r="C439" s="48" t="inlineStr">
        <is>
          <t>2.11</t>
        </is>
      </c>
      <c r="D439" s="48" t="inlineStr">
        <is>
          <t>Nhom 2 - Logic</t>
        </is>
      </c>
      <c r="E439" s="48" t="inlineStr">
        <is>
          <t>Join dùng key hợp lý, không lạm dụng UNION ALL + EXISTS/NOT EXISTS</t>
        </is>
      </c>
      <c r="F439" s="49" t="inlineStr">
        <is>
          <t>PASS</t>
        </is>
      </c>
      <c r="G439" s="48" t="inlineStr">
        <is>
          <t>Pass</t>
        </is>
      </c>
      <c r="H439" s="50" t="inlineStr">
        <is>
          <t>join đều theo điều kiện bằng, không lạm dụng UNION ALL + EXISTS</t>
        </is>
      </c>
      <c r="I439" s="50" t="inlineStr">
        <is>
          <t>Ưu tiên LEFT JOIN theo business key hoặc hashkey. Xem lại các chỗ dùng UNION ALL kết hợp EXISTS/NOT EXISTS — thường thay được bằng một LEFT JOIN. Join không có điều kiện bằng (=) dễ tạo tích Descartes.</t>
        </is>
      </c>
      <c r="J439" s="48" t="inlineStr">
        <is>
          <t>024. OCB_GOLD_TCKH_V_PR_COLLECTION_PHAT.xlsx [Script: V_PR_COLLECTION]</t>
        </is>
      </c>
    </row>
    <row r="440">
      <c r="A440" s="48" t="inlineStr">
        <is>
          <t>TCKH.V_PR_COLLECTION</t>
        </is>
      </c>
      <c r="B440" s="48" t="inlineStr">
        <is>
          <t>SILVER_CONSUMER</t>
        </is>
      </c>
      <c r="C440" s="48" t="inlineStr">
        <is>
          <t>2.12</t>
        </is>
      </c>
      <c r="D440" s="48" t="inlineStr">
        <is>
          <t>Nhom 2 - Logic</t>
        </is>
      </c>
      <c r="E440" s="48" t="inlineStr">
        <is>
          <t>Build Gold từ CTE snapshot Silver, không build nhiều tầng chồng chéo</t>
        </is>
      </c>
      <c r="F440" s="49" t="inlineStr">
        <is>
          <t>PASS</t>
        </is>
      </c>
      <c r="G440" s="48" t="inlineStr">
        <is>
          <t>Pass</t>
        </is>
      </c>
      <c r="H440" s="50" t="inlineStr">
        <is>
          <t>mỗi bảng nguồn chỉ đọc trong 1 khối SELECT</t>
        </is>
      </c>
      <c r="I4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40" s="48" t="inlineStr">
        <is>
          <t>024. OCB_GOLD_TCKH_V_PR_COLLECTION_PHAT.xlsx [Script: V_PR_COLLECTION]</t>
        </is>
      </c>
    </row>
    <row r="441">
      <c r="A441" s="48" t="inlineStr">
        <is>
          <t>TCKH.V_PR_COLLECTION</t>
        </is>
      </c>
      <c r="B441" s="48" t="inlineStr">
        <is>
          <t>SILVER_CONSUMER</t>
        </is>
      </c>
      <c r="C441" s="48" t="inlineStr">
        <is>
          <t>3.1</t>
        </is>
      </c>
      <c r="D441" s="48" t="inlineStr">
        <is>
          <t>Nhom 3 - Optimization</t>
        </is>
      </c>
      <c r="E441" s="48" t="inlineStr">
        <is>
          <t>Không SELECT *</t>
        </is>
      </c>
      <c r="F441" s="49" t="inlineStr">
        <is>
          <t>PASS</t>
        </is>
      </c>
      <c r="G441" s="48" t="inlineStr">
        <is>
          <t>Pass</t>
        </is>
      </c>
      <c r="H441" s="50" t="inlineStr">
        <is>
          <t>không dùng SELECT * ở đâu</t>
        </is>
      </c>
      <c r="I441" s="50" t="inlineStr">
        <is>
          <t>Liệt kê tường minh các cột cần dùng, kể cả trong CTE trung gian. SELECT * làm tăng IO/memory và vỡ script khi bảng nguồn thêm cột.</t>
        </is>
      </c>
      <c r="J441" s="48" t="inlineStr">
        <is>
          <t>024. OCB_GOLD_TCKH_V_PR_COLLECTION_PHAT.xlsx [Script: V_PR_COLLECTION]</t>
        </is>
      </c>
    </row>
    <row r="442">
      <c r="A442" s="48" t="inlineStr">
        <is>
          <t>TCKH.V_PR_COLLECTION</t>
        </is>
      </c>
      <c r="B442" s="48" t="inlineStr">
        <is>
          <t>SILVER_CONSUMER</t>
        </is>
      </c>
      <c r="C442" s="48" t="inlineStr">
        <is>
          <t>3.2</t>
        </is>
      </c>
      <c r="D442" s="48" t="inlineStr">
        <is>
          <t>Nhom 3 - Optimization</t>
        </is>
      </c>
      <c r="E442" s="48" t="inlineStr">
        <is>
          <t>CTE không bị scan lại nhiều lần</t>
        </is>
      </c>
      <c r="F442" s="51" t="inlineStr">
        <is>
          <t>WARN</t>
        </is>
      </c>
      <c r="G442" s="48" t="inlineStr">
        <is>
          <t>WARN</t>
        </is>
      </c>
      <c r="H442" s="50" t="inlineStr">
        <is>
          <t>CTE bị tham chiếu lại nhiều lần: acct_key x3</t>
        </is>
      </c>
      <c r="I442" s="50" t="inlineStr">
        <is>
          <t>Với CTE nặng (đọc nhiều bảng Silver) bị tham chiếu từ 2 chỗ trở lên: gom lại còn một lần dùng, hoặc vật chất hóa (CACHE / bảng tạm). CTE nhẹ chỉ chứa tham số thì bỏ qua được — tự tick Pass.</t>
        </is>
      </c>
      <c r="J442" s="48" t="inlineStr">
        <is>
          <t>024. OCB_GOLD_TCKH_V_PR_COLLECTION_PHAT.xlsx [Script: V_PR_COLLECTION]</t>
        </is>
      </c>
    </row>
    <row r="443">
      <c r="A443" s="48" t="inlineStr">
        <is>
          <t>TCKH.V_PR_COLLECTION</t>
        </is>
      </c>
      <c r="B443" s="48" t="inlineStr">
        <is>
          <t>SILVER_CONSUMER</t>
        </is>
      </c>
      <c r="C443" s="48" t="inlineStr">
        <is>
          <t>3.3</t>
        </is>
      </c>
      <c r="D443" s="48" t="inlineStr">
        <is>
          <t>Nhom 3 - Optimization</t>
        </is>
      </c>
      <c r="E443" s="48" t="inlineStr">
        <is>
          <t>Filter trước khi join, tận dụng partition pruning</t>
        </is>
      </c>
      <c r="F443" s="49" t="inlineStr">
        <is>
          <t>PASS</t>
        </is>
      </c>
      <c r="G443" s="48" t="inlineStr">
        <is>
          <t>Pass</t>
        </is>
      </c>
      <c r="H443" s="50" t="inlineStr">
        <is>
          <t>các bảng join đều được filter trước</t>
        </is>
      </c>
      <c r="I443" s="50" t="inlineStr">
        <is>
          <t>Đưa điều kiện lọc (ngày dữ liệu, trạng thái) vào subquery của từng bảng TRƯỚC khi join, để tận dụng partition pruning. Bảng dim nhỏ không partition thì không cần — tự tick Pass.</t>
        </is>
      </c>
      <c r="J443" s="48" t="inlineStr">
        <is>
          <t>024. OCB_GOLD_TCKH_V_PR_COLLECTION_PHAT.xlsx [Script: V_PR_COLLECTION]</t>
        </is>
      </c>
    </row>
    <row r="444">
      <c r="A444" s="48" t="inlineStr">
        <is>
          <t>TCKH.V_PR_COLLECTION</t>
        </is>
      </c>
      <c r="B444" s="48" t="inlineStr">
        <is>
          <t>SILVER_CONSUMER</t>
        </is>
      </c>
      <c r="C444" s="48" t="inlineStr">
        <is>
          <t>3.4</t>
        </is>
      </c>
      <c r="D444" s="48" t="inlineStr">
        <is>
          <t>Nhom 3 - Optimization</t>
        </is>
      </c>
      <c r="E444" s="48" t="inlineStr">
        <is>
          <t>Sử dụng CACHE cho query lặp lại trong cùng luồng</t>
        </is>
      </c>
      <c r="F444" s="51" t="inlineStr">
        <is>
          <t>WARN</t>
        </is>
      </c>
      <c r="G444" s="48" t="inlineStr">
        <is>
          <t>WARN</t>
        </is>
      </c>
      <c r="H444" s="50" t="inlineStr">
        <is>
          <t>1 CTE nặng dùng lại &gt;= 2 lần mà không có CACHE: acct_key</t>
        </is>
      </c>
      <c r="I444" s="50" t="inlineStr">
        <is>
          <t>Nếu một kết quả nặng được dùng lại nhiều bước trong cùng luồng, thêm CACHE TABLE / CACHE SELECT. Kết quả nhỏ thì cache còn chậm hơn — tự tick Pass.</t>
        </is>
      </c>
      <c r="J444" s="48" t="inlineStr">
        <is>
          <t>024. OCB_GOLD_TCKH_V_PR_COLLECTION_PHAT.xlsx [Script: V_PR_COLLECTION]</t>
        </is>
      </c>
    </row>
    <row r="445">
      <c r="A445" s="48" t="inlineStr">
        <is>
          <t>TCKH.V_PR_COLLECTION</t>
        </is>
      </c>
      <c r="B445" s="48" t="inlineStr">
        <is>
          <t>SILVER_CONSUMER</t>
        </is>
      </c>
      <c r="C445" s="48" t="inlineStr">
        <is>
          <t>3.5</t>
        </is>
      </c>
      <c r="D445" s="48" t="inlineStr">
        <is>
          <t>Nhom 3 - Optimization</t>
        </is>
      </c>
      <c r="E445" s="48" t="inlineStr">
        <is>
          <t>Ưu tiên MAX_BY + QUALIFY thay ROW_NUMBER() + WHERE rn = 1</t>
        </is>
      </c>
      <c r="F445" s="48" t="inlineStr">
        <is>
          <t>N-A</t>
        </is>
      </c>
      <c r="G445" s="48" t="inlineStr">
        <is>
          <t>Pass</t>
        </is>
      </c>
      <c r="H445" s="50" t="inlineStr">
        <is>
          <t>script không dùng ROW_NUMBER, và MAX_BY (nếu có) không vượt quá 5 cột/khối</t>
        </is>
      </c>
      <c r="I4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45" s="48" t="inlineStr">
        <is>
          <t>024. OCB_GOLD_TCKH_V_PR_COLLECTION_PHAT.xlsx [Script: V_PR_COLLECTION]</t>
        </is>
      </c>
    </row>
    <row r="446">
      <c r="A446" s="48" t="inlineStr">
        <is>
          <t>TCKH.V_PR_COLLECTION</t>
        </is>
      </c>
      <c r="B446" s="48" t="inlineStr">
        <is>
          <t>SILVER_CONSUMER</t>
        </is>
      </c>
      <c r="C446" s="48" t="inlineStr">
        <is>
          <t>3.6</t>
        </is>
      </c>
      <c r="D446" s="48" t="inlineStr">
        <is>
          <t>Nhom 3 - Optimization</t>
        </is>
      </c>
      <c r="E446" s="48" t="inlineStr">
        <is>
          <t>Không lạm dụng window function; có comment khi dùng</t>
        </is>
      </c>
      <c r="F446" s="48" t="inlineStr">
        <is>
          <t>N-A</t>
        </is>
      </c>
      <c r="G446" s="48" t="inlineStr">
        <is>
          <t>Pass</t>
        </is>
      </c>
      <c r="H446" s="50" t="inlineStr">
        <is>
          <t>script không dùng window function</t>
        </is>
      </c>
      <c r="I446" s="50" t="inlineStr">
        <is>
          <t>Mỗi window function cần một comment ngay trên khối CTE chứa nó, nói rõ vì sao không dùng được max_by/QUALIFY đơn giản hơn.</t>
        </is>
      </c>
      <c r="J446" s="48" t="inlineStr">
        <is>
          <t>024. OCB_GOLD_TCKH_V_PR_COLLECTION_PHAT.xlsx [Script: V_PR_COLLECTION]</t>
        </is>
      </c>
    </row>
    <row r="447">
      <c r="A447" s="48" t="inlineStr">
        <is>
          <t>TCKH.V_PR_COLLECTION</t>
        </is>
      </c>
      <c r="B447" s="48" t="inlineStr">
        <is>
          <t>SILVER_CONSUMER</t>
        </is>
      </c>
      <c r="C447" s="48" t="inlineStr">
        <is>
          <t>X.1</t>
        </is>
      </c>
      <c r="D447" s="48" t="inlineStr">
        <is>
          <t>Nhom X - Bo sung Raffles</t>
        </is>
      </c>
      <c r="E447" s="48" t="inlineStr">
        <is>
          <t>[Bổ sung] Link phải rút về current trước khi join (chống fan-out)</t>
        </is>
      </c>
      <c r="F447" s="49" t="inlineStr">
        <is>
          <t>PASS</t>
        </is>
      </c>
      <c r="G447" s="48" t="inlineStr">
        <is>
          <t>Pass</t>
        </is>
      </c>
      <c r="H447" s="50" t="inlineStr">
        <is>
          <t>các bảng link_* đều được rút về current trước khi join</t>
        </is>
      </c>
      <c r="I4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47" s="48" t="inlineStr">
        <is>
          <t>024. OCB_GOLD_TCKH_V_PR_COLLECTION_PHAT.xlsx [Script: V_PR_COLLECTION]</t>
        </is>
      </c>
    </row>
    <row r="448">
      <c r="A448" s="48" t="inlineStr">
        <is>
          <t>TCKH.V_PR_COLLECTION</t>
        </is>
      </c>
      <c r="B448" s="48" t="inlineStr">
        <is>
          <t>SILVER_CONSUMER</t>
        </is>
      </c>
      <c r="C448" s="48" t="inlineStr">
        <is>
          <t>X.6</t>
        </is>
      </c>
      <c r="D448" s="48" t="inlineStr">
        <is>
          <t>Nhom X - Bo sung Raffles</t>
        </is>
      </c>
      <c r="E448" s="48" t="inlineStr">
        <is>
          <t>[Bổ sung] Satellite phải LEFT JOIN, không INNER JOIN</t>
        </is>
      </c>
      <c r="F448" s="49" t="inlineStr">
        <is>
          <t>PASS</t>
        </is>
      </c>
      <c r="G448" s="48" t="inlineStr">
        <is>
          <t>Pass</t>
        </is>
      </c>
      <c r="H448" s="50" t="inlineStr">
        <is>
          <t>các satellite đều LEFT JOIN</t>
        </is>
      </c>
      <c r="I448" s="50" t="inlineStr">
        <is>
          <t>Technical Document III.4.2.2 nguyên tắc 1: làm giàu thuộc tính luôn dùng LEFT JOIN. INNER JOIN satellite sẽ loại mất bản ghi Hub đang còn hiệu lực nhưng chưa có dòng satellite.</t>
        </is>
      </c>
      <c r="J448" s="48" t="inlineStr">
        <is>
          <t>024. OCB_GOLD_TCKH_V_PR_COLLECTION_PHAT.xlsx [Script: V_PR_COLLECTION]</t>
        </is>
      </c>
    </row>
    <row r="449">
      <c r="A449" s="48" t="inlineStr">
        <is>
          <t>TCKH.V_PR_COLLECTION</t>
        </is>
      </c>
      <c r="B449" s="48" t="inlineStr">
        <is>
          <t>SILVER_CONSUMER</t>
        </is>
      </c>
      <c r="C449" s="48" t="inlineStr">
        <is>
          <t>X.7</t>
        </is>
      </c>
      <c r="D449" s="48" t="inlineStr">
        <is>
          <t>Nhom X - Bo sung Raffles</t>
        </is>
      </c>
      <c r="E449" s="48" t="inlineStr">
        <is>
          <t>[Bổ sung] Không hard-code catalog, dùng biến môi trường</t>
        </is>
      </c>
      <c r="F449" s="49" t="inlineStr">
        <is>
          <t>PASS</t>
        </is>
      </c>
      <c r="G449" s="48" t="inlineStr">
        <is>
          <t>Pass</t>
        </is>
      </c>
      <c r="H449" s="50" t="inlineStr">
        <is>
          <t>dùng biến môi trường cho catalog</t>
        </is>
      </c>
      <c r="I4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49" s="48" t="inlineStr">
        <is>
          <t>024. OCB_GOLD_TCKH_V_PR_COLLECTION_PHAT.xlsx [Script: V_PR_COLLECTION]</t>
        </is>
      </c>
    </row>
    <row r="450">
      <c r="A450" s="48" t="inlineStr">
        <is>
          <t>TCKH.V_PR_COLLECTION</t>
        </is>
      </c>
      <c r="B450" s="48" t="inlineStr">
        <is>
          <t>SILVER_CONSUMER</t>
        </is>
      </c>
      <c r="C450" s="48" t="inlineStr">
        <is>
          <t>X.10</t>
        </is>
      </c>
      <c r="D450" s="48" t="inlineStr">
        <is>
          <t>Nhom X - Bo sung Raffles</t>
        </is>
      </c>
      <c r="E450" s="48" t="inlineStr">
        <is>
          <t>Bang raw_vault/business_vault duoc doc phai TON TAI THAT trong Data Vault model</t>
        </is>
      </c>
      <c r="F450" s="49" t="inlineStr">
        <is>
          <t>PASS</t>
        </is>
      </c>
      <c r="G450" s="48" t="inlineStr">
        <is>
          <t>Pass</t>
        </is>
      </c>
      <c r="H450" s="50" t="inlineStr">
        <is>
          <t>13 bảng Silver đều có thật trong Data Vault model</t>
        </is>
      </c>
      <c r="I450" s="50" t="inlineStr"/>
      <c r="J450" s="48" t="inlineStr">
        <is>
          <t>024. OCB_GOLD_TCKH_V_PR_COLLECTION_PHAT.xlsx [Script: V_PR_COLLECTION]</t>
        </is>
      </c>
    </row>
    <row r="451">
      <c r="A451" s="48" t="inlineStr">
        <is>
          <t>TCKH.V_PR_COLLECTION</t>
        </is>
      </c>
      <c r="B451" s="48" t="inlineStr">
        <is>
          <t>SILVER_CONSUMER</t>
        </is>
      </c>
      <c r="C451" s="48" t="inlineStr">
        <is>
          <t>X.11</t>
        </is>
      </c>
      <c r="D451" s="48" t="inlineStr">
        <is>
          <t>Nhom X - Bo sung Raffles</t>
        </is>
      </c>
      <c r="E451" s="48" t="inlineStr">
        <is>
          <t>Cot doc tu satellite (sat_*) phai TON TAI THAT trong model</t>
        </is>
      </c>
      <c r="F451" s="49" t="inlineStr">
        <is>
          <t>PASS</t>
        </is>
      </c>
      <c r="G451" s="48" t="inlineStr">
        <is>
          <t>Pass</t>
        </is>
      </c>
      <c r="H451" s="50" t="inlineStr">
        <is>
          <t>mọi cột đọc từ sat_* đều tồn tại trong model thật</t>
        </is>
      </c>
      <c r="I451" s="50" t="inlineStr"/>
      <c r="J451" s="48" t="inlineStr">
        <is>
          <t>024. OCB_GOLD_TCKH_V_PR_COLLECTION_PHAT.xlsx [Script: V_PR_COLLECTION]</t>
        </is>
      </c>
    </row>
    <row r="452">
      <c r="A452" s="48" t="inlineStr">
        <is>
          <t>TCKH.V_P_CP_BDH_UPL</t>
        </is>
      </c>
      <c r="B452" s="48" t="inlineStr">
        <is>
          <t>UPLOAD_VIEW</t>
        </is>
      </c>
      <c r="C452" s="48" t="inlineStr">
        <is>
          <t>1.1</t>
        </is>
      </c>
      <c r="D452" s="48" t="inlineStr">
        <is>
          <t>Nhom 1 - Mapping</t>
        </is>
      </c>
      <c r="E452" s="48" t="inlineStr">
        <is>
          <t>Đầy đủ mapping từ Silver/manual sang Gold</t>
        </is>
      </c>
      <c r="F452" s="49" t="inlineStr">
        <is>
          <t>PASS</t>
        </is>
      </c>
      <c r="G452" s="48" t="inlineStr">
        <is>
          <t>Pass</t>
        </is>
      </c>
      <c r="H452" s="50" t="inlineStr">
        <is>
          <t>workbook 025. OCB_GOLD_TCKH_V_P_CP_BDH_UPL_PHAT.xlsx: thiết kế 7 field, SQL có 7 cột</t>
        </is>
      </c>
      <c r="I4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52" s="48" t="inlineStr">
        <is>
          <t>025. OCB_GOLD_TCKH_V_P_CP_BDH_UPL_PHAT.xlsx [Script: V_P_CP_BDH_UPL]</t>
        </is>
      </c>
    </row>
    <row r="453">
      <c r="A453" s="48" t="inlineStr">
        <is>
          <t>TCKH.V_P_CP_BDH_UPL</t>
        </is>
      </c>
      <c r="B453" s="48" t="inlineStr">
        <is>
          <t>UPLOAD_VIEW</t>
        </is>
      </c>
      <c r="C453" s="48" t="inlineStr">
        <is>
          <t>1.2</t>
        </is>
      </c>
      <c r="D453" s="48" t="inlineStr">
        <is>
          <t>Nhom 1 - Mapping</t>
        </is>
      </c>
      <c r="E453" s="48" t="inlineStr">
        <is>
          <t>Danh sách bảng/view Gold khớp tài liệu thiết kế đã duyệt</t>
        </is>
      </c>
      <c r="F453" s="49" t="inlineStr">
        <is>
          <t>PASS</t>
        </is>
      </c>
      <c r="G453" s="48" t="inlineStr">
        <is>
          <t>Pass</t>
        </is>
      </c>
      <c r="H453" s="50" t="inlineStr">
        <is>
          <t>V_P_CP_BDH_UPL có workbook thiết kế: 025. OCB_GOLD_TCKH_V_P_CP_BDH_UPL_PHAT.xlsx</t>
        </is>
      </c>
      <c r="I453" s="50" t="inlineStr">
        <is>
          <t>Đảm bảo object có workbook thiết kế tương ứng trong thư mục --mapping-dir. Muốn đối chiếu với danh sách đã duyệt thì chạy thêm tham số --gold-list "&lt;file danh sách Gold&gt;.xlsx".</t>
        </is>
      </c>
      <c r="J453" s="48" t="inlineStr">
        <is>
          <t>025. OCB_GOLD_TCKH_V_P_CP_BDH_UPL_PHAT.xlsx [Script: V_P_CP_BDH_UPL]</t>
        </is>
      </c>
    </row>
    <row r="454">
      <c r="A454" s="48" t="inlineStr">
        <is>
          <t>TCKH.V_P_CP_BDH_UPL</t>
        </is>
      </c>
      <c r="B454" s="48" t="inlineStr">
        <is>
          <t>UPLOAD_VIEW</t>
        </is>
      </c>
      <c r="C454" s="48" t="inlineStr">
        <is>
          <t>2.1</t>
        </is>
      </c>
      <c r="D454" s="48" t="inlineStr">
        <is>
          <t>Nhom 2 - Logic</t>
        </is>
      </c>
      <c r="E454" s="48" t="inlineStr">
        <is>
          <t>Chỉ lấy bản ghi active, loại bản ghi đã xóa (qua sts_hub)</t>
        </is>
      </c>
      <c r="F454" s="48" t="inlineStr">
        <is>
          <t>N-A</t>
        </is>
      </c>
      <c r="G454" s="48" t="inlineStr">
        <is>
          <t>Pass</t>
        </is>
      </c>
      <c r="H454" s="50" t="inlineStr">
        <is>
          <t>khong ap dung cho profile UPLOAD_VIEW</t>
        </is>
      </c>
      <c r="I4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54" s="48" t="inlineStr">
        <is>
          <t>025. OCB_GOLD_TCKH_V_P_CP_BDH_UPL_PHAT.xlsx [Script: V_P_CP_BDH_UPL]</t>
        </is>
      </c>
    </row>
    <row r="455">
      <c r="A455" s="48" t="inlineStr">
        <is>
          <t>TCKH.V_P_CP_BDH_UPL</t>
        </is>
      </c>
      <c r="B455" s="48" t="inlineStr">
        <is>
          <t>UPLOAD_VIEW</t>
        </is>
      </c>
      <c r="C455" s="48" t="inlineStr">
        <is>
          <t>2.2</t>
        </is>
      </c>
      <c r="D455" s="48" t="inlineStr">
        <is>
          <t>Nhom 2 - Logic</t>
        </is>
      </c>
      <c r="E455" s="48" t="inlineStr">
        <is>
          <t>Thống nhất MỘT pattern duy nhất xác định bản ghi active mới nhất</t>
        </is>
      </c>
      <c r="F455" s="48" t="inlineStr">
        <is>
          <t>N-A</t>
        </is>
      </c>
      <c r="G455" s="48" t="inlineStr">
        <is>
          <t>Pass</t>
        </is>
      </c>
      <c r="H455" s="50" t="inlineStr">
        <is>
          <t>khong ap dung cho profile UPLOAD_VIEW</t>
        </is>
      </c>
      <c r="I4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55" s="48" t="inlineStr">
        <is>
          <t>025. OCB_GOLD_TCKH_V_P_CP_BDH_UPL_PHAT.xlsx [Script: V_P_CP_BDH_UPL]</t>
        </is>
      </c>
    </row>
    <row r="456">
      <c r="A456" s="48" t="inlineStr">
        <is>
          <t>TCKH.V_P_CP_BDH_UPL</t>
        </is>
      </c>
      <c r="B456" s="48" t="inlineStr">
        <is>
          <t>UPLOAD_VIEW</t>
        </is>
      </c>
      <c r="C456" s="48" t="inlineStr">
        <is>
          <t>2.3</t>
        </is>
      </c>
      <c r="D456" s="48" t="inlineStr">
        <is>
          <t>Nhom 2 - Logic</t>
        </is>
      </c>
      <c r="E456" s="48" t="inlineStr">
        <is>
          <t>Điều kiện lọc trạng thái đặt SAU khi xác định bản ghi mới nhất</t>
        </is>
      </c>
      <c r="F456" s="48" t="inlineStr">
        <is>
          <t>N-A</t>
        </is>
      </c>
      <c r="G456" s="48" t="inlineStr">
        <is>
          <t>Pass</t>
        </is>
      </c>
      <c r="H456" s="50" t="inlineStr">
        <is>
          <t>khong ap dung cho profile UPLOAD_VIEW</t>
        </is>
      </c>
      <c r="I4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56" s="48" t="inlineStr">
        <is>
          <t>025. OCB_GOLD_TCKH_V_P_CP_BDH_UPL_PHAT.xlsx [Script: V_P_CP_BDH_UPL]</t>
        </is>
      </c>
    </row>
    <row r="457">
      <c r="A457" s="48" t="inlineStr">
        <is>
          <t>TCKH.V_P_CP_BDH_UPL</t>
        </is>
      </c>
      <c r="B457" s="48" t="inlineStr">
        <is>
          <t>UPLOAD_VIEW</t>
        </is>
      </c>
      <c r="C457" s="48" t="inlineStr">
        <is>
          <t>2.4</t>
        </is>
      </c>
      <c r="D457" s="48" t="inlineStr">
        <is>
          <t>Nhom 2 - Logic</t>
        </is>
      </c>
      <c r="E457" s="48" t="inlineStr">
        <is>
          <t>source_event_date áp dụng đúng dạng theo loại bảng</t>
        </is>
      </c>
      <c r="F457" s="48" t="inlineStr">
        <is>
          <t>N-A</t>
        </is>
      </c>
      <c r="G457" s="48" t="inlineStr">
        <is>
          <t>Pass</t>
        </is>
      </c>
      <c r="H457" s="50" t="inlineStr">
        <is>
          <t>khong ap dung cho profile UPLOAD_VIEW</t>
        </is>
      </c>
      <c r="I4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57" s="48" t="inlineStr">
        <is>
          <t>025. OCB_GOLD_TCKH_V_P_CP_BDH_UPL_PHAT.xlsx [Script: V_P_CP_BDH_UPL]</t>
        </is>
      </c>
    </row>
    <row r="458">
      <c r="A458" s="48" t="inlineStr">
        <is>
          <t>TCKH.V_P_CP_BDH_UPL</t>
        </is>
      </c>
      <c r="B458" s="48" t="inlineStr">
        <is>
          <t>UPLOAD_VIEW</t>
        </is>
      </c>
      <c r="C458" s="48" t="inlineStr">
        <is>
          <t>2.5</t>
        </is>
      </c>
      <c r="D458" s="48" t="inlineStr">
        <is>
          <t>Nhom 2 - Logic</t>
        </is>
      </c>
      <c r="E458" s="48" t="inlineStr">
        <is>
          <t>Không lặp lại lỗi logic cũ đã được DA Data Vault fix</t>
        </is>
      </c>
      <c r="F458" s="49" t="inlineStr">
        <is>
          <t>PASS</t>
        </is>
      </c>
      <c r="G458" s="48" t="inlineStr">
        <is>
          <t>Pass</t>
        </is>
      </c>
      <c r="H458" s="50" t="inlineStr">
        <is>
          <t>không trùng lỗi nào trong Issue log của DA Data Vault</t>
        </is>
      </c>
      <c r="I4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58" s="48" t="inlineStr">
        <is>
          <t>025. OCB_GOLD_TCKH_V_P_CP_BDH_UPL_PHAT.xlsx [Script: V_P_CP_BDH_UPL]</t>
        </is>
      </c>
    </row>
    <row r="459">
      <c r="A459" s="48" t="inlineStr">
        <is>
          <t>TCKH.V_P_CP_BDH_UPL</t>
        </is>
      </c>
      <c r="B459" s="48" t="inlineStr">
        <is>
          <t>UPLOAD_VIEW</t>
        </is>
      </c>
      <c r="C459" s="48" t="inlineStr">
        <is>
          <t>2.6</t>
        </is>
      </c>
      <c r="D459" s="48" t="inlineStr">
        <is>
          <t>Nhom 2 - Logic</t>
        </is>
      </c>
      <c r="E459" s="48" t="inlineStr">
        <is>
          <t>SCD Type 2 cho bảng DIM áp dụng đúng kỹ thuật đã thống nhất</t>
        </is>
      </c>
      <c r="F459" s="48" t="inlineStr">
        <is>
          <t>N-A</t>
        </is>
      </c>
      <c r="G459" s="48" t="inlineStr">
        <is>
          <t>Pass</t>
        </is>
      </c>
      <c r="H459" s="50" t="inlineStr">
        <is>
          <t>object không phải bảng DIM nên không áp dụng SCD Type 2</t>
        </is>
      </c>
      <c r="I4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59" s="48" t="inlineStr">
        <is>
          <t>025. OCB_GOLD_TCKH_V_P_CP_BDH_UPL_PHAT.xlsx [Script: V_P_CP_BDH_UPL]</t>
        </is>
      </c>
    </row>
    <row r="460">
      <c r="A460" s="48" t="inlineStr">
        <is>
          <t>TCKH.V_P_CP_BDH_UPL</t>
        </is>
      </c>
      <c r="B460" s="48" t="inlineStr">
        <is>
          <t>UPLOAD_VIEW</t>
        </is>
      </c>
      <c r="C460" s="48" t="inlineStr">
        <is>
          <t>2.7</t>
        </is>
      </c>
      <c r="D460" s="48" t="inlineStr">
        <is>
          <t>Nhom 2 - Logic</t>
        </is>
      </c>
      <c r="E460" s="48" t="inlineStr">
        <is>
          <t>CASE WHEN cover đủ nhánh như job on-prem</t>
        </is>
      </c>
      <c r="F460" s="48" t="inlineStr">
        <is>
          <t>N-A</t>
        </is>
      </c>
      <c r="G460" s="48" t="inlineStr">
        <is>
          <t>Pass</t>
        </is>
      </c>
      <c r="H460" s="50" t="inlineStr">
        <is>
          <t>script không có CASE WHEN nào</t>
        </is>
      </c>
      <c r="I460" s="50" t="inlineStr">
        <is>
          <t>Mở job on-prem tương ứng (DataStage DSX hoặc SQL cũ), đối chiếu từng nhánh WHEN và cả nhánh ELSE. CASE không có ELSE sẽ trả NULL âm thầm — xác nhận đó là ý muốn hay thiếu nhánh.</t>
        </is>
      </c>
      <c r="J460" s="48" t="inlineStr">
        <is>
          <t>025. OCB_GOLD_TCKH_V_P_CP_BDH_UPL_PHAT.xlsx [Script: V_P_CP_BDH_UPL]</t>
        </is>
      </c>
    </row>
    <row r="461">
      <c r="A461" s="48" t="inlineStr">
        <is>
          <t>TCKH.V_P_CP_BDH_UPL</t>
        </is>
      </c>
      <c r="B461" s="48" t="inlineStr">
        <is>
          <t>UPLOAD_VIEW</t>
        </is>
      </c>
      <c r="C461" s="48" t="inlineStr">
        <is>
          <t>2.8</t>
        </is>
      </c>
      <c r="D461" s="48" t="inlineStr">
        <is>
          <t>Nhom 2 - Logic</t>
        </is>
      </c>
      <c r="E461" s="48" t="inlineStr">
        <is>
          <t>Cột SUM/COUNT được COALESCE/NVL hợp lý</t>
        </is>
      </c>
      <c r="F461" s="49" t="inlineStr">
        <is>
          <t>PASS</t>
        </is>
      </c>
      <c r="G461" s="48" t="inlineStr">
        <is>
          <t>Pass</t>
        </is>
      </c>
      <c r="H461" s="50" t="inlineStr">
        <is>
          <t>mọi SUM/COUNT đều đã coalesce (trực tiếp hoặc ở lớp ngoài)</t>
        </is>
      </c>
      <c r="I4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61" s="48" t="inlineStr">
        <is>
          <t>025. OCB_GOLD_TCKH_V_P_CP_BDH_UPL_PHAT.xlsx [Script: V_P_CP_BDH_UPL]</t>
        </is>
      </c>
    </row>
    <row r="462">
      <c r="A462" s="48" t="inlineStr">
        <is>
          <t>TCKH.V_P_CP_BDH_UPL</t>
        </is>
      </c>
      <c r="B462" s="48" t="inlineStr">
        <is>
          <t>UPLOAD_VIEW</t>
        </is>
      </c>
      <c r="C462" s="48" t="inlineStr">
        <is>
          <t>2.9</t>
        </is>
      </c>
      <c r="D462" s="48" t="inlineStr">
        <is>
          <t>Nhom 2 - Logic</t>
        </is>
      </c>
      <c r="E462" s="48" t="inlineStr">
        <is>
          <t>Subquery / custom function / điều kiện LIKE đúng ý nghĩa nghiệp vụ</t>
        </is>
      </c>
      <c r="F462" s="48" t="inlineStr">
        <is>
          <t>N-A</t>
        </is>
      </c>
      <c r="G462" s="48" t="inlineStr">
        <is>
          <t>Pass</t>
        </is>
      </c>
      <c r="H462" s="50" t="inlineStr">
        <is>
          <t>script không có điều kiện LIKE hay scalar subquery nào</t>
        </is>
      </c>
      <c r="I462" s="50" t="inlineStr">
        <is>
          <t>Đọc lại từng điều kiện LIKE và từng subquery, đối chiếu ý nghĩa nghiệp vụ với on-prem — đúng cú pháp không đủ. Chú ý pattern LIKE có ký tự % ở đầu/cuối và phân biệt chữ hoa/thường.</t>
        </is>
      </c>
      <c r="J462" s="48" t="inlineStr">
        <is>
          <t>025. OCB_GOLD_TCKH_V_P_CP_BDH_UPL_PHAT.xlsx [Script: V_P_CP_BDH_UPL]</t>
        </is>
      </c>
    </row>
    <row r="463">
      <c r="A463" s="48" t="inlineStr">
        <is>
          <t>TCKH.V_P_CP_BDH_UPL</t>
        </is>
      </c>
      <c r="B463" s="48" t="inlineStr">
        <is>
          <t>UPLOAD_VIEW</t>
        </is>
      </c>
      <c r="C463" s="48" t="inlineStr">
        <is>
          <t>2.10</t>
        </is>
      </c>
      <c r="D463" s="48" t="inlineStr">
        <is>
          <t>Nhom 2 - Logic</t>
        </is>
      </c>
      <c r="E463" s="48" t="inlineStr">
        <is>
          <t>Aggregation kèm filter date range chính xác</t>
        </is>
      </c>
      <c r="F463" s="49" t="inlineStr">
        <is>
          <t>PASS</t>
        </is>
      </c>
      <c r="G463" s="48" t="inlineStr">
        <is>
          <t>Pass</t>
        </is>
      </c>
      <c r="H463" s="50" t="inlineStr">
        <is>
          <t>mọi khối tổng hợp đều có điều kiện theo kỳ dữ liệu</t>
        </is>
      </c>
      <c r="I463" s="50" t="inlineStr">
        <is>
          <t>Mỗi khối SUM/COUNT/AVG phải có điều kiện lọc theo kỳ dữ liệu (CDR_DT_ID, DATA_DATE, :DATADT…). Nếu điều kiện nằm ở CTE nguồn thì ghi rõ trong comment để người review không phải truy ngược.</t>
        </is>
      </c>
      <c r="J463" s="48" t="inlineStr">
        <is>
          <t>025. OCB_GOLD_TCKH_V_P_CP_BDH_UPL_PHAT.xlsx [Script: V_P_CP_BDH_UPL]</t>
        </is>
      </c>
    </row>
    <row r="464">
      <c r="A464" s="48" t="inlineStr">
        <is>
          <t>TCKH.V_P_CP_BDH_UPL</t>
        </is>
      </c>
      <c r="B464" s="48" t="inlineStr">
        <is>
          <t>UPLOAD_VIEW</t>
        </is>
      </c>
      <c r="C464" s="48" t="inlineStr">
        <is>
          <t>2.11</t>
        </is>
      </c>
      <c r="D464" s="48" t="inlineStr">
        <is>
          <t>Nhom 2 - Logic</t>
        </is>
      </c>
      <c r="E464" s="48" t="inlineStr">
        <is>
          <t>Join dùng key hợp lý, không lạm dụng UNION ALL + EXISTS/NOT EXISTS</t>
        </is>
      </c>
      <c r="F464" s="49" t="inlineStr">
        <is>
          <t>PASS</t>
        </is>
      </c>
      <c r="G464" s="48" t="inlineStr">
        <is>
          <t>Pass</t>
        </is>
      </c>
      <c r="H464" s="50" t="inlineStr">
        <is>
          <t>join đều theo điều kiện bằng, không lạm dụng UNION ALL + EXISTS</t>
        </is>
      </c>
      <c r="I464" s="50" t="inlineStr">
        <is>
          <t>Ưu tiên LEFT JOIN theo business key hoặc hashkey. Xem lại các chỗ dùng UNION ALL kết hợp EXISTS/NOT EXISTS — thường thay được bằng một LEFT JOIN. Join không có điều kiện bằng (=) dễ tạo tích Descartes.</t>
        </is>
      </c>
      <c r="J464" s="48" t="inlineStr">
        <is>
          <t>025. OCB_GOLD_TCKH_V_P_CP_BDH_UPL_PHAT.xlsx [Script: V_P_CP_BDH_UPL]</t>
        </is>
      </c>
    </row>
    <row r="465">
      <c r="A465" s="48" t="inlineStr">
        <is>
          <t>TCKH.V_P_CP_BDH_UPL</t>
        </is>
      </c>
      <c r="B465" s="48" t="inlineStr">
        <is>
          <t>UPLOAD_VIEW</t>
        </is>
      </c>
      <c r="C465" s="48" t="inlineStr">
        <is>
          <t>2.12</t>
        </is>
      </c>
      <c r="D465" s="48" t="inlineStr">
        <is>
          <t>Nhom 2 - Logic</t>
        </is>
      </c>
      <c r="E465" s="48" t="inlineStr">
        <is>
          <t>Build Gold từ CTE snapshot Silver, không build nhiều tầng chồng chéo</t>
        </is>
      </c>
      <c r="F465" s="48" t="inlineStr">
        <is>
          <t>N-A</t>
        </is>
      </c>
      <c r="G465" s="48" t="inlineStr">
        <is>
          <t>Pass</t>
        </is>
      </c>
      <c r="H465" s="50" t="inlineStr">
        <is>
          <t>khong ap dung cho profile UPLOAD_VIEW</t>
        </is>
      </c>
      <c r="I4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65" s="48" t="inlineStr">
        <is>
          <t>025. OCB_GOLD_TCKH_V_P_CP_BDH_UPL_PHAT.xlsx [Script: V_P_CP_BDH_UPL]</t>
        </is>
      </c>
    </row>
    <row r="466">
      <c r="A466" s="48" t="inlineStr">
        <is>
          <t>TCKH.V_P_CP_BDH_UPL</t>
        </is>
      </c>
      <c r="B466" s="48" t="inlineStr">
        <is>
          <t>UPLOAD_VIEW</t>
        </is>
      </c>
      <c r="C466" s="48" t="inlineStr">
        <is>
          <t>3.1</t>
        </is>
      </c>
      <c r="D466" s="48" t="inlineStr">
        <is>
          <t>Nhom 3 - Optimization</t>
        </is>
      </c>
      <c r="E466" s="48" t="inlineStr">
        <is>
          <t>Không SELECT *</t>
        </is>
      </c>
      <c r="F466" s="49" t="inlineStr">
        <is>
          <t>PASS</t>
        </is>
      </c>
      <c r="G466" s="48" t="inlineStr">
        <is>
          <t>Pass</t>
        </is>
      </c>
      <c r="H466" s="50" t="inlineStr">
        <is>
          <t>không dùng SELECT * ở đâu</t>
        </is>
      </c>
      <c r="I466" s="50" t="inlineStr">
        <is>
          <t>Liệt kê tường minh các cột cần dùng, kể cả trong CTE trung gian. SELECT * làm tăng IO/memory và vỡ script khi bảng nguồn thêm cột.</t>
        </is>
      </c>
      <c r="J466" s="48" t="inlineStr">
        <is>
          <t>025. OCB_GOLD_TCKH_V_P_CP_BDH_UPL_PHAT.xlsx [Script: V_P_CP_BDH_UPL]</t>
        </is>
      </c>
    </row>
    <row r="467">
      <c r="A467" s="48" t="inlineStr">
        <is>
          <t>TCKH.V_P_CP_BDH_UPL</t>
        </is>
      </c>
      <c r="B467" s="48" t="inlineStr">
        <is>
          <t>UPLOAD_VIEW</t>
        </is>
      </c>
      <c r="C467" s="48" t="inlineStr">
        <is>
          <t>3.2</t>
        </is>
      </c>
      <c r="D467" s="48" t="inlineStr">
        <is>
          <t>Nhom 3 - Optimization</t>
        </is>
      </c>
      <c r="E467" s="48" t="inlineStr">
        <is>
          <t>CTE không bị scan lại nhiều lần</t>
        </is>
      </c>
      <c r="F467" s="49" t="inlineStr">
        <is>
          <t>PASS</t>
        </is>
      </c>
      <c r="G467" s="48" t="inlineStr">
        <is>
          <t>Pass</t>
        </is>
      </c>
      <c r="H467" s="50" t="inlineStr">
        <is>
          <t>không có CTE nào bị gọi lại</t>
        </is>
      </c>
      <c r="I467" s="50" t="inlineStr">
        <is>
          <t>Với CTE nặng (đọc nhiều bảng Silver) bị tham chiếu từ 2 chỗ trở lên: gom lại còn một lần dùng, hoặc vật chất hóa (CACHE / bảng tạm). CTE nhẹ chỉ chứa tham số thì bỏ qua được — tự tick Pass.</t>
        </is>
      </c>
      <c r="J467" s="48" t="inlineStr">
        <is>
          <t>025. OCB_GOLD_TCKH_V_P_CP_BDH_UPL_PHAT.xlsx [Script: V_P_CP_BDH_UPL]</t>
        </is>
      </c>
    </row>
    <row r="468">
      <c r="A468" s="48" t="inlineStr">
        <is>
          <t>TCKH.V_P_CP_BDH_UPL</t>
        </is>
      </c>
      <c r="B468" s="48" t="inlineStr">
        <is>
          <t>UPLOAD_VIEW</t>
        </is>
      </c>
      <c r="C468" s="48" t="inlineStr">
        <is>
          <t>3.3</t>
        </is>
      </c>
      <c r="D468" s="48" t="inlineStr">
        <is>
          <t>Nhom 3 - Optimization</t>
        </is>
      </c>
      <c r="E468" s="48" t="inlineStr">
        <is>
          <t>Filter trước khi join, tận dụng partition pruning</t>
        </is>
      </c>
      <c r="F468" s="48" t="inlineStr">
        <is>
          <t>N-A</t>
        </is>
      </c>
      <c r="G468" s="48" t="inlineStr">
        <is>
          <t>Pass</t>
        </is>
      </c>
      <c r="H468" s="50" t="inlineStr">
        <is>
          <t>khong ap dung cho profile UPLOAD_VIEW</t>
        </is>
      </c>
      <c r="I468" s="50" t="inlineStr">
        <is>
          <t>Đưa điều kiện lọc (ngày dữ liệu, trạng thái) vào subquery của từng bảng TRƯỚC khi join, để tận dụng partition pruning. Bảng dim nhỏ không partition thì không cần — tự tick Pass.</t>
        </is>
      </c>
      <c r="J468" s="48" t="inlineStr">
        <is>
          <t>025. OCB_GOLD_TCKH_V_P_CP_BDH_UPL_PHAT.xlsx [Script: V_P_CP_BDH_UPL]</t>
        </is>
      </c>
    </row>
    <row r="469">
      <c r="A469" s="48" t="inlineStr">
        <is>
          <t>TCKH.V_P_CP_BDH_UPL</t>
        </is>
      </c>
      <c r="B469" s="48" t="inlineStr">
        <is>
          <t>UPLOAD_VIEW</t>
        </is>
      </c>
      <c r="C469" s="48" t="inlineStr">
        <is>
          <t>3.4</t>
        </is>
      </c>
      <c r="D469" s="48" t="inlineStr">
        <is>
          <t>Nhom 3 - Optimization</t>
        </is>
      </c>
      <c r="E469" s="48" t="inlineStr">
        <is>
          <t>Sử dụng CACHE cho query lặp lại trong cùng luồng</t>
        </is>
      </c>
      <c r="F469" s="48" t="inlineStr">
        <is>
          <t>N-A</t>
        </is>
      </c>
      <c r="G469" s="48" t="inlineStr">
        <is>
          <t>Pass</t>
        </is>
      </c>
      <c r="H469" s="50" t="inlineStr">
        <is>
          <t>không có kết quả nào được dùng lại nhiều lần nên chưa cần CACHE</t>
        </is>
      </c>
      <c r="I469" s="50" t="inlineStr">
        <is>
          <t>Nếu một kết quả nặng được dùng lại nhiều bước trong cùng luồng, thêm CACHE TABLE / CACHE SELECT. Kết quả nhỏ thì cache còn chậm hơn — tự tick Pass.</t>
        </is>
      </c>
      <c r="J469" s="48" t="inlineStr">
        <is>
          <t>025. OCB_GOLD_TCKH_V_P_CP_BDH_UPL_PHAT.xlsx [Script: V_P_CP_BDH_UPL]</t>
        </is>
      </c>
    </row>
    <row r="470">
      <c r="A470" s="48" t="inlineStr">
        <is>
          <t>TCKH.V_P_CP_BDH_UPL</t>
        </is>
      </c>
      <c r="B470" s="48" t="inlineStr">
        <is>
          <t>UPLOAD_VIEW</t>
        </is>
      </c>
      <c r="C470" s="48" t="inlineStr">
        <is>
          <t>3.5</t>
        </is>
      </c>
      <c r="D470" s="48" t="inlineStr">
        <is>
          <t>Nhom 3 - Optimization</t>
        </is>
      </c>
      <c r="E470" s="48" t="inlineStr">
        <is>
          <t>Ưu tiên MAX_BY + QUALIFY thay ROW_NUMBER() + WHERE rn = 1</t>
        </is>
      </c>
      <c r="F470" s="48" t="inlineStr">
        <is>
          <t>N-A</t>
        </is>
      </c>
      <c r="G470" s="48" t="inlineStr">
        <is>
          <t>Pass</t>
        </is>
      </c>
      <c r="H470" s="50" t="inlineStr">
        <is>
          <t>script không dùng ROW_NUMBER, và MAX_BY (nếu có) không vượt quá 5 cột/khối</t>
        </is>
      </c>
      <c r="I4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70" s="48" t="inlineStr">
        <is>
          <t>025. OCB_GOLD_TCKH_V_P_CP_BDH_UPL_PHAT.xlsx [Script: V_P_CP_BDH_UPL]</t>
        </is>
      </c>
    </row>
    <row r="471">
      <c r="A471" s="48" t="inlineStr">
        <is>
          <t>TCKH.V_P_CP_BDH_UPL</t>
        </is>
      </c>
      <c r="B471" s="48" t="inlineStr">
        <is>
          <t>UPLOAD_VIEW</t>
        </is>
      </c>
      <c r="C471" s="48" t="inlineStr">
        <is>
          <t>3.6</t>
        </is>
      </c>
      <c r="D471" s="48" t="inlineStr">
        <is>
          <t>Nhom 3 - Optimization</t>
        </is>
      </c>
      <c r="E471" s="48" t="inlineStr">
        <is>
          <t>Không lạm dụng window function; có comment khi dùng</t>
        </is>
      </c>
      <c r="F471" s="48" t="inlineStr">
        <is>
          <t>N-A</t>
        </is>
      </c>
      <c r="G471" s="48" t="inlineStr">
        <is>
          <t>Pass</t>
        </is>
      </c>
      <c r="H471" s="50" t="inlineStr">
        <is>
          <t>script không dùng window function</t>
        </is>
      </c>
      <c r="I471" s="50" t="inlineStr">
        <is>
          <t>Mỗi window function cần một comment ngay trên khối CTE chứa nó, nói rõ vì sao không dùng được max_by/QUALIFY đơn giản hơn.</t>
        </is>
      </c>
      <c r="J471" s="48" t="inlineStr">
        <is>
          <t>025. OCB_GOLD_TCKH_V_P_CP_BDH_UPL_PHAT.xlsx [Script: V_P_CP_BDH_UPL]</t>
        </is>
      </c>
    </row>
    <row r="472">
      <c r="A472" s="48" t="inlineStr">
        <is>
          <t>TCKH.V_P_CP_BDH_UPL</t>
        </is>
      </c>
      <c r="B472" s="48" t="inlineStr">
        <is>
          <t>UPLOAD_VIEW</t>
        </is>
      </c>
      <c r="C472" s="48" t="inlineStr">
        <is>
          <t>X.1</t>
        </is>
      </c>
      <c r="D472" s="48" t="inlineStr">
        <is>
          <t>Nhom X - Bo sung Raffles</t>
        </is>
      </c>
      <c r="E472" s="48" t="inlineStr">
        <is>
          <t>[Bổ sung] Link phải rút về current trước khi join (chống fan-out)</t>
        </is>
      </c>
      <c r="F472" s="48" t="inlineStr">
        <is>
          <t>N-A</t>
        </is>
      </c>
      <c r="G472" s="48" t="inlineStr">
        <is>
          <t>Pass</t>
        </is>
      </c>
      <c r="H472" s="50" t="inlineStr">
        <is>
          <t>khong ap dung cho profile UPLOAD_VIEW</t>
        </is>
      </c>
      <c r="I4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72" s="48" t="inlineStr">
        <is>
          <t>025. OCB_GOLD_TCKH_V_P_CP_BDH_UPL_PHAT.xlsx [Script: V_P_CP_BDH_UPL]</t>
        </is>
      </c>
    </row>
    <row r="473">
      <c r="A473" s="48" t="inlineStr">
        <is>
          <t>TCKH.V_P_CP_BDH_UPL</t>
        </is>
      </c>
      <c r="B473" s="48" t="inlineStr">
        <is>
          <t>UPLOAD_VIEW</t>
        </is>
      </c>
      <c r="C473" s="48" t="inlineStr">
        <is>
          <t>X.6</t>
        </is>
      </c>
      <c r="D473" s="48" t="inlineStr">
        <is>
          <t>Nhom X - Bo sung Raffles</t>
        </is>
      </c>
      <c r="E473" s="48" t="inlineStr">
        <is>
          <t>[Bổ sung] Satellite phải LEFT JOIN, không INNER JOIN</t>
        </is>
      </c>
      <c r="F473" s="48" t="inlineStr">
        <is>
          <t>N-A</t>
        </is>
      </c>
      <c r="G473" s="48" t="inlineStr">
        <is>
          <t>Pass</t>
        </is>
      </c>
      <c r="H473" s="50" t="inlineStr">
        <is>
          <t>khong ap dung cho profile UPLOAD_VIEW</t>
        </is>
      </c>
      <c r="I473" s="50" t="inlineStr">
        <is>
          <t>Technical Document III.4.2.2 nguyên tắc 1: làm giàu thuộc tính luôn dùng LEFT JOIN. INNER JOIN satellite sẽ loại mất bản ghi Hub đang còn hiệu lực nhưng chưa có dòng satellite.</t>
        </is>
      </c>
      <c r="J473" s="48" t="inlineStr">
        <is>
          <t>025. OCB_GOLD_TCKH_V_P_CP_BDH_UPL_PHAT.xlsx [Script: V_P_CP_BDH_UPL]</t>
        </is>
      </c>
    </row>
    <row r="474">
      <c r="A474" s="48" t="inlineStr">
        <is>
          <t>TCKH.V_P_CP_BDH_UPL</t>
        </is>
      </c>
      <c r="B474" s="48" t="inlineStr">
        <is>
          <t>UPLOAD_VIEW</t>
        </is>
      </c>
      <c r="C474" s="48" t="inlineStr">
        <is>
          <t>X.7</t>
        </is>
      </c>
      <c r="D474" s="48" t="inlineStr">
        <is>
          <t>Nhom X - Bo sung Raffles</t>
        </is>
      </c>
      <c r="E474" s="48" t="inlineStr">
        <is>
          <t>[Bổ sung] Không hard-code catalog, dùng biến môi trường</t>
        </is>
      </c>
      <c r="F474" s="48" t="inlineStr">
        <is>
          <t>N-A</t>
        </is>
      </c>
      <c r="G474" s="48" t="inlineStr">
        <is>
          <t>Pass</t>
        </is>
      </c>
      <c r="H474" s="50" t="inlineStr">
        <is>
          <t>khong ap dung cho profile UPLOAD_VIEW</t>
        </is>
      </c>
      <c r="I4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74" s="48" t="inlineStr">
        <is>
          <t>025. OCB_GOLD_TCKH_V_P_CP_BDH_UPL_PHAT.xlsx [Script: V_P_CP_BDH_UPL]</t>
        </is>
      </c>
    </row>
    <row r="475">
      <c r="A475" s="48" t="inlineStr">
        <is>
          <t>TCKH.V_P_CP_BDH_UPL</t>
        </is>
      </c>
      <c r="B475" s="48" t="inlineStr">
        <is>
          <t>UPLOAD_VIEW</t>
        </is>
      </c>
      <c r="C475" s="48" t="inlineStr">
        <is>
          <t>X.10</t>
        </is>
      </c>
      <c r="D475" s="48" t="inlineStr">
        <is>
          <t>Nhom X - Bo sung Raffles</t>
        </is>
      </c>
      <c r="E475" s="48" t="inlineStr">
        <is>
          <t>Bang raw_vault/business_vault duoc doc phai TON TAI THAT trong Data Vault model</t>
        </is>
      </c>
      <c r="F475" s="48" t="inlineStr">
        <is>
          <t>N-A</t>
        </is>
      </c>
      <c r="G475" s="48" t="inlineStr">
        <is>
          <t>Pass</t>
        </is>
      </c>
      <c r="H475" s="50" t="inlineStr">
        <is>
          <t>script không đọc bảng raw_vault/business_vault nào</t>
        </is>
      </c>
      <c r="I475" s="50" t="inlineStr"/>
      <c r="J475" s="48" t="inlineStr">
        <is>
          <t>025. OCB_GOLD_TCKH_V_P_CP_BDH_UPL_PHAT.xlsx [Script: V_P_CP_BDH_UPL]</t>
        </is>
      </c>
    </row>
    <row r="476">
      <c r="A476" s="48" t="inlineStr">
        <is>
          <t>TCKH.V_P_CP_BDH_UPL</t>
        </is>
      </c>
      <c r="B476" s="48" t="inlineStr">
        <is>
          <t>UPLOAD_VIEW</t>
        </is>
      </c>
      <c r="C476" s="48" t="inlineStr">
        <is>
          <t>X.11</t>
        </is>
      </c>
      <c r="D476" s="48" t="inlineStr">
        <is>
          <t>Nhom X - Bo sung Raffles</t>
        </is>
      </c>
      <c r="E476" s="48" t="inlineStr">
        <is>
          <t>Cot doc tu satellite (sat_*) phai TON TAI THAT trong model</t>
        </is>
      </c>
      <c r="F476" s="48" t="inlineStr">
        <is>
          <t>N-A</t>
        </is>
      </c>
      <c r="G476" s="48" t="inlineStr">
        <is>
          <t>Pass</t>
        </is>
      </c>
      <c r="H476" s="50" t="inlineStr">
        <is>
          <t>không có bảng sat_* nào đủ điều kiện đối chiếu (Select chỉ đọc 1 bảng)</t>
        </is>
      </c>
      <c r="I476" s="50" t="inlineStr"/>
      <c r="J476" s="48" t="inlineStr">
        <is>
          <t>025. OCB_GOLD_TCKH_V_P_CP_BDH_UPL_PHAT.xlsx [Script: V_P_CP_BDH_UPL]</t>
        </is>
      </c>
    </row>
    <row r="477">
      <c r="A477" s="48" t="inlineStr">
        <is>
          <t>TCKH.V_P_REGION_CPHD_UPL</t>
        </is>
      </c>
      <c r="B477" s="48" t="inlineStr">
        <is>
          <t>UPLOAD_VIEW</t>
        </is>
      </c>
      <c r="C477" s="48" t="inlineStr">
        <is>
          <t>1.1</t>
        </is>
      </c>
      <c r="D477" s="48" t="inlineStr">
        <is>
          <t>Nhom 1 - Mapping</t>
        </is>
      </c>
      <c r="E477" s="48" t="inlineStr">
        <is>
          <t>Đầy đủ mapping từ Silver/manual sang Gold</t>
        </is>
      </c>
      <c r="F477" s="49" t="inlineStr">
        <is>
          <t>PASS</t>
        </is>
      </c>
      <c r="G477" s="48" t="inlineStr">
        <is>
          <t>Pass</t>
        </is>
      </c>
      <c r="H477" s="50" t="inlineStr">
        <is>
          <t>workbook 026. OCB_GOLD_TCKH_V_P_REGION_CPHD_UPL_PHAT.xlsx: thiết kế 7 field, SQL có 7 cột</t>
        </is>
      </c>
      <c r="I4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77" s="48" t="inlineStr">
        <is>
          <t>026. OCB_GOLD_TCKH_V_P_REGION_CPHD_UPL_PHAT.xlsx [Script: V_P_REGION_CPHD_UPL]</t>
        </is>
      </c>
    </row>
    <row r="478">
      <c r="A478" s="48" t="inlineStr">
        <is>
          <t>TCKH.V_P_REGION_CPHD_UPL</t>
        </is>
      </c>
      <c r="B478" s="48" t="inlineStr">
        <is>
          <t>UPLOAD_VIEW</t>
        </is>
      </c>
      <c r="C478" s="48" t="inlineStr">
        <is>
          <t>1.2</t>
        </is>
      </c>
      <c r="D478" s="48" t="inlineStr">
        <is>
          <t>Nhom 1 - Mapping</t>
        </is>
      </c>
      <c r="E478" s="48" t="inlineStr">
        <is>
          <t>Danh sách bảng/view Gold khớp tài liệu thiết kế đã duyệt</t>
        </is>
      </c>
      <c r="F478" s="49" t="inlineStr">
        <is>
          <t>PASS</t>
        </is>
      </c>
      <c r="G478" s="48" t="inlineStr">
        <is>
          <t>Pass</t>
        </is>
      </c>
      <c r="H478" s="50" t="inlineStr">
        <is>
          <t>V_P_REGION_CPHD_UPL có workbook thiết kế: 026. OCB_GOLD_TCKH_V_P_REGION_CPHD_UPL_PHAT.xlsx</t>
        </is>
      </c>
      <c r="I478" s="50" t="inlineStr">
        <is>
          <t>Đảm bảo object có workbook thiết kế tương ứng trong thư mục --mapping-dir. Muốn đối chiếu với danh sách đã duyệt thì chạy thêm tham số --gold-list "&lt;file danh sách Gold&gt;.xlsx".</t>
        </is>
      </c>
      <c r="J478" s="48" t="inlineStr">
        <is>
          <t>026. OCB_GOLD_TCKH_V_P_REGION_CPHD_UPL_PHAT.xlsx [Script: V_P_REGION_CPHD_UPL]</t>
        </is>
      </c>
    </row>
    <row r="479">
      <c r="A479" s="48" t="inlineStr">
        <is>
          <t>TCKH.V_P_REGION_CPHD_UPL</t>
        </is>
      </c>
      <c r="B479" s="48" t="inlineStr">
        <is>
          <t>UPLOAD_VIEW</t>
        </is>
      </c>
      <c r="C479" s="48" t="inlineStr">
        <is>
          <t>2.1</t>
        </is>
      </c>
      <c r="D479" s="48" t="inlineStr">
        <is>
          <t>Nhom 2 - Logic</t>
        </is>
      </c>
      <c r="E479" s="48" t="inlineStr">
        <is>
          <t>Chỉ lấy bản ghi active, loại bản ghi đã xóa (qua sts_hub)</t>
        </is>
      </c>
      <c r="F479" s="48" t="inlineStr">
        <is>
          <t>N-A</t>
        </is>
      </c>
      <c r="G479" s="48" t="inlineStr">
        <is>
          <t>Pass</t>
        </is>
      </c>
      <c r="H479" s="50" t="inlineStr">
        <is>
          <t>khong ap dung cho profile UPLOAD_VIEW</t>
        </is>
      </c>
      <c r="I4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79" s="48" t="inlineStr">
        <is>
          <t>026. OCB_GOLD_TCKH_V_P_REGION_CPHD_UPL_PHAT.xlsx [Script: V_P_REGION_CPHD_UPL]</t>
        </is>
      </c>
    </row>
    <row r="480">
      <c r="A480" s="48" t="inlineStr">
        <is>
          <t>TCKH.V_P_REGION_CPHD_UPL</t>
        </is>
      </c>
      <c r="B480" s="48" t="inlineStr">
        <is>
          <t>UPLOAD_VIEW</t>
        </is>
      </c>
      <c r="C480" s="48" t="inlineStr">
        <is>
          <t>2.2</t>
        </is>
      </c>
      <c r="D480" s="48" t="inlineStr">
        <is>
          <t>Nhom 2 - Logic</t>
        </is>
      </c>
      <c r="E480" s="48" t="inlineStr">
        <is>
          <t>Thống nhất MỘT pattern duy nhất xác định bản ghi active mới nhất</t>
        </is>
      </c>
      <c r="F480" s="48" t="inlineStr">
        <is>
          <t>N-A</t>
        </is>
      </c>
      <c r="G480" s="48" t="inlineStr">
        <is>
          <t>Pass</t>
        </is>
      </c>
      <c r="H480" s="50" t="inlineStr">
        <is>
          <t>khong ap dung cho profile UPLOAD_VIEW</t>
        </is>
      </c>
      <c r="I4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80" s="48" t="inlineStr">
        <is>
          <t>026. OCB_GOLD_TCKH_V_P_REGION_CPHD_UPL_PHAT.xlsx [Script: V_P_REGION_CPHD_UPL]</t>
        </is>
      </c>
    </row>
    <row r="481">
      <c r="A481" s="48" t="inlineStr">
        <is>
          <t>TCKH.V_P_REGION_CPHD_UPL</t>
        </is>
      </c>
      <c r="B481" s="48" t="inlineStr">
        <is>
          <t>UPLOAD_VIEW</t>
        </is>
      </c>
      <c r="C481" s="48" t="inlineStr">
        <is>
          <t>2.3</t>
        </is>
      </c>
      <c r="D481" s="48" t="inlineStr">
        <is>
          <t>Nhom 2 - Logic</t>
        </is>
      </c>
      <c r="E481" s="48" t="inlineStr">
        <is>
          <t>Điều kiện lọc trạng thái đặt SAU khi xác định bản ghi mới nhất</t>
        </is>
      </c>
      <c r="F481" s="48" t="inlineStr">
        <is>
          <t>N-A</t>
        </is>
      </c>
      <c r="G481" s="48" t="inlineStr">
        <is>
          <t>Pass</t>
        </is>
      </c>
      <c r="H481" s="50" t="inlineStr">
        <is>
          <t>khong ap dung cho profile UPLOAD_VIEW</t>
        </is>
      </c>
      <c r="I4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81" s="48" t="inlineStr">
        <is>
          <t>026. OCB_GOLD_TCKH_V_P_REGION_CPHD_UPL_PHAT.xlsx [Script: V_P_REGION_CPHD_UPL]</t>
        </is>
      </c>
    </row>
    <row r="482">
      <c r="A482" s="48" t="inlineStr">
        <is>
          <t>TCKH.V_P_REGION_CPHD_UPL</t>
        </is>
      </c>
      <c r="B482" s="48" t="inlineStr">
        <is>
          <t>UPLOAD_VIEW</t>
        </is>
      </c>
      <c r="C482" s="48" t="inlineStr">
        <is>
          <t>2.4</t>
        </is>
      </c>
      <c r="D482" s="48" t="inlineStr">
        <is>
          <t>Nhom 2 - Logic</t>
        </is>
      </c>
      <c r="E482" s="48" t="inlineStr">
        <is>
          <t>source_event_date áp dụng đúng dạng theo loại bảng</t>
        </is>
      </c>
      <c r="F482" s="48" t="inlineStr">
        <is>
          <t>N-A</t>
        </is>
      </c>
      <c r="G482" s="48" t="inlineStr">
        <is>
          <t>Pass</t>
        </is>
      </c>
      <c r="H482" s="50" t="inlineStr">
        <is>
          <t>khong ap dung cho profile UPLOAD_VIEW</t>
        </is>
      </c>
      <c r="I4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82" s="48" t="inlineStr">
        <is>
          <t>026. OCB_GOLD_TCKH_V_P_REGION_CPHD_UPL_PHAT.xlsx [Script: V_P_REGION_CPHD_UPL]</t>
        </is>
      </c>
    </row>
    <row r="483">
      <c r="A483" s="48" t="inlineStr">
        <is>
          <t>TCKH.V_P_REGION_CPHD_UPL</t>
        </is>
      </c>
      <c r="B483" s="48" t="inlineStr">
        <is>
          <t>UPLOAD_VIEW</t>
        </is>
      </c>
      <c r="C483" s="48" t="inlineStr">
        <is>
          <t>2.5</t>
        </is>
      </c>
      <c r="D483" s="48" t="inlineStr">
        <is>
          <t>Nhom 2 - Logic</t>
        </is>
      </c>
      <c r="E483" s="48" t="inlineStr">
        <is>
          <t>Không lặp lại lỗi logic cũ đã được DA Data Vault fix</t>
        </is>
      </c>
      <c r="F483" s="49" t="inlineStr">
        <is>
          <t>PASS</t>
        </is>
      </c>
      <c r="G483" s="48" t="inlineStr">
        <is>
          <t>Pass</t>
        </is>
      </c>
      <c r="H483" s="50" t="inlineStr">
        <is>
          <t>không trùng lỗi nào trong Issue log của DA Data Vault</t>
        </is>
      </c>
      <c r="I4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83" s="48" t="inlineStr">
        <is>
          <t>026. OCB_GOLD_TCKH_V_P_REGION_CPHD_UPL_PHAT.xlsx [Script: V_P_REGION_CPHD_UPL]</t>
        </is>
      </c>
    </row>
    <row r="484">
      <c r="A484" s="48" t="inlineStr">
        <is>
          <t>TCKH.V_P_REGION_CPHD_UPL</t>
        </is>
      </c>
      <c r="B484" s="48" t="inlineStr">
        <is>
          <t>UPLOAD_VIEW</t>
        </is>
      </c>
      <c r="C484" s="48" t="inlineStr">
        <is>
          <t>2.6</t>
        </is>
      </c>
      <c r="D484" s="48" t="inlineStr">
        <is>
          <t>Nhom 2 - Logic</t>
        </is>
      </c>
      <c r="E484" s="48" t="inlineStr">
        <is>
          <t>SCD Type 2 cho bảng DIM áp dụng đúng kỹ thuật đã thống nhất</t>
        </is>
      </c>
      <c r="F484" s="48" t="inlineStr">
        <is>
          <t>N-A</t>
        </is>
      </c>
      <c r="G484" s="48" t="inlineStr">
        <is>
          <t>Pass</t>
        </is>
      </c>
      <c r="H484" s="50" t="inlineStr">
        <is>
          <t>object không phải bảng DIM nên không áp dụng SCD Type 2</t>
        </is>
      </c>
      <c r="I4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84" s="48" t="inlineStr">
        <is>
          <t>026. OCB_GOLD_TCKH_V_P_REGION_CPHD_UPL_PHAT.xlsx [Script: V_P_REGION_CPHD_UPL]</t>
        </is>
      </c>
    </row>
    <row r="485">
      <c r="A485" s="48" t="inlineStr">
        <is>
          <t>TCKH.V_P_REGION_CPHD_UPL</t>
        </is>
      </c>
      <c r="B485" s="48" t="inlineStr">
        <is>
          <t>UPLOAD_VIEW</t>
        </is>
      </c>
      <c r="C485" s="48" t="inlineStr">
        <is>
          <t>2.7</t>
        </is>
      </c>
      <c r="D485" s="48" t="inlineStr">
        <is>
          <t>Nhom 2 - Logic</t>
        </is>
      </c>
      <c r="E485" s="48" t="inlineStr">
        <is>
          <t>CASE WHEN cover đủ nhánh như job on-prem</t>
        </is>
      </c>
      <c r="F485" s="48" t="inlineStr">
        <is>
          <t>N-A</t>
        </is>
      </c>
      <c r="G485" s="48" t="inlineStr">
        <is>
          <t>Pass</t>
        </is>
      </c>
      <c r="H485" s="50" t="inlineStr">
        <is>
          <t>script không có CASE WHEN nào</t>
        </is>
      </c>
      <c r="I485" s="50" t="inlineStr">
        <is>
          <t>Mở job on-prem tương ứng (DataStage DSX hoặc SQL cũ), đối chiếu từng nhánh WHEN và cả nhánh ELSE. CASE không có ELSE sẽ trả NULL âm thầm — xác nhận đó là ý muốn hay thiếu nhánh.</t>
        </is>
      </c>
      <c r="J485" s="48" t="inlineStr">
        <is>
          <t>026. OCB_GOLD_TCKH_V_P_REGION_CPHD_UPL_PHAT.xlsx [Script: V_P_REGION_CPHD_UPL]</t>
        </is>
      </c>
    </row>
    <row r="486">
      <c r="A486" s="48" t="inlineStr">
        <is>
          <t>TCKH.V_P_REGION_CPHD_UPL</t>
        </is>
      </c>
      <c r="B486" s="48" t="inlineStr">
        <is>
          <t>UPLOAD_VIEW</t>
        </is>
      </c>
      <c r="C486" s="48" t="inlineStr">
        <is>
          <t>2.8</t>
        </is>
      </c>
      <c r="D486" s="48" t="inlineStr">
        <is>
          <t>Nhom 2 - Logic</t>
        </is>
      </c>
      <c r="E486" s="48" t="inlineStr">
        <is>
          <t>Cột SUM/COUNT được COALESCE/NVL hợp lý</t>
        </is>
      </c>
      <c r="F486" s="49" t="inlineStr">
        <is>
          <t>PASS</t>
        </is>
      </c>
      <c r="G486" s="48" t="inlineStr">
        <is>
          <t>Pass</t>
        </is>
      </c>
      <c r="H486" s="50" t="inlineStr">
        <is>
          <t>mọi SUM/COUNT đều đã coalesce (trực tiếp hoặc ở lớp ngoài)</t>
        </is>
      </c>
      <c r="I4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86" s="48" t="inlineStr">
        <is>
          <t>026. OCB_GOLD_TCKH_V_P_REGION_CPHD_UPL_PHAT.xlsx [Script: V_P_REGION_CPHD_UPL]</t>
        </is>
      </c>
    </row>
    <row r="487">
      <c r="A487" s="48" t="inlineStr">
        <is>
          <t>TCKH.V_P_REGION_CPHD_UPL</t>
        </is>
      </c>
      <c r="B487" s="48" t="inlineStr">
        <is>
          <t>UPLOAD_VIEW</t>
        </is>
      </c>
      <c r="C487" s="48" t="inlineStr">
        <is>
          <t>2.9</t>
        </is>
      </c>
      <c r="D487" s="48" t="inlineStr">
        <is>
          <t>Nhom 2 - Logic</t>
        </is>
      </c>
      <c r="E487" s="48" t="inlineStr">
        <is>
          <t>Subquery / custom function / điều kiện LIKE đúng ý nghĩa nghiệp vụ</t>
        </is>
      </c>
      <c r="F487" s="48" t="inlineStr">
        <is>
          <t>N-A</t>
        </is>
      </c>
      <c r="G487" s="48" t="inlineStr">
        <is>
          <t>Pass</t>
        </is>
      </c>
      <c r="H487" s="50" t="inlineStr">
        <is>
          <t>script không có điều kiện LIKE hay scalar subquery nào</t>
        </is>
      </c>
      <c r="I487" s="50" t="inlineStr">
        <is>
          <t>Đọc lại từng điều kiện LIKE và từng subquery, đối chiếu ý nghĩa nghiệp vụ với on-prem — đúng cú pháp không đủ. Chú ý pattern LIKE có ký tự % ở đầu/cuối và phân biệt chữ hoa/thường.</t>
        </is>
      </c>
      <c r="J487" s="48" t="inlineStr">
        <is>
          <t>026. OCB_GOLD_TCKH_V_P_REGION_CPHD_UPL_PHAT.xlsx [Script: V_P_REGION_CPHD_UPL]</t>
        </is>
      </c>
    </row>
    <row r="488">
      <c r="A488" s="48" t="inlineStr">
        <is>
          <t>TCKH.V_P_REGION_CPHD_UPL</t>
        </is>
      </c>
      <c r="B488" s="48" t="inlineStr">
        <is>
          <t>UPLOAD_VIEW</t>
        </is>
      </c>
      <c r="C488" s="48" t="inlineStr">
        <is>
          <t>2.10</t>
        </is>
      </c>
      <c r="D488" s="48" t="inlineStr">
        <is>
          <t>Nhom 2 - Logic</t>
        </is>
      </c>
      <c r="E488" s="48" t="inlineStr">
        <is>
          <t>Aggregation kèm filter date range chính xác</t>
        </is>
      </c>
      <c r="F488" s="49" t="inlineStr">
        <is>
          <t>PASS</t>
        </is>
      </c>
      <c r="G488" s="48" t="inlineStr">
        <is>
          <t>Pass</t>
        </is>
      </c>
      <c r="H488" s="50" t="inlineStr">
        <is>
          <t>mọi khối tổng hợp đều có điều kiện theo kỳ dữ liệu</t>
        </is>
      </c>
      <c r="I488" s="50" t="inlineStr">
        <is>
          <t>Mỗi khối SUM/COUNT/AVG phải có điều kiện lọc theo kỳ dữ liệu (CDR_DT_ID, DATA_DATE, :DATADT…). Nếu điều kiện nằm ở CTE nguồn thì ghi rõ trong comment để người review không phải truy ngược.</t>
        </is>
      </c>
      <c r="J488" s="48" t="inlineStr">
        <is>
          <t>026. OCB_GOLD_TCKH_V_P_REGION_CPHD_UPL_PHAT.xlsx [Script: V_P_REGION_CPHD_UPL]</t>
        </is>
      </c>
    </row>
    <row r="489">
      <c r="A489" s="48" t="inlineStr">
        <is>
          <t>TCKH.V_P_REGION_CPHD_UPL</t>
        </is>
      </c>
      <c r="B489" s="48" t="inlineStr">
        <is>
          <t>UPLOAD_VIEW</t>
        </is>
      </c>
      <c r="C489" s="48" t="inlineStr">
        <is>
          <t>2.11</t>
        </is>
      </c>
      <c r="D489" s="48" t="inlineStr">
        <is>
          <t>Nhom 2 - Logic</t>
        </is>
      </c>
      <c r="E489" s="48" t="inlineStr">
        <is>
          <t>Join dùng key hợp lý, không lạm dụng UNION ALL + EXISTS/NOT EXISTS</t>
        </is>
      </c>
      <c r="F489" s="49" t="inlineStr">
        <is>
          <t>PASS</t>
        </is>
      </c>
      <c r="G489" s="48" t="inlineStr">
        <is>
          <t>Pass</t>
        </is>
      </c>
      <c r="H489" s="50" t="inlineStr">
        <is>
          <t>join đều theo điều kiện bằng, không lạm dụng UNION ALL + EXISTS</t>
        </is>
      </c>
      <c r="I489" s="50" t="inlineStr">
        <is>
          <t>Ưu tiên LEFT JOIN theo business key hoặc hashkey. Xem lại các chỗ dùng UNION ALL kết hợp EXISTS/NOT EXISTS — thường thay được bằng một LEFT JOIN. Join không có điều kiện bằng (=) dễ tạo tích Descartes.</t>
        </is>
      </c>
      <c r="J489" s="48" t="inlineStr">
        <is>
          <t>026. OCB_GOLD_TCKH_V_P_REGION_CPHD_UPL_PHAT.xlsx [Script: V_P_REGION_CPHD_UPL]</t>
        </is>
      </c>
    </row>
    <row r="490">
      <c r="A490" s="48" t="inlineStr">
        <is>
          <t>TCKH.V_P_REGION_CPHD_UPL</t>
        </is>
      </c>
      <c r="B490" s="48" t="inlineStr">
        <is>
          <t>UPLOAD_VIEW</t>
        </is>
      </c>
      <c r="C490" s="48" t="inlineStr">
        <is>
          <t>2.12</t>
        </is>
      </c>
      <c r="D490" s="48" t="inlineStr">
        <is>
          <t>Nhom 2 - Logic</t>
        </is>
      </c>
      <c r="E490" s="48" t="inlineStr">
        <is>
          <t>Build Gold từ CTE snapshot Silver, không build nhiều tầng chồng chéo</t>
        </is>
      </c>
      <c r="F490" s="48" t="inlineStr">
        <is>
          <t>N-A</t>
        </is>
      </c>
      <c r="G490" s="48" t="inlineStr">
        <is>
          <t>Pass</t>
        </is>
      </c>
      <c r="H490" s="50" t="inlineStr">
        <is>
          <t>khong ap dung cho profile UPLOAD_VIEW</t>
        </is>
      </c>
      <c r="I4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90" s="48" t="inlineStr">
        <is>
          <t>026. OCB_GOLD_TCKH_V_P_REGION_CPHD_UPL_PHAT.xlsx [Script: V_P_REGION_CPHD_UPL]</t>
        </is>
      </c>
    </row>
    <row r="491">
      <c r="A491" s="48" t="inlineStr">
        <is>
          <t>TCKH.V_P_REGION_CPHD_UPL</t>
        </is>
      </c>
      <c r="B491" s="48" t="inlineStr">
        <is>
          <t>UPLOAD_VIEW</t>
        </is>
      </c>
      <c r="C491" s="48" t="inlineStr">
        <is>
          <t>3.1</t>
        </is>
      </c>
      <c r="D491" s="48" t="inlineStr">
        <is>
          <t>Nhom 3 - Optimization</t>
        </is>
      </c>
      <c r="E491" s="48" t="inlineStr">
        <is>
          <t>Không SELECT *</t>
        </is>
      </c>
      <c r="F491" s="49" t="inlineStr">
        <is>
          <t>PASS</t>
        </is>
      </c>
      <c r="G491" s="48" t="inlineStr">
        <is>
          <t>Pass</t>
        </is>
      </c>
      <c r="H491" s="50" t="inlineStr">
        <is>
          <t>không dùng SELECT * ở đâu</t>
        </is>
      </c>
      <c r="I491" s="50" t="inlineStr">
        <is>
          <t>Liệt kê tường minh các cột cần dùng, kể cả trong CTE trung gian. SELECT * làm tăng IO/memory và vỡ script khi bảng nguồn thêm cột.</t>
        </is>
      </c>
      <c r="J491" s="48" t="inlineStr">
        <is>
          <t>026. OCB_GOLD_TCKH_V_P_REGION_CPHD_UPL_PHAT.xlsx [Script: V_P_REGION_CPHD_UPL]</t>
        </is>
      </c>
    </row>
    <row r="492">
      <c r="A492" s="48" t="inlineStr">
        <is>
          <t>TCKH.V_P_REGION_CPHD_UPL</t>
        </is>
      </c>
      <c r="B492" s="48" t="inlineStr">
        <is>
          <t>UPLOAD_VIEW</t>
        </is>
      </c>
      <c r="C492" s="48" t="inlineStr">
        <is>
          <t>3.2</t>
        </is>
      </c>
      <c r="D492" s="48" t="inlineStr">
        <is>
          <t>Nhom 3 - Optimization</t>
        </is>
      </c>
      <c r="E492" s="48" t="inlineStr">
        <is>
          <t>CTE không bị scan lại nhiều lần</t>
        </is>
      </c>
      <c r="F492" s="49" t="inlineStr">
        <is>
          <t>PASS</t>
        </is>
      </c>
      <c r="G492" s="48" t="inlineStr">
        <is>
          <t>Pass</t>
        </is>
      </c>
      <c r="H492" s="50" t="inlineStr">
        <is>
          <t>không có CTE nào bị gọi lại</t>
        </is>
      </c>
      <c r="I492" s="50" t="inlineStr">
        <is>
          <t>Với CTE nặng (đọc nhiều bảng Silver) bị tham chiếu từ 2 chỗ trở lên: gom lại còn một lần dùng, hoặc vật chất hóa (CACHE / bảng tạm). CTE nhẹ chỉ chứa tham số thì bỏ qua được — tự tick Pass.</t>
        </is>
      </c>
      <c r="J492" s="48" t="inlineStr">
        <is>
          <t>026. OCB_GOLD_TCKH_V_P_REGION_CPHD_UPL_PHAT.xlsx [Script: V_P_REGION_CPHD_UPL]</t>
        </is>
      </c>
    </row>
    <row r="493">
      <c r="A493" s="48" t="inlineStr">
        <is>
          <t>TCKH.V_P_REGION_CPHD_UPL</t>
        </is>
      </c>
      <c r="B493" s="48" t="inlineStr">
        <is>
          <t>UPLOAD_VIEW</t>
        </is>
      </c>
      <c r="C493" s="48" t="inlineStr">
        <is>
          <t>3.3</t>
        </is>
      </c>
      <c r="D493" s="48" t="inlineStr">
        <is>
          <t>Nhom 3 - Optimization</t>
        </is>
      </c>
      <c r="E493" s="48" t="inlineStr">
        <is>
          <t>Filter trước khi join, tận dụng partition pruning</t>
        </is>
      </c>
      <c r="F493" s="48" t="inlineStr">
        <is>
          <t>N-A</t>
        </is>
      </c>
      <c r="G493" s="48" t="inlineStr">
        <is>
          <t>Pass</t>
        </is>
      </c>
      <c r="H493" s="50" t="inlineStr">
        <is>
          <t>khong ap dung cho profile UPLOAD_VIEW</t>
        </is>
      </c>
      <c r="I493" s="50" t="inlineStr">
        <is>
          <t>Đưa điều kiện lọc (ngày dữ liệu, trạng thái) vào subquery của từng bảng TRƯỚC khi join, để tận dụng partition pruning. Bảng dim nhỏ không partition thì không cần — tự tick Pass.</t>
        </is>
      </c>
      <c r="J493" s="48" t="inlineStr">
        <is>
          <t>026. OCB_GOLD_TCKH_V_P_REGION_CPHD_UPL_PHAT.xlsx [Script: V_P_REGION_CPHD_UPL]</t>
        </is>
      </c>
    </row>
    <row r="494">
      <c r="A494" s="48" t="inlineStr">
        <is>
          <t>TCKH.V_P_REGION_CPHD_UPL</t>
        </is>
      </c>
      <c r="B494" s="48" t="inlineStr">
        <is>
          <t>UPLOAD_VIEW</t>
        </is>
      </c>
      <c r="C494" s="48" t="inlineStr">
        <is>
          <t>3.4</t>
        </is>
      </c>
      <c r="D494" s="48" t="inlineStr">
        <is>
          <t>Nhom 3 - Optimization</t>
        </is>
      </c>
      <c r="E494" s="48" t="inlineStr">
        <is>
          <t>Sử dụng CACHE cho query lặp lại trong cùng luồng</t>
        </is>
      </c>
      <c r="F494" s="48" t="inlineStr">
        <is>
          <t>N-A</t>
        </is>
      </c>
      <c r="G494" s="48" t="inlineStr">
        <is>
          <t>Pass</t>
        </is>
      </c>
      <c r="H494" s="50" t="inlineStr">
        <is>
          <t>không có kết quả nào được dùng lại nhiều lần nên chưa cần CACHE</t>
        </is>
      </c>
      <c r="I494" s="50" t="inlineStr">
        <is>
          <t>Nếu một kết quả nặng được dùng lại nhiều bước trong cùng luồng, thêm CACHE TABLE / CACHE SELECT. Kết quả nhỏ thì cache còn chậm hơn — tự tick Pass.</t>
        </is>
      </c>
      <c r="J494" s="48" t="inlineStr">
        <is>
          <t>026. OCB_GOLD_TCKH_V_P_REGION_CPHD_UPL_PHAT.xlsx [Script: V_P_REGION_CPHD_UPL]</t>
        </is>
      </c>
    </row>
    <row r="495">
      <c r="A495" s="48" t="inlineStr">
        <is>
          <t>TCKH.V_P_REGION_CPHD_UPL</t>
        </is>
      </c>
      <c r="B495" s="48" t="inlineStr">
        <is>
          <t>UPLOAD_VIEW</t>
        </is>
      </c>
      <c r="C495" s="48" t="inlineStr">
        <is>
          <t>3.5</t>
        </is>
      </c>
      <c r="D495" s="48" t="inlineStr">
        <is>
          <t>Nhom 3 - Optimization</t>
        </is>
      </c>
      <c r="E495" s="48" t="inlineStr">
        <is>
          <t>Ưu tiên MAX_BY + QUALIFY thay ROW_NUMBER() + WHERE rn = 1</t>
        </is>
      </c>
      <c r="F495" s="48" t="inlineStr">
        <is>
          <t>N-A</t>
        </is>
      </c>
      <c r="G495" s="48" t="inlineStr">
        <is>
          <t>Pass</t>
        </is>
      </c>
      <c r="H495" s="50" t="inlineStr">
        <is>
          <t>script không dùng ROW_NUMBER, và MAX_BY (nếu có) không vượt quá 5 cột/khối</t>
        </is>
      </c>
      <c r="I4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95" s="48" t="inlineStr">
        <is>
          <t>026. OCB_GOLD_TCKH_V_P_REGION_CPHD_UPL_PHAT.xlsx [Script: V_P_REGION_CPHD_UPL]</t>
        </is>
      </c>
    </row>
    <row r="496">
      <c r="A496" s="48" t="inlineStr">
        <is>
          <t>TCKH.V_P_REGION_CPHD_UPL</t>
        </is>
      </c>
      <c r="B496" s="48" t="inlineStr">
        <is>
          <t>UPLOAD_VIEW</t>
        </is>
      </c>
      <c r="C496" s="48" t="inlineStr">
        <is>
          <t>3.6</t>
        </is>
      </c>
      <c r="D496" s="48" t="inlineStr">
        <is>
          <t>Nhom 3 - Optimization</t>
        </is>
      </c>
      <c r="E496" s="48" t="inlineStr">
        <is>
          <t>Không lạm dụng window function; có comment khi dùng</t>
        </is>
      </c>
      <c r="F496" s="48" t="inlineStr">
        <is>
          <t>N-A</t>
        </is>
      </c>
      <c r="G496" s="48" t="inlineStr">
        <is>
          <t>Pass</t>
        </is>
      </c>
      <c r="H496" s="50" t="inlineStr">
        <is>
          <t>script không dùng window function</t>
        </is>
      </c>
      <c r="I496" s="50" t="inlineStr">
        <is>
          <t>Mỗi window function cần một comment ngay trên khối CTE chứa nó, nói rõ vì sao không dùng được max_by/QUALIFY đơn giản hơn.</t>
        </is>
      </c>
      <c r="J496" s="48" t="inlineStr">
        <is>
          <t>026. OCB_GOLD_TCKH_V_P_REGION_CPHD_UPL_PHAT.xlsx [Script: V_P_REGION_CPHD_UPL]</t>
        </is>
      </c>
    </row>
    <row r="497">
      <c r="A497" s="48" t="inlineStr">
        <is>
          <t>TCKH.V_P_REGION_CPHD_UPL</t>
        </is>
      </c>
      <c r="B497" s="48" t="inlineStr">
        <is>
          <t>UPLOAD_VIEW</t>
        </is>
      </c>
      <c r="C497" s="48" t="inlineStr">
        <is>
          <t>X.1</t>
        </is>
      </c>
      <c r="D497" s="48" t="inlineStr">
        <is>
          <t>Nhom X - Bo sung Raffles</t>
        </is>
      </c>
      <c r="E497" s="48" t="inlineStr">
        <is>
          <t>[Bổ sung] Link phải rút về current trước khi join (chống fan-out)</t>
        </is>
      </c>
      <c r="F497" s="48" t="inlineStr">
        <is>
          <t>N-A</t>
        </is>
      </c>
      <c r="G497" s="48" t="inlineStr">
        <is>
          <t>Pass</t>
        </is>
      </c>
      <c r="H497" s="50" t="inlineStr">
        <is>
          <t>khong ap dung cho profile UPLOAD_VIEW</t>
        </is>
      </c>
      <c r="I4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97" s="48" t="inlineStr">
        <is>
          <t>026. OCB_GOLD_TCKH_V_P_REGION_CPHD_UPL_PHAT.xlsx [Script: V_P_REGION_CPHD_UPL]</t>
        </is>
      </c>
    </row>
    <row r="498">
      <c r="A498" s="48" t="inlineStr">
        <is>
          <t>TCKH.V_P_REGION_CPHD_UPL</t>
        </is>
      </c>
      <c r="B498" s="48" t="inlineStr">
        <is>
          <t>UPLOAD_VIEW</t>
        </is>
      </c>
      <c r="C498" s="48" t="inlineStr">
        <is>
          <t>X.6</t>
        </is>
      </c>
      <c r="D498" s="48" t="inlineStr">
        <is>
          <t>Nhom X - Bo sung Raffles</t>
        </is>
      </c>
      <c r="E498" s="48" t="inlineStr">
        <is>
          <t>[Bổ sung] Satellite phải LEFT JOIN, không INNER JOIN</t>
        </is>
      </c>
      <c r="F498" s="48" t="inlineStr">
        <is>
          <t>N-A</t>
        </is>
      </c>
      <c r="G498" s="48" t="inlineStr">
        <is>
          <t>Pass</t>
        </is>
      </c>
      <c r="H498" s="50" t="inlineStr">
        <is>
          <t>khong ap dung cho profile UPLOAD_VIEW</t>
        </is>
      </c>
      <c r="I498" s="50" t="inlineStr">
        <is>
          <t>Technical Document III.4.2.2 nguyên tắc 1: làm giàu thuộc tính luôn dùng LEFT JOIN. INNER JOIN satellite sẽ loại mất bản ghi Hub đang còn hiệu lực nhưng chưa có dòng satellite.</t>
        </is>
      </c>
      <c r="J498" s="48" t="inlineStr">
        <is>
          <t>026. OCB_GOLD_TCKH_V_P_REGION_CPHD_UPL_PHAT.xlsx [Script: V_P_REGION_CPHD_UPL]</t>
        </is>
      </c>
    </row>
    <row r="499">
      <c r="A499" s="48" t="inlineStr">
        <is>
          <t>TCKH.V_P_REGION_CPHD_UPL</t>
        </is>
      </c>
      <c r="B499" s="48" t="inlineStr">
        <is>
          <t>UPLOAD_VIEW</t>
        </is>
      </c>
      <c r="C499" s="48" t="inlineStr">
        <is>
          <t>X.7</t>
        </is>
      </c>
      <c r="D499" s="48" t="inlineStr">
        <is>
          <t>Nhom X - Bo sung Raffles</t>
        </is>
      </c>
      <c r="E499" s="48" t="inlineStr">
        <is>
          <t>[Bổ sung] Không hard-code catalog, dùng biến môi trường</t>
        </is>
      </c>
      <c r="F499" s="48" t="inlineStr">
        <is>
          <t>N-A</t>
        </is>
      </c>
      <c r="G499" s="48" t="inlineStr">
        <is>
          <t>Pass</t>
        </is>
      </c>
      <c r="H499" s="50" t="inlineStr">
        <is>
          <t>khong ap dung cho profile UPLOAD_VIEW</t>
        </is>
      </c>
      <c r="I4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99" s="48" t="inlineStr">
        <is>
          <t>026. OCB_GOLD_TCKH_V_P_REGION_CPHD_UPL_PHAT.xlsx [Script: V_P_REGION_CPHD_UPL]</t>
        </is>
      </c>
    </row>
    <row r="500">
      <c r="A500" s="48" t="inlineStr">
        <is>
          <t>TCKH.V_P_REGION_CPHD_UPL</t>
        </is>
      </c>
      <c r="B500" s="48" t="inlineStr">
        <is>
          <t>UPLOAD_VIEW</t>
        </is>
      </c>
      <c r="C500" s="48" t="inlineStr">
        <is>
          <t>X.10</t>
        </is>
      </c>
      <c r="D500" s="48" t="inlineStr">
        <is>
          <t>Nhom X - Bo sung Raffles</t>
        </is>
      </c>
      <c r="E500" s="48" t="inlineStr">
        <is>
          <t>Bang raw_vault/business_vault duoc doc phai TON TAI THAT trong Data Vault model</t>
        </is>
      </c>
      <c r="F500" s="48" t="inlineStr">
        <is>
          <t>N-A</t>
        </is>
      </c>
      <c r="G500" s="48" t="inlineStr">
        <is>
          <t>Pass</t>
        </is>
      </c>
      <c r="H500" s="50" t="inlineStr">
        <is>
          <t>script không đọc bảng raw_vault/business_vault nào</t>
        </is>
      </c>
      <c r="I500" s="50" t="inlineStr"/>
      <c r="J500" s="48" t="inlineStr">
        <is>
          <t>026. OCB_GOLD_TCKH_V_P_REGION_CPHD_UPL_PHAT.xlsx [Script: V_P_REGION_CPHD_UPL]</t>
        </is>
      </c>
    </row>
    <row r="501">
      <c r="A501" s="48" t="inlineStr">
        <is>
          <t>TCKH.V_P_REGION_CPHD_UPL</t>
        </is>
      </c>
      <c r="B501" s="48" t="inlineStr">
        <is>
          <t>UPLOAD_VIEW</t>
        </is>
      </c>
      <c r="C501" s="48" t="inlineStr">
        <is>
          <t>X.11</t>
        </is>
      </c>
      <c r="D501" s="48" t="inlineStr">
        <is>
          <t>Nhom X - Bo sung Raffles</t>
        </is>
      </c>
      <c r="E501" s="48" t="inlineStr">
        <is>
          <t>Cot doc tu satellite (sat_*) phai TON TAI THAT trong model</t>
        </is>
      </c>
      <c r="F501" s="48" t="inlineStr">
        <is>
          <t>N-A</t>
        </is>
      </c>
      <c r="G501" s="48" t="inlineStr">
        <is>
          <t>Pass</t>
        </is>
      </c>
      <c r="H501" s="50" t="inlineStr">
        <is>
          <t>không có bảng sat_* nào đủ điều kiện đối chiếu (Select chỉ đọc 1 bảng)</t>
        </is>
      </c>
      <c r="I501" s="50" t="inlineStr"/>
      <c r="J501" s="48" t="inlineStr">
        <is>
          <t>026. OCB_GOLD_TCKH_V_P_REGION_CPHD_UPL_PHAT.xlsx [Script: V_P_REGION_CPHD_UPL]</t>
        </is>
      </c>
    </row>
    <row r="502">
      <c r="A502" s="48" t="inlineStr">
        <is>
          <t>TCKH.V_SBV</t>
        </is>
      </c>
      <c r="B502" s="48" t="inlineStr">
        <is>
          <t>GOLD_DERIVED</t>
        </is>
      </c>
      <c r="C502" s="48" t="inlineStr">
        <is>
          <t>1.1</t>
        </is>
      </c>
      <c r="D502" s="48" t="inlineStr">
        <is>
          <t>Nhom 1 - Mapping</t>
        </is>
      </c>
      <c r="E502" s="48" t="inlineStr">
        <is>
          <t>Đầy đủ mapping từ Silver/manual sang Gold</t>
        </is>
      </c>
      <c r="F502" s="49" t="inlineStr">
        <is>
          <t>PASS</t>
        </is>
      </c>
      <c r="G502" s="48" t="inlineStr">
        <is>
          <t>Pass</t>
        </is>
      </c>
      <c r="H502" s="50" t="inlineStr">
        <is>
          <t>workbook 027. OCB_GOLD_TCKH_V_SBV_BAOANH.xlsx: thiết kế 25 field, SQL có 25 cột</t>
        </is>
      </c>
      <c r="I5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02" s="48" t="inlineStr">
        <is>
          <t>027. OCB_GOLD_TCKH_V_SBV_BAOANH.xlsx [Script SQL: V_SBV]</t>
        </is>
      </c>
    </row>
    <row r="503">
      <c r="A503" s="48" t="inlineStr">
        <is>
          <t>TCKH.V_SBV</t>
        </is>
      </c>
      <c r="B503" s="48" t="inlineStr">
        <is>
          <t>GOLD_DERIVED</t>
        </is>
      </c>
      <c r="C503" s="48" t="inlineStr">
        <is>
          <t>1.2</t>
        </is>
      </c>
      <c r="D503" s="48" t="inlineStr">
        <is>
          <t>Nhom 1 - Mapping</t>
        </is>
      </c>
      <c r="E503" s="48" t="inlineStr">
        <is>
          <t>Danh sách bảng/view Gold khớp tài liệu thiết kế đã duyệt</t>
        </is>
      </c>
      <c r="F503" s="49" t="inlineStr">
        <is>
          <t>PASS</t>
        </is>
      </c>
      <c r="G503" s="48" t="inlineStr">
        <is>
          <t>Pass</t>
        </is>
      </c>
      <c r="H503" s="50" t="inlineStr">
        <is>
          <t>V_SBV có workbook thiết kế: 027. OCB_GOLD_TCKH_V_SBV_BAOANH.xlsx</t>
        </is>
      </c>
      <c r="I503" s="50" t="inlineStr">
        <is>
          <t>Đảm bảo object có workbook thiết kế tương ứng trong thư mục --mapping-dir. Muốn đối chiếu với danh sách đã duyệt thì chạy thêm tham số --gold-list "&lt;file danh sách Gold&gt;.xlsx".</t>
        </is>
      </c>
      <c r="J503" s="48" t="inlineStr">
        <is>
          <t>027. OCB_GOLD_TCKH_V_SBV_BAOANH.xlsx [Script SQL: V_SBV]</t>
        </is>
      </c>
    </row>
    <row r="504">
      <c r="A504" s="48" t="inlineStr">
        <is>
          <t>TCKH.V_SBV</t>
        </is>
      </c>
      <c r="B504" s="48" t="inlineStr">
        <is>
          <t>GOLD_DERIVED</t>
        </is>
      </c>
      <c r="C504" s="48" t="inlineStr">
        <is>
          <t>2.1</t>
        </is>
      </c>
      <c r="D504" s="48" t="inlineStr">
        <is>
          <t>Nhom 2 - Logic</t>
        </is>
      </c>
      <c r="E504" s="48" t="inlineStr">
        <is>
          <t>Chỉ lấy bản ghi active, loại bản ghi đã xóa (qua sts_hub)</t>
        </is>
      </c>
      <c r="F504" s="48" t="inlineStr">
        <is>
          <t>N-A</t>
        </is>
      </c>
      <c r="G504" s="48" t="inlineStr">
        <is>
          <t>Pass</t>
        </is>
      </c>
      <c r="H504" s="50" t="inlineStr">
        <is>
          <t>khong ap dung cho profile GOLD_DERIVED</t>
        </is>
      </c>
      <c r="I5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04" s="48" t="inlineStr">
        <is>
          <t>027. OCB_GOLD_TCKH_V_SBV_BAOANH.xlsx [Script SQL: V_SBV]</t>
        </is>
      </c>
    </row>
    <row r="505">
      <c r="A505" s="48" t="inlineStr">
        <is>
          <t>TCKH.V_SBV</t>
        </is>
      </c>
      <c r="B505" s="48" t="inlineStr">
        <is>
          <t>GOLD_DERIVED</t>
        </is>
      </c>
      <c r="C505" s="48" t="inlineStr">
        <is>
          <t>2.2</t>
        </is>
      </c>
      <c r="D505" s="48" t="inlineStr">
        <is>
          <t>Nhom 2 - Logic</t>
        </is>
      </c>
      <c r="E505" s="48" t="inlineStr">
        <is>
          <t>Thống nhất MỘT pattern duy nhất xác định bản ghi active mới nhất</t>
        </is>
      </c>
      <c r="F505" s="48" t="inlineStr">
        <is>
          <t>N-A</t>
        </is>
      </c>
      <c r="G505" s="48" t="inlineStr">
        <is>
          <t>Pass</t>
        </is>
      </c>
      <c r="H505" s="50" t="inlineStr">
        <is>
          <t>khong ap dung cho profile GOLD_DERIVED</t>
        </is>
      </c>
      <c r="I5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05" s="48" t="inlineStr">
        <is>
          <t>027. OCB_GOLD_TCKH_V_SBV_BAOANH.xlsx [Script SQL: V_SBV]</t>
        </is>
      </c>
    </row>
    <row r="506">
      <c r="A506" s="48" t="inlineStr">
        <is>
          <t>TCKH.V_SBV</t>
        </is>
      </c>
      <c r="B506" s="48" t="inlineStr">
        <is>
          <t>GOLD_DERIVED</t>
        </is>
      </c>
      <c r="C506" s="48" t="inlineStr">
        <is>
          <t>2.3</t>
        </is>
      </c>
      <c r="D506" s="48" t="inlineStr">
        <is>
          <t>Nhom 2 - Logic</t>
        </is>
      </c>
      <c r="E506" s="48" t="inlineStr">
        <is>
          <t>Điều kiện lọc trạng thái đặt SAU khi xác định bản ghi mới nhất</t>
        </is>
      </c>
      <c r="F506" s="49" t="inlineStr">
        <is>
          <t>PASS</t>
        </is>
      </c>
      <c r="G506" s="48" t="inlineStr">
        <is>
          <t>Pass</t>
        </is>
      </c>
      <c r="H506" s="50" t="inlineStr">
        <is>
          <t>không có điều kiện trạng thái nào lồng trong JOIN ON</t>
        </is>
      </c>
      <c r="I5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06" s="48" t="inlineStr">
        <is>
          <t>027. OCB_GOLD_TCKH_V_SBV_BAOANH.xlsx [Script SQL: V_SBV]</t>
        </is>
      </c>
    </row>
    <row r="507">
      <c r="A507" s="48" t="inlineStr">
        <is>
          <t>TCKH.V_SBV</t>
        </is>
      </c>
      <c r="B507" s="48" t="inlineStr">
        <is>
          <t>GOLD_DERIVED</t>
        </is>
      </c>
      <c r="C507" s="48" t="inlineStr">
        <is>
          <t>2.4</t>
        </is>
      </c>
      <c r="D507" s="48" t="inlineStr">
        <is>
          <t>Nhom 2 - Logic</t>
        </is>
      </c>
      <c r="E507" s="48" t="inlineStr">
        <is>
          <t>source_event_date áp dụng đúng dạng theo loại bảng</t>
        </is>
      </c>
      <c r="F507" s="48" t="inlineStr">
        <is>
          <t>N-A</t>
        </is>
      </c>
      <c r="G507" s="48" t="inlineStr">
        <is>
          <t>Pass</t>
        </is>
      </c>
      <c r="H507" s="50" t="inlineStr">
        <is>
          <t>khong ap dung cho profile GOLD_DERIVED</t>
        </is>
      </c>
      <c r="I5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07" s="48" t="inlineStr">
        <is>
          <t>027. OCB_GOLD_TCKH_V_SBV_BAOANH.xlsx [Script SQL: V_SBV]</t>
        </is>
      </c>
    </row>
    <row r="508">
      <c r="A508" s="48" t="inlineStr">
        <is>
          <t>TCKH.V_SBV</t>
        </is>
      </c>
      <c r="B508" s="48" t="inlineStr">
        <is>
          <t>GOLD_DERIVED</t>
        </is>
      </c>
      <c r="C508" s="48" t="inlineStr">
        <is>
          <t>2.5</t>
        </is>
      </c>
      <c r="D508" s="48" t="inlineStr">
        <is>
          <t>Nhom 2 - Logic</t>
        </is>
      </c>
      <c r="E508" s="48" t="inlineStr">
        <is>
          <t>Không lặp lại lỗi logic cũ đã được DA Data Vault fix</t>
        </is>
      </c>
      <c r="F508" s="49" t="inlineStr">
        <is>
          <t>PASS</t>
        </is>
      </c>
      <c r="G508" s="48" t="inlineStr">
        <is>
          <t>Pass</t>
        </is>
      </c>
      <c r="H508" s="50" t="inlineStr">
        <is>
          <t>không trùng lỗi nào trong Issue log của DA Data Vault</t>
        </is>
      </c>
      <c r="I5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08" s="48" t="inlineStr">
        <is>
          <t>027. OCB_GOLD_TCKH_V_SBV_BAOANH.xlsx [Script SQL: V_SBV]</t>
        </is>
      </c>
    </row>
    <row r="509">
      <c r="A509" s="48" t="inlineStr">
        <is>
          <t>TCKH.V_SBV</t>
        </is>
      </c>
      <c r="B509" s="48" t="inlineStr">
        <is>
          <t>GOLD_DERIVED</t>
        </is>
      </c>
      <c r="C509" s="48" t="inlineStr">
        <is>
          <t>2.6</t>
        </is>
      </c>
      <c r="D509" s="48" t="inlineStr">
        <is>
          <t>Nhom 2 - Logic</t>
        </is>
      </c>
      <c r="E509" s="48" t="inlineStr">
        <is>
          <t>SCD Type 2 cho bảng DIM áp dụng đúng kỹ thuật đã thống nhất</t>
        </is>
      </c>
      <c r="F509" s="48" t="inlineStr">
        <is>
          <t>N-A</t>
        </is>
      </c>
      <c r="G509" s="48" t="inlineStr">
        <is>
          <t>Pass</t>
        </is>
      </c>
      <c r="H509" s="50" t="inlineStr">
        <is>
          <t>object không phải bảng DIM nên không áp dụng SCD Type 2</t>
        </is>
      </c>
      <c r="I5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09" s="48" t="inlineStr">
        <is>
          <t>027. OCB_GOLD_TCKH_V_SBV_BAOANH.xlsx [Script SQL: V_SBV]</t>
        </is>
      </c>
    </row>
    <row r="510">
      <c r="A510" s="48" t="inlineStr">
        <is>
          <t>TCKH.V_SBV</t>
        </is>
      </c>
      <c r="B510" s="48" t="inlineStr">
        <is>
          <t>GOLD_DERIVED</t>
        </is>
      </c>
      <c r="C510" s="48" t="inlineStr">
        <is>
          <t>2.7</t>
        </is>
      </c>
      <c r="D510" s="48" t="inlineStr">
        <is>
          <t>Nhom 2 - Logic</t>
        </is>
      </c>
      <c r="E510" s="48" t="inlineStr">
        <is>
          <t>CASE WHEN cover đủ nhánh như job on-prem</t>
        </is>
      </c>
      <c r="F510" s="49" t="inlineStr">
        <is>
          <t>PASS</t>
        </is>
      </c>
      <c r="G510" s="48" t="inlineStr">
        <is>
          <t>Pass</t>
        </is>
      </c>
      <c r="H510" s="50" t="inlineStr">
        <is>
          <t>cả 4 CASE đều có nhánh ELSE</t>
        </is>
      </c>
      <c r="I510" s="50" t="inlineStr">
        <is>
          <t>Mở job on-prem tương ứng (DataStage DSX hoặc SQL cũ), đối chiếu từng nhánh WHEN và cả nhánh ELSE. CASE không có ELSE sẽ trả NULL âm thầm — xác nhận đó là ý muốn hay thiếu nhánh.</t>
        </is>
      </c>
      <c r="J510" s="48" t="inlineStr">
        <is>
          <t>027. OCB_GOLD_TCKH_V_SBV_BAOANH.xlsx [Script SQL: V_SBV]</t>
        </is>
      </c>
    </row>
    <row r="511">
      <c r="A511" s="48" t="inlineStr">
        <is>
          <t>TCKH.V_SBV</t>
        </is>
      </c>
      <c r="B511" s="48" t="inlineStr">
        <is>
          <t>GOLD_DERIVED</t>
        </is>
      </c>
      <c r="C511" s="48" t="inlineStr">
        <is>
          <t>2.8</t>
        </is>
      </c>
      <c r="D511" s="48" t="inlineStr">
        <is>
          <t>Nhom 2 - Logic</t>
        </is>
      </c>
      <c r="E511" s="48" t="inlineStr">
        <is>
          <t>Cột SUM/COUNT được COALESCE/NVL hợp lý</t>
        </is>
      </c>
      <c r="F511" s="49" t="inlineStr">
        <is>
          <t>PASS</t>
        </is>
      </c>
      <c r="G511" s="48" t="inlineStr">
        <is>
          <t>Pass</t>
        </is>
      </c>
      <c r="H511" s="50" t="inlineStr">
        <is>
          <t>mọi SUM/COUNT đều đã coalesce (trực tiếp hoặc ở lớp ngoài)</t>
        </is>
      </c>
      <c r="I5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11" s="48" t="inlineStr">
        <is>
          <t>027. OCB_GOLD_TCKH_V_SBV_BAOANH.xlsx [Script SQL: V_SBV]</t>
        </is>
      </c>
    </row>
    <row r="512">
      <c r="A512" s="48" t="inlineStr">
        <is>
          <t>TCKH.V_SBV</t>
        </is>
      </c>
      <c r="B512" s="48" t="inlineStr">
        <is>
          <t>GOLD_DERIVED</t>
        </is>
      </c>
      <c r="C512" s="48" t="inlineStr">
        <is>
          <t>2.9</t>
        </is>
      </c>
      <c r="D512" s="48" t="inlineStr">
        <is>
          <t>Nhom 2 - Logic</t>
        </is>
      </c>
      <c r="E512" s="48" t="inlineStr">
        <is>
          <t>Subquery / custom function / điều kiện LIKE đúng ý nghĩa nghiệp vụ</t>
        </is>
      </c>
      <c r="F512" s="48" t="inlineStr">
        <is>
          <t>N-A</t>
        </is>
      </c>
      <c r="G512" s="48" t="inlineStr">
        <is>
          <t>Pass</t>
        </is>
      </c>
      <c r="H512" s="50" t="inlineStr">
        <is>
          <t>script không có điều kiện LIKE hay scalar subquery nào</t>
        </is>
      </c>
      <c r="I512" s="50" t="inlineStr">
        <is>
          <t>Đọc lại từng điều kiện LIKE và từng subquery, đối chiếu ý nghĩa nghiệp vụ với on-prem — đúng cú pháp không đủ. Chú ý pattern LIKE có ký tự % ở đầu/cuối và phân biệt chữ hoa/thường.</t>
        </is>
      </c>
      <c r="J512" s="48" t="inlineStr">
        <is>
          <t>027. OCB_GOLD_TCKH_V_SBV_BAOANH.xlsx [Script SQL: V_SBV]</t>
        </is>
      </c>
    </row>
    <row r="513">
      <c r="A513" s="48" t="inlineStr">
        <is>
          <t>TCKH.V_SBV</t>
        </is>
      </c>
      <c r="B513" s="48" t="inlineStr">
        <is>
          <t>GOLD_DERIVED</t>
        </is>
      </c>
      <c r="C513" s="48" t="inlineStr">
        <is>
          <t>2.10</t>
        </is>
      </c>
      <c r="D513" s="48" t="inlineStr">
        <is>
          <t>Nhom 2 - Logic</t>
        </is>
      </c>
      <c r="E513" s="48" t="inlineStr">
        <is>
          <t>Aggregation kèm filter date range chính xác</t>
        </is>
      </c>
      <c r="F513" s="49" t="inlineStr">
        <is>
          <t>PASS</t>
        </is>
      </c>
      <c r="G513" s="48" t="inlineStr">
        <is>
          <t>Pass</t>
        </is>
      </c>
      <c r="H513" s="50" t="inlineStr">
        <is>
          <t>mọi khối tổng hợp đều có điều kiện theo kỳ dữ liệu</t>
        </is>
      </c>
      <c r="I513" s="50" t="inlineStr">
        <is>
          <t>Mỗi khối SUM/COUNT/AVG phải có điều kiện lọc theo kỳ dữ liệu (CDR_DT_ID, DATA_DATE, :DATADT…). Nếu điều kiện nằm ở CTE nguồn thì ghi rõ trong comment để người review không phải truy ngược.</t>
        </is>
      </c>
      <c r="J513" s="48" t="inlineStr">
        <is>
          <t>027. OCB_GOLD_TCKH_V_SBV_BAOANH.xlsx [Script SQL: V_SBV]</t>
        </is>
      </c>
    </row>
    <row r="514">
      <c r="A514" s="48" t="inlineStr">
        <is>
          <t>TCKH.V_SBV</t>
        </is>
      </c>
      <c r="B514" s="48" t="inlineStr">
        <is>
          <t>GOLD_DERIVED</t>
        </is>
      </c>
      <c r="C514" s="48" t="inlineStr">
        <is>
          <t>2.11</t>
        </is>
      </c>
      <c r="D514" s="48" t="inlineStr">
        <is>
          <t>Nhom 2 - Logic</t>
        </is>
      </c>
      <c r="E514" s="48" t="inlineStr">
        <is>
          <t>Join dùng key hợp lý, không lạm dụng UNION ALL + EXISTS/NOT EXISTS</t>
        </is>
      </c>
      <c r="F514" s="49" t="inlineStr">
        <is>
          <t>PASS</t>
        </is>
      </c>
      <c r="G514" s="48" t="inlineStr">
        <is>
          <t>Pass</t>
        </is>
      </c>
      <c r="H514" s="50" t="inlineStr">
        <is>
          <t>join đều theo điều kiện bằng, không lạm dụng UNION ALL + EXISTS</t>
        </is>
      </c>
      <c r="I514" s="50" t="inlineStr">
        <is>
          <t>Ưu tiên LEFT JOIN theo business key hoặc hashkey. Xem lại các chỗ dùng UNION ALL kết hợp EXISTS/NOT EXISTS — thường thay được bằng một LEFT JOIN. Join không có điều kiện bằng (=) dễ tạo tích Descartes.</t>
        </is>
      </c>
      <c r="J514" s="48" t="inlineStr">
        <is>
          <t>027. OCB_GOLD_TCKH_V_SBV_BAOANH.xlsx [Script SQL: V_SBV]</t>
        </is>
      </c>
    </row>
    <row r="515">
      <c r="A515" s="48" t="inlineStr">
        <is>
          <t>TCKH.V_SBV</t>
        </is>
      </c>
      <c r="B515" s="48" t="inlineStr">
        <is>
          <t>GOLD_DERIVED</t>
        </is>
      </c>
      <c r="C515" s="48" t="inlineStr">
        <is>
          <t>2.12</t>
        </is>
      </c>
      <c r="D515" s="48" t="inlineStr">
        <is>
          <t>Nhom 2 - Logic</t>
        </is>
      </c>
      <c r="E515" s="48" t="inlineStr">
        <is>
          <t>Build Gold từ CTE snapshot Silver, không build nhiều tầng chồng chéo</t>
        </is>
      </c>
      <c r="F515" s="49" t="inlineStr">
        <is>
          <t>PASS</t>
        </is>
      </c>
      <c r="G515" s="48" t="inlineStr">
        <is>
          <t>Pass</t>
        </is>
      </c>
      <c r="H515" s="50" t="inlineStr">
        <is>
          <t>mỗi bảng nguồn chỉ đọc trong 1 khối SELECT</t>
        </is>
      </c>
      <c r="I5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15" s="48" t="inlineStr">
        <is>
          <t>027. OCB_GOLD_TCKH_V_SBV_BAOANH.xlsx [Script SQL: V_SBV]</t>
        </is>
      </c>
    </row>
    <row r="516">
      <c r="A516" s="48" t="inlineStr">
        <is>
          <t>TCKH.V_SBV</t>
        </is>
      </c>
      <c r="B516" s="48" t="inlineStr">
        <is>
          <t>GOLD_DERIVED</t>
        </is>
      </c>
      <c r="C516" s="48" t="inlineStr">
        <is>
          <t>3.1</t>
        </is>
      </c>
      <c r="D516" s="48" t="inlineStr">
        <is>
          <t>Nhom 3 - Optimization</t>
        </is>
      </c>
      <c r="E516" s="48" t="inlineStr">
        <is>
          <t>Không SELECT *</t>
        </is>
      </c>
      <c r="F516" s="49" t="inlineStr">
        <is>
          <t>PASS</t>
        </is>
      </c>
      <c r="G516" s="48" t="inlineStr">
        <is>
          <t>Pass</t>
        </is>
      </c>
      <c r="H516" s="50" t="inlineStr">
        <is>
          <t>không dùng SELECT * ở đâu</t>
        </is>
      </c>
      <c r="I516" s="50" t="inlineStr">
        <is>
          <t>Liệt kê tường minh các cột cần dùng, kể cả trong CTE trung gian. SELECT * làm tăng IO/memory và vỡ script khi bảng nguồn thêm cột.</t>
        </is>
      </c>
      <c r="J516" s="48" t="inlineStr">
        <is>
          <t>027. OCB_GOLD_TCKH_V_SBV_BAOANH.xlsx [Script SQL: V_SBV]</t>
        </is>
      </c>
    </row>
    <row r="517">
      <c r="A517" s="48" t="inlineStr">
        <is>
          <t>TCKH.V_SBV</t>
        </is>
      </c>
      <c r="B517" s="48" t="inlineStr">
        <is>
          <t>GOLD_DERIVED</t>
        </is>
      </c>
      <c r="C517" s="48" t="inlineStr">
        <is>
          <t>3.2</t>
        </is>
      </c>
      <c r="D517" s="48" t="inlineStr">
        <is>
          <t>Nhom 3 - Optimization</t>
        </is>
      </c>
      <c r="E517" s="48" t="inlineStr">
        <is>
          <t>CTE không bị scan lại nhiều lần</t>
        </is>
      </c>
      <c r="F517" s="49" t="inlineStr">
        <is>
          <t>PASS</t>
        </is>
      </c>
      <c r="G517" s="48" t="inlineStr">
        <is>
          <t>Pass</t>
        </is>
      </c>
      <c r="H517" s="50" t="inlineStr">
        <is>
          <t>không có CTE nào bị gọi lại</t>
        </is>
      </c>
      <c r="I517" s="50" t="inlineStr">
        <is>
          <t>Với CTE nặng (đọc nhiều bảng Silver) bị tham chiếu từ 2 chỗ trở lên: gom lại còn một lần dùng, hoặc vật chất hóa (CACHE / bảng tạm). CTE nhẹ chỉ chứa tham số thì bỏ qua được — tự tick Pass.</t>
        </is>
      </c>
      <c r="J517" s="48" t="inlineStr">
        <is>
          <t>027. OCB_GOLD_TCKH_V_SBV_BAOANH.xlsx [Script SQL: V_SBV]</t>
        </is>
      </c>
    </row>
    <row r="518">
      <c r="A518" s="48" t="inlineStr">
        <is>
          <t>TCKH.V_SBV</t>
        </is>
      </c>
      <c r="B518" s="48" t="inlineStr">
        <is>
          <t>GOLD_DERIVED</t>
        </is>
      </c>
      <c r="C518" s="48" t="inlineStr">
        <is>
          <t>3.3</t>
        </is>
      </c>
      <c r="D518" s="48" t="inlineStr">
        <is>
          <t>Nhom 3 - Optimization</t>
        </is>
      </c>
      <c r="E518" s="48" t="inlineStr">
        <is>
          <t>Filter trước khi join, tận dụng partition pruning</t>
        </is>
      </c>
      <c r="F518" s="49" t="inlineStr">
        <is>
          <t>PASS</t>
        </is>
      </c>
      <c r="G518" s="48" t="inlineStr">
        <is>
          <t>Pass</t>
        </is>
      </c>
      <c r="H518" s="50" t="inlineStr">
        <is>
          <t>các bảng join đều được filter trước</t>
        </is>
      </c>
      <c r="I518" s="50" t="inlineStr">
        <is>
          <t>Đưa điều kiện lọc (ngày dữ liệu, trạng thái) vào subquery của từng bảng TRƯỚC khi join, để tận dụng partition pruning. Bảng dim nhỏ không partition thì không cần — tự tick Pass.</t>
        </is>
      </c>
      <c r="J518" s="48" t="inlineStr">
        <is>
          <t>027. OCB_GOLD_TCKH_V_SBV_BAOANH.xlsx [Script SQL: V_SBV]</t>
        </is>
      </c>
    </row>
    <row r="519">
      <c r="A519" s="48" t="inlineStr">
        <is>
          <t>TCKH.V_SBV</t>
        </is>
      </c>
      <c r="B519" s="48" t="inlineStr">
        <is>
          <t>GOLD_DERIVED</t>
        </is>
      </c>
      <c r="C519" s="48" t="inlineStr">
        <is>
          <t>3.4</t>
        </is>
      </c>
      <c r="D519" s="48" t="inlineStr">
        <is>
          <t>Nhom 3 - Optimization</t>
        </is>
      </c>
      <c r="E519" s="48" t="inlineStr">
        <is>
          <t>Sử dụng CACHE cho query lặp lại trong cùng luồng</t>
        </is>
      </c>
      <c r="F519" s="48" t="inlineStr">
        <is>
          <t>N-A</t>
        </is>
      </c>
      <c r="G519" s="48" t="inlineStr">
        <is>
          <t>Pass</t>
        </is>
      </c>
      <c r="H519" s="50" t="inlineStr">
        <is>
          <t>không có kết quả nào được dùng lại nhiều lần nên chưa cần CACHE</t>
        </is>
      </c>
      <c r="I519" s="50" t="inlineStr">
        <is>
          <t>Nếu một kết quả nặng được dùng lại nhiều bước trong cùng luồng, thêm CACHE TABLE / CACHE SELECT. Kết quả nhỏ thì cache còn chậm hơn — tự tick Pass.</t>
        </is>
      </c>
      <c r="J519" s="48" t="inlineStr">
        <is>
          <t>027. OCB_GOLD_TCKH_V_SBV_BAOANH.xlsx [Script SQL: V_SBV]</t>
        </is>
      </c>
    </row>
    <row r="520">
      <c r="A520" s="48" t="inlineStr">
        <is>
          <t>TCKH.V_SBV</t>
        </is>
      </c>
      <c r="B520" s="48" t="inlineStr">
        <is>
          <t>GOLD_DERIVED</t>
        </is>
      </c>
      <c r="C520" s="48" t="inlineStr">
        <is>
          <t>3.5</t>
        </is>
      </c>
      <c r="D520" s="48" t="inlineStr">
        <is>
          <t>Nhom 3 - Optimization</t>
        </is>
      </c>
      <c r="E520" s="48" t="inlineStr">
        <is>
          <t>Ưu tiên MAX_BY + QUALIFY thay ROW_NUMBER() + WHERE rn = 1</t>
        </is>
      </c>
      <c r="F520" s="48" t="inlineStr">
        <is>
          <t>N-A</t>
        </is>
      </c>
      <c r="G520" s="48" t="inlineStr">
        <is>
          <t>Pass</t>
        </is>
      </c>
      <c r="H520" s="50" t="inlineStr">
        <is>
          <t>script không dùng ROW_NUMBER, và MAX_BY (nếu có) không vượt quá 5 cột/khối</t>
        </is>
      </c>
      <c r="I5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20" s="48" t="inlineStr">
        <is>
          <t>027. OCB_GOLD_TCKH_V_SBV_BAOANH.xlsx [Script SQL: V_SBV]</t>
        </is>
      </c>
    </row>
    <row r="521">
      <c r="A521" s="48" t="inlineStr">
        <is>
          <t>TCKH.V_SBV</t>
        </is>
      </c>
      <c r="B521" s="48" t="inlineStr">
        <is>
          <t>GOLD_DERIVED</t>
        </is>
      </c>
      <c r="C521" s="48" t="inlineStr">
        <is>
          <t>3.6</t>
        </is>
      </c>
      <c r="D521" s="48" t="inlineStr">
        <is>
          <t>Nhom 3 - Optimization</t>
        </is>
      </c>
      <c r="E521" s="48" t="inlineStr">
        <is>
          <t>Không lạm dụng window function; có comment khi dùng</t>
        </is>
      </c>
      <c r="F521" s="48" t="inlineStr">
        <is>
          <t>N-A</t>
        </is>
      </c>
      <c r="G521" s="48" t="inlineStr">
        <is>
          <t>Pass</t>
        </is>
      </c>
      <c r="H521" s="50" t="inlineStr">
        <is>
          <t>script không dùng window function</t>
        </is>
      </c>
      <c r="I521" s="50" t="inlineStr">
        <is>
          <t>Mỗi window function cần một comment ngay trên khối CTE chứa nó, nói rõ vì sao không dùng được max_by/QUALIFY đơn giản hơn.</t>
        </is>
      </c>
      <c r="J521" s="48" t="inlineStr">
        <is>
          <t>027. OCB_GOLD_TCKH_V_SBV_BAOANH.xlsx [Script SQL: V_SBV]</t>
        </is>
      </c>
    </row>
    <row r="522">
      <c r="A522" s="48" t="inlineStr">
        <is>
          <t>TCKH.V_SBV</t>
        </is>
      </c>
      <c r="B522" s="48" t="inlineStr">
        <is>
          <t>GOLD_DERIVED</t>
        </is>
      </c>
      <c r="C522" s="48" t="inlineStr">
        <is>
          <t>X.1</t>
        </is>
      </c>
      <c r="D522" s="48" t="inlineStr">
        <is>
          <t>Nhom X - Bo sung Raffles</t>
        </is>
      </c>
      <c r="E522" s="48" t="inlineStr">
        <is>
          <t>[Bổ sung] Link phải rút về current trước khi join (chống fan-out)</t>
        </is>
      </c>
      <c r="F522" s="48" t="inlineStr">
        <is>
          <t>N-A</t>
        </is>
      </c>
      <c r="G522" s="48" t="inlineStr">
        <is>
          <t>Pass</t>
        </is>
      </c>
      <c r="H522" s="50" t="inlineStr">
        <is>
          <t>khong ap dung cho profile GOLD_DERIVED</t>
        </is>
      </c>
      <c r="I5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22" s="48" t="inlineStr">
        <is>
          <t>027. OCB_GOLD_TCKH_V_SBV_BAOANH.xlsx [Script SQL: V_SBV]</t>
        </is>
      </c>
    </row>
    <row r="523">
      <c r="A523" s="48" t="inlineStr">
        <is>
          <t>TCKH.V_SBV</t>
        </is>
      </c>
      <c r="B523" s="48" t="inlineStr">
        <is>
          <t>GOLD_DERIVED</t>
        </is>
      </c>
      <c r="C523" s="48" t="inlineStr">
        <is>
          <t>X.6</t>
        </is>
      </c>
      <c r="D523" s="48" t="inlineStr">
        <is>
          <t>Nhom X - Bo sung Raffles</t>
        </is>
      </c>
      <c r="E523" s="48" t="inlineStr">
        <is>
          <t>[Bổ sung] Satellite phải LEFT JOIN, không INNER JOIN</t>
        </is>
      </c>
      <c r="F523" s="48" t="inlineStr">
        <is>
          <t>N-A</t>
        </is>
      </c>
      <c r="G523" s="48" t="inlineStr">
        <is>
          <t>Pass</t>
        </is>
      </c>
      <c r="H523" s="50" t="inlineStr">
        <is>
          <t>khong ap dung cho profile GOLD_DERIVED</t>
        </is>
      </c>
      <c r="I523" s="50" t="inlineStr">
        <is>
          <t>Technical Document III.4.2.2 nguyên tắc 1: làm giàu thuộc tính luôn dùng LEFT JOIN. INNER JOIN satellite sẽ loại mất bản ghi Hub đang còn hiệu lực nhưng chưa có dòng satellite.</t>
        </is>
      </c>
      <c r="J523" s="48" t="inlineStr">
        <is>
          <t>027. OCB_GOLD_TCKH_V_SBV_BAOANH.xlsx [Script SQL: V_SBV]</t>
        </is>
      </c>
    </row>
    <row r="524">
      <c r="A524" s="48" t="inlineStr">
        <is>
          <t>TCKH.V_SBV</t>
        </is>
      </c>
      <c r="B524" s="48" t="inlineStr">
        <is>
          <t>GOLD_DERIVED</t>
        </is>
      </c>
      <c r="C524" s="48" t="inlineStr">
        <is>
          <t>X.7</t>
        </is>
      </c>
      <c r="D524" s="48" t="inlineStr">
        <is>
          <t>Nhom X - Bo sung Raffles</t>
        </is>
      </c>
      <c r="E524" s="48" t="inlineStr">
        <is>
          <t>[Bổ sung] Không hard-code catalog, dùng biến môi trường</t>
        </is>
      </c>
      <c r="F524" s="49" t="inlineStr">
        <is>
          <t>PASS</t>
        </is>
      </c>
      <c r="G524" s="48" t="inlineStr">
        <is>
          <t>Pass</t>
        </is>
      </c>
      <c r="H524" s="50" t="inlineStr">
        <is>
          <t>dùng biến môi trường cho catalog</t>
        </is>
      </c>
      <c r="I5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24" s="48" t="inlineStr">
        <is>
          <t>027. OCB_GOLD_TCKH_V_SBV_BAOANH.xlsx [Script SQL: V_SBV]</t>
        </is>
      </c>
    </row>
    <row r="525">
      <c r="A525" s="48" t="inlineStr">
        <is>
          <t>TCKH.V_SBV</t>
        </is>
      </c>
      <c r="B525" s="48" t="inlineStr">
        <is>
          <t>GOLD_DERIVED</t>
        </is>
      </c>
      <c r="C525" s="48" t="inlineStr">
        <is>
          <t>X.10</t>
        </is>
      </c>
      <c r="D525" s="48" t="inlineStr">
        <is>
          <t>Nhom X - Bo sung Raffles</t>
        </is>
      </c>
      <c r="E525" s="48" t="inlineStr">
        <is>
          <t>Bang raw_vault/business_vault duoc doc phai TON TAI THAT trong Data Vault model</t>
        </is>
      </c>
      <c r="F525" s="48" t="inlineStr">
        <is>
          <t>N-A</t>
        </is>
      </c>
      <c r="G525" s="48" t="inlineStr">
        <is>
          <t>Pass</t>
        </is>
      </c>
      <c r="H525" s="50" t="inlineStr">
        <is>
          <t>script không đọc bảng raw_vault/business_vault nào</t>
        </is>
      </c>
      <c r="I525" s="50" t="inlineStr"/>
      <c r="J525" s="48" t="inlineStr">
        <is>
          <t>027. OCB_GOLD_TCKH_V_SBV_BAOANH.xlsx [Script SQL: V_SBV]</t>
        </is>
      </c>
    </row>
    <row r="526">
      <c r="A526" s="48" t="inlineStr">
        <is>
          <t>TCKH.V_SBV</t>
        </is>
      </c>
      <c r="B526" s="48" t="inlineStr">
        <is>
          <t>GOLD_DERIVED</t>
        </is>
      </c>
      <c r="C526" s="48" t="inlineStr">
        <is>
          <t>X.11</t>
        </is>
      </c>
      <c r="D526" s="48" t="inlineStr">
        <is>
          <t>Nhom X - Bo sung Raffles</t>
        </is>
      </c>
      <c r="E526" s="48" t="inlineStr">
        <is>
          <t>Cot doc tu satellite (sat_*) phai TON TAI THAT trong model</t>
        </is>
      </c>
      <c r="F526" s="48" t="inlineStr">
        <is>
          <t>N-A</t>
        </is>
      </c>
      <c r="G526" s="48" t="inlineStr">
        <is>
          <t>Pass</t>
        </is>
      </c>
      <c r="H526" s="50" t="inlineStr">
        <is>
          <t>không có bảng sat_* nào đủ điều kiện đối chiếu (Select chỉ đọc 1 bảng)</t>
        </is>
      </c>
      <c r="I526" s="50" t="inlineStr"/>
      <c r="J526" s="48" t="inlineStr">
        <is>
          <t>027. OCB_GOLD_TCKH_V_SBV_BAOANH.xlsx [Script SQL: V_SBV]</t>
        </is>
      </c>
    </row>
    <row r="527">
      <c r="A527" s="48" t="inlineStr">
        <is>
          <t>TCKH.V_SLGD</t>
        </is>
      </c>
      <c r="B527" s="48" t="inlineStr">
        <is>
          <t>UPLOAD_VIEW</t>
        </is>
      </c>
      <c r="C527" s="48" t="inlineStr">
        <is>
          <t>1.1</t>
        </is>
      </c>
      <c r="D527" s="48" t="inlineStr">
        <is>
          <t>Nhom 1 - Mapping</t>
        </is>
      </c>
      <c r="E527" s="48" t="inlineStr">
        <is>
          <t>Đầy đủ mapping từ Silver/manual sang Gold</t>
        </is>
      </c>
      <c r="F527" s="49" t="inlineStr">
        <is>
          <t>PASS</t>
        </is>
      </c>
      <c r="G527" s="48" t="inlineStr">
        <is>
          <t>Pass</t>
        </is>
      </c>
      <c r="H527" s="50" t="inlineStr">
        <is>
          <t>workbook 028. OCB_GOLD_TCKH_V_SLGD_HOP.xlsx: thiết kế 6 field, SQL có 6 cột</t>
        </is>
      </c>
      <c r="I5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27" s="48" t="inlineStr">
        <is>
          <t>028. OCB_GOLD_TCKH_V_SLGD_HOP.xlsx [Script: V_SLGD]</t>
        </is>
      </c>
    </row>
    <row r="528">
      <c r="A528" s="48" t="inlineStr">
        <is>
          <t>TCKH.V_SLGD</t>
        </is>
      </c>
      <c r="B528" s="48" t="inlineStr">
        <is>
          <t>UPLOAD_VIEW</t>
        </is>
      </c>
      <c r="C528" s="48" t="inlineStr">
        <is>
          <t>1.2</t>
        </is>
      </c>
      <c r="D528" s="48" t="inlineStr">
        <is>
          <t>Nhom 1 - Mapping</t>
        </is>
      </c>
      <c r="E528" s="48" t="inlineStr">
        <is>
          <t>Danh sách bảng/view Gold khớp tài liệu thiết kế đã duyệt</t>
        </is>
      </c>
      <c r="F528" s="49" t="inlineStr">
        <is>
          <t>PASS</t>
        </is>
      </c>
      <c r="G528" s="48" t="inlineStr">
        <is>
          <t>Pass</t>
        </is>
      </c>
      <c r="H528" s="50" t="inlineStr">
        <is>
          <t>V_SLGD có workbook thiết kế: 028. OCB_GOLD_TCKH_V_SLGD_HOP.xlsx</t>
        </is>
      </c>
      <c r="I528" s="50" t="inlineStr">
        <is>
          <t>Đảm bảo object có workbook thiết kế tương ứng trong thư mục --mapping-dir. Muốn đối chiếu với danh sách đã duyệt thì chạy thêm tham số --gold-list "&lt;file danh sách Gold&gt;.xlsx".</t>
        </is>
      </c>
      <c r="J528" s="48" t="inlineStr">
        <is>
          <t>028. OCB_GOLD_TCKH_V_SLGD_HOP.xlsx [Script: V_SLGD]</t>
        </is>
      </c>
    </row>
    <row r="529">
      <c r="A529" s="48" t="inlineStr">
        <is>
          <t>TCKH.V_SLGD</t>
        </is>
      </c>
      <c r="B529" s="48" t="inlineStr">
        <is>
          <t>UPLOAD_VIEW</t>
        </is>
      </c>
      <c r="C529" s="48" t="inlineStr">
        <is>
          <t>2.1</t>
        </is>
      </c>
      <c r="D529" s="48" t="inlineStr">
        <is>
          <t>Nhom 2 - Logic</t>
        </is>
      </c>
      <c r="E529" s="48" t="inlineStr">
        <is>
          <t>Chỉ lấy bản ghi active, loại bản ghi đã xóa (qua sts_hub)</t>
        </is>
      </c>
      <c r="F529" s="48" t="inlineStr">
        <is>
          <t>N-A</t>
        </is>
      </c>
      <c r="G529" s="48" t="inlineStr">
        <is>
          <t>Pass</t>
        </is>
      </c>
      <c r="H529" s="50" t="inlineStr">
        <is>
          <t>khong ap dung cho profile UPLOAD_VIEW</t>
        </is>
      </c>
      <c r="I5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29" s="48" t="inlineStr">
        <is>
          <t>028. OCB_GOLD_TCKH_V_SLGD_HOP.xlsx [Script: V_SLGD]</t>
        </is>
      </c>
    </row>
    <row r="530">
      <c r="A530" s="48" t="inlineStr">
        <is>
          <t>TCKH.V_SLGD</t>
        </is>
      </c>
      <c r="B530" s="48" t="inlineStr">
        <is>
          <t>UPLOAD_VIEW</t>
        </is>
      </c>
      <c r="C530" s="48" t="inlineStr">
        <is>
          <t>2.2</t>
        </is>
      </c>
      <c r="D530" s="48" t="inlineStr">
        <is>
          <t>Nhom 2 - Logic</t>
        </is>
      </c>
      <c r="E530" s="48" t="inlineStr">
        <is>
          <t>Thống nhất MỘT pattern duy nhất xác định bản ghi active mới nhất</t>
        </is>
      </c>
      <c r="F530" s="48" t="inlineStr">
        <is>
          <t>N-A</t>
        </is>
      </c>
      <c r="G530" s="48" t="inlineStr">
        <is>
          <t>Pass</t>
        </is>
      </c>
      <c r="H530" s="50" t="inlineStr">
        <is>
          <t>khong ap dung cho profile UPLOAD_VIEW</t>
        </is>
      </c>
      <c r="I5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30" s="48" t="inlineStr">
        <is>
          <t>028. OCB_GOLD_TCKH_V_SLGD_HOP.xlsx [Script: V_SLGD]</t>
        </is>
      </c>
    </row>
    <row r="531">
      <c r="A531" s="48" t="inlineStr">
        <is>
          <t>TCKH.V_SLGD</t>
        </is>
      </c>
      <c r="B531" s="48" t="inlineStr">
        <is>
          <t>UPLOAD_VIEW</t>
        </is>
      </c>
      <c r="C531" s="48" t="inlineStr">
        <is>
          <t>2.3</t>
        </is>
      </c>
      <c r="D531" s="48" t="inlineStr">
        <is>
          <t>Nhom 2 - Logic</t>
        </is>
      </c>
      <c r="E531" s="48" t="inlineStr">
        <is>
          <t>Điều kiện lọc trạng thái đặt SAU khi xác định bản ghi mới nhất</t>
        </is>
      </c>
      <c r="F531" s="48" t="inlineStr">
        <is>
          <t>N-A</t>
        </is>
      </c>
      <c r="G531" s="48" t="inlineStr">
        <is>
          <t>Pass</t>
        </is>
      </c>
      <c r="H531" s="50" t="inlineStr">
        <is>
          <t>khong ap dung cho profile UPLOAD_VIEW</t>
        </is>
      </c>
      <c r="I5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31" s="48" t="inlineStr">
        <is>
          <t>028. OCB_GOLD_TCKH_V_SLGD_HOP.xlsx [Script: V_SLGD]</t>
        </is>
      </c>
    </row>
    <row r="532">
      <c r="A532" s="48" t="inlineStr">
        <is>
          <t>TCKH.V_SLGD</t>
        </is>
      </c>
      <c r="B532" s="48" t="inlineStr">
        <is>
          <t>UPLOAD_VIEW</t>
        </is>
      </c>
      <c r="C532" s="48" t="inlineStr">
        <is>
          <t>2.4</t>
        </is>
      </c>
      <c r="D532" s="48" t="inlineStr">
        <is>
          <t>Nhom 2 - Logic</t>
        </is>
      </c>
      <c r="E532" s="48" t="inlineStr">
        <is>
          <t>source_event_date áp dụng đúng dạng theo loại bảng</t>
        </is>
      </c>
      <c r="F532" s="48" t="inlineStr">
        <is>
          <t>N-A</t>
        </is>
      </c>
      <c r="G532" s="48" t="inlineStr">
        <is>
          <t>Pass</t>
        </is>
      </c>
      <c r="H532" s="50" t="inlineStr">
        <is>
          <t>khong ap dung cho profile UPLOAD_VIEW</t>
        </is>
      </c>
      <c r="I5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32" s="48" t="inlineStr">
        <is>
          <t>028. OCB_GOLD_TCKH_V_SLGD_HOP.xlsx [Script: V_SLGD]</t>
        </is>
      </c>
    </row>
    <row r="533">
      <c r="A533" s="48" t="inlineStr">
        <is>
          <t>TCKH.V_SLGD</t>
        </is>
      </c>
      <c r="B533" s="48" t="inlineStr">
        <is>
          <t>UPLOAD_VIEW</t>
        </is>
      </c>
      <c r="C533" s="48" t="inlineStr">
        <is>
          <t>2.5</t>
        </is>
      </c>
      <c r="D533" s="48" t="inlineStr">
        <is>
          <t>Nhom 2 - Logic</t>
        </is>
      </c>
      <c r="E533" s="48" t="inlineStr">
        <is>
          <t>Không lặp lại lỗi logic cũ đã được DA Data Vault fix</t>
        </is>
      </c>
      <c r="F533" s="49" t="inlineStr">
        <is>
          <t>PASS</t>
        </is>
      </c>
      <c r="G533" s="48" t="inlineStr">
        <is>
          <t>Pass</t>
        </is>
      </c>
      <c r="H533" s="50" t="inlineStr">
        <is>
          <t>không trùng lỗi nào trong Issue log của DA Data Vault</t>
        </is>
      </c>
      <c r="I5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33" s="48" t="inlineStr">
        <is>
          <t>028. OCB_GOLD_TCKH_V_SLGD_HOP.xlsx [Script: V_SLGD]</t>
        </is>
      </c>
    </row>
    <row r="534">
      <c r="A534" s="48" t="inlineStr">
        <is>
          <t>TCKH.V_SLGD</t>
        </is>
      </c>
      <c r="B534" s="48" t="inlineStr">
        <is>
          <t>UPLOAD_VIEW</t>
        </is>
      </c>
      <c r="C534" s="48" t="inlineStr">
        <is>
          <t>2.6</t>
        </is>
      </c>
      <c r="D534" s="48" t="inlineStr">
        <is>
          <t>Nhom 2 - Logic</t>
        </is>
      </c>
      <c r="E534" s="48" t="inlineStr">
        <is>
          <t>SCD Type 2 cho bảng DIM áp dụng đúng kỹ thuật đã thống nhất</t>
        </is>
      </c>
      <c r="F534" s="48" t="inlineStr">
        <is>
          <t>N-A</t>
        </is>
      </c>
      <c r="G534" s="48" t="inlineStr">
        <is>
          <t>Pass</t>
        </is>
      </c>
      <c r="H534" s="50" t="inlineStr">
        <is>
          <t>object không phải bảng DIM nên không áp dụng SCD Type 2</t>
        </is>
      </c>
      <c r="I5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34" s="48" t="inlineStr">
        <is>
          <t>028. OCB_GOLD_TCKH_V_SLGD_HOP.xlsx [Script: V_SLGD]</t>
        </is>
      </c>
    </row>
    <row r="535">
      <c r="A535" s="48" t="inlineStr">
        <is>
          <t>TCKH.V_SLGD</t>
        </is>
      </c>
      <c r="B535" s="48" t="inlineStr">
        <is>
          <t>UPLOAD_VIEW</t>
        </is>
      </c>
      <c r="C535" s="48" t="inlineStr">
        <is>
          <t>2.7</t>
        </is>
      </c>
      <c r="D535" s="48" t="inlineStr">
        <is>
          <t>Nhom 2 - Logic</t>
        </is>
      </c>
      <c r="E535" s="48" t="inlineStr">
        <is>
          <t>CASE WHEN cover đủ nhánh như job on-prem</t>
        </is>
      </c>
      <c r="F535" s="48" t="inlineStr">
        <is>
          <t>N-A</t>
        </is>
      </c>
      <c r="G535" s="48" t="inlineStr">
        <is>
          <t>Pass</t>
        </is>
      </c>
      <c r="H535" s="50" t="inlineStr">
        <is>
          <t>script không có CASE WHEN nào</t>
        </is>
      </c>
      <c r="I535" s="50" t="inlineStr">
        <is>
          <t>Mở job on-prem tương ứng (DataStage DSX hoặc SQL cũ), đối chiếu từng nhánh WHEN và cả nhánh ELSE. CASE không có ELSE sẽ trả NULL âm thầm — xác nhận đó là ý muốn hay thiếu nhánh.</t>
        </is>
      </c>
      <c r="J535" s="48" t="inlineStr">
        <is>
          <t>028. OCB_GOLD_TCKH_V_SLGD_HOP.xlsx [Script: V_SLGD]</t>
        </is>
      </c>
    </row>
    <row r="536">
      <c r="A536" s="48" t="inlineStr">
        <is>
          <t>TCKH.V_SLGD</t>
        </is>
      </c>
      <c r="B536" s="48" t="inlineStr">
        <is>
          <t>UPLOAD_VIEW</t>
        </is>
      </c>
      <c r="C536" s="48" t="inlineStr">
        <is>
          <t>2.8</t>
        </is>
      </c>
      <c r="D536" s="48" t="inlineStr">
        <is>
          <t>Nhom 2 - Logic</t>
        </is>
      </c>
      <c r="E536" s="48" t="inlineStr">
        <is>
          <t>Cột SUM/COUNT được COALESCE/NVL hợp lý</t>
        </is>
      </c>
      <c r="F536" s="51" t="inlineStr">
        <is>
          <t>WARN</t>
        </is>
      </c>
      <c r="G536" s="48" t="inlineStr">
        <is>
          <t>WARN</t>
        </is>
      </c>
      <c r="H536" s="50" t="inlineStr">
        <is>
          <t>1 biểu thức tổng hợp chưa coalesce: TOTAL_SLGD = SUM(SO_LUONG_GD); khi đối soát với hệ thống cũ phải bọc NVL/ISNULL CẢ HAI phía để không lệch khi trừ (Checklist RVN-OCB #11)</t>
        </is>
      </c>
      <c r="I5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36" s="48" t="inlineStr">
        <is>
          <t>028. OCB_GOLD_TCKH_V_SLGD_HOP.xlsx [Script: V_SLGD]</t>
        </is>
      </c>
    </row>
    <row r="537">
      <c r="A537" s="48" t="inlineStr">
        <is>
          <t>TCKH.V_SLGD</t>
        </is>
      </c>
      <c r="B537" s="48" t="inlineStr">
        <is>
          <t>UPLOAD_VIEW</t>
        </is>
      </c>
      <c r="C537" s="48" t="inlineStr">
        <is>
          <t>2.9</t>
        </is>
      </c>
      <c r="D537" s="48" t="inlineStr">
        <is>
          <t>Nhom 2 - Logic</t>
        </is>
      </c>
      <c r="E537" s="48" t="inlineStr">
        <is>
          <t>Subquery / custom function / điều kiện LIKE đúng ý nghĩa nghiệp vụ</t>
        </is>
      </c>
      <c r="F537" s="48" t="inlineStr">
        <is>
          <t>N-A</t>
        </is>
      </c>
      <c r="G537" s="48" t="inlineStr">
        <is>
          <t>Pass</t>
        </is>
      </c>
      <c r="H537" s="50" t="inlineStr">
        <is>
          <t>script không có điều kiện LIKE hay scalar subquery nào</t>
        </is>
      </c>
      <c r="I537" s="50" t="inlineStr">
        <is>
          <t>Đọc lại từng điều kiện LIKE và từng subquery, đối chiếu ý nghĩa nghiệp vụ với on-prem — đúng cú pháp không đủ. Chú ý pattern LIKE có ký tự % ở đầu/cuối và phân biệt chữ hoa/thường.</t>
        </is>
      </c>
      <c r="J537" s="48" t="inlineStr">
        <is>
          <t>028. OCB_GOLD_TCKH_V_SLGD_HOP.xlsx [Script: V_SLGD]</t>
        </is>
      </c>
    </row>
    <row r="538">
      <c r="A538" s="48" t="inlineStr">
        <is>
          <t>TCKH.V_SLGD</t>
        </is>
      </c>
      <c r="B538" s="48" t="inlineStr">
        <is>
          <t>UPLOAD_VIEW</t>
        </is>
      </c>
      <c r="C538" s="48" t="inlineStr">
        <is>
          <t>2.10</t>
        </is>
      </c>
      <c r="D538" s="48" t="inlineStr">
        <is>
          <t>Nhom 2 - Logic</t>
        </is>
      </c>
      <c r="E538" s="48" t="inlineStr">
        <is>
          <t>Aggregation kèm filter date range chính xác</t>
        </is>
      </c>
      <c r="F538" s="49" t="inlineStr">
        <is>
          <t>PASS</t>
        </is>
      </c>
      <c r="G538" s="48" t="inlineStr">
        <is>
          <t>Pass</t>
        </is>
      </c>
      <c r="H538" s="50" t="inlineStr">
        <is>
          <t>mọi khối tổng hợp đều có điều kiện theo kỳ dữ liệu</t>
        </is>
      </c>
      <c r="I538" s="50" t="inlineStr">
        <is>
          <t>Mỗi khối SUM/COUNT/AVG phải có điều kiện lọc theo kỳ dữ liệu (CDR_DT_ID, DATA_DATE, :DATADT…). Nếu điều kiện nằm ở CTE nguồn thì ghi rõ trong comment để người review không phải truy ngược.</t>
        </is>
      </c>
      <c r="J538" s="48" t="inlineStr">
        <is>
          <t>028. OCB_GOLD_TCKH_V_SLGD_HOP.xlsx [Script: V_SLGD]</t>
        </is>
      </c>
    </row>
    <row r="539">
      <c r="A539" s="48" t="inlineStr">
        <is>
          <t>TCKH.V_SLGD</t>
        </is>
      </c>
      <c r="B539" s="48" t="inlineStr">
        <is>
          <t>UPLOAD_VIEW</t>
        </is>
      </c>
      <c r="C539" s="48" t="inlineStr">
        <is>
          <t>2.11</t>
        </is>
      </c>
      <c r="D539" s="48" t="inlineStr">
        <is>
          <t>Nhom 2 - Logic</t>
        </is>
      </c>
      <c r="E539" s="48" t="inlineStr">
        <is>
          <t>Join dùng key hợp lý, không lạm dụng UNION ALL + EXISTS/NOT EXISTS</t>
        </is>
      </c>
      <c r="F539" s="49" t="inlineStr">
        <is>
          <t>PASS</t>
        </is>
      </c>
      <c r="G539" s="48" t="inlineStr">
        <is>
          <t>Pass</t>
        </is>
      </c>
      <c r="H539" s="50" t="inlineStr">
        <is>
          <t>join đều theo điều kiện bằng, không lạm dụng UNION ALL + EXISTS</t>
        </is>
      </c>
      <c r="I539" s="50" t="inlineStr">
        <is>
          <t>Ưu tiên LEFT JOIN theo business key hoặc hashkey. Xem lại các chỗ dùng UNION ALL kết hợp EXISTS/NOT EXISTS — thường thay được bằng một LEFT JOIN. Join không có điều kiện bằng (=) dễ tạo tích Descartes.</t>
        </is>
      </c>
      <c r="J539" s="48" t="inlineStr">
        <is>
          <t>028. OCB_GOLD_TCKH_V_SLGD_HOP.xlsx [Script: V_SLGD]</t>
        </is>
      </c>
    </row>
    <row r="540">
      <c r="A540" s="48" t="inlineStr">
        <is>
          <t>TCKH.V_SLGD</t>
        </is>
      </c>
      <c r="B540" s="48" t="inlineStr">
        <is>
          <t>UPLOAD_VIEW</t>
        </is>
      </c>
      <c r="C540" s="48" t="inlineStr">
        <is>
          <t>2.12</t>
        </is>
      </c>
      <c r="D540" s="48" t="inlineStr">
        <is>
          <t>Nhom 2 - Logic</t>
        </is>
      </c>
      <c r="E540" s="48" t="inlineStr">
        <is>
          <t>Build Gold từ CTE snapshot Silver, không build nhiều tầng chồng chéo</t>
        </is>
      </c>
      <c r="F540" s="48" t="inlineStr">
        <is>
          <t>N-A</t>
        </is>
      </c>
      <c r="G540" s="48" t="inlineStr">
        <is>
          <t>Pass</t>
        </is>
      </c>
      <c r="H540" s="50" t="inlineStr">
        <is>
          <t>khong ap dung cho profile UPLOAD_VIEW</t>
        </is>
      </c>
      <c r="I5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40" s="48" t="inlineStr">
        <is>
          <t>028. OCB_GOLD_TCKH_V_SLGD_HOP.xlsx [Script: V_SLGD]</t>
        </is>
      </c>
    </row>
    <row r="541">
      <c r="A541" s="48" t="inlineStr">
        <is>
          <t>TCKH.V_SLGD</t>
        </is>
      </c>
      <c r="B541" s="48" t="inlineStr">
        <is>
          <t>UPLOAD_VIEW</t>
        </is>
      </c>
      <c r="C541" s="48" t="inlineStr">
        <is>
          <t>3.1</t>
        </is>
      </c>
      <c r="D541" s="48" t="inlineStr">
        <is>
          <t>Nhom 3 - Optimization</t>
        </is>
      </c>
      <c r="E541" s="48" t="inlineStr">
        <is>
          <t>Không SELECT *</t>
        </is>
      </c>
      <c r="F541" s="49" t="inlineStr">
        <is>
          <t>PASS</t>
        </is>
      </c>
      <c r="G541" s="48" t="inlineStr">
        <is>
          <t>Pass</t>
        </is>
      </c>
      <c r="H541" s="50" t="inlineStr">
        <is>
          <t>không dùng SELECT * ở đâu</t>
        </is>
      </c>
      <c r="I541" s="50" t="inlineStr">
        <is>
          <t>Liệt kê tường minh các cột cần dùng, kể cả trong CTE trung gian. SELECT * làm tăng IO/memory và vỡ script khi bảng nguồn thêm cột.</t>
        </is>
      </c>
      <c r="J541" s="48" t="inlineStr">
        <is>
          <t>028. OCB_GOLD_TCKH_V_SLGD_HOP.xlsx [Script: V_SLGD]</t>
        </is>
      </c>
    </row>
    <row r="542">
      <c r="A542" s="48" t="inlineStr">
        <is>
          <t>TCKH.V_SLGD</t>
        </is>
      </c>
      <c r="B542" s="48" t="inlineStr">
        <is>
          <t>UPLOAD_VIEW</t>
        </is>
      </c>
      <c r="C542" s="48" t="inlineStr">
        <is>
          <t>3.2</t>
        </is>
      </c>
      <c r="D542" s="48" t="inlineStr">
        <is>
          <t>Nhom 3 - Optimization</t>
        </is>
      </c>
      <c r="E542" s="48" t="inlineStr">
        <is>
          <t>CTE không bị scan lại nhiều lần</t>
        </is>
      </c>
      <c r="F542" s="49" t="inlineStr">
        <is>
          <t>PASS</t>
        </is>
      </c>
      <c r="G542" s="48" t="inlineStr">
        <is>
          <t>Pass</t>
        </is>
      </c>
      <c r="H542" s="50" t="inlineStr">
        <is>
          <t>không có CTE nào bị gọi lại</t>
        </is>
      </c>
      <c r="I542" s="50" t="inlineStr">
        <is>
          <t>Với CTE nặng (đọc nhiều bảng Silver) bị tham chiếu từ 2 chỗ trở lên: gom lại còn một lần dùng, hoặc vật chất hóa (CACHE / bảng tạm). CTE nhẹ chỉ chứa tham số thì bỏ qua được — tự tick Pass.</t>
        </is>
      </c>
      <c r="J542" s="48" t="inlineStr">
        <is>
          <t>028. OCB_GOLD_TCKH_V_SLGD_HOP.xlsx [Script: V_SLGD]</t>
        </is>
      </c>
    </row>
    <row r="543">
      <c r="A543" s="48" t="inlineStr">
        <is>
          <t>TCKH.V_SLGD</t>
        </is>
      </c>
      <c r="B543" s="48" t="inlineStr">
        <is>
          <t>UPLOAD_VIEW</t>
        </is>
      </c>
      <c r="C543" s="48" t="inlineStr">
        <is>
          <t>3.3</t>
        </is>
      </c>
      <c r="D543" s="48" t="inlineStr">
        <is>
          <t>Nhom 3 - Optimization</t>
        </is>
      </c>
      <c r="E543" s="48" t="inlineStr">
        <is>
          <t>Filter trước khi join, tận dụng partition pruning</t>
        </is>
      </c>
      <c r="F543" s="48" t="inlineStr">
        <is>
          <t>N-A</t>
        </is>
      </c>
      <c r="G543" s="48" t="inlineStr">
        <is>
          <t>Pass</t>
        </is>
      </c>
      <c r="H543" s="50" t="inlineStr">
        <is>
          <t>khong ap dung cho profile UPLOAD_VIEW</t>
        </is>
      </c>
      <c r="I543" s="50" t="inlineStr">
        <is>
          <t>Đưa điều kiện lọc (ngày dữ liệu, trạng thái) vào subquery của từng bảng TRƯỚC khi join, để tận dụng partition pruning. Bảng dim nhỏ không partition thì không cần — tự tick Pass.</t>
        </is>
      </c>
      <c r="J543" s="48" t="inlineStr">
        <is>
          <t>028. OCB_GOLD_TCKH_V_SLGD_HOP.xlsx [Script: V_SLGD]</t>
        </is>
      </c>
    </row>
    <row r="544">
      <c r="A544" s="48" t="inlineStr">
        <is>
          <t>TCKH.V_SLGD</t>
        </is>
      </c>
      <c r="B544" s="48" t="inlineStr">
        <is>
          <t>UPLOAD_VIEW</t>
        </is>
      </c>
      <c r="C544" s="48" t="inlineStr">
        <is>
          <t>3.4</t>
        </is>
      </c>
      <c r="D544" s="48" t="inlineStr">
        <is>
          <t>Nhom 3 - Optimization</t>
        </is>
      </c>
      <c r="E544" s="48" t="inlineStr">
        <is>
          <t>Sử dụng CACHE cho query lặp lại trong cùng luồng</t>
        </is>
      </c>
      <c r="F544" s="48" t="inlineStr">
        <is>
          <t>N-A</t>
        </is>
      </c>
      <c r="G544" s="48" t="inlineStr">
        <is>
          <t>Pass</t>
        </is>
      </c>
      <c r="H544" s="50" t="inlineStr">
        <is>
          <t>không có kết quả nào được dùng lại nhiều lần nên chưa cần CACHE</t>
        </is>
      </c>
      <c r="I544" s="50" t="inlineStr">
        <is>
          <t>Nếu một kết quả nặng được dùng lại nhiều bước trong cùng luồng, thêm CACHE TABLE / CACHE SELECT. Kết quả nhỏ thì cache còn chậm hơn — tự tick Pass.</t>
        </is>
      </c>
      <c r="J544" s="48" t="inlineStr">
        <is>
          <t>028. OCB_GOLD_TCKH_V_SLGD_HOP.xlsx [Script: V_SLGD]</t>
        </is>
      </c>
    </row>
    <row r="545">
      <c r="A545" s="48" t="inlineStr">
        <is>
          <t>TCKH.V_SLGD</t>
        </is>
      </c>
      <c r="B545" s="48" t="inlineStr">
        <is>
          <t>UPLOAD_VIEW</t>
        </is>
      </c>
      <c r="C545" s="48" t="inlineStr">
        <is>
          <t>3.5</t>
        </is>
      </c>
      <c r="D545" s="48" t="inlineStr">
        <is>
          <t>Nhom 3 - Optimization</t>
        </is>
      </c>
      <c r="E545" s="48" t="inlineStr">
        <is>
          <t>Ưu tiên MAX_BY + QUALIFY thay ROW_NUMBER() + WHERE rn = 1</t>
        </is>
      </c>
      <c r="F545" s="48" t="inlineStr">
        <is>
          <t>N-A</t>
        </is>
      </c>
      <c r="G545" s="48" t="inlineStr">
        <is>
          <t>Pass</t>
        </is>
      </c>
      <c r="H545" s="50" t="inlineStr">
        <is>
          <t>script không dùng ROW_NUMBER, và MAX_BY (nếu có) không vượt quá 5 cột/khối</t>
        </is>
      </c>
      <c r="I5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45" s="48" t="inlineStr">
        <is>
          <t>028. OCB_GOLD_TCKH_V_SLGD_HOP.xlsx [Script: V_SLGD]</t>
        </is>
      </c>
    </row>
    <row r="546">
      <c r="A546" s="48" t="inlineStr">
        <is>
          <t>TCKH.V_SLGD</t>
        </is>
      </c>
      <c r="B546" s="48" t="inlineStr">
        <is>
          <t>UPLOAD_VIEW</t>
        </is>
      </c>
      <c r="C546" s="48" t="inlineStr">
        <is>
          <t>3.6</t>
        </is>
      </c>
      <c r="D546" s="48" t="inlineStr">
        <is>
          <t>Nhom 3 - Optimization</t>
        </is>
      </c>
      <c r="E546" s="48" t="inlineStr">
        <is>
          <t>Không lạm dụng window function; có comment khi dùng</t>
        </is>
      </c>
      <c r="F546" s="48" t="inlineStr">
        <is>
          <t>N-A</t>
        </is>
      </c>
      <c r="G546" s="48" t="inlineStr">
        <is>
          <t>Pass</t>
        </is>
      </c>
      <c r="H546" s="50" t="inlineStr">
        <is>
          <t>script không dùng window function</t>
        </is>
      </c>
      <c r="I546" s="50" t="inlineStr">
        <is>
          <t>Mỗi window function cần một comment ngay trên khối CTE chứa nó, nói rõ vì sao không dùng được max_by/QUALIFY đơn giản hơn.</t>
        </is>
      </c>
      <c r="J546" s="48" t="inlineStr">
        <is>
          <t>028. OCB_GOLD_TCKH_V_SLGD_HOP.xlsx [Script: V_SLGD]</t>
        </is>
      </c>
    </row>
    <row r="547">
      <c r="A547" s="48" t="inlineStr">
        <is>
          <t>TCKH.V_SLGD</t>
        </is>
      </c>
      <c r="B547" s="48" t="inlineStr">
        <is>
          <t>UPLOAD_VIEW</t>
        </is>
      </c>
      <c r="C547" s="48" t="inlineStr">
        <is>
          <t>X.1</t>
        </is>
      </c>
      <c r="D547" s="48" t="inlineStr">
        <is>
          <t>Nhom X - Bo sung Raffles</t>
        </is>
      </c>
      <c r="E547" s="48" t="inlineStr">
        <is>
          <t>[Bổ sung] Link phải rút về current trước khi join (chống fan-out)</t>
        </is>
      </c>
      <c r="F547" s="48" t="inlineStr">
        <is>
          <t>N-A</t>
        </is>
      </c>
      <c r="G547" s="48" t="inlineStr">
        <is>
          <t>Pass</t>
        </is>
      </c>
      <c r="H547" s="50" t="inlineStr">
        <is>
          <t>khong ap dung cho profile UPLOAD_VIEW</t>
        </is>
      </c>
      <c r="I5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47" s="48" t="inlineStr">
        <is>
          <t>028. OCB_GOLD_TCKH_V_SLGD_HOP.xlsx [Script: V_SLGD]</t>
        </is>
      </c>
    </row>
    <row r="548">
      <c r="A548" s="48" t="inlineStr">
        <is>
          <t>TCKH.V_SLGD</t>
        </is>
      </c>
      <c r="B548" s="48" t="inlineStr">
        <is>
          <t>UPLOAD_VIEW</t>
        </is>
      </c>
      <c r="C548" s="48" t="inlineStr">
        <is>
          <t>X.6</t>
        </is>
      </c>
      <c r="D548" s="48" t="inlineStr">
        <is>
          <t>Nhom X - Bo sung Raffles</t>
        </is>
      </c>
      <c r="E548" s="48" t="inlineStr">
        <is>
          <t>[Bổ sung] Satellite phải LEFT JOIN, không INNER JOIN</t>
        </is>
      </c>
      <c r="F548" s="48" t="inlineStr">
        <is>
          <t>N-A</t>
        </is>
      </c>
      <c r="G548" s="48" t="inlineStr">
        <is>
          <t>Pass</t>
        </is>
      </c>
      <c r="H548" s="50" t="inlineStr">
        <is>
          <t>khong ap dung cho profile UPLOAD_VIEW</t>
        </is>
      </c>
      <c r="I548" s="50" t="inlineStr">
        <is>
          <t>Technical Document III.4.2.2 nguyên tắc 1: làm giàu thuộc tính luôn dùng LEFT JOIN. INNER JOIN satellite sẽ loại mất bản ghi Hub đang còn hiệu lực nhưng chưa có dòng satellite.</t>
        </is>
      </c>
      <c r="J548" s="48" t="inlineStr">
        <is>
          <t>028. OCB_GOLD_TCKH_V_SLGD_HOP.xlsx [Script: V_SLGD]</t>
        </is>
      </c>
    </row>
    <row r="549">
      <c r="A549" s="48" t="inlineStr">
        <is>
          <t>TCKH.V_SLGD</t>
        </is>
      </c>
      <c r="B549" s="48" t="inlineStr">
        <is>
          <t>UPLOAD_VIEW</t>
        </is>
      </c>
      <c r="C549" s="48" t="inlineStr">
        <is>
          <t>X.7</t>
        </is>
      </c>
      <c r="D549" s="48" t="inlineStr">
        <is>
          <t>Nhom X - Bo sung Raffles</t>
        </is>
      </c>
      <c r="E549" s="48" t="inlineStr">
        <is>
          <t>[Bổ sung] Không hard-code catalog, dùng biến môi trường</t>
        </is>
      </c>
      <c r="F549" s="48" t="inlineStr">
        <is>
          <t>N-A</t>
        </is>
      </c>
      <c r="G549" s="48" t="inlineStr">
        <is>
          <t>Pass</t>
        </is>
      </c>
      <c r="H549" s="50" t="inlineStr">
        <is>
          <t>khong ap dung cho profile UPLOAD_VIEW</t>
        </is>
      </c>
      <c r="I5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49" s="48" t="inlineStr">
        <is>
          <t>028. OCB_GOLD_TCKH_V_SLGD_HOP.xlsx [Script: V_SLGD]</t>
        </is>
      </c>
    </row>
    <row r="550">
      <c r="A550" s="48" t="inlineStr">
        <is>
          <t>TCKH.V_SLGD</t>
        </is>
      </c>
      <c r="B550" s="48" t="inlineStr">
        <is>
          <t>UPLOAD_VIEW</t>
        </is>
      </c>
      <c r="C550" s="48" t="inlineStr">
        <is>
          <t>X.10</t>
        </is>
      </c>
      <c r="D550" s="48" t="inlineStr">
        <is>
          <t>Nhom X - Bo sung Raffles</t>
        </is>
      </c>
      <c r="E550" s="48" t="inlineStr">
        <is>
          <t>Bang raw_vault/business_vault duoc doc phai TON TAI THAT trong Data Vault model</t>
        </is>
      </c>
      <c r="F550" s="48" t="inlineStr">
        <is>
          <t>N-A</t>
        </is>
      </c>
      <c r="G550" s="48" t="inlineStr">
        <is>
          <t>Pass</t>
        </is>
      </c>
      <c r="H550" s="50" t="inlineStr">
        <is>
          <t>script không đọc bảng raw_vault/business_vault nào</t>
        </is>
      </c>
      <c r="I550" s="50" t="inlineStr"/>
      <c r="J550" s="48" t="inlineStr">
        <is>
          <t>028. OCB_GOLD_TCKH_V_SLGD_HOP.xlsx [Script: V_SLGD]</t>
        </is>
      </c>
    </row>
    <row r="551">
      <c r="A551" s="48" t="inlineStr">
        <is>
          <t>TCKH.V_SLGD</t>
        </is>
      </c>
      <c r="B551" s="48" t="inlineStr">
        <is>
          <t>UPLOAD_VIEW</t>
        </is>
      </c>
      <c r="C551" s="48" t="inlineStr">
        <is>
          <t>X.11</t>
        </is>
      </c>
      <c r="D551" s="48" t="inlineStr">
        <is>
          <t>Nhom X - Bo sung Raffles</t>
        </is>
      </c>
      <c r="E551" s="48" t="inlineStr">
        <is>
          <t>Cot doc tu satellite (sat_*) phai TON TAI THAT trong model</t>
        </is>
      </c>
      <c r="F551" s="48" t="inlineStr">
        <is>
          <t>N-A</t>
        </is>
      </c>
      <c r="G551" s="48" t="inlineStr">
        <is>
          <t>Pass</t>
        </is>
      </c>
      <c r="H551" s="50" t="inlineStr">
        <is>
          <t>không có bảng sat_* nào đủ điều kiện đối chiếu (Select chỉ đọc 1 bảng)</t>
        </is>
      </c>
      <c r="I551" s="50" t="inlineStr"/>
      <c r="J551" s="48" t="inlineStr">
        <is>
          <t>028. OCB_GOLD_TCKH_V_SLGD_HOP.xlsx [Script: V_SLGD]</t>
        </is>
      </c>
    </row>
    <row r="552">
      <c r="A552" s="48" t="inlineStr">
        <is>
          <t>TCKH.V_SLNV_UPL</t>
        </is>
      </c>
      <c r="B552" s="48" t="inlineStr">
        <is>
          <t>UPLOAD_VIEW</t>
        </is>
      </c>
      <c r="C552" s="48" t="inlineStr">
        <is>
          <t>1.1</t>
        </is>
      </c>
      <c r="D552" s="48" t="inlineStr">
        <is>
          <t>Nhom 1 - Mapping</t>
        </is>
      </c>
      <c r="E552" s="48" t="inlineStr">
        <is>
          <t>Đầy đủ mapping từ Silver/manual sang Gold</t>
        </is>
      </c>
      <c r="F552" s="49" t="inlineStr">
        <is>
          <t>PASS</t>
        </is>
      </c>
      <c r="G552" s="48" t="inlineStr">
        <is>
          <t>Pass</t>
        </is>
      </c>
      <c r="H552" s="50" t="inlineStr">
        <is>
          <t>workbook 029. OCB_GOLD_TCKH_V_SLNV_UPL_HOP.xlsx: thiết kế 11 field, SQL có 11 cột</t>
        </is>
      </c>
      <c r="I5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52" s="48" t="inlineStr">
        <is>
          <t>029. OCB_GOLD_TCKH_V_SLNV_UPL_HOP.xlsx [script: V_SLNV_UPL]</t>
        </is>
      </c>
    </row>
    <row r="553">
      <c r="A553" s="48" t="inlineStr">
        <is>
          <t>TCKH.V_SLNV_UPL</t>
        </is>
      </c>
      <c r="B553" s="48" t="inlineStr">
        <is>
          <t>UPLOAD_VIEW</t>
        </is>
      </c>
      <c r="C553" s="48" t="inlineStr">
        <is>
          <t>1.2</t>
        </is>
      </c>
      <c r="D553" s="48" t="inlineStr">
        <is>
          <t>Nhom 1 - Mapping</t>
        </is>
      </c>
      <c r="E553" s="48" t="inlineStr">
        <is>
          <t>Danh sách bảng/view Gold khớp tài liệu thiết kế đã duyệt</t>
        </is>
      </c>
      <c r="F553" s="49" t="inlineStr">
        <is>
          <t>PASS</t>
        </is>
      </c>
      <c r="G553" s="48" t="inlineStr">
        <is>
          <t>Pass</t>
        </is>
      </c>
      <c r="H553" s="50" t="inlineStr">
        <is>
          <t>V_SLNV_UPL có workbook thiết kế: 029. OCB_GOLD_TCKH_V_SLNV_UPL_HOP.xlsx</t>
        </is>
      </c>
      <c r="I553" s="50" t="inlineStr">
        <is>
          <t>Đảm bảo object có workbook thiết kế tương ứng trong thư mục --mapping-dir. Muốn đối chiếu với danh sách đã duyệt thì chạy thêm tham số --gold-list "&lt;file danh sách Gold&gt;.xlsx".</t>
        </is>
      </c>
      <c r="J553" s="48" t="inlineStr">
        <is>
          <t>029. OCB_GOLD_TCKH_V_SLNV_UPL_HOP.xlsx [script: V_SLNV_UPL]</t>
        </is>
      </c>
    </row>
    <row r="554">
      <c r="A554" s="48" t="inlineStr">
        <is>
          <t>TCKH.V_SLNV_UPL</t>
        </is>
      </c>
      <c r="B554" s="48" t="inlineStr">
        <is>
          <t>UPLOAD_VIEW</t>
        </is>
      </c>
      <c r="C554" s="48" t="inlineStr">
        <is>
          <t>2.1</t>
        </is>
      </c>
      <c r="D554" s="48" t="inlineStr">
        <is>
          <t>Nhom 2 - Logic</t>
        </is>
      </c>
      <c r="E554" s="48" t="inlineStr">
        <is>
          <t>Chỉ lấy bản ghi active, loại bản ghi đã xóa (qua sts_hub)</t>
        </is>
      </c>
      <c r="F554" s="48" t="inlineStr">
        <is>
          <t>N-A</t>
        </is>
      </c>
      <c r="G554" s="48" t="inlineStr">
        <is>
          <t>Pass</t>
        </is>
      </c>
      <c r="H554" s="50" t="inlineStr">
        <is>
          <t>khong ap dung cho profile UPLOAD_VIEW</t>
        </is>
      </c>
      <c r="I5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54" s="48" t="inlineStr">
        <is>
          <t>029. OCB_GOLD_TCKH_V_SLNV_UPL_HOP.xlsx [script: V_SLNV_UPL]</t>
        </is>
      </c>
    </row>
    <row r="555">
      <c r="A555" s="48" t="inlineStr">
        <is>
          <t>TCKH.V_SLNV_UPL</t>
        </is>
      </c>
      <c r="B555" s="48" t="inlineStr">
        <is>
          <t>UPLOAD_VIEW</t>
        </is>
      </c>
      <c r="C555" s="48" t="inlineStr">
        <is>
          <t>2.2</t>
        </is>
      </c>
      <c r="D555" s="48" t="inlineStr">
        <is>
          <t>Nhom 2 - Logic</t>
        </is>
      </c>
      <c r="E555" s="48" t="inlineStr">
        <is>
          <t>Thống nhất MỘT pattern duy nhất xác định bản ghi active mới nhất</t>
        </is>
      </c>
      <c r="F555" s="48" t="inlineStr">
        <is>
          <t>N-A</t>
        </is>
      </c>
      <c r="G555" s="48" t="inlineStr">
        <is>
          <t>Pass</t>
        </is>
      </c>
      <c r="H555" s="50" t="inlineStr">
        <is>
          <t>khong ap dung cho profile UPLOAD_VIEW</t>
        </is>
      </c>
      <c r="I5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55" s="48" t="inlineStr">
        <is>
          <t>029. OCB_GOLD_TCKH_V_SLNV_UPL_HOP.xlsx [script: V_SLNV_UPL]</t>
        </is>
      </c>
    </row>
    <row r="556">
      <c r="A556" s="48" t="inlineStr">
        <is>
          <t>TCKH.V_SLNV_UPL</t>
        </is>
      </c>
      <c r="B556" s="48" t="inlineStr">
        <is>
          <t>UPLOAD_VIEW</t>
        </is>
      </c>
      <c r="C556" s="48" t="inlineStr">
        <is>
          <t>2.3</t>
        </is>
      </c>
      <c r="D556" s="48" t="inlineStr">
        <is>
          <t>Nhom 2 - Logic</t>
        </is>
      </c>
      <c r="E556" s="48" t="inlineStr">
        <is>
          <t>Điều kiện lọc trạng thái đặt SAU khi xác định bản ghi mới nhất</t>
        </is>
      </c>
      <c r="F556" s="48" t="inlineStr">
        <is>
          <t>N-A</t>
        </is>
      </c>
      <c r="G556" s="48" t="inlineStr">
        <is>
          <t>Pass</t>
        </is>
      </c>
      <c r="H556" s="50" t="inlineStr">
        <is>
          <t>khong ap dung cho profile UPLOAD_VIEW</t>
        </is>
      </c>
      <c r="I5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56" s="48" t="inlineStr">
        <is>
          <t>029. OCB_GOLD_TCKH_V_SLNV_UPL_HOP.xlsx [script: V_SLNV_UPL]</t>
        </is>
      </c>
    </row>
    <row r="557">
      <c r="A557" s="48" t="inlineStr">
        <is>
          <t>TCKH.V_SLNV_UPL</t>
        </is>
      </c>
      <c r="B557" s="48" t="inlineStr">
        <is>
          <t>UPLOAD_VIEW</t>
        </is>
      </c>
      <c r="C557" s="48" t="inlineStr">
        <is>
          <t>2.4</t>
        </is>
      </c>
      <c r="D557" s="48" t="inlineStr">
        <is>
          <t>Nhom 2 - Logic</t>
        </is>
      </c>
      <c r="E557" s="48" t="inlineStr">
        <is>
          <t>source_event_date áp dụng đúng dạng theo loại bảng</t>
        </is>
      </c>
      <c r="F557" s="48" t="inlineStr">
        <is>
          <t>N-A</t>
        </is>
      </c>
      <c r="G557" s="48" t="inlineStr">
        <is>
          <t>Pass</t>
        </is>
      </c>
      <c r="H557" s="50" t="inlineStr">
        <is>
          <t>khong ap dung cho profile UPLOAD_VIEW</t>
        </is>
      </c>
      <c r="I5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57" s="48" t="inlineStr">
        <is>
          <t>029. OCB_GOLD_TCKH_V_SLNV_UPL_HOP.xlsx [script: V_SLNV_UPL]</t>
        </is>
      </c>
    </row>
    <row r="558">
      <c r="A558" s="48" t="inlineStr">
        <is>
          <t>TCKH.V_SLNV_UPL</t>
        </is>
      </c>
      <c r="B558" s="48" t="inlineStr">
        <is>
          <t>UPLOAD_VIEW</t>
        </is>
      </c>
      <c r="C558" s="48" t="inlineStr">
        <is>
          <t>2.5</t>
        </is>
      </c>
      <c r="D558" s="48" t="inlineStr">
        <is>
          <t>Nhom 2 - Logic</t>
        </is>
      </c>
      <c r="E558" s="48" t="inlineStr">
        <is>
          <t>Không lặp lại lỗi logic cũ đã được DA Data Vault fix</t>
        </is>
      </c>
      <c r="F558" s="49" t="inlineStr">
        <is>
          <t>PASS</t>
        </is>
      </c>
      <c r="G558" s="48" t="inlineStr">
        <is>
          <t>Pass</t>
        </is>
      </c>
      <c r="H558" s="50" t="inlineStr">
        <is>
          <t>không trùng lỗi nào trong Issue log của DA Data Vault</t>
        </is>
      </c>
      <c r="I5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58" s="48" t="inlineStr">
        <is>
          <t>029. OCB_GOLD_TCKH_V_SLNV_UPL_HOP.xlsx [script: V_SLNV_UPL]</t>
        </is>
      </c>
    </row>
    <row r="559">
      <c r="A559" s="48" t="inlineStr">
        <is>
          <t>TCKH.V_SLNV_UPL</t>
        </is>
      </c>
      <c r="B559" s="48" t="inlineStr">
        <is>
          <t>UPLOAD_VIEW</t>
        </is>
      </c>
      <c r="C559" s="48" t="inlineStr">
        <is>
          <t>2.6</t>
        </is>
      </c>
      <c r="D559" s="48" t="inlineStr">
        <is>
          <t>Nhom 2 - Logic</t>
        </is>
      </c>
      <c r="E559" s="48" t="inlineStr">
        <is>
          <t>SCD Type 2 cho bảng DIM áp dụng đúng kỹ thuật đã thống nhất</t>
        </is>
      </c>
      <c r="F559" s="48" t="inlineStr">
        <is>
          <t>N-A</t>
        </is>
      </c>
      <c r="G559" s="48" t="inlineStr">
        <is>
          <t>Pass</t>
        </is>
      </c>
      <c r="H559" s="50" t="inlineStr">
        <is>
          <t>object không phải bảng DIM nên không áp dụng SCD Type 2</t>
        </is>
      </c>
      <c r="I5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59" s="48" t="inlineStr">
        <is>
          <t>029. OCB_GOLD_TCKH_V_SLNV_UPL_HOP.xlsx [script: V_SLNV_UPL]</t>
        </is>
      </c>
    </row>
    <row r="560">
      <c r="A560" s="48" t="inlineStr">
        <is>
          <t>TCKH.V_SLNV_UPL</t>
        </is>
      </c>
      <c r="B560" s="48" t="inlineStr">
        <is>
          <t>UPLOAD_VIEW</t>
        </is>
      </c>
      <c r="C560" s="48" t="inlineStr">
        <is>
          <t>2.7</t>
        </is>
      </c>
      <c r="D560" s="48" t="inlineStr">
        <is>
          <t>Nhom 2 - Logic</t>
        </is>
      </c>
      <c r="E560" s="48" t="inlineStr">
        <is>
          <t>CASE WHEN cover đủ nhánh như job on-prem</t>
        </is>
      </c>
      <c r="F560" s="49" t="inlineStr">
        <is>
          <t>PASS</t>
        </is>
      </c>
      <c r="G560" s="48" t="inlineStr">
        <is>
          <t>Pass</t>
        </is>
      </c>
      <c r="H560" s="50" t="inlineStr">
        <is>
          <t>cả 2 CASE đều có nhánh ELSE</t>
        </is>
      </c>
      <c r="I560" s="50" t="inlineStr">
        <is>
          <t>Mở job on-prem tương ứng (DataStage DSX hoặc SQL cũ), đối chiếu từng nhánh WHEN và cả nhánh ELSE. CASE không có ELSE sẽ trả NULL âm thầm — xác nhận đó là ý muốn hay thiếu nhánh.</t>
        </is>
      </c>
      <c r="J560" s="48" t="inlineStr">
        <is>
          <t>029. OCB_GOLD_TCKH_V_SLNV_UPL_HOP.xlsx [script: V_SLNV_UPL]</t>
        </is>
      </c>
    </row>
    <row r="561">
      <c r="A561" s="48" t="inlineStr">
        <is>
          <t>TCKH.V_SLNV_UPL</t>
        </is>
      </c>
      <c r="B561" s="48" t="inlineStr">
        <is>
          <t>UPLOAD_VIEW</t>
        </is>
      </c>
      <c r="C561" s="48" t="inlineStr">
        <is>
          <t>2.8</t>
        </is>
      </c>
      <c r="D561" s="48" t="inlineStr">
        <is>
          <t>Nhom 2 - Logic</t>
        </is>
      </c>
      <c r="E561" s="48" t="inlineStr">
        <is>
          <t>Cột SUM/COUNT được COALESCE/NVL hợp lý</t>
        </is>
      </c>
      <c r="F561" s="51" t="inlineStr">
        <is>
          <t>WARN</t>
        </is>
      </c>
      <c r="G561" s="48" t="inlineStr">
        <is>
          <t>WARN</t>
        </is>
      </c>
      <c r="H561" s="50" t="inlineStr">
        <is>
          <t>4 biểu thức tổng hợp chưa coalesce: TotalByBranchCode = SUM(S.SO_LUONG); TotalByKVQL = SUM(S.SO_LUONG); TotalByPRNCode = SUM(S.SO_LUONG); TotalByPhong = SUM(S.SO_LUONG); khi đối soát với hệ thống cũ phải bọc NVL/ISNULL CẢ HAI phía để không lệch khi trừ (Checklist RVN-OCB #11)</t>
        </is>
      </c>
      <c r="I5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61" s="48" t="inlineStr">
        <is>
          <t>029. OCB_GOLD_TCKH_V_SLNV_UPL_HOP.xlsx [script: V_SLNV_UPL]</t>
        </is>
      </c>
    </row>
    <row r="562">
      <c r="A562" s="48" t="inlineStr">
        <is>
          <t>TCKH.V_SLNV_UPL</t>
        </is>
      </c>
      <c r="B562" s="48" t="inlineStr">
        <is>
          <t>UPLOAD_VIEW</t>
        </is>
      </c>
      <c r="C562" s="48" t="inlineStr">
        <is>
          <t>2.9</t>
        </is>
      </c>
      <c r="D562" s="48" t="inlineStr">
        <is>
          <t>Nhom 2 - Logic</t>
        </is>
      </c>
      <c r="E562" s="48" t="inlineStr">
        <is>
          <t>Subquery / custom function / điều kiện LIKE đúng ý nghĩa nghiệp vụ</t>
        </is>
      </c>
      <c r="F562" s="48" t="inlineStr">
        <is>
          <t>N-A</t>
        </is>
      </c>
      <c r="G562" s="48" t="inlineStr">
        <is>
          <t>Pass</t>
        </is>
      </c>
      <c r="H562" s="50" t="inlineStr">
        <is>
          <t>script không có điều kiện LIKE hay scalar subquery nào</t>
        </is>
      </c>
      <c r="I562" s="50" t="inlineStr">
        <is>
          <t>Đọc lại từng điều kiện LIKE và từng subquery, đối chiếu ý nghĩa nghiệp vụ với on-prem — đúng cú pháp không đủ. Chú ý pattern LIKE có ký tự % ở đầu/cuối và phân biệt chữ hoa/thường.</t>
        </is>
      </c>
      <c r="J562" s="48" t="inlineStr">
        <is>
          <t>029. OCB_GOLD_TCKH_V_SLNV_UPL_HOP.xlsx [script: V_SLNV_UPL]</t>
        </is>
      </c>
    </row>
    <row r="563">
      <c r="A563" s="48" t="inlineStr">
        <is>
          <t>TCKH.V_SLNV_UPL</t>
        </is>
      </c>
      <c r="B563" s="48" t="inlineStr">
        <is>
          <t>UPLOAD_VIEW</t>
        </is>
      </c>
      <c r="C563" s="48" t="inlineStr">
        <is>
          <t>2.10</t>
        </is>
      </c>
      <c r="D563" s="48" t="inlineStr">
        <is>
          <t>Nhom 2 - Logic</t>
        </is>
      </c>
      <c r="E563" s="48" t="inlineStr">
        <is>
          <t>Aggregation kèm filter date range chính xác</t>
        </is>
      </c>
      <c r="F563" s="49" t="inlineStr">
        <is>
          <t>PASS</t>
        </is>
      </c>
      <c r="G563" s="48" t="inlineStr">
        <is>
          <t>Pass</t>
        </is>
      </c>
      <c r="H563" s="50" t="inlineStr">
        <is>
          <t>mọi khối tổng hợp đều có điều kiện theo kỳ dữ liệu</t>
        </is>
      </c>
      <c r="I563" s="50" t="inlineStr">
        <is>
          <t>Mỗi khối SUM/COUNT/AVG phải có điều kiện lọc theo kỳ dữ liệu (CDR_DT_ID, DATA_DATE, :DATADT…). Nếu điều kiện nằm ở CTE nguồn thì ghi rõ trong comment để người review không phải truy ngược.</t>
        </is>
      </c>
      <c r="J563" s="48" t="inlineStr">
        <is>
          <t>029. OCB_GOLD_TCKH_V_SLNV_UPL_HOP.xlsx [script: V_SLNV_UPL]</t>
        </is>
      </c>
    </row>
    <row r="564">
      <c r="A564" s="48" t="inlineStr">
        <is>
          <t>TCKH.V_SLNV_UPL</t>
        </is>
      </c>
      <c r="B564" s="48" t="inlineStr">
        <is>
          <t>UPLOAD_VIEW</t>
        </is>
      </c>
      <c r="C564" s="48" t="inlineStr">
        <is>
          <t>2.11</t>
        </is>
      </c>
      <c r="D564" s="48" t="inlineStr">
        <is>
          <t>Nhom 2 - Logic</t>
        </is>
      </c>
      <c r="E564" s="48" t="inlineStr">
        <is>
          <t>Join dùng key hợp lý, không lạm dụng UNION ALL + EXISTS/NOT EXISTS</t>
        </is>
      </c>
      <c r="F564" s="49" t="inlineStr">
        <is>
          <t>PASS</t>
        </is>
      </c>
      <c r="G564" s="48" t="inlineStr">
        <is>
          <t>Pass</t>
        </is>
      </c>
      <c r="H564" s="50" t="inlineStr">
        <is>
          <t>join đều theo điều kiện bằng, không lạm dụng UNION ALL + EXISTS</t>
        </is>
      </c>
      <c r="I564" s="50" t="inlineStr">
        <is>
          <t>Ưu tiên LEFT JOIN theo business key hoặc hashkey. Xem lại các chỗ dùng UNION ALL kết hợp EXISTS/NOT EXISTS — thường thay được bằng một LEFT JOIN. Join không có điều kiện bằng (=) dễ tạo tích Descartes.</t>
        </is>
      </c>
      <c r="J564" s="48" t="inlineStr">
        <is>
          <t>029. OCB_GOLD_TCKH_V_SLNV_UPL_HOP.xlsx [script: V_SLNV_UPL]</t>
        </is>
      </c>
    </row>
    <row r="565">
      <c r="A565" s="48" t="inlineStr">
        <is>
          <t>TCKH.V_SLNV_UPL</t>
        </is>
      </c>
      <c r="B565" s="48" t="inlineStr">
        <is>
          <t>UPLOAD_VIEW</t>
        </is>
      </c>
      <c r="C565" s="48" t="inlineStr">
        <is>
          <t>2.12</t>
        </is>
      </c>
      <c r="D565" s="48" t="inlineStr">
        <is>
          <t>Nhom 2 - Logic</t>
        </is>
      </c>
      <c r="E565" s="48" t="inlineStr">
        <is>
          <t>Build Gold từ CTE snapshot Silver, không build nhiều tầng chồng chéo</t>
        </is>
      </c>
      <c r="F565" s="48" t="inlineStr">
        <is>
          <t>N-A</t>
        </is>
      </c>
      <c r="G565" s="48" t="inlineStr">
        <is>
          <t>Pass</t>
        </is>
      </c>
      <c r="H565" s="50" t="inlineStr">
        <is>
          <t>khong ap dung cho profile UPLOAD_VIEW</t>
        </is>
      </c>
      <c r="I5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65" s="48" t="inlineStr">
        <is>
          <t>029. OCB_GOLD_TCKH_V_SLNV_UPL_HOP.xlsx [script: V_SLNV_UPL]</t>
        </is>
      </c>
    </row>
    <row r="566">
      <c r="A566" s="48" t="inlineStr">
        <is>
          <t>TCKH.V_SLNV_UPL</t>
        </is>
      </c>
      <c r="B566" s="48" t="inlineStr">
        <is>
          <t>UPLOAD_VIEW</t>
        </is>
      </c>
      <c r="C566" s="48" t="inlineStr">
        <is>
          <t>3.1</t>
        </is>
      </c>
      <c r="D566" s="48" t="inlineStr">
        <is>
          <t>Nhom 3 - Optimization</t>
        </is>
      </c>
      <c r="E566" s="48" t="inlineStr">
        <is>
          <t>Không SELECT *</t>
        </is>
      </c>
      <c r="F566" s="49" t="inlineStr">
        <is>
          <t>PASS</t>
        </is>
      </c>
      <c r="G566" s="48" t="inlineStr">
        <is>
          <t>Pass</t>
        </is>
      </c>
      <c r="H566" s="50" t="inlineStr">
        <is>
          <t>không dùng SELECT * ở đâu</t>
        </is>
      </c>
      <c r="I566" s="50" t="inlineStr">
        <is>
          <t>Liệt kê tường minh các cột cần dùng, kể cả trong CTE trung gian. SELECT * làm tăng IO/memory và vỡ script khi bảng nguồn thêm cột.</t>
        </is>
      </c>
      <c r="J566" s="48" t="inlineStr">
        <is>
          <t>029. OCB_GOLD_TCKH_V_SLNV_UPL_HOP.xlsx [script: V_SLNV_UPL]</t>
        </is>
      </c>
    </row>
    <row r="567">
      <c r="A567" s="48" t="inlineStr">
        <is>
          <t>TCKH.V_SLNV_UPL</t>
        </is>
      </c>
      <c r="B567" s="48" t="inlineStr">
        <is>
          <t>UPLOAD_VIEW</t>
        </is>
      </c>
      <c r="C567" s="48" t="inlineStr">
        <is>
          <t>3.2</t>
        </is>
      </c>
      <c r="D567" s="48" t="inlineStr">
        <is>
          <t>Nhom 3 - Optimization</t>
        </is>
      </c>
      <c r="E567" s="48" t="inlineStr">
        <is>
          <t>CTE không bị scan lại nhiều lần</t>
        </is>
      </c>
      <c r="F567" s="49" t="inlineStr">
        <is>
          <t>PASS</t>
        </is>
      </c>
      <c r="G567" s="48" t="inlineStr">
        <is>
          <t>Pass</t>
        </is>
      </c>
      <c r="H567" s="50" t="inlineStr">
        <is>
          <t>không có CTE nào bị gọi lại</t>
        </is>
      </c>
      <c r="I567" s="50" t="inlineStr">
        <is>
          <t>Với CTE nặng (đọc nhiều bảng Silver) bị tham chiếu từ 2 chỗ trở lên: gom lại còn một lần dùng, hoặc vật chất hóa (CACHE / bảng tạm). CTE nhẹ chỉ chứa tham số thì bỏ qua được — tự tick Pass.</t>
        </is>
      </c>
      <c r="J567" s="48" t="inlineStr">
        <is>
          <t>029. OCB_GOLD_TCKH_V_SLNV_UPL_HOP.xlsx [script: V_SLNV_UPL]</t>
        </is>
      </c>
    </row>
    <row r="568">
      <c r="A568" s="48" t="inlineStr">
        <is>
          <t>TCKH.V_SLNV_UPL</t>
        </is>
      </c>
      <c r="B568" s="48" t="inlineStr">
        <is>
          <t>UPLOAD_VIEW</t>
        </is>
      </c>
      <c r="C568" s="48" t="inlineStr">
        <is>
          <t>3.3</t>
        </is>
      </c>
      <c r="D568" s="48" t="inlineStr">
        <is>
          <t>Nhom 3 - Optimization</t>
        </is>
      </c>
      <c r="E568" s="48" t="inlineStr">
        <is>
          <t>Filter trước khi join, tận dụng partition pruning</t>
        </is>
      </c>
      <c r="F568" s="48" t="inlineStr">
        <is>
          <t>N-A</t>
        </is>
      </c>
      <c r="G568" s="48" t="inlineStr">
        <is>
          <t>Pass</t>
        </is>
      </c>
      <c r="H568" s="50" t="inlineStr">
        <is>
          <t>khong ap dung cho profile UPLOAD_VIEW</t>
        </is>
      </c>
      <c r="I568" s="50" t="inlineStr">
        <is>
          <t>Đưa điều kiện lọc (ngày dữ liệu, trạng thái) vào subquery của từng bảng TRƯỚC khi join, để tận dụng partition pruning. Bảng dim nhỏ không partition thì không cần — tự tick Pass.</t>
        </is>
      </c>
      <c r="J568" s="48" t="inlineStr">
        <is>
          <t>029. OCB_GOLD_TCKH_V_SLNV_UPL_HOP.xlsx [script: V_SLNV_UPL]</t>
        </is>
      </c>
    </row>
    <row r="569">
      <c r="A569" s="48" t="inlineStr">
        <is>
          <t>TCKH.V_SLNV_UPL</t>
        </is>
      </c>
      <c r="B569" s="48" t="inlineStr">
        <is>
          <t>UPLOAD_VIEW</t>
        </is>
      </c>
      <c r="C569" s="48" t="inlineStr">
        <is>
          <t>3.4</t>
        </is>
      </c>
      <c r="D569" s="48" t="inlineStr">
        <is>
          <t>Nhom 3 - Optimization</t>
        </is>
      </c>
      <c r="E569" s="48" t="inlineStr">
        <is>
          <t>Sử dụng CACHE cho query lặp lại trong cùng luồng</t>
        </is>
      </c>
      <c r="F569" s="48" t="inlineStr">
        <is>
          <t>N-A</t>
        </is>
      </c>
      <c r="G569" s="48" t="inlineStr">
        <is>
          <t>Pass</t>
        </is>
      </c>
      <c r="H569" s="50" t="inlineStr">
        <is>
          <t>không có kết quả nào được dùng lại nhiều lần nên chưa cần CACHE</t>
        </is>
      </c>
      <c r="I569" s="50" t="inlineStr">
        <is>
          <t>Nếu một kết quả nặng được dùng lại nhiều bước trong cùng luồng, thêm CACHE TABLE / CACHE SELECT. Kết quả nhỏ thì cache còn chậm hơn — tự tick Pass.</t>
        </is>
      </c>
      <c r="J569" s="48" t="inlineStr">
        <is>
          <t>029. OCB_GOLD_TCKH_V_SLNV_UPL_HOP.xlsx [script: V_SLNV_UPL]</t>
        </is>
      </c>
    </row>
    <row r="570">
      <c r="A570" s="48" t="inlineStr">
        <is>
          <t>TCKH.V_SLNV_UPL</t>
        </is>
      </c>
      <c r="B570" s="48" t="inlineStr">
        <is>
          <t>UPLOAD_VIEW</t>
        </is>
      </c>
      <c r="C570" s="48" t="inlineStr">
        <is>
          <t>3.5</t>
        </is>
      </c>
      <c r="D570" s="48" t="inlineStr">
        <is>
          <t>Nhom 3 - Optimization</t>
        </is>
      </c>
      <c r="E570" s="48" t="inlineStr">
        <is>
          <t>Ưu tiên MAX_BY + QUALIFY thay ROW_NUMBER() + WHERE rn = 1</t>
        </is>
      </c>
      <c r="F570" s="48" t="inlineStr">
        <is>
          <t>N-A</t>
        </is>
      </c>
      <c r="G570" s="48" t="inlineStr">
        <is>
          <t>Pass</t>
        </is>
      </c>
      <c r="H570" s="50" t="inlineStr">
        <is>
          <t>script không dùng ROW_NUMBER, và MAX_BY (nếu có) không vượt quá 5 cột/khối</t>
        </is>
      </c>
      <c r="I5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70" s="48" t="inlineStr">
        <is>
          <t>029. OCB_GOLD_TCKH_V_SLNV_UPL_HOP.xlsx [script: V_SLNV_UPL]</t>
        </is>
      </c>
    </row>
    <row r="571">
      <c r="A571" s="48" t="inlineStr">
        <is>
          <t>TCKH.V_SLNV_UPL</t>
        </is>
      </c>
      <c r="B571" s="48" t="inlineStr">
        <is>
          <t>UPLOAD_VIEW</t>
        </is>
      </c>
      <c r="C571" s="48" t="inlineStr">
        <is>
          <t>3.6</t>
        </is>
      </c>
      <c r="D571" s="48" t="inlineStr">
        <is>
          <t>Nhom 3 - Optimization</t>
        </is>
      </c>
      <c r="E571" s="48" t="inlineStr">
        <is>
          <t>Không lạm dụng window function; có comment khi dùng</t>
        </is>
      </c>
      <c r="F571" s="48" t="inlineStr">
        <is>
          <t>N-A</t>
        </is>
      </c>
      <c r="G571" s="48" t="inlineStr">
        <is>
          <t>Pass</t>
        </is>
      </c>
      <c r="H571" s="50" t="inlineStr">
        <is>
          <t>script không dùng window function</t>
        </is>
      </c>
      <c r="I571" s="50" t="inlineStr">
        <is>
          <t>Mỗi window function cần một comment ngay trên khối CTE chứa nó, nói rõ vì sao không dùng được max_by/QUALIFY đơn giản hơn.</t>
        </is>
      </c>
      <c r="J571" s="48" t="inlineStr">
        <is>
          <t>029. OCB_GOLD_TCKH_V_SLNV_UPL_HOP.xlsx [script: V_SLNV_UPL]</t>
        </is>
      </c>
    </row>
    <row r="572">
      <c r="A572" s="48" t="inlineStr">
        <is>
          <t>TCKH.V_SLNV_UPL</t>
        </is>
      </c>
      <c r="B572" s="48" t="inlineStr">
        <is>
          <t>UPLOAD_VIEW</t>
        </is>
      </c>
      <c r="C572" s="48" t="inlineStr">
        <is>
          <t>X.1</t>
        </is>
      </c>
      <c r="D572" s="48" t="inlineStr">
        <is>
          <t>Nhom X - Bo sung Raffles</t>
        </is>
      </c>
      <c r="E572" s="48" t="inlineStr">
        <is>
          <t>[Bổ sung] Link phải rút về current trước khi join (chống fan-out)</t>
        </is>
      </c>
      <c r="F572" s="48" t="inlineStr">
        <is>
          <t>N-A</t>
        </is>
      </c>
      <c r="G572" s="48" t="inlineStr">
        <is>
          <t>Pass</t>
        </is>
      </c>
      <c r="H572" s="50" t="inlineStr">
        <is>
          <t>khong ap dung cho profile UPLOAD_VIEW</t>
        </is>
      </c>
      <c r="I5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72" s="48" t="inlineStr">
        <is>
          <t>029. OCB_GOLD_TCKH_V_SLNV_UPL_HOP.xlsx [script: V_SLNV_UPL]</t>
        </is>
      </c>
    </row>
    <row r="573">
      <c r="A573" s="48" t="inlineStr">
        <is>
          <t>TCKH.V_SLNV_UPL</t>
        </is>
      </c>
      <c r="B573" s="48" t="inlineStr">
        <is>
          <t>UPLOAD_VIEW</t>
        </is>
      </c>
      <c r="C573" s="48" t="inlineStr">
        <is>
          <t>X.6</t>
        </is>
      </c>
      <c r="D573" s="48" t="inlineStr">
        <is>
          <t>Nhom X - Bo sung Raffles</t>
        </is>
      </c>
      <c r="E573" s="48" t="inlineStr">
        <is>
          <t>[Bổ sung] Satellite phải LEFT JOIN, không INNER JOIN</t>
        </is>
      </c>
      <c r="F573" s="48" t="inlineStr">
        <is>
          <t>N-A</t>
        </is>
      </c>
      <c r="G573" s="48" t="inlineStr">
        <is>
          <t>Pass</t>
        </is>
      </c>
      <c r="H573" s="50" t="inlineStr">
        <is>
          <t>khong ap dung cho profile UPLOAD_VIEW</t>
        </is>
      </c>
      <c r="I573" s="50" t="inlineStr">
        <is>
          <t>Technical Document III.4.2.2 nguyên tắc 1: làm giàu thuộc tính luôn dùng LEFT JOIN. INNER JOIN satellite sẽ loại mất bản ghi Hub đang còn hiệu lực nhưng chưa có dòng satellite.</t>
        </is>
      </c>
      <c r="J573" s="48" t="inlineStr">
        <is>
          <t>029. OCB_GOLD_TCKH_V_SLNV_UPL_HOP.xlsx [script: V_SLNV_UPL]</t>
        </is>
      </c>
    </row>
    <row r="574">
      <c r="A574" s="48" t="inlineStr">
        <is>
          <t>TCKH.V_SLNV_UPL</t>
        </is>
      </c>
      <c r="B574" s="48" t="inlineStr">
        <is>
          <t>UPLOAD_VIEW</t>
        </is>
      </c>
      <c r="C574" s="48" t="inlineStr">
        <is>
          <t>X.7</t>
        </is>
      </c>
      <c r="D574" s="48" t="inlineStr">
        <is>
          <t>Nhom X - Bo sung Raffles</t>
        </is>
      </c>
      <c r="E574" s="48" t="inlineStr">
        <is>
          <t>[Bổ sung] Không hard-code catalog, dùng biến môi trường</t>
        </is>
      </c>
      <c r="F574" s="48" t="inlineStr">
        <is>
          <t>N-A</t>
        </is>
      </c>
      <c r="G574" s="48" t="inlineStr">
        <is>
          <t>Pass</t>
        </is>
      </c>
      <c r="H574" s="50" t="inlineStr">
        <is>
          <t>khong ap dung cho profile UPLOAD_VIEW</t>
        </is>
      </c>
      <c r="I5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74" s="48" t="inlineStr">
        <is>
          <t>029. OCB_GOLD_TCKH_V_SLNV_UPL_HOP.xlsx [script: V_SLNV_UPL]</t>
        </is>
      </c>
    </row>
    <row r="575">
      <c r="A575" s="48" t="inlineStr">
        <is>
          <t>TCKH.V_SLNV_UPL</t>
        </is>
      </c>
      <c r="B575" s="48" t="inlineStr">
        <is>
          <t>UPLOAD_VIEW</t>
        </is>
      </c>
      <c r="C575" s="48" t="inlineStr">
        <is>
          <t>X.10</t>
        </is>
      </c>
      <c r="D575" s="48" t="inlineStr">
        <is>
          <t>Nhom X - Bo sung Raffles</t>
        </is>
      </c>
      <c r="E575" s="48" t="inlineStr">
        <is>
          <t>Bang raw_vault/business_vault duoc doc phai TON TAI THAT trong Data Vault model</t>
        </is>
      </c>
      <c r="F575" s="48" t="inlineStr">
        <is>
          <t>N-A</t>
        </is>
      </c>
      <c r="G575" s="48" t="inlineStr">
        <is>
          <t>Pass</t>
        </is>
      </c>
      <c r="H575" s="50" t="inlineStr">
        <is>
          <t>script không đọc bảng raw_vault/business_vault nào</t>
        </is>
      </c>
      <c r="I575" s="50" t="inlineStr"/>
      <c r="J575" s="48" t="inlineStr">
        <is>
          <t>029. OCB_GOLD_TCKH_V_SLNV_UPL_HOP.xlsx [script: V_SLNV_UPL]</t>
        </is>
      </c>
    </row>
    <row r="576">
      <c r="A576" s="48" t="inlineStr">
        <is>
          <t>TCKH.V_SLNV_UPL</t>
        </is>
      </c>
      <c r="B576" s="48" t="inlineStr">
        <is>
          <t>UPLOAD_VIEW</t>
        </is>
      </c>
      <c r="C576" s="48" t="inlineStr">
        <is>
          <t>X.11</t>
        </is>
      </c>
      <c r="D576" s="48" t="inlineStr">
        <is>
          <t>Nhom X - Bo sung Raffles</t>
        </is>
      </c>
      <c r="E576" s="48" t="inlineStr">
        <is>
          <t>Cot doc tu satellite (sat_*) phai TON TAI THAT trong model</t>
        </is>
      </c>
      <c r="F576" s="48" t="inlineStr">
        <is>
          <t>N-A</t>
        </is>
      </c>
      <c r="G576" s="48" t="inlineStr">
        <is>
          <t>Pass</t>
        </is>
      </c>
      <c r="H576" s="50" t="inlineStr">
        <is>
          <t>không có bảng sat_* nào đủ điều kiện đối chiếu (Select chỉ đọc 1 bảng)</t>
        </is>
      </c>
      <c r="I576" s="50" t="inlineStr"/>
      <c r="J576" s="48" t="inlineStr">
        <is>
          <t>029. OCB_GOLD_TCKH_V_SLNV_UPL_HOP.xlsx [script: V_SLNV_UPL]</t>
        </is>
      </c>
    </row>
    <row r="577">
      <c r="A577" s="48" t="inlineStr">
        <is>
          <t>TCKH.V_T24_CRB_FULLLIST</t>
        </is>
      </c>
      <c r="B577" s="48" t="inlineStr">
        <is>
          <t>SILVER_CONSUMER</t>
        </is>
      </c>
      <c r="C577" s="48" t="inlineStr">
        <is>
          <t>1.1</t>
        </is>
      </c>
      <c r="D577" s="48" t="inlineStr">
        <is>
          <t>Nhom 1 - Mapping</t>
        </is>
      </c>
      <c r="E577" s="48" t="inlineStr">
        <is>
          <t>Đầy đủ mapping từ Silver/manual sang Gold</t>
        </is>
      </c>
      <c r="F577" s="49" t="inlineStr">
        <is>
          <t>PASS</t>
        </is>
      </c>
      <c r="G577" s="48" t="inlineStr">
        <is>
          <t>Pass</t>
        </is>
      </c>
      <c r="H577" s="50" t="inlineStr">
        <is>
          <t>workbook 030. OCB_GOLD_TCKH_V_T24_CRB_FULLLIST_PHAT.xlsx: thiết kế 18 field, SQL có 18 cột</t>
        </is>
      </c>
      <c r="I5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77" s="48" t="inlineStr">
        <is>
          <t>030. OCB_GOLD_TCKH_V_T24_CRB_FULLLIST_PHAT.xlsx [Script: V_T24_CRB_FULLLIST]</t>
        </is>
      </c>
    </row>
    <row r="578">
      <c r="A578" s="48" t="inlineStr">
        <is>
          <t>TCKH.V_T24_CRB_FULLLIST</t>
        </is>
      </c>
      <c r="B578" s="48" t="inlineStr">
        <is>
          <t>SILVER_CONSUMER</t>
        </is>
      </c>
      <c r="C578" s="48" t="inlineStr">
        <is>
          <t>1.2</t>
        </is>
      </c>
      <c r="D578" s="48" t="inlineStr">
        <is>
          <t>Nhom 1 - Mapping</t>
        </is>
      </c>
      <c r="E578" s="48" t="inlineStr">
        <is>
          <t>Danh sách bảng/view Gold khớp tài liệu thiết kế đã duyệt</t>
        </is>
      </c>
      <c r="F578" s="49" t="inlineStr">
        <is>
          <t>PASS</t>
        </is>
      </c>
      <c r="G578" s="48" t="inlineStr">
        <is>
          <t>Pass</t>
        </is>
      </c>
      <c r="H578" s="50" t="inlineStr">
        <is>
          <t>V_T24_CRB_FULLLIST có workbook thiết kế: 030. OCB_GOLD_TCKH_V_T24_CRB_FULLLIST_PHAT.xlsx</t>
        </is>
      </c>
      <c r="I578" s="50" t="inlineStr">
        <is>
          <t>Đảm bảo object có workbook thiết kế tương ứng trong thư mục --mapping-dir. Muốn đối chiếu với danh sách đã duyệt thì chạy thêm tham số --gold-list "&lt;file danh sách Gold&gt;.xlsx".</t>
        </is>
      </c>
      <c r="J578" s="48" t="inlineStr">
        <is>
          <t>030. OCB_GOLD_TCKH_V_T24_CRB_FULLLIST_PHAT.xlsx [Script: V_T24_CRB_FULLLIST]</t>
        </is>
      </c>
    </row>
    <row r="579">
      <c r="A579" s="48" t="inlineStr">
        <is>
          <t>TCKH.V_T24_CRB_FULLLIST</t>
        </is>
      </c>
      <c r="B579" s="48" t="inlineStr">
        <is>
          <t>SILVER_CONSUMER</t>
        </is>
      </c>
      <c r="C579" s="48" t="inlineStr">
        <is>
          <t>2.1</t>
        </is>
      </c>
      <c r="D579" s="48" t="inlineStr">
        <is>
          <t>Nhom 2 - Logic</t>
        </is>
      </c>
      <c r="E579" s="48" t="inlineStr">
        <is>
          <t>Chỉ lấy bản ghi active, loại bản ghi đã xóa (qua sts_hub)</t>
        </is>
      </c>
      <c r="F579" s="49" t="inlineStr">
        <is>
          <t>PASS</t>
        </is>
      </c>
      <c r="G579" s="48" t="inlineStr">
        <is>
          <t>Pass</t>
        </is>
      </c>
      <c r="H579" s="50" t="inlineStr">
        <is>
          <t>1 sts_hub_* đọc đúng format</t>
        </is>
      </c>
      <c r="I5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79" s="48" t="inlineStr">
        <is>
          <t>030. OCB_GOLD_TCKH_V_T24_CRB_FULLLIST_PHAT.xlsx [Script: V_T24_CRB_FULLLIST]</t>
        </is>
      </c>
    </row>
    <row r="580">
      <c r="A580" s="48" t="inlineStr">
        <is>
          <t>TCKH.V_T24_CRB_FULLLIST</t>
        </is>
      </c>
      <c r="B580" s="48" t="inlineStr">
        <is>
          <t>SILVER_CONSUMER</t>
        </is>
      </c>
      <c r="C580" s="48" t="inlineStr">
        <is>
          <t>2.2</t>
        </is>
      </c>
      <c r="D580" s="48" t="inlineStr">
        <is>
          <t>Nhom 2 - Logic</t>
        </is>
      </c>
      <c r="E580" s="48" t="inlineStr">
        <is>
          <t>Thống nhất MỘT pattern duy nhất xác định bản ghi active mới nhất</t>
        </is>
      </c>
      <c r="F580" s="49" t="inlineStr">
        <is>
          <t>PASS</t>
        </is>
      </c>
      <c r="G580" s="48" t="inlineStr">
        <is>
          <t>Pass</t>
        </is>
      </c>
      <c r="H580" s="50" t="inlineStr">
        <is>
          <t>file này dùng: ['MAX_BY']; toàn batch dùng: ['MAX_BY']</t>
        </is>
      </c>
      <c r="I5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80" s="48" t="inlineStr">
        <is>
          <t>030. OCB_GOLD_TCKH_V_T24_CRB_FULLLIST_PHAT.xlsx [Script: V_T24_CRB_FULLLIST]</t>
        </is>
      </c>
    </row>
    <row r="581">
      <c r="A581" s="48" t="inlineStr">
        <is>
          <t>TCKH.V_T24_CRB_FULLLIST</t>
        </is>
      </c>
      <c r="B581" s="48" t="inlineStr">
        <is>
          <t>SILVER_CONSUMER</t>
        </is>
      </c>
      <c r="C581" s="48" t="inlineStr">
        <is>
          <t>2.3</t>
        </is>
      </c>
      <c r="D581" s="48" t="inlineStr">
        <is>
          <t>Nhom 2 - Logic</t>
        </is>
      </c>
      <c r="E581" s="48" t="inlineStr">
        <is>
          <t>Điều kiện lọc trạng thái đặt SAU khi xác định bản ghi mới nhất</t>
        </is>
      </c>
      <c r="F581" s="49" t="inlineStr">
        <is>
          <t>PASS</t>
        </is>
      </c>
      <c r="G581" s="48" t="inlineStr">
        <is>
          <t>Pass</t>
        </is>
      </c>
      <c r="H581" s="50" t="inlineStr">
        <is>
          <t>không có điều kiện trạng thái nào lồng trong JOIN ON</t>
        </is>
      </c>
      <c r="I5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81" s="48" t="inlineStr">
        <is>
          <t>030. OCB_GOLD_TCKH_V_T24_CRB_FULLLIST_PHAT.xlsx [Script: V_T24_CRB_FULLLIST]</t>
        </is>
      </c>
    </row>
    <row r="582">
      <c r="A582" s="48" t="inlineStr">
        <is>
          <t>TCKH.V_T24_CRB_FULLLIST</t>
        </is>
      </c>
      <c r="B582" s="48" t="inlineStr">
        <is>
          <t>SILVER_CONSUMER</t>
        </is>
      </c>
      <c r="C582" s="48" t="inlineStr">
        <is>
          <t>2.4</t>
        </is>
      </c>
      <c r="D582" s="48" t="inlineStr">
        <is>
          <t>Nhom 2 - Logic</t>
        </is>
      </c>
      <c r="E582" s="48" t="inlineStr">
        <is>
          <t>source_event_date áp dụng đúng dạng theo loại bảng</t>
        </is>
      </c>
      <c r="F582" s="49" t="inlineStr">
        <is>
          <t>PASS</t>
        </is>
      </c>
      <c r="G582" s="48" t="inlineStr">
        <is>
          <t>Pass</t>
        </is>
      </c>
      <c r="H582" s="50" t="inlineStr">
        <is>
          <t>1 satellite đều đúng dạng điều kiện source_event_date</t>
        </is>
      </c>
      <c r="I5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82" s="48" t="inlineStr">
        <is>
          <t>030. OCB_GOLD_TCKH_V_T24_CRB_FULLLIST_PHAT.xlsx [Script: V_T24_CRB_FULLLIST]</t>
        </is>
      </c>
    </row>
    <row r="583">
      <c r="A583" s="48" t="inlineStr">
        <is>
          <t>TCKH.V_T24_CRB_FULLLIST</t>
        </is>
      </c>
      <c r="B583" s="48" t="inlineStr">
        <is>
          <t>SILVER_CONSUMER</t>
        </is>
      </c>
      <c r="C583" s="48" t="inlineStr">
        <is>
          <t>2.5</t>
        </is>
      </c>
      <c r="D583" s="48" t="inlineStr">
        <is>
          <t>Nhom 2 - Logic</t>
        </is>
      </c>
      <c r="E583" s="48" t="inlineStr">
        <is>
          <t>Không lặp lại lỗi logic cũ đã được DA Data Vault fix</t>
        </is>
      </c>
      <c r="F583" s="49" t="inlineStr">
        <is>
          <t>PASS</t>
        </is>
      </c>
      <c r="G583" s="48" t="inlineStr">
        <is>
          <t>Pass</t>
        </is>
      </c>
      <c r="H583" s="50" t="inlineStr">
        <is>
          <t>không trùng lỗi nào trong Issue log của DA Data Vault</t>
        </is>
      </c>
      <c r="I5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83" s="48" t="inlineStr">
        <is>
          <t>030. OCB_GOLD_TCKH_V_T24_CRB_FULLLIST_PHAT.xlsx [Script: V_T24_CRB_FULLLIST]</t>
        </is>
      </c>
    </row>
    <row r="584">
      <c r="A584" s="48" t="inlineStr">
        <is>
          <t>TCKH.V_T24_CRB_FULLLIST</t>
        </is>
      </c>
      <c r="B584" s="48" t="inlineStr">
        <is>
          <t>SILVER_CONSUMER</t>
        </is>
      </c>
      <c r="C584" s="48" t="inlineStr">
        <is>
          <t>2.6</t>
        </is>
      </c>
      <c r="D584" s="48" t="inlineStr">
        <is>
          <t>Nhom 2 - Logic</t>
        </is>
      </c>
      <c r="E584" s="48" t="inlineStr">
        <is>
          <t>SCD Type 2 cho bảng DIM áp dụng đúng kỹ thuật đã thống nhất</t>
        </is>
      </c>
      <c r="F584" s="48" t="inlineStr">
        <is>
          <t>N-A</t>
        </is>
      </c>
      <c r="G584" s="48" t="inlineStr">
        <is>
          <t>Pass</t>
        </is>
      </c>
      <c r="H584" s="50" t="inlineStr">
        <is>
          <t>object không phải bảng DIM nên không áp dụng SCD Type 2</t>
        </is>
      </c>
      <c r="I5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84" s="48" t="inlineStr">
        <is>
          <t>030. OCB_GOLD_TCKH_V_T24_CRB_FULLLIST_PHAT.xlsx [Script: V_T24_CRB_FULLLIST]</t>
        </is>
      </c>
    </row>
    <row r="585">
      <c r="A585" s="48" t="inlineStr">
        <is>
          <t>TCKH.V_T24_CRB_FULLLIST</t>
        </is>
      </c>
      <c r="B585" s="48" t="inlineStr">
        <is>
          <t>SILVER_CONSUMER</t>
        </is>
      </c>
      <c r="C585" s="48" t="inlineStr">
        <is>
          <t>2.7</t>
        </is>
      </c>
      <c r="D585" s="48" t="inlineStr">
        <is>
          <t>Nhom 2 - Logic</t>
        </is>
      </c>
      <c r="E585" s="48" t="inlineStr">
        <is>
          <t>CASE WHEN cover đủ nhánh như job on-prem</t>
        </is>
      </c>
      <c r="F585" s="48" t="inlineStr">
        <is>
          <t>N-A</t>
        </is>
      </c>
      <c r="G585" s="48" t="inlineStr">
        <is>
          <t>Pass</t>
        </is>
      </c>
      <c r="H585" s="50" t="inlineStr">
        <is>
          <t>script không có CASE WHEN nào</t>
        </is>
      </c>
      <c r="I585" s="50" t="inlineStr">
        <is>
          <t>Mở job on-prem tương ứng (DataStage DSX hoặc SQL cũ), đối chiếu từng nhánh WHEN và cả nhánh ELSE. CASE không có ELSE sẽ trả NULL âm thầm — xác nhận đó là ý muốn hay thiếu nhánh.</t>
        </is>
      </c>
      <c r="J585" s="48" t="inlineStr">
        <is>
          <t>030. OCB_GOLD_TCKH_V_T24_CRB_FULLLIST_PHAT.xlsx [Script: V_T24_CRB_FULLLIST]</t>
        </is>
      </c>
    </row>
    <row r="586">
      <c r="A586" s="48" t="inlineStr">
        <is>
          <t>TCKH.V_T24_CRB_FULLLIST</t>
        </is>
      </c>
      <c r="B586" s="48" t="inlineStr">
        <is>
          <t>SILVER_CONSUMER</t>
        </is>
      </c>
      <c r="C586" s="48" t="inlineStr">
        <is>
          <t>2.8</t>
        </is>
      </c>
      <c r="D586" s="48" t="inlineStr">
        <is>
          <t>Nhom 2 - Logic</t>
        </is>
      </c>
      <c r="E586" s="48" t="inlineStr">
        <is>
          <t>Cột SUM/COUNT được COALESCE/NVL hợp lý</t>
        </is>
      </c>
      <c r="F586" s="49" t="inlineStr">
        <is>
          <t>PASS</t>
        </is>
      </c>
      <c r="G586" s="48" t="inlineStr">
        <is>
          <t>Pass</t>
        </is>
      </c>
      <c r="H586" s="50" t="inlineStr">
        <is>
          <t>mọi SUM/COUNT đều đã coalesce (trực tiếp hoặc ở lớp ngoài)</t>
        </is>
      </c>
      <c r="I5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86" s="48" t="inlineStr">
        <is>
          <t>030. OCB_GOLD_TCKH_V_T24_CRB_FULLLIST_PHAT.xlsx [Script: V_T24_CRB_FULLLIST]</t>
        </is>
      </c>
    </row>
    <row r="587">
      <c r="A587" s="48" t="inlineStr">
        <is>
          <t>TCKH.V_T24_CRB_FULLLIST</t>
        </is>
      </c>
      <c r="B587" s="48" t="inlineStr">
        <is>
          <t>SILVER_CONSUMER</t>
        </is>
      </c>
      <c r="C587" s="48" t="inlineStr">
        <is>
          <t>2.9</t>
        </is>
      </c>
      <c r="D587" s="48" t="inlineStr">
        <is>
          <t>Nhom 2 - Logic</t>
        </is>
      </c>
      <c r="E587" s="48" t="inlineStr">
        <is>
          <t>Subquery / custom function / điều kiện LIKE đúng ý nghĩa nghiệp vụ</t>
        </is>
      </c>
      <c r="F587" s="48" t="inlineStr">
        <is>
          <t>N-A</t>
        </is>
      </c>
      <c r="G587" s="48" t="inlineStr">
        <is>
          <t>Pass</t>
        </is>
      </c>
      <c r="H587" s="50" t="inlineStr">
        <is>
          <t>script không có điều kiện LIKE hay scalar subquery nào</t>
        </is>
      </c>
      <c r="I587" s="50" t="inlineStr">
        <is>
          <t>Đọc lại từng điều kiện LIKE và từng subquery, đối chiếu ý nghĩa nghiệp vụ với on-prem — đúng cú pháp không đủ. Chú ý pattern LIKE có ký tự % ở đầu/cuối và phân biệt chữ hoa/thường.</t>
        </is>
      </c>
      <c r="J587" s="48" t="inlineStr">
        <is>
          <t>030. OCB_GOLD_TCKH_V_T24_CRB_FULLLIST_PHAT.xlsx [Script: V_T24_CRB_FULLLIST]</t>
        </is>
      </c>
    </row>
    <row r="588">
      <c r="A588" s="48" t="inlineStr">
        <is>
          <t>TCKH.V_T24_CRB_FULLLIST</t>
        </is>
      </c>
      <c r="B588" s="48" t="inlineStr">
        <is>
          <t>SILVER_CONSUMER</t>
        </is>
      </c>
      <c r="C588" s="48" t="inlineStr">
        <is>
          <t>2.10</t>
        </is>
      </c>
      <c r="D588" s="48" t="inlineStr">
        <is>
          <t>Nhom 2 - Logic</t>
        </is>
      </c>
      <c r="E588" s="48" t="inlineStr">
        <is>
          <t>Aggregation kèm filter date range chính xác</t>
        </is>
      </c>
      <c r="F588" s="49" t="inlineStr">
        <is>
          <t>PASS</t>
        </is>
      </c>
      <c r="G588" s="48" t="inlineStr">
        <is>
          <t>Pass</t>
        </is>
      </c>
      <c r="H588" s="50" t="inlineStr">
        <is>
          <t>mọi khối tổng hợp đều có điều kiện theo kỳ dữ liệu</t>
        </is>
      </c>
      <c r="I588" s="50" t="inlineStr">
        <is>
          <t>Mỗi khối SUM/COUNT/AVG phải có điều kiện lọc theo kỳ dữ liệu (CDR_DT_ID, DATA_DATE, :DATADT…). Nếu điều kiện nằm ở CTE nguồn thì ghi rõ trong comment để người review không phải truy ngược.</t>
        </is>
      </c>
      <c r="J588" s="48" t="inlineStr">
        <is>
          <t>030. OCB_GOLD_TCKH_V_T24_CRB_FULLLIST_PHAT.xlsx [Script: V_T24_CRB_FULLLIST]</t>
        </is>
      </c>
    </row>
    <row r="589">
      <c r="A589" s="48" t="inlineStr">
        <is>
          <t>TCKH.V_T24_CRB_FULLLIST</t>
        </is>
      </c>
      <c r="B589" s="48" t="inlineStr">
        <is>
          <t>SILVER_CONSUMER</t>
        </is>
      </c>
      <c r="C589" s="48" t="inlineStr">
        <is>
          <t>2.11</t>
        </is>
      </c>
      <c r="D589" s="48" t="inlineStr">
        <is>
          <t>Nhom 2 - Logic</t>
        </is>
      </c>
      <c r="E589" s="48" t="inlineStr">
        <is>
          <t>Join dùng key hợp lý, không lạm dụng UNION ALL + EXISTS/NOT EXISTS</t>
        </is>
      </c>
      <c r="F589" s="49" t="inlineStr">
        <is>
          <t>PASS</t>
        </is>
      </c>
      <c r="G589" s="48" t="inlineStr">
        <is>
          <t>Pass</t>
        </is>
      </c>
      <c r="H589" s="50" t="inlineStr">
        <is>
          <t>join đều theo điều kiện bằng, không lạm dụng UNION ALL + EXISTS</t>
        </is>
      </c>
      <c r="I589" s="50" t="inlineStr">
        <is>
          <t>Ưu tiên LEFT JOIN theo business key hoặc hashkey. Xem lại các chỗ dùng UNION ALL kết hợp EXISTS/NOT EXISTS — thường thay được bằng một LEFT JOIN. Join không có điều kiện bằng (=) dễ tạo tích Descartes.</t>
        </is>
      </c>
      <c r="J589" s="48" t="inlineStr">
        <is>
          <t>030. OCB_GOLD_TCKH_V_T24_CRB_FULLLIST_PHAT.xlsx [Script: V_T24_CRB_FULLLIST]</t>
        </is>
      </c>
    </row>
    <row r="590">
      <c r="A590" s="48" t="inlineStr">
        <is>
          <t>TCKH.V_T24_CRB_FULLLIST</t>
        </is>
      </c>
      <c r="B590" s="48" t="inlineStr">
        <is>
          <t>SILVER_CONSUMER</t>
        </is>
      </c>
      <c r="C590" s="48" t="inlineStr">
        <is>
          <t>2.12</t>
        </is>
      </c>
      <c r="D590" s="48" t="inlineStr">
        <is>
          <t>Nhom 2 - Logic</t>
        </is>
      </c>
      <c r="E590" s="48" t="inlineStr">
        <is>
          <t>Build Gold từ CTE snapshot Silver, không build nhiều tầng chồng chéo</t>
        </is>
      </c>
      <c r="F590" s="49" t="inlineStr">
        <is>
          <t>PASS</t>
        </is>
      </c>
      <c r="G590" s="48" t="inlineStr">
        <is>
          <t>Pass</t>
        </is>
      </c>
      <c r="H590" s="50" t="inlineStr">
        <is>
          <t>mỗi bảng nguồn chỉ đọc trong 1 khối SELECT</t>
        </is>
      </c>
      <c r="I5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90" s="48" t="inlineStr">
        <is>
          <t>030. OCB_GOLD_TCKH_V_T24_CRB_FULLLIST_PHAT.xlsx [Script: V_T24_CRB_FULLLIST]</t>
        </is>
      </c>
    </row>
    <row r="591">
      <c r="A591" s="48" t="inlineStr">
        <is>
          <t>TCKH.V_T24_CRB_FULLLIST</t>
        </is>
      </c>
      <c r="B591" s="48" t="inlineStr">
        <is>
          <t>SILVER_CONSUMER</t>
        </is>
      </c>
      <c r="C591" s="48" t="inlineStr">
        <is>
          <t>3.1</t>
        </is>
      </c>
      <c r="D591" s="48" t="inlineStr">
        <is>
          <t>Nhom 3 - Optimization</t>
        </is>
      </c>
      <c r="E591" s="48" t="inlineStr">
        <is>
          <t>Không SELECT *</t>
        </is>
      </c>
      <c r="F591" s="49" t="inlineStr">
        <is>
          <t>PASS</t>
        </is>
      </c>
      <c r="G591" s="48" t="inlineStr">
        <is>
          <t>Pass</t>
        </is>
      </c>
      <c r="H591" s="50" t="inlineStr">
        <is>
          <t>không dùng SELECT * ở đâu</t>
        </is>
      </c>
      <c r="I591" s="50" t="inlineStr">
        <is>
          <t>Liệt kê tường minh các cột cần dùng, kể cả trong CTE trung gian. SELECT * làm tăng IO/memory và vỡ script khi bảng nguồn thêm cột.</t>
        </is>
      </c>
      <c r="J591" s="48" t="inlineStr">
        <is>
          <t>030. OCB_GOLD_TCKH_V_T24_CRB_FULLLIST_PHAT.xlsx [Script: V_T24_CRB_FULLLIST]</t>
        </is>
      </c>
    </row>
    <row r="592">
      <c r="A592" s="48" t="inlineStr">
        <is>
          <t>TCKH.V_T24_CRB_FULLLIST</t>
        </is>
      </c>
      <c r="B592" s="48" t="inlineStr">
        <is>
          <t>SILVER_CONSUMER</t>
        </is>
      </c>
      <c r="C592" s="48" t="inlineStr">
        <is>
          <t>3.2</t>
        </is>
      </c>
      <c r="D592" s="48" t="inlineStr">
        <is>
          <t>Nhom 3 - Optimization</t>
        </is>
      </c>
      <c r="E592" s="48" t="inlineStr">
        <is>
          <t>CTE không bị scan lại nhiều lần</t>
        </is>
      </c>
      <c r="F592" s="49" t="inlineStr">
        <is>
          <t>PASS</t>
        </is>
      </c>
      <c r="G592" s="48" t="inlineStr">
        <is>
          <t>Pass</t>
        </is>
      </c>
      <c r="H592" s="50" t="inlineStr">
        <is>
          <t>không có CTE nào bị gọi lại</t>
        </is>
      </c>
      <c r="I592" s="50" t="inlineStr">
        <is>
          <t>Với CTE nặng (đọc nhiều bảng Silver) bị tham chiếu từ 2 chỗ trở lên: gom lại còn một lần dùng, hoặc vật chất hóa (CACHE / bảng tạm). CTE nhẹ chỉ chứa tham số thì bỏ qua được — tự tick Pass.</t>
        </is>
      </c>
      <c r="J592" s="48" t="inlineStr">
        <is>
          <t>030. OCB_GOLD_TCKH_V_T24_CRB_FULLLIST_PHAT.xlsx [Script: V_T24_CRB_FULLLIST]</t>
        </is>
      </c>
    </row>
    <row r="593">
      <c r="A593" s="48" t="inlineStr">
        <is>
          <t>TCKH.V_T24_CRB_FULLLIST</t>
        </is>
      </c>
      <c r="B593" s="48" t="inlineStr">
        <is>
          <t>SILVER_CONSUMER</t>
        </is>
      </c>
      <c r="C593" s="48" t="inlineStr">
        <is>
          <t>3.3</t>
        </is>
      </c>
      <c r="D593" s="48" t="inlineStr">
        <is>
          <t>Nhom 3 - Optimization</t>
        </is>
      </c>
      <c r="E593" s="48" t="inlineStr">
        <is>
          <t>Filter trước khi join, tận dụng partition pruning</t>
        </is>
      </c>
      <c r="F593" s="51" t="inlineStr">
        <is>
          <t>WARN</t>
        </is>
      </c>
      <c r="G593" s="48" t="inlineStr">
        <is>
          <t>WARN</t>
        </is>
      </c>
      <c r="H593" s="50" t="inlineStr">
        <is>
          <t>1 bảng join trực tiếp mà không có filter riêng: branch_list (C)</t>
        </is>
      </c>
      <c r="I593" s="50" t="inlineStr">
        <is>
          <t>Đưa điều kiện lọc (ngày dữ liệu, trạng thái) vào subquery của từng bảng TRƯỚC khi join, để tận dụng partition pruning. Bảng dim nhỏ không partition thì không cần — tự tick Pass.</t>
        </is>
      </c>
      <c r="J593" s="48" t="inlineStr">
        <is>
          <t>030. OCB_GOLD_TCKH_V_T24_CRB_FULLLIST_PHAT.xlsx [Script: V_T24_CRB_FULLLIST]</t>
        </is>
      </c>
    </row>
    <row r="594">
      <c r="A594" s="48" t="inlineStr">
        <is>
          <t>TCKH.V_T24_CRB_FULLLIST</t>
        </is>
      </c>
      <c r="B594" s="48" t="inlineStr">
        <is>
          <t>SILVER_CONSUMER</t>
        </is>
      </c>
      <c r="C594" s="48" t="inlineStr">
        <is>
          <t>3.4</t>
        </is>
      </c>
      <c r="D594" s="48" t="inlineStr">
        <is>
          <t>Nhom 3 - Optimization</t>
        </is>
      </c>
      <c r="E594" s="48" t="inlineStr">
        <is>
          <t>Sử dụng CACHE cho query lặp lại trong cùng luồng</t>
        </is>
      </c>
      <c r="F594" s="48" t="inlineStr">
        <is>
          <t>N-A</t>
        </is>
      </c>
      <c r="G594" s="48" t="inlineStr">
        <is>
          <t>Pass</t>
        </is>
      </c>
      <c r="H594" s="50" t="inlineStr">
        <is>
          <t>không có kết quả nào được dùng lại nhiều lần nên chưa cần CACHE</t>
        </is>
      </c>
      <c r="I594" s="50" t="inlineStr">
        <is>
          <t>Nếu một kết quả nặng được dùng lại nhiều bước trong cùng luồng, thêm CACHE TABLE / CACHE SELECT. Kết quả nhỏ thì cache còn chậm hơn — tự tick Pass.</t>
        </is>
      </c>
      <c r="J594" s="48" t="inlineStr">
        <is>
          <t>030. OCB_GOLD_TCKH_V_T24_CRB_FULLLIST_PHAT.xlsx [Script: V_T24_CRB_FULLLIST]</t>
        </is>
      </c>
    </row>
    <row r="595">
      <c r="A595" s="48" t="inlineStr">
        <is>
          <t>TCKH.V_T24_CRB_FULLLIST</t>
        </is>
      </c>
      <c r="B595" s="48" t="inlineStr">
        <is>
          <t>SILVER_CONSUMER</t>
        </is>
      </c>
      <c r="C595" s="48" t="inlineStr">
        <is>
          <t>3.5</t>
        </is>
      </c>
      <c r="D595" s="48" t="inlineStr">
        <is>
          <t>Nhom 3 - Optimization</t>
        </is>
      </c>
      <c r="E595" s="48" t="inlineStr">
        <is>
          <t>Ưu tiên MAX_BY + QUALIFY thay ROW_NUMBER() + WHERE rn = 1</t>
        </is>
      </c>
      <c r="F595" s="48" t="inlineStr">
        <is>
          <t>N-A</t>
        </is>
      </c>
      <c r="G595" s="48" t="inlineStr">
        <is>
          <t>Pass</t>
        </is>
      </c>
      <c r="H595" s="50" t="inlineStr">
        <is>
          <t>script không dùng ROW_NUMBER, và MAX_BY (nếu có) không vượt quá 5 cột/khối</t>
        </is>
      </c>
      <c r="I5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95" s="48" t="inlineStr">
        <is>
          <t>030. OCB_GOLD_TCKH_V_T24_CRB_FULLLIST_PHAT.xlsx [Script: V_T24_CRB_FULLLIST]</t>
        </is>
      </c>
    </row>
    <row r="596">
      <c r="A596" s="48" t="inlineStr">
        <is>
          <t>TCKH.V_T24_CRB_FULLLIST</t>
        </is>
      </c>
      <c r="B596" s="48" t="inlineStr">
        <is>
          <t>SILVER_CONSUMER</t>
        </is>
      </c>
      <c r="C596" s="48" t="inlineStr">
        <is>
          <t>3.6</t>
        </is>
      </c>
      <c r="D596" s="48" t="inlineStr">
        <is>
          <t>Nhom 3 - Optimization</t>
        </is>
      </c>
      <c r="E596" s="48" t="inlineStr">
        <is>
          <t>Không lạm dụng window function; có comment khi dùng</t>
        </is>
      </c>
      <c r="F596" s="48" t="inlineStr">
        <is>
          <t>N-A</t>
        </is>
      </c>
      <c r="G596" s="48" t="inlineStr">
        <is>
          <t>Pass</t>
        </is>
      </c>
      <c r="H596" s="50" t="inlineStr">
        <is>
          <t>script không dùng window function</t>
        </is>
      </c>
      <c r="I596" s="50" t="inlineStr">
        <is>
          <t>Mỗi window function cần một comment ngay trên khối CTE chứa nó, nói rõ vì sao không dùng được max_by/QUALIFY đơn giản hơn.</t>
        </is>
      </c>
      <c r="J596" s="48" t="inlineStr">
        <is>
          <t>030. OCB_GOLD_TCKH_V_T24_CRB_FULLLIST_PHAT.xlsx [Script: V_T24_CRB_FULLLIST]</t>
        </is>
      </c>
    </row>
    <row r="597">
      <c r="A597" s="48" t="inlineStr">
        <is>
          <t>TCKH.V_T24_CRB_FULLLIST</t>
        </is>
      </c>
      <c r="B597" s="48" t="inlineStr">
        <is>
          <t>SILVER_CONSUMER</t>
        </is>
      </c>
      <c r="C597" s="48" t="inlineStr">
        <is>
          <t>X.1</t>
        </is>
      </c>
      <c r="D597" s="48" t="inlineStr">
        <is>
          <t>Nhom X - Bo sung Raffles</t>
        </is>
      </c>
      <c r="E597" s="48" t="inlineStr">
        <is>
          <t>[Bổ sung] Link phải rút về current trước khi join (chống fan-out)</t>
        </is>
      </c>
      <c r="F597" s="49" t="inlineStr">
        <is>
          <t>PASS</t>
        </is>
      </c>
      <c r="G597" s="48" t="inlineStr">
        <is>
          <t>Pass</t>
        </is>
      </c>
      <c r="H597" s="50" t="inlineStr">
        <is>
          <t>các bảng link_* đều được rút về current trước khi join</t>
        </is>
      </c>
      <c r="I5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97" s="48" t="inlineStr">
        <is>
          <t>030. OCB_GOLD_TCKH_V_T24_CRB_FULLLIST_PHAT.xlsx [Script: V_T24_CRB_FULLLIST]</t>
        </is>
      </c>
    </row>
    <row r="598">
      <c r="A598" s="48" t="inlineStr">
        <is>
          <t>TCKH.V_T24_CRB_FULLLIST</t>
        </is>
      </c>
      <c r="B598" s="48" t="inlineStr">
        <is>
          <t>SILVER_CONSUMER</t>
        </is>
      </c>
      <c r="C598" s="48" t="inlineStr">
        <is>
          <t>X.6</t>
        </is>
      </c>
      <c r="D598" s="48" t="inlineStr">
        <is>
          <t>Nhom X - Bo sung Raffles</t>
        </is>
      </c>
      <c r="E598" s="48" t="inlineStr">
        <is>
          <t>[Bổ sung] Satellite phải LEFT JOIN, không INNER JOIN</t>
        </is>
      </c>
      <c r="F598" s="49" t="inlineStr">
        <is>
          <t>PASS</t>
        </is>
      </c>
      <c r="G598" s="48" t="inlineStr">
        <is>
          <t>Pass</t>
        </is>
      </c>
      <c r="H598" s="50" t="inlineStr">
        <is>
          <t>các satellite đều LEFT JOIN</t>
        </is>
      </c>
      <c r="I598" s="50" t="inlineStr">
        <is>
          <t>Technical Document III.4.2.2 nguyên tắc 1: làm giàu thuộc tính luôn dùng LEFT JOIN. INNER JOIN satellite sẽ loại mất bản ghi Hub đang còn hiệu lực nhưng chưa có dòng satellite.</t>
        </is>
      </c>
      <c r="J598" s="48" t="inlineStr">
        <is>
          <t>030. OCB_GOLD_TCKH_V_T24_CRB_FULLLIST_PHAT.xlsx [Script: V_T24_CRB_FULLLIST]</t>
        </is>
      </c>
    </row>
    <row r="599">
      <c r="A599" s="48" t="inlineStr">
        <is>
          <t>TCKH.V_T24_CRB_FULLLIST</t>
        </is>
      </c>
      <c r="B599" s="48" t="inlineStr">
        <is>
          <t>SILVER_CONSUMER</t>
        </is>
      </c>
      <c r="C599" s="48" t="inlineStr">
        <is>
          <t>X.7</t>
        </is>
      </c>
      <c r="D599" s="48" t="inlineStr">
        <is>
          <t>Nhom X - Bo sung Raffles</t>
        </is>
      </c>
      <c r="E599" s="48" t="inlineStr">
        <is>
          <t>[Bổ sung] Không hard-code catalog, dùng biến môi trường</t>
        </is>
      </c>
      <c r="F599" s="49" t="inlineStr">
        <is>
          <t>PASS</t>
        </is>
      </c>
      <c r="G599" s="48" t="inlineStr">
        <is>
          <t>Pass</t>
        </is>
      </c>
      <c r="H599" s="50" t="inlineStr">
        <is>
          <t>dùng biến môi trường cho catalog</t>
        </is>
      </c>
      <c r="I5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99" s="48" t="inlineStr">
        <is>
          <t>030. OCB_GOLD_TCKH_V_T24_CRB_FULLLIST_PHAT.xlsx [Script: V_T24_CRB_FULLLIST]</t>
        </is>
      </c>
    </row>
    <row r="600">
      <c r="A600" s="48" t="inlineStr">
        <is>
          <t>TCKH.V_T24_CRB_FULLLIST</t>
        </is>
      </c>
      <c r="B600" s="48" t="inlineStr">
        <is>
          <t>SILVER_CONSUMER</t>
        </is>
      </c>
      <c r="C600" s="48" t="inlineStr">
        <is>
          <t>X.10</t>
        </is>
      </c>
      <c r="D600" s="48" t="inlineStr">
        <is>
          <t>Nhom X - Bo sung Raffles</t>
        </is>
      </c>
      <c r="E600" s="48" t="inlineStr">
        <is>
          <t>Bang raw_vault/business_vault duoc doc phai TON TAI THAT trong Data Vault model</t>
        </is>
      </c>
      <c r="F600" s="49" t="inlineStr">
        <is>
          <t>PASS</t>
        </is>
      </c>
      <c r="G600" s="48" t="inlineStr">
        <is>
          <t>Pass</t>
        </is>
      </c>
      <c r="H600" s="50" t="inlineStr">
        <is>
          <t>3 bảng Silver đều có thật trong Data Vault model</t>
        </is>
      </c>
      <c r="I600" s="50" t="inlineStr"/>
      <c r="J600" s="48" t="inlineStr">
        <is>
          <t>030. OCB_GOLD_TCKH_V_T24_CRB_FULLLIST_PHAT.xlsx [Script: V_T24_CRB_FULLLIST]</t>
        </is>
      </c>
    </row>
    <row r="601">
      <c r="A601" s="48" t="inlineStr">
        <is>
          <t>TCKH.V_T24_CRB_FULLLIST</t>
        </is>
      </c>
      <c r="B601" s="48" t="inlineStr">
        <is>
          <t>SILVER_CONSUMER</t>
        </is>
      </c>
      <c r="C601" s="48" t="inlineStr">
        <is>
          <t>X.11</t>
        </is>
      </c>
      <c r="D601" s="48" t="inlineStr">
        <is>
          <t>Nhom X - Bo sung Raffles</t>
        </is>
      </c>
      <c r="E601" s="48" t="inlineStr">
        <is>
          <t>Cot doc tu satellite (sat_*) phai TON TAI THAT trong model</t>
        </is>
      </c>
      <c r="F601" s="49" t="inlineStr">
        <is>
          <t>PASS</t>
        </is>
      </c>
      <c r="G601" s="48" t="inlineStr">
        <is>
          <t>Pass</t>
        </is>
      </c>
      <c r="H601" s="50" t="inlineStr">
        <is>
          <t>mọi cột đọc từ sat_* đều tồn tại trong model thật</t>
        </is>
      </c>
      <c r="I601" s="50" t="inlineStr"/>
      <c r="J601" s="48" t="inlineStr">
        <is>
          <t>030. OCB_GOLD_TCKH_V_T24_CRB_FULLLIST_PHAT.xlsx [Script: V_T24_CRB_FULLLIST]</t>
        </is>
      </c>
    </row>
    <row r="602">
      <c r="A602" s="48" t="inlineStr">
        <is>
          <t>TCKH.V_T24_CUSTOMER_NEW</t>
        </is>
      </c>
      <c r="B602" s="48" t="inlineStr">
        <is>
          <t>GOLD_DERIVED</t>
        </is>
      </c>
      <c r="C602" s="48" t="inlineStr">
        <is>
          <t>1.1</t>
        </is>
      </c>
      <c r="D602" s="48" t="inlineStr">
        <is>
          <t>Nhom 1 - Mapping</t>
        </is>
      </c>
      <c r="E602" s="48" t="inlineStr">
        <is>
          <t>Đầy đủ mapping từ Silver/manual sang Gold</t>
        </is>
      </c>
      <c r="F602" s="49" t="inlineStr">
        <is>
          <t>PASS</t>
        </is>
      </c>
      <c r="G602" s="48" t="inlineStr">
        <is>
          <t>Pass</t>
        </is>
      </c>
      <c r="H602" s="50" t="inlineStr">
        <is>
          <t>workbook 031. OCB_GOLD_TCKH_V_T24_CUSTOMER_NEW_BAOANH.xlsx: thiết kế 43 field, SQL có 43 cột</t>
        </is>
      </c>
      <c r="I6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02" s="48" t="inlineStr">
        <is>
          <t>031. OCB_GOLD_TCKH_V_T24_CUSTOMER_NEW_BAOANH.xlsx [Script SQL: V_T24_CUSTOMER_NEW]</t>
        </is>
      </c>
    </row>
    <row r="603">
      <c r="A603" s="48" t="inlineStr">
        <is>
          <t>TCKH.V_T24_CUSTOMER_NEW</t>
        </is>
      </c>
      <c r="B603" s="48" t="inlineStr">
        <is>
          <t>GOLD_DERIVED</t>
        </is>
      </c>
      <c r="C603" s="48" t="inlineStr">
        <is>
          <t>1.2</t>
        </is>
      </c>
      <c r="D603" s="48" t="inlineStr">
        <is>
          <t>Nhom 1 - Mapping</t>
        </is>
      </c>
      <c r="E603" s="48" t="inlineStr">
        <is>
          <t>Danh sách bảng/view Gold khớp tài liệu thiết kế đã duyệt</t>
        </is>
      </c>
      <c r="F603" s="49" t="inlineStr">
        <is>
          <t>PASS</t>
        </is>
      </c>
      <c r="G603" s="48" t="inlineStr">
        <is>
          <t>Pass</t>
        </is>
      </c>
      <c r="H603" s="50" t="inlineStr">
        <is>
          <t>V_T24_CUSTOMER_NEW có workbook thiết kế: 031. OCB_GOLD_TCKH_V_T24_CUSTOMER_NEW_BAOANH.xlsx</t>
        </is>
      </c>
      <c r="I603" s="50" t="inlineStr">
        <is>
          <t>Đảm bảo object có workbook thiết kế tương ứng trong thư mục --mapping-dir. Muốn đối chiếu với danh sách đã duyệt thì chạy thêm tham số --gold-list "&lt;file danh sách Gold&gt;.xlsx".</t>
        </is>
      </c>
      <c r="J603" s="48" t="inlineStr">
        <is>
          <t>031. OCB_GOLD_TCKH_V_T24_CUSTOMER_NEW_BAOANH.xlsx [Script SQL: V_T24_CUSTOMER_NEW]</t>
        </is>
      </c>
    </row>
    <row r="604">
      <c r="A604" s="48" t="inlineStr">
        <is>
          <t>TCKH.V_T24_CUSTOMER_NEW</t>
        </is>
      </c>
      <c r="B604" s="48" t="inlineStr">
        <is>
          <t>GOLD_DERIVED</t>
        </is>
      </c>
      <c r="C604" s="48" t="inlineStr">
        <is>
          <t>2.1</t>
        </is>
      </c>
      <c r="D604" s="48" t="inlineStr">
        <is>
          <t>Nhom 2 - Logic</t>
        </is>
      </c>
      <c r="E604" s="48" t="inlineStr">
        <is>
          <t>Chỉ lấy bản ghi active, loại bản ghi đã xóa (qua sts_hub)</t>
        </is>
      </c>
      <c r="F604" s="48" t="inlineStr">
        <is>
          <t>N-A</t>
        </is>
      </c>
      <c r="G604" s="48" t="inlineStr">
        <is>
          <t>Pass</t>
        </is>
      </c>
      <c r="H604" s="50" t="inlineStr">
        <is>
          <t>khong ap dung cho profile GOLD_DERIVED</t>
        </is>
      </c>
      <c r="I6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04" s="48" t="inlineStr">
        <is>
          <t>031. OCB_GOLD_TCKH_V_T24_CUSTOMER_NEW_BAOANH.xlsx [Script SQL: V_T24_CUSTOMER_NEW]</t>
        </is>
      </c>
    </row>
    <row r="605">
      <c r="A605" s="48" t="inlineStr">
        <is>
          <t>TCKH.V_T24_CUSTOMER_NEW</t>
        </is>
      </c>
      <c r="B605" s="48" t="inlineStr">
        <is>
          <t>GOLD_DERIVED</t>
        </is>
      </c>
      <c r="C605" s="48" t="inlineStr">
        <is>
          <t>2.2</t>
        </is>
      </c>
      <c r="D605" s="48" t="inlineStr">
        <is>
          <t>Nhom 2 - Logic</t>
        </is>
      </c>
      <c r="E605" s="48" t="inlineStr">
        <is>
          <t>Thống nhất MỘT pattern duy nhất xác định bản ghi active mới nhất</t>
        </is>
      </c>
      <c r="F605" s="48" t="inlineStr">
        <is>
          <t>N-A</t>
        </is>
      </c>
      <c r="G605" s="48" t="inlineStr">
        <is>
          <t>Pass</t>
        </is>
      </c>
      <c r="H605" s="50" t="inlineStr">
        <is>
          <t>khong ap dung cho profile GOLD_DERIVED</t>
        </is>
      </c>
      <c r="I6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05" s="48" t="inlineStr">
        <is>
          <t>031. OCB_GOLD_TCKH_V_T24_CUSTOMER_NEW_BAOANH.xlsx [Script SQL: V_T24_CUSTOMER_NEW]</t>
        </is>
      </c>
    </row>
    <row r="606">
      <c r="A606" s="48" t="inlineStr">
        <is>
          <t>TCKH.V_T24_CUSTOMER_NEW</t>
        </is>
      </c>
      <c r="B606" s="48" t="inlineStr">
        <is>
          <t>GOLD_DERIVED</t>
        </is>
      </c>
      <c r="C606" s="48" t="inlineStr">
        <is>
          <t>2.3</t>
        </is>
      </c>
      <c r="D606" s="48" t="inlineStr">
        <is>
          <t>Nhom 2 - Logic</t>
        </is>
      </c>
      <c r="E606" s="48" t="inlineStr">
        <is>
          <t>Điều kiện lọc trạng thái đặt SAU khi xác định bản ghi mới nhất</t>
        </is>
      </c>
      <c r="F606" s="49" t="inlineStr">
        <is>
          <t>PASS</t>
        </is>
      </c>
      <c r="G606" s="48" t="inlineStr">
        <is>
          <t>Pass</t>
        </is>
      </c>
      <c r="H606" s="50" t="inlineStr">
        <is>
          <t>không có điều kiện trạng thái nào lồng trong JOIN ON</t>
        </is>
      </c>
      <c r="I6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06" s="48" t="inlineStr">
        <is>
          <t>031. OCB_GOLD_TCKH_V_T24_CUSTOMER_NEW_BAOANH.xlsx [Script SQL: V_T24_CUSTOMER_NEW]</t>
        </is>
      </c>
    </row>
    <row r="607">
      <c r="A607" s="48" t="inlineStr">
        <is>
          <t>TCKH.V_T24_CUSTOMER_NEW</t>
        </is>
      </c>
      <c r="B607" s="48" t="inlineStr">
        <is>
          <t>GOLD_DERIVED</t>
        </is>
      </c>
      <c r="C607" s="48" t="inlineStr">
        <is>
          <t>2.4</t>
        </is>
      </c>
      <c r="D607" s="48" t="inlineStr">
        <is>
          <t>Nhom 2 - Logic</t>
        </is>
      </c>
      <c r="E607" s="48" t="inlineStr">
        <is>
          <t>source_event_date áp dụng đúng dạng theo loại bảng</t>
        </is>
      </c>
      <c r="F607" s="48" t="inlineStr">
        <is>
          <t>N-A</t>
        </is>
      </c>
      <c r="G607" s="48" t="inlineStr">
        <is>
          <t>Pass</t>
        </is>
      </c>
      <c r="H607" s="50" t="inlineStr">
        <is>
          <t>khong ap dung cho profile GOLD_DERIVED</t>
        </is>
      </c>
      <c r="I6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07" s="48" t="inlineStr">
        <is>
          <t>031. OCB_GOLD_TCKH_V_T24_CUSTOMER_NEW_BAOANH.xlsx [Script SQL: V_T24_CUSTOMER_NEW]</t>
        </is>
      </c>
    </row>
    <row r="608">
      <c r="A608" s="48" t="inlineStr">
        <is>
          <t>TCKH.V_T24_CUSTOMER_NEW</t>
        </is>
      </c>
      <c r="B608" s="48" t="inlineStr">
        <is>
          <t>GOLD_DERIVED</t>
        </is>
      </c>
      <c r="C608" s="48" t="inlineStr">
        <is>
          <t>2.5</t>
        </is>
      </c>
      <c r="D608" s="48" t="inlineStr">
        <is>
          <t>Nhom 2 - Logic</t>
        </is>
      </c>
      <c r="E608" s="48" t="inlineStr">
        <is>
          <t>Không lặp lại lỗi logic cũ đã được DA Data Vault fix</t>
        </is>
      </c>
      <c r="F608" s="49" t="inlineStr">
        <is>
          <t>PASS</t>
        </is>
      </c>
      <c r="G608" s="48" t="inlineStr">
        <is>
          <t>Pass</t>
        </is>
      </c>
      <c r="H608" s="50" t="inlineStr">
        <is>
          <t>không trùng lỗi nào trong Issue log của DA Data Vault</t>
        </is>
      </c>
      <c r="I6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08" s="48" t="inlineStr">
        <is>
          <t>031. OCB_GOLD_TCKH_V_T24_CUSTOMER_NEW_BAOANH.xlsx [Script SQL: V_T24_CUSTOMER_NEW]</t>
        </is>
      </c>
    </row>
    <row r="609">
      <c r="A609" s="48" t="inlineStr">
        <is>
          <t>TCKH.V_T24_CUSTOMER_NEW</t>
        </is>
      </c>
      <c r="B609" s="48" t="inlineStr">
        <is>
          <t>GOLD_DERIVED</t>
        </is>
      </c>
      <c r="C609" s="48" t="inlineStr">
        <is>
          <t>2.6</t>
        </is>
      </c>
      <c r="D609" s="48" t="inlineStr">
        <is>
          <t>Nhom 2 - Logic</t>
        </is>
      </c>
      <c r="E609" s="48" t="inlineStr">
        <is>
          <t>SCD Type 2 cho bảng DIM áp dụng đúng kỹ thuật đã thống nhất</t>
        </is>
      </c>
      <c r="F609" s="48" t="inlineStr">
        <is>
          <t>N-A</t>
        </is>
      </c>
      <c r="G609" s="48" t="inlineStr">
        <is>
          <t>Pass</t>
        </is>
      </c>
      <c r="H609" s="50" t="inlineStr">
        <is>
          <t>object không phải bảng DIM nên không áp dụng SCD Type 2</t>
        </is>
      </c>
      <c r="I6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09" s="48" t="inlineStr">
        <is>
          <t>031. OCB_GOLD_TCKH_V_T24_CUSTOMER_NEW_BAOANH.xlsx [Script SQL: V_T24_CUSTOMER_NEW]</t>
        </is>
      </c>
    </row>
    <row r="610">
      <c r="A610" s="48" t="inlineStr">
        <is>
          <t>TCKH.V_T24_CUSTOMER_NEW</t>
        </is>
      </c>
      <c r="B610" s="48" t="inlineStr">
        <is>
          <t>GOLD_DERIVED</t>
        </is>
      </c>
      <c r="C610" s="48" t="inlineStr">
        <is>
          <t>2.7</t>
        </is>
      </c>
      <c r="D610" s="48" t="inlineStr">
        <is>
          <t>Nhom 2 - Logic</t>
        </is>
      </c>
      <c r="E610" s="48" t="inlineStr">
        <is>
          <t>CASE WHEN cover đủ nhánh như job on-prem</t>
        </is>
      </c>
      <c r="F610" s="48" t="inlineStr">
        <is>
          <t>N-A</t>
        </is>
      </c>
      <c r="G610" s="48" t="inlineStr">
        <is>
          <t>Pass</t>
        </is>
      </c>
      <c r="H610" s="50" t="inlineStr">
        <is>
          <t>script không có CASE WHEN nào</t>
        </is>
      </c>
      <c r="I610" s="50" t="inlineStr">
        <is>
          <t>Mở job on-prem tương ứng (DataStage DSX hoặc SQL cũ), đối chiếu từng nhánh WHEN và cả nhánh ELSE. CASE không có ELSE sẽ trả NULL âm thầm — xác nhận đó là ý muốn hay thiếu nhánh.</t>
        </is>
      </c>
      <c r="J610" s="48" t="inlineStr">
        <is>
          <t>031. OCB_GOLD_TCKH_V_T24_CUSTOMER_NEW_BAOANH.xlsx [Script SQL: V_T24_CUSTOMER_NEW]</t>
        </is>
      </c>
    </row>
    <row r="611">
      <c r="A611" s="48" t="inlineStr">
        <is>
          <t>TCKH.V_T24_CUSTOMER_NEW</t>
        </is>
      </c>
      <c r="B611" s="48" t="inlineStr">
        <is>
          <t>GOLD_DERIVED</t>
        </is>
      </c>
      <c r="C611" s="48" t="inlineStr">
        <is>
          <t>2.8</t>
        </is>
      </c>
      <c r="D611" s="48" t="inlineStr">
        <is>
          <t>Nhom 2 - Logic</t>
        </is>
      </c>
      <c r="E611" s="48" t="inlineStr">
        <is>
          <t>Cột SUM/COUNT được COALESCE/NVL hợp lý</t>
        </is>
      </c>
      <c r="F611" s="49" t="inlineStr">
        <is>
          <t>PASS</t>
        </is>
      </c>
      <c r="G611" s="48" t="inlineStr">
        <is>
          <t>Pass</t>
        </is>
      </c>
      <c r="H611" s="50" t="inlineStr">
        <is>
          <t>mọi SUM/COUNT đều đã coalesce (trực tiếp hoặc ở lớp ngoài)</t>
        </is>
      </c>
      <c r="I6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11" s="48" t="inlineStr">
        <is>
          <t>031. OCB_GOLD_TCKH_V_T24_CUSTOMER_NEW_BAOANH.xlsx [Script SQL: V_T24_CUSTOMER_NEW]</t>
        </is>
      </c>
    </row>
    <row r="612">
      <c r="A612" s="48" t="inlineStr">
        <is>
          <t>TCKH.V_T24_CUSTOMER_NEW</t>
        </is>
      </c>
      <c r="B612" s="48" t="inlineStr">
        <is>
          <t>GOLD_DERIVED</t>
        </is>
      </c>
      <c r="C612" s="48" t="inlineStr">
        <is>
          <t>2.9</t>
        </is>
      </c>
      <c r="D612" s="48" t="inlineStr">
        <is>
          <t>Nhom 2 - Logic</t>
        </is>
      </c>
      <c r="E612" s="48" t="inlineStr">
        <is>
          <t>Subquery / custom function / điều kiện LIKE đúng ý nghĩa nghiệp vụ</t>
        </is>
      </c>
      <c r="F612" s="48" t="inlineStr">
        <is>
          <t>N-A</t>
        </is>
      </c>
      <c r="G612" s="48" t="inlineStr">
        <is>
          <t>Pass</t>
        </is>
      </c>
      <c r="H612" s="50" t="inlineStr">
        <is>
          <t>script không có điều kiện LIKE hay scalar subquery nào</t>
        </is>
      </c>
      <c r="I612" s="50" t="inlineStr">
        <is>
          <t>Đọc lại từng điều kiện LIKE và từng subquery, đối chiếu ý nghĩa nghiệp vụ với on-prem — đúng cú pháp không đủ. Chú ý pattern LIKE có ký tự % ở đầu/cuối và phân biệt chữ hoa/thường.</t>
        </is>
      </c>
      <c r="J612" s="48" t="inlineStr">
        <is>
          <t>031. OCB_GOLD_TCKH_V_T24_CUSTOMER_NEW_BAOANH.xlsx [Script SQL: V_T24_CUSTOMER_NEW]</t>
        </is>
      </c>
    </row>
    <row r="613">
      <c r="A613" s="48" t="inlineStr">
        <is>
          <t>TCKH.V_T24_CUSTOMER_NEW</t>
        </is>
      </c>
      <c r="B613" s="48" t="inlineStr">
        <is>
          <t>GOLD_DERIVED</t>
        </is>
      </c>
      <c r="C613" s="48" t="inlineStr">
        <is>
          <t>2.10</t>
        </is>
      </c>
      <c r="D613" s="48" t="inlineStr">
        <is>
          <t>Nhom 2 - Logic</t>
        </is>
      </c>
      <c r="E613" s="48" t="inlineStr">
        <is>
          <t>Aggregation kèm filter date range chính xác</t>
        </is>
      </c>
      <c r="F613" s="49" t="inlineStr">
        <is>
          <t>PASS</t>
        </is>
      </c>
      <c r="G613" s="48" t="inlineStr">
        <is>
          <t>Pass</t>
        </is>
      </c>
      <c r="H613" s="50" t="inlineStr">
        <is>
          <t>mọi khối tổng hợp đều có điều kiện theo kỳ dữ liệu</t>
        </is>
      </c>
      <c r="I613" s="50" t="inlineStr">
        <is>
          <t>Mỗi khối SUM/COUNT/AVG phải có điều kiện lọc theo kỳ dữ liệu (CDR_DT_ID, DATA_DATE, :DATADT…). Nếu điều kiện nằm ở CTE nguồn thì ghi rõ trong comment để người review không phải truy ngược.</t>
        </is>
      </c>
      <c r="J613" s="48" t="inlineStr">
        <is>
          <t>031. OCB_GOLD_TCKH_V_T24_CUSTOMER_NEW_BAOANH.xlsx [Script SQL: V_T24_CUSTOMER_NEW]</t>
        </is>
      </c>
    </row>
    <row r="614">
      <c r="A614" s="48" t="inlineStr">
        <is>
          <t>TCKH.V_T24_CUSTOMER_NEW</t>
        </is>
      </c>
      <c r="B614" s="48" t="inlineStr">
        <is>
          <t>GOLD_DERIVED</t>
        </is>
      </c>
      <c r="C614" s="48" t="inlineStr">
        <is>
          <t>2.11</t>
        </is>
      </c>
      <c r="D614" s="48" t="inlineStr">
        <is>
          <t>Nhom 2 - Logic</t>
        </is>
      </c>
      <c r="E614" s="48" t="inlineStr">
        <is>
          <t>Join dùng key hợp lý, không lạm dụng UNION ALL + EXISTS/NOT EXISTS</t>
        </is>
      </c>
      <c r="F614" s="49" t="inlineStr">
        <is>
          <t>PASS</t>
        </is>
      </c>
      <c r="G614" s="48" t="inlineStr">
        <is>
          <t>Pass</t>
        </is>
      </c>
      <c r="H614" s="50" t="inlineStr">
        <is>
          <t>join đều theo điều kiện bằng, không lạm dụng UNION ALL + EXISTS</t>
        </is>
      </c>
      <c r="I614" s="50" t="inlineStr">
        <is>
          <t>Ưu tiên LEFT JOIN theo business key hoặc hashkey. Xem lại các chỗ dùng UNION ALL kết hợp EXISTS/NOT EXISTS — thường thay được bằng một LEFT JOIN. Join không có điều kiện bằng (=) dễ tạo tích Descartes.</t>
        </is>
      </c>
      <c r="J614" s="48" t="inlineStr">
        <is>
          <t>031. OCB_GOLD_TCKH_V_T24_CUSTOMER_NEW_BAOANH.xlsx [Script SQL: V_T24_CUSTOMER_NEW]</t>
        </is>
      </c>
    </row>
    <row r="615">
      <c r="A615" s="48" t="inlineStr">
        <is>
          <t>TCKH.V_T24_CUSTOMER_NEW</t>
        </is>
      </c>
      <c r="B615" s="48" t="inlineStr">
        <is>
          <t>GOLD_DERIVED</t>
        </is>
      </c>
      <c r="C615" s="48" t="inlineStr">
        <is>
          <t>2.12</t>
        </is>
      </c>
      <c r="D615" s="48" t="inlineStr">
        <is>
          <t>Nhom 2 - Logic</t>
        </is>
      </c>
      <c r="E615" s="48" t="inlineStr">
        <is>
          <t>Build Gold từ CTE snapshot Silver, không build nhiều tầng chồng chéo</t>
        </is>
      </c>
      <c r="F615" s="49" t="inlineStr">
        <is>
          <t>PASS</t>
        </is>
      </c>
      <c r="G615" s="48" t="inlineStr">
        <is>
          <t>Pass</t>
        </is>
      </c>
      <c r="H615" s="50" t="inlineStr">
        <is>
          <t>mỗi bảng nguồn chỉ đọc trong 1 khối SELECT</t>
        </is>
      </c>
      <c r="I6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15" s="48" t="inlineStr">
        <is>
          <t>031. OCB_GOLD_TCKH_V_T24_CUSTOMER_NEW_BAOANH.xlsx [Script SQL: V_T24_CUSTOMER_NEW]</t>
        </is>
      </c>
    </row>
    <row r="616">
      <c r="A616" s="48" t="inlineStr">
        <is>
          <t>TCKH.V_T24_CUSTOMER_NEW</t>
        </is>
      </c>
      <c r="B616" s="48" t="inlineStr">
        <is>
          <t>GOLD_DERIVED</t>
        </is>
      </c>
      <c r="C616" s="48" t="inlineStr">
        <is>
          <t>3.1</t>
        </is>
      </c>
      <c r="D616" s="48" t="inlineStr">
        <is>
          <t>Nhom 3 - Optimization</t>
        </is>
      </c>
      <c r="E616" s="48" t="inlineStr">
        <is>
          <t>Không SELECT *</t>
        </is>
      </c>
      <c r="F616" s="49" t="inlineStr">
        <is>
          <t>PASS</t>
        </is>
      </c>
      <c r="G616" s="48" t="inlineStr">
        <is>
          <t>Pass</t>
        </is>
      </c>
      <c r="H616" s="50" t="inlineStr">
        <is>
          <t>không dùng SELECT * ở đâu</t>
        </is>
      </c>
      <c r="I616" s="50" t="inlineStr">
        <is>
          <t>Liệt kê tường minh các cột cần dùng, kể cả trong CTE trung gian. SELECT * làm tăng IO/memory và vỡ script khi bảng nguồn thêm cột.</t>
        </is>
      </c>
      <c r="J616" s="48" t="inlineStr">
        <is>
          <t>031. OCB_GOLD_TCKH_V_T24_CUSTOMER_NEW_BAOANH.xlsx [Script SQL: V_T24_CUSTOMER_NEW]</t>
        </is>
      </c>
    </row>
    <row r="617">
      <c r="A617" s="48" t="inlineStr">
        <is>
          <t>TCKH.V_T24_CUSTOMER_NEW</t>
        </is>
      </c>
      <c r="B617" s="48" t="inlineStr">
        <is>
          <t>GOLD_DERIVED</t>
        </is>
      </c>
      <c r="C617" s="48" t="inlineStr">
        <is>
          <t>3.2</t>
        </is>
      </c>
      <c r="D617" s="48" t="inlineStr">
        <is>
          <t>Nhom 3 - Optimization</t>
        </is>
      </c>
      <c r="E617" s="48" t="inlineStr">
        <is>
          <t>CTE không bị scan lại nhiều lần</t>
        </is>
      </c>
      <c r="F617" s="49" t="inlineStr">
        <is>
          <t>PASS</t>
        </is>
      </c>
      <c r="G617" s="48" t="inlineStr">
        <is>
          <t>Pass</t>
        </is>
      </c>
      <c r="H617" s="50" t="inlineStr">
        <is>
          <t>không có CTE nào bị gọi lại</t>
        </is>
      </c>
      <c r="I617" s="50" t="inlineStr">
        <is>
          <t>Với CTE nặng (đọc nhiều bảng Silver) bị tham chiếu từ 2 chỗ trở lên: gom lại còn một lần dùng, hoặc vật chất hóa (CACHE / bảng tạm). CTE nhẹ chỉ chứa tham số thì bỏ qua được — tự tick Pass.</t>
        </is>
      </c>
      <c r="J617" s="48" t="inlineStr">
        <is>
          <t>031. OCB_GOLD_TCKH_V_T24_CUSTOMER_NEW_BAOANH.xlsx [Script SQL: V_T24_CUSTOMER_NEW]</t>
        </is>
      </c>
    </row>
    <row r="618">
      <c r="A618" s="48" t="inlineStr">
        <is>
          <t>TCKH.V_T24_CUSTOMER_NEW</t>
        </is>
      </c>
      <c r="B618" s="48" t="inlineStr">
        <is>
          <t>GOLD_DERIVED</t>
        </is>
      </c>
      <c r="C618" s="48" t="inlineStr">
        <is>
          <t>3.3</t>
        </is>
      </c>
      <c r="D618" s="48" t="inlineStr">
        <is>
          <t>Nhom 3 - Optimization</t>
        </is>
      </c>
      <c r="E618" s="48" t="inlineStr">
        <is>
          <t>Filter trước khi join, tận dụng partition pruning</t>
        </is>
      </c>
      <c r="F618" s="49" t="inlineStr">
        <is>
          <t>PASS</t>
        </is>
      </c>
      <c r="G618" s="48" t="inlineStr">
        <is>
          <t>Pass</t>
        </is>
      </c>
      <c r="H618" s="50" t="inlineStr">
        <is>
          <t>các bảng join đều được filter trước</t>
        </is>
      </c>
      <c r="I618" s="50" t="inlineStr">
        <is>
          <t>Đưa điều kiện lọc (ngày dữ liệu, trạng thái) vào subquery của từng bảng TRƯỚC khi join, để tận dụng partition pruning. Bảng dim nhỏ không partition thì không cần — tự tick Pass.</t>
        </is>
      </c>
      <c r="J618" s="48" t="inlineStr">
        <is>
          <t>031. OCB_GOLD_TCKH_V_T24_CUSTOMER_NEW_BAOANH.xlsx [Script SQL: V_T24_CUSTOMER_NEW]</t>
        </is>
      </c>
    </row>
    <row r="619">
      <c r="A619" s="48" t="inlineStr">
        <is>
          <t>TCKH.V_T24_CUSTOMER_NEW</t>
        </is>
      </c>
      <c r="B619" s="48" t="inlineStr">
        <is>
          <t>GOLD_DERIVED</t>
        </is>
      </c>
      <c r="C619" s="48" t="inlineStr">
        <is>
          <t>3.4</t>
        </is>
      </c>
      <c r="D619" s="48" t="inlineStr">
        <is>
          <t>Nhom 3 - Optimization</t>
        </is>
      </c>
      <c r="E619" s="48" t="inlineStr">
        <is>
          <t>Sử dụng CACHE cho query lặp lại trong cùng luồng</t>
        </is>
      </c>
      <c r="F619" s="48" t="inlineStr">
        <is>
          <t>N-A</t>
        </is>
      </c>
      <c r="G619" s="48" t="inlineStr">
        <is>
          <t>Pass</t>
        </is>
      </c>
      <c r="H619" s="50" t="inlineStr">
        <is>
          <t>không có kết quả nào được dùng lại nhiều lần nên chưa cần CACHE</t>
        </is>
      </c>
      <c r="I619" s="50" t="inlineStr">
        <is>
          <t>Nếu một kết quả nặng được dùng lại nhiều bước trong cùng luồng, thêm CACHE TABLE / CACHE SELECT. Kết quả nhỏ thì cache còn chậm hơn — tự tick Pass.</t>
        </is>
      </c>
      <c r="J619" s="48" t="inlineStr">
        <is>
          <t>031. OCB_GOLD_TCKH_V_T24_CUSTOMER_NEW_BAOANH.xlsx [Script SQL: V_T24_CUSTOMER_NEW]</t>
        </is>
      </c>
    </row>
    <row r="620">
      <c r="A620" s="48" t="inlineStr">
        <is>
          <t>TCKH.V_T24_CUSTOMER_NEW</t>
        </is>
      </c>
      <c r="B620" s="48" t="inlineStr">
        <is>
          <t>GOLD_DERIVED</t>
        </is>
      </c>
      <c r="C620" s="48" t="inlineStr">
        <is>
          <t>3.5</t>
        </is>
      </c>
      <c r="D620" s="48" t="inlineStr">
        <is>
          <t>Nhom 3 - Optimization</t>
        </is>
      </c>
      <c r="E620" s="48" t="inlineStr">
        <is>
          <t>Ưu tiên MAX_BY + QUALIFY thay ROW_NUMBER() + WHERE rn = 1</t>
        </is>
      </c>
      <c r="F620" s="48" t="inlineStr">
        <is>
          <t>N-A</t>
        </is>
      </c>
      <c r="G620" s="48" t="inlineStr">
        <is>
          <t>Pass</t>
        </is>
      </c>
      <c r="H620" s="50" t="inlineStr">
        <is>
          <t>script không dùng ROW_NUMBER, và MAX_BY (nếu có) không vượt quá 5 cột/khối</t>
        </is>
      </c>
      <c r="I6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20" s="48" t="inlineStr">
        <is>
          <t>031. OCB_GOLD_TCKH_V_T24_CUSTOMER_NEW_BAOANH.xlsx [Script SQL: V_T24_CUSTOMER_NEW]</t>
        </is>
      </c>
    </row>
    <row r="621">
      <c r="A621" s="48" t="inlineStr">
        <is>
          <t>TCKH.V_T24_CUSTOMER_NEW</t>
        </is>
      </c>
      <c r="B621" s="48" t="inlineStr">
        <is>
          <t>GOLD_DERIVED</t>
        </is>
      </c>
      <c r="C621" s="48" t="inlineStr">
        <is>
          <t>3.6</t>
        </is>
      </c>
      <c r="D621" s="48" t="inlineStr">
        <is>
          <t>Nhom 3 - Optimization</t>
        </is>
      </c>
      <c r="E621" s="48" t="inlineStr">
        <is>
          <t>Không lạm dụng window function; có comment khi dùng</t>
        </is>
      </c>
      <c r="F621" s="48" t="inlineStr">
        <is>
          <t>N-A</t>
        </is>
      </c>
      <c r="G621" s="48" t="inlineStr">
        <is>
          <t>Pass</t>
        </is>
      </c>
      <c r="H621" s="50" t="inlineStr">
        <is>
          <t>script không dùng window function</t>
        </is>
      </c>
      <c r="I621" s="50" t="inlineStr">
        <is>
          <t>Mỗi window function cần một comment ngay trên khối CTE chứa nó, nói rõ vì sao không dùng được max_by/QUALIFY đơn giản hơn.</t>
        </is>
      </c>
      <c r="J621" s="48" t="inlineStr">
        <is>
          <t>031. OCB_GOLD_TCKH_V_T24_CUSTOMER_NEW_BAOANH.xlsx [Script SQL: V_T24_CUSTOMER_NEW]</t>
        </is>
      </c>
    </row>
    <row r="622">
      <c r="A622" s="48" t="inlineStr">
        <is>
          <t>TCKH.V_T24_CUSTOMER_NEW</t>
        </is>
      </c>
      <c r="B622" s="48" t="inlineStr">
        <is>
          <t>GOLD_DERIVED</t>
        </is>
      </c>
      <c r="C622" s="48" t="inlineStr">
        <is>
          <t>X.1</t>
        </is>
      </c>
      <c r="D622" s="48" t="inlineStr">
        <is>
          <t>Nhom X - Bo sung Raffles</t>
        </is>
      </c>
      <c r="E622" s="48" t="inlineStr">
        <is>
          <t>[Bổ sung] Link phải rút về current trước khi join (chống fan-out)</t>
        </is>
      </c>
      <c r="F622" s="48" t="inlineStr">
        <is>
          <t>N-A</t>
        </is>
      </c>
      <c r="G622" s="48" t="inlineStr">
        <is>
          <t>Pass</t>
        </is>
      </c>
      <c r="H622" s="50" t="inlineStr">
        <is>
          <t>khong ap dung cho profile GOLD_DERIVED</t>
        </is>
      </c>
      <c r="I6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22" s="48" t="inlineStr">
        <is>
          <t>031. OCB_GOLD_TCKH_V_T24_CUSTOMER_NEW_BAOANH.xlsx [Script SQL: V_T24_CUSTOMER_NEW]</t>
        </is>
      </c>
    </row>
    <row r="623">
      <c r="A623" s="48" t="inlineStr">
        <is>
          <t>TCKH.V_T24_CUSTOMER_NEW</t>
        </is>
      </c>
      <c r="B623" s="48" t="inlineStr">
        <is>
          <t>GOLD_DERIVED</t>
        </is>
      </c>
      <c r="C623" s="48" t="inlineStr">
        <is>
          <t>X.6</t>
        </is>
      </c>
      <c r="D623" s="48" t="inlineStr">
        <is>
          <t>Nhom X - Bo sung Raffles</t>
        </is>
      </c>
      <c r="E623" s="48" t="inlineStr">
        <is>
          <t>[Bổ sung] Satellite phải LEFT JOIN, không INNER JOIN</t>
        </is>
      </c>
      <c r="F623" s="48" t="inlineStr">
        <is>
          <t>N-A</t>
        </is>
      </c>
      <c r="G623" s="48" t="inlineStr">
        <is>
          <t>Pass</t>
        </is>
      </c>
      <c r="H623" s="50" t="inlineStr">
        <is>
          <t>khong ap dung cho profile GOLD_DERIVED</t>
        </is>
      </c>
      <c r="I623" s="50" t="inlineStr">
        <is>
          <t>Technical Document III.4.2.2 nguyên tắc 1: làm giàu thuộc tính luôn dùng LEFT JOIN. INNER JOIN satellite sẽ loại mất bản ghi Hub đang còn hiệu lực nhưng chưa có dòng satellite.</t>
        </is>
      </c>
      <c r="J623" s="48" t="inlineStr">
        <is>
          <t>031. OCB_GOLD_TCKH_V_T24_CUSTOMER_NEW_BAOANH.xlsx [Script SQL: V_T24_CUSTOMER_NEW]</t>
        </is>
      </c>
    </row>
    <row r="624">
      <c r="A624" s="48" t="inlineStr">
        <is>
          <t>TCKH.V_T24_CUSTOMER_NEW</t>
        </is>
      </c>
      <c r="B624" s="48" t="inlineStr">
        <is>
          <t>GOLD_DERIVED</t>
        </is>
      </c>
      <c r="C624" s="48" t="inlineStr">
        <is>
          <t>X.7</t>
        </is>
      </c>
      <c r="D624" s="48" t="inlineStr">
        <is>
          <t>Nhom X - Bo sung Raffles</t>
        </is>
      </c>
      <c r="E624" s="48" t="inlineStr">
        <is>
          <t>[Bổ sung] Không hard-code catalog, dùng biến môi trường</t>
        </is>
      </c>
      <c r="F624" s="49" t="inlineStr">
        <is>
          <t>PASS</t>
        </is>
      </c>
      <c r="G624" s="48" t="inlineStr">
        <is>
          <t>Pass</t>
        </is>
      </c>
      <c r="H624" s="50" t="inlineStr">
        <is>
          <t>dùng biến môi trường cho catalog</t>
        </is>
      </c>
      <c r="I6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24" s="48" t="inlineStr">
        <is>
          <t>031. OCB_GOLD_TCKH_V_T24_CUSTOMER_NEW_BAOANH.xlsx [Script SQL: V_T24_CUSTOMER_NEW]</t>
        </is>
      </c>
    </row>
    <row r="625">
      <c r="A625" s="48" t="inlineStr">
        <is>
          <t>TCKH.V_T24_CUSTOMER_NEW</t>
        </is>
      </c>
      <c r="B625" s="48" t="inlineStr">
        <is>
          <t>GOLD_DERIVED</t>
        </is>
      </c>
      <c r="C625" s="48" t="inlineStr">
        <is>
          <t>X.10</t>
        </is>
      </c>
      <c r="D625" s="48" t="inlineStr">
        <is>
          <t>Nhom X - Bo sung Raffles</t>
        </is>
      </c>
      <c r="E625" s="48" t="inlineStr">
        <is>
          <t>Bang raw_vault/business_vault duoc doc phai TON TAI THAT trong Data Vault model</t>
        </is>
      </c>
      <c r="F625" s="48" t="inlineStr">
        <is>
          <t>N-A</t>
        </is>
      </c>
      <c r="G625" s="48" t="inlineStr">
        <is>
          <t>Pass</t>
        </is>
      </c>
      <c r="H625" s="50" t="inlineStr">
        <is>
          <t>script không đọc bảng raw_vault/business_vault nào</t>
        </is>
      </c>
      <c r="I625" s="50" t="inlineStr"/>
      <c r="J625" s="48" t="inlineStr">
        <is>
          <t>031. OCB_GOLD_TCKH_V_T24_CUSTOMER_NEW_BAOANH.xlsx [Script SQL: V_T24_CUSTOMER_NEW]</t>
        </is>
      </c>
    </row>
    <row r="626">
      <c r="A626" s="48" t="inlineStr">
        <is>
          <t>TCKH.V_T24_CUSTOMER_NEW</t>
        </is>
      </c>
      <c r="B626" s="48" t="inlineStr">
        <is>
          <t>GOLD_DERIVED</t>
        </is>
      </c>
      <c r="C626" s="48" t="inlineStr">
        <is>
          <t>X.11</t>
        </is>
      </c>
      <c r="D626" s="48" t="inlineStr">
        <is>
          <t>Nhom X - Bo sung Raffles</t>
        </is>
      </c>
      <c r="E626" s="48" t="inlineStr">
        <is>
          <t>Cot doc tu satellite (sat_*) phai TON TAI THAT trong model</t>
        </is>
      </c>
      <c r="F626" s="48" t="inlineStr">
        <is>
          <t>N-A</t>
        </is>
      </c>
      <c r="G626" s="48" t="inlineStr">
        <is>
          <t>Pass</t>
        </is>
      </c>
      <c r="H626" s="50" t="inlineStr">
        <is>
          <t>không có bảng sat_* nào đủ điều kiện đối chiếu (Select chỉ đọc 1 bảng)</t>
        </is>
      </c>
      <c r="I626" s="50" t="inlineStr"/>
      <c r="J626" s="48" t="inlineStr">
        <is>
          <t>031. OCB_GOLD_TCKH_V_T24_CUSTOMER_NEW_BAOANH.xlsx [Script SQL: V_T24_CUSTOMER_NEW]</t>
        </is>
      </c>
    </row>
    <row r="627">
      <c r="A627" s="48" t="inlineStr">
        <is>
          <t>TCKH.V_TB_AR_DTL_BH</t>
        </is>
      </c>
      <c r="B627" s="48" t="inlineStr">
        <is>
          <t>SILVER_CONSUMER</t>
        </is>
      </c>
      <c r="C627" s="48" t="inlineStr">
        <is>
          <t>1.1</t>
        </is>
      </c>
      <c r="D627" s="48" t="inlineStr">
        <is>
          <t>Nhom 1 - Mapping</t>
        </is>
      </c>
      <c r="E627" s="48" t="inlineStr">
        <is>
          <t>Đầy đủ mapping từ Silver/manual sang Gold</t>
        </is>
      </c>
      <c r="F627" s="49" t="inlineStr">
        <is>
          <t>PASS</t>
        </is>
      </c>
      <c r="G627" s="48" t="inlineStr">
        <is>
          <t>Pass</t>
        </is>
      </c>
      <c r="H627" s="50" t="inlineStr">
        <is>
          <t>workbook 034. OCB_GOLD_TCKH_V_TB_AR_DTL_BH_HOP.xlsx: thiết kế 43 field, SQL có 43 cột</t>
        </is>
      </c>
      <c r="I6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27" s="48" t="inlineStr">
        <is>
          <t>034. OCB_GOLD_TCKH_V_TB_AR_DTL_BH_HOP.xlsx [SCRIPT: V_TB_AR_DTL_BH]</t>
        </is>
      </c>
    </row>
    <row r="628">
      <c r="A628" s="48" t="inlineStr">
        <is>
          <t>TCKH.V_TB_AR_DTL_BH</t>
        </is>
      </c>
      <c r="B628" s="48" t="inlineStr">
        <is>
          <t>SILVER_CONSUMER</t>
        </is>
      </c>
      <c r="C628" s="48" t="inlineStr">
        <is>
          <t>1.2</t>
        </is>
      </c>
      <c r="D628" s="48" t="inlineStr">
        <is>
          <t>Nhom 1 - Mapping</t>
        </is>
      </c>
      <c r="E628" s="48" t="inlineStr">
        <is>
          <t>Danh sách bảng/view Gold khớp tài liệu thiết kế đã duyệt</t>
        </is>
      </c>
      <c r="F628" s="49" t="inlineStr">
        <is>
          <t>PASS</t>
        </is>
      </c>
      <c r="G628" s="48" t="inlineStr">
        <is>
          <t>Pass</t>
        </is>
      </c>
      <c r="H628" s="50" t="inlineStr">
        <is>
          <t>V_TB_AR_DTL_BH có workbook thiết kế: 034. OCB_GOLD_TCKH_V_TB_AR_DTL_BH_HOP.xlsx</t>
        </is>
      </c>
      <c r="I628" s="50" t="inlineStr">
        <is>
          <t>Đảm bảo object có workbook thiết kế tương ứng trong thư mục --mapping-dir. Muốn đối chiếu với danh sách đã duyệt thì chạy thêm tham số --gold-list "&lt;file danh sách Gold&gt;.xlsx".</t>
        </is>
      </c>
      <c r="J628" s="48" t="inlineStr">
        <is>
          <t>034. OCB_GOLD_TCKH_V_TB_AR_DTL_BH_HOP.xlsx [SCRIPT: V_TB_AR_DTL_BH]</t>
        </is>
      </c>
    </row>
    <row r="629">
      <c r="A629" s="48" t="inlineStr">
        <is>
          <t>TCKH.V_TB_AR_DTL_BH</t>
        </is>
      </c>
      <c r="B629" s="48" t="inlineStr">
        <is>
          <t>SILVER_CONSUMER</t>
        </is>
      </c>
      <c r="C629" s="48" t="inlineStr">
        <is>
          <t>2.1</t>
        </is>
      </c>
      <c r="D629" s="48" t="inlineStr">
        <is>
          <t>Nhom 2 - Logic</t>
        </is>
      </c>
      <c r="E629" s="48" t="inlineStr">
        <is>
          <t>Chỉ lấy bản ghi active, loại bản ghi đã xóa (qua sts_hub)</t>
        </is>
      </c>
      <c r="F629" s="48" t="inlineStr">
        <is>
          <t>N-A</t>
        </is>
      </c>
      <c r="G629" s="48" t="inlineStr">
        <is>
          <t>Pass</t>
        </is>
      </c>
      <c r="H629" s="50" t="inlineStr">
        <is>
          <t>script không đọc sts_hub/satellite nào nên không có bản ghi xóa để lọc</t>
        </is>
      </c>
      <c r="I6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29" s="48" t="inlineStr">
        <is>
          <t>034. OCB_GOLD_TCKH_V_TB_AR_DTL_BH_HOP.xlsx [SCRIPT: V_TB_AR_DTL_BH]</t>
        </is>
      </c>
    </row>
    <row r="630">
      <c r="A630" s="48" t="inlineStr">
        <is>
          <t>TCKH.V_TB_AR_DTL_BH</t>
        </is>
      </c>
      <c r="B630" s="48" t="inlineStr">
        <is>
          <t>SILVER_CONSUMER</t>
        </is>
      </c>
      <c r="C630" s="48" t="inlineStr">
        <is>
          <t>2.2</t>
        </is>
      </c>
      <c r="D630" s="48" t="inlineStr">
        <is>
          <t>Nhom 2 - Logic</t>
        </is>
      </c>
      <c r="E630" s="48" t="inlineStr">
        <is>
          <t>Thống nhất MỘT pattern duy nhất xác định bản ghi active mới nhất</t>
        </is>
      </c>
      <c r="F630" s="48" t="inlineStr">
        <is>
          <t>N-A</t>
        </is>
      </c>
      <c r="G630" s="48" t="inlineStr">
        <is>
          <t>Pass</t>
        </is>
      </c>
      <c r="H630" s="50" t="inlineStr">
        <is>
          <t>script không có bước lấy bản ghi mới nhất nào tính là bất nhất (không dùng, hoặc chỉ dùng ROW_NUMBER cho block &gt;5 cột - đã miễn trừ)</t>
        </is>
      </c>
      <c r="I6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30" s="48" t="inlineStr">
        <is>
          <t>034. OCB_GOLD_TCKH_V_TB_AR_DTL_BH_HOP.xlsx [SCRIPT: V_TB_AR_DTL_BH]</t>
        </is>
      </c>
    </row>
    <row r="631">
      <c r="A631" s="48" t="inlineStr">
        <is>
          <t>TCKH.V_TB_AR_DTL_BH</t>
        </is>
      </c>
      <c r="B631" s="48" t="inlineStr">
        <is>
          <t>SILVER_CONSUMER</t>
        </is>
      </c>
      <c r="C631" s="48" t="inlineStr">
        <is>
          <t>2.3</t>
        </is>
      </c>
      <c r="D631" s="48" t="inlineStr">
        <is>
          <t>Nhom 2 - Logic</t>
        </is>
      </c>
      <c r="E631" s="48" t="inlineStr">
        <is>
          <t>Điều kiện lọc trạng thái đặt SAU khi xác định bản ghi mới nhất</t>
        </is>
      </c>
      <c r="F631" s="49" t="inlineStr">
        <is>
          <t>PASS</t>
        </is>
      </c>
      <c r="G631" s="48" t="inlineStr">
        <is>
          <t>Pass</t>
        </is>
      </c>
      <c r="H631" s="50" t="inlineStr">
        <is>
          <t>không có điều kiện trạng thái nào lồng trong JOIN ON</t>
        </is>
      </c>
      <c r="I6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31" s="48" t="inlineStr">
        <is>
          <t>034. OCB_GOLD_TCKH_V_TB_AR_DTL_BH_HOP.xlsx [SCRIPT: V_TB_AR_DTL_BH]</t>
        </is>
      </c>
    </row>
    <row r="632">
      <c r="A632" s="48" t="inlineStr">
        <is>
          <t>TCKH.V_TB_AR_DTL_BH</t>
        </is>
      </c>
      <c r="B632" s="48" t="inlineStr">
        <is>
          <t>SILVER_CONSUMER</t>
        </is>
      </c>
      <c r="C632" s="48" t="inlineStr">
        <is>
          <t>2.4</t>
        </is>
      </c>
      <c r="D632" s="48" t="inlineStr">
        <is>
          <t>Nhom 2 - Logic</t>
        </is>
      </c>
      <c r="E632" s="48" t="inlineStr">
        <is>
          <t>source_event_date áp dụng đúng dạng theo loại bảng</t>
        </is>
      </c>
      <c r="F632" s="48" t="inlineStr">
        <is>
          <t>N-A</t>
        </is>
      </c>
      <c r="G632" s="48" t="inlineStr">
        <is>
          <t>Pass</t>
        </is>
      </c>
      <c r="H632" s="50" t="inlineStr">
        <is>
          <t>script không đọc satellite nào</t>
        </is>
      </c>
      <c r="I6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32" s="48" t="inlineStr">
        <is>
          <t>034. OCB_GOLD_TCKH_V_TB_AR_DTL_BH_HOP.xlsx [SCRIPT: V_TB_AR_DTL_BH]</t>
        </is>
      </c>
    </row>
    <row r="633">
      <c r="A633" s="48" t="inlineStr">
        <is>
          <t>TCKH.V_TB_AR_DTL_BH</t>
        </is>
      </c>
      <c r="B633" s="48" t="inlineStr">
        <is>
          <t>SILVER_CONSUMER</t>
        </is>
      </c>
      <c r="C633" s="48" t="inlineStr">
        <is>
          <t>2.5</t>
        </is>
      </c>
      <c r="D633" s="48" t="inlineStr">
        <is>
          <t>Nhom 2 - Logic</t>
        </is>
      </c>
      <c r="E633" s="48" t="inlineStr">
        <is>
          <t>Không lặp lại lỗi logic cũ đã được DA Data Vault fix</t>
        </is>
      </c>
      <c r="F633" s="49" t="inlineStr">
        <is>
          <t>PASS</t>
        </is>
      </c>
      <c r="G633" s="48" t="inlineStr">
        <is>
          <t>Pass</t>
        </is>
      </c>
      <c r="H633" s="50" t="inlineStr">
        <is>
          <t>không trùng lỗi nào trong Issue log của DA Data Vault</t>
        </is>
      </c>
      <c r="I6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33" s="48" t="inlineStr">
        <is>
          <t>034. OCB_GOLD_TCKH_V_TB_AR_DTL_BH_HOP.xlsx [SCRIPT: V_TB_AR_DTL_BH]</t>
        </is>
      </c>
    </row>
    <row r="634">
      <c r="A634" s="48" t="inlineStr">
        <is>
          <t>TCKH.V_TB_AR_DTL_BH</t>
        </is>
      </c>
      <c r="B634" s="48" t="inlineStr">
        <is>
          <t>SILVER_CONSUMER</t>
        </is>
      </c>
      <c r="C634" s="48" t="inlineStr">
        <is>
          <t>2.6</t>
        </is>
      </c>
      <c r="D634" s="48" t="inlineStr">
        <is>
          <t>Nhom 2 - Logic</t>
        </is>
      </c>
      <c r="E634" s="48" t="inlineStr">
        <is>
          <t>SCD Type 2 cho bảng DIM áp dụng đúng kỹ thuật đã thống nhất</t>
        </is>
      </c>
      <c r="F634" s="48" t="inlineStr">
        <is>
          <t>N-A</t>
        </is>
      </c>
      <c r="G634" s="48" t="inlineStr">
        <is>
          <t>Pass</t>
        </is>
      </c>
      <c r="H634" s="50" t="inlineStr">
        <is>
          <t>object không phải bảng DIM nên không áp dụng SCD Type 2</t>
        </is>
      </c>
      <c r="I6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34" s="48" t="inlineStr">
        <is>
          <t>034. OCB_GOLD_TCKH_V_TB_AR_DTL_BH_HOP.xlsx [SCRIPT: V_TB_AR_DTL_BH]</t>
        </is>
      </c>
    </row>
    <row r="635">
      <c r="A635" s="48" t="inlineStr">
        <is>
          <t>TCKH.V_TB_AR_DTL_BH</t>
        </is>
      </c>
      <c r="B635" s="48" t="inlineStr">
        <is>
          <t>SILVER_CONSUMER</t>
        </is>
      </c>
      <c r="C635" s="48" t="inlineStr">
        <is>
          <t>2.7</t>
        </is>
      </c>
      <c r="D635" s="48" t="inlineStr">
        <is>
          <t>Nhom 2 - Logic</t>
        </is>
      </c>
      <c r="E635" s="48" t="inlineStr">
        <is>
          <t>CASE WHEN cover đủ nhánh như job on-prem</t>
        </is>
      </c>
      <c r="F635" s="48" t="inlineStr">
        <is>
          <t>N-A</t>
        </is>
      </c>
      <c r="G635" s="48" t="inlineStr">
        <is>
          <t>Pass</t>
        </is>
      </c>
      <c r="H635" s="50" t="inlineStr">
        <is>
          <t>script không có CASE WHEN nào</t>
        </is>
      </c>
      <c r="I635" s="50" t="inlineStr">
        <is>
          <t>Mở job on-prem tương ứng (DataStage DSX hoặc SQL cũ), đối chiếu từng nhánh WHEN và cả nhánh ELSE. CASE không có ELSE sẽ trả NULL âm thầm — xác nhận đó là ý muốn hay thiếu nhánh.</t>
        </is>
      </c>
      <c r="J635" s="48" t="inlineStr">
        <is>
          <t>034. OCB_GOLD_TCKH_V_TB_AR_DTL_BH_HOP.xlsx [SCRIPT: V_TB_AR_DTL_BH]</t>
        </is>
      </c>
    </row>
    <row r="636">
      <c r="A636" s="48" t="inlineStr">
        <is>
          <t>TCKH.V_TB_AR_DTL_BH</t>
        </is>
      </c>
      <c r="B636" s="48" t="inlineStr">
        <is>
          <t>SILVER_CONSUMER</t>
        </is>
      </c>
      <c r="C636" s="48" t="inlineStr">
        <is>
          <t>2.8</t>
        </is>
      </c>
      <c r="D636" s="48" t="inlineStr">
        <is>
          <t>Nhom 2 - Logic</t>
        </is>
      </c>
      <c r="E636" s="48" t="inlineStr">
        <is>
          <t>Cột SUM/COUNT được COALESCE/NVL hợp lý</t>
        </is>
      </c>
      <c r="F636" s="49" t="inlineStr">
        <is>
          <t>PASS</t>
        </is>
      </c>
      <c r="G636" s="48" t="inlineStr">
        <is>
          <t>Pass</t>
        </is>
      </c>
      <c r="H636" s="50" t="inlineStr">
        <is>
          <t>mọi SUM/COUNT đều đã coalesce (trực tiếp hoặc ở lớp ngoài)</t>
        </is>
      </c>
      <c r="I6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36" s="48" t="inlineStr">
        <is>
          <t>034. OCB_GOLD_TCKH_V_TB_AR_DTL_BH_HOP.xlsx [SCRIPT: V_TB_AR_DTL_BH]</t>
        </is>
      </c>
    </row>
    <row r="637">
      <c r="A637" s="48" t="inlineStr">
        <is>
          <t>TCKH.V_TB_AR_DTL_BH</t>
        </is>
      </c>
      <c r="B637" s="48" t="inlineStr">
        <is>
          <t>SILVER_CONSUMER</t>
        </is>
      </c>
      <c r="C637" s="48" t="inlineStr">
        <is>
          <t>2.9</t>
        </is>
      </c>
      <c r="D637" s="48" t="inlineStr">
        <is>
          <t>Nhom 2 - Logic</t>
        </is>
      </c>
      <c r="E637" s="48" t="inlineStr">
        <is>
          <t>Subquery / custom function / điều kiện LIKE đúng ý nghĩa nghiệp vụ</t>
        </is>
      </c>
      <c r="F637" s="48" t="inlineStr">
        <is>
          <t>N-A</t>
        </is>
      </c>
      <c r="G637" s="48" t="inlineStr">
        <is>
          <t>Pass</t>
        </is>
      </c>
      <c r="H637" s="50" t="inlineStr">
        <is>
          <t>script không có điều kiện LIKE hay scalar subquery nào</t>
        </is>
      </c>
      <c r="I637" s="50" t="inlineStr">
        <is>
          <t>Đọc lại từng điều kiện LIKE và từng subquery, đối chiếu ý nghĩa nghiệp vụ với on-prem — đúng cú pháp không đủ. Chú ý pattern LIKE có ký tự % ở đầu/cuối và phân biệt chữ hoa/thường.</t>
        </is>
      </c>
      <c r="J637" s="48" t="inlineStr">
        <is>
          <t>034. OCB_GOLD_TCKH_V_TB_AR_DTL_BH_HOP.xlsx [SCRIPT: V_TB_AR_DTL_BH]</t>
        </is>
      </c>
    </row>
    <row r="638">
      <c r="A638" s="48" t="inlineStr">
        <is>
          <t>TCKH.V_TB_AR_DTL_BH</t>
        </is>
      </c>
      <c r="B638" s="48" t="inlineStr">
        <is>
          <t>SILVER_CONSUMER</t>
        </is>
      </c>
      <c r="C638" s="48" t="inlineStr">
        <is>
          <t>2.10</t>
        </is>
      </c>
      <c r="D638" s="48" t="inlineStr">
        <is>
          <t>Nhom 2 - Logic</t>
        </is>
      </c>
      <c r="E638" s="48" t="inlineStr">
        <is>
          <t>Aggregation kèm filter date range chính xác</t>
        </is>
      </c>
      <c r="F638" s="49" t="inlineStr">
        <is>
          <t>PASS</t>
        </is>
      </c>
      <c r="G638" s="48" t="inlineStr">
        <is>
          <t>Pass</t>
        </is>
      </c>
      <c r="H638" s="50" t="inlineStr">
        <is>
          <t>mọi khối tổng hợp đều có điều kiện theo kỳ dữ liệu</t>
        </is>
      </c>
      <c r="I638" s="50" t="inlineStr">
        <is>
          <t>Mỗi khối SUM/COUNT/AVG phải có điều kiện lọc theo kỳ dữ liệu (CDR_DT_ID, DATA_DATE, :DATADT…). Nếu điều kiện nằm ở CTE nguồn thì ghi rõ trong comment để người review không phải truy ngược.</t>
        </is>
      </c>
      <c r="J638" s="48" t="inlineStr">
        <is>
          <t>034. OCB_GOLD_TCKH_V_TB_AR_DTL_BH_HOP.xlsx [SCRIPT: V_TB_AR_DTL_BH]</t>
        </is>
      </c>
    </row>
    <row r="639">
      <c r="A639" s="48" t="inlineStr">
        <is>
          <t>TCKH.V_TB_AR_DTL_BH</t>
        </is>
      </c>
      <c r="B639" s="48" t="inlineStr">
        <is>
          <t>SILVER_CONSUMER</t>
        </is>
      </c>
      <c r="C639" s="48" t="inlineStr">
        <is>
          <t>2.11</t>
        </is>
      </c>
      <c r="D639" s="48" t="inlineStr">
        <is>
          <t>Nhom 2 - Logic</t>
        </is>
      </c>
      <c r="E639" s="48" t="inlineStr">
        <is>
          <t>Join dùng key hợp lý, không lạm dụng UNION ALL + EXISTS/NOT EXISTS</t>
        </is>
      </c>
      <c r="F639" s="49" t="inlineStr">
        <is>
          <t>PASS</t>
        </is>
      </c>
      <c r="G639" s="48" t="inlineStr">
        <is>
          <t>Pass</t>
        </is>
      </c>
      <c r="H639" s="50" t="inlineStr">
        <is>
          <t>join đều theo điều kiện bằng, không lạm dụng UNION ALL + EXISTS</t>
        </is>
      </c>
      <c r="I639" s="50" t="inlineStr">
        <is>
          <t>Ưu tiên LEFT JOIN theo business key hoặc hashkey. Xem lại các chỗ dùng UNION ALL kết hợp EXISTS/NOT EXISTS — thường thay được bằng một LEFT JOIN. Join không có điều kiện bằng (=) dễ tạo tích Descartes.</t>
        </is>
      </c>
      <c r="J639" s="48" t="inlineStr">
        <is>
          <t>034. OCB_GOLD_TCKH_V_TB_AR_DTL_BH_HOP.xlsx [SCRIPT: V_TB_AR_DTL_BH]</t>
        </is>
      </c>
    </row>
    <row r="640">
      <c r="A640" s="48" t="inlineStr">
        <is>
          <t>TCKH.V_TB_AR_DTL_BH</t>
        </is>
      </c>
      <c r="B640" s="48" t="inlineStr">
        <is>
          <t>SILVER_CONSUMER</t>
        </is>
      </c>
      <c r="C640" s="48" t="inlineStr">
        <is>
          <t>2.12</t>
        </is>
      </c>
      <c r="D640" s="48" t="inlineStr">
        <is>
          <t>Nhom 2 - Logic</t>
        </is>
      </c>
      <c r="E640" s="48" t="inlineStr">
        <is>
          <t>Build Gold từ CTE snapshot Silver, không build nhiều tầng chồng chéo</t>
        </is>
      </c>
      <c r="F640" s="49" t="inlineStr">
        <is>
          <t>PASS</t>
        </is>
      </c>
      <c r="G640" s="48" t="inlineStr">
        <is>
          <t>Pass</t>
        </is>
      </c>
      <c r="H640" s="50" t="inlineStr">
        <is>
          <t>mỗi bảng nguồn chỉ đọc trong 1 khối SELECT</t>
        </is>
      </c>
      <c r="I6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40" s="48" t="inlineStr">
        <is>
          <t>034. OCB_GOLD_TCKH_V_TB_AR_DTL_BH_HOP.xlsx [SCRIPT: V_TB_AR_DTL_BH]</t>
        </is>
      </c>
    </row>
    <row r="641">
      <c r="A641" s="48" t="inlineStr">
        <is>
          <t>TCKH.V_TB_AR_DTL_BH</t>
        </is>
      </c>
      <c r="B641" s="48" t="inlineStr">
        <is>
          <t>SILVER_CONSUMER</t>
        </is>
      </c>
      <c r="C641" s="48" t="inlineStr">
        <is>
          <t>3.1</t>
        </is>
      </c>
      <c r="D641" s="48" t="inlineStr">
        <is>
          <t>Nhom 3 - Optimization</t>
        </is>
      </c>
      <c r="E641" s="48" t="inlineStr">
        <is>
          <t>Không SELECT *</t>
        </is>
      </c>
      <c r="F641" s="49" t="inlineStr">
        <is>
          <t>PASS</t>
        </is>
      </c>
      <c r="G641" s="48" t="inlineStr">
        <is>
          <t>Pass</t>
        </is>
      </c>
      <c r="H641" s="50" t="inlineStr">
        <is>
          <t>không dùng SELECT * ở đâu</t>
        </is>
      </c>
      <c r="I641" s="50" t="inlineStr">
        <is>
          <t>Liệt kê tường minh các cột cần dùng, kể cả trong CTE trung gian. SELECT * làm tăng IO/memory và vỡ script khi bảng nguồn thêm cột.</t>
        </is>
      </c>
      <c r="J641" s="48" t="inlineStr">
        <is>
          <t>034. OCB_GOLD_TCKH_V_TB_AR_DTL_BH_HOP.xlsx [SCRIPT: V_TB_AR_DTL_BH]</t>
        </is>
      </c>
    </row>
    <row r="642">
      <c r="A642" s="48" t="inlineStr">
        <is>
          <t>TCKH.V_TB_AR_DTL_BH</t>
        </is>
      </c>
      <c r="B642" s="48" t="inlineStr">
        <is>
          <t>SILVER_CONSUMER</t>
        </is>
      </c>
      <c r="C642" s="48" t="inlineStr">
        <is>
          <t>3.2</t>
        </is>
      </c>
      <c r="D642" s="48" t="inlineStr">
        <is>
          <t>Nhom 3 - Optimization</t>
        </is>
      </c>
      <c r="E642" s="48" t="inlineStr">
        <is>
          <t>CTE không bị scan lại nhiều lần</t>
        </is>
      </c>
      <c r="F642" s="51" t="inlineStr">
        <is>
          <t>WARN</t>
        </is>
      </c>
      <c r="G642" s="48" t="inlineStr">
        <is>
          <t>WARN</t>
        </is>
      </c>
      <c r="H642" s="50" t="inlineStr">
        <is>
          <t>CTE bị tham chiếu lại nhiều lần: ins_ref x2</t>
        </is>
      </c>
      <c r="I642" s="50" t="inlineStr">
        <is>
          <t>Với CTE nặng (đọc nhiều bảng Silver) bị tham chiếu từ 2 chỗ trở lên: gom lại còn một lần dùng, hoặc vật chất hóa (CACHE / bảng tạm). CTE nhẹ chỉ chứa tham số thì bỏ qua được — tự tick Pass.</t>
        </is>
      </c>
      <c r="J642" s="48" t="inlineStr">
        <is>
          <t>034. OCB_GOLD_TCKH_V_TB_AR_DTL_BH_HOP.xlsx [SCRIPT: V_TB_AR_DTL_BH]</t>
        </is>
      </c>
    </row>
    <row r="643">
      <c r="A643" s="48" t="inlineStr">
        <is>
          <t>TCKH.V_TB_AR_DTL_BH</t>
        </is>
      </c>
      <c r="B643" s="48" t="inlineStr">
        <is>
          <t>SILVER_CONSUMER</t>
        </is>
      </c>
      <c r="C643" s="48" t="inlineStr">
        <is>
          <t>3.3</t>
        </is>
      </c>
      <c r="D643" s="48" t="inlineStr">
        <is>
          <t>Nhom 3 - Optimization</t>
        </is>
      </c>
      <c r="E643" s="48" t="inlineStr">
        <is>
          <t>Filter trước khi join, tận dụng partition pruning</t>
        </is>
      </c>
      <c r="F643" s="51" t="inlineStr">
        <is>
          <t>WARN</t>
        </is>
      </c>
      <c r="G643" s="48" t="inlineStr">
        <is>
          <t>WARN</t>
        </is>
      </c>
      <c r="H643" s="50" t="inlineStr">
        <is>
          <t>1 bảng join trực tiếp mà không có filter riêng: branch_list (E)</t>
        </is>
      </c>
      <c r="I643" s="50" t="inlineStr">
        <is>
          <t>Đưa điều kiện lọc (ngày dữ liệu, trạng thái) vào subquery của từng bảng TRƯỚC khi join, để tận dụng partition pruning. Bảng dim nhỏ không partition thì không cần — tự tick Pass.</t>
        </is>
      </c>
      <c r="J643" s="48" t="inlineStr">
        <is>
          <t>034. OCB_GOLD_TCKH_V_TB_AR_DTL_BH_HOP.xlsx [SCRIPT: V_TB_AR_DTL_BH]</t>
        </is>
      </c>
    </row>
    <row r="644">
      <c r="A644" s="48" t="inlineStr">
        <is>
          <t>TCKH.V_TB_AR_DTL_BH</t>
        </is>
      </c>
      <c r="B644" s="48" t="inlineStr">
        <is>
          <t>SILVER_CONSUMER</t>
        </is>
      </c>
      <c r="C644" s="48" t="inlineStr">
        <is>
          <t>3.4</t>
        </is>
      </c>
      <c r="D644" s="48" t="inlineStr">
        <is>
          <t>Nhom 3 - Optimization</t>
        </is>
      </c>
      <c r="E644" s="48" t="inlineStr">
        <is>
          <t>Sử dụng CACHE cho query lặp lại trong cùng luồng</t>
        </is>
      </c>
      <c r="F644" s="51" t="inlineStr">
        <is>
          <t>WARN</t>
        </is>
      </c>
      <c r="G644" s="48" t="inlineStr">
        <is>
          <t>WARN</t>
        </is>
      </c>
      <c r="H644" s="50" t="inlineStr">
        <is>
          <t>1 CTE nặng dùng lại &gt;= 2 lần mà không có CACHE: ins_ref</t>
        </is>
      </c>
      <c r="I644" s="50" t="inlineStr">
        <is>
          <t>Nếu một kết quả nặng được dùng lại nhiều bước trong cùng luồng, thêm CACHE TABLE / CACHE SELECT. Kết quả nhỏ thì cache còn chậm hơn — tự tick Pass.</t>
        </is>
      </c>
      <c r="J644" s="48" t="inlineStr">
        <is>
          <t>034. OCB_GOLD_TCKH_V_TB_AR_DTL_BH_HOP.xlsx [SCRIPT: V_TB_AR_DTL_BH]</t>
        </is>
      </c>
    </row>
    <row r="645">
      <c r="A645" s="48" t="inlineStr">
        <is>
          <t>TCKH.V_TB_AR_DTL_BH</t>
        </is>
      </c>
      <c r="B645" s="48" t="inlineStr">
        <is>
          <t>SILVER_CONSUMER</t>
        </is>
      </c>
      <c r="C645" s="48" t="inlineStr">
        <is>
          <t>3.5</t>
        </is>
      </c>
      <c r="D645" s="48" t="inlineStr">
        <is>
          <t>Nhom 3 - Optimization</t>
        </is>
      </c>
      <c r="E645" s="48" t="inlineStr">
        <is>
          <t>Ưu tiên MAX_BY + QUALIFY thay ROW_NUMBER() + WHERE rn = 1</t>
        </is>
      </c>
      <c r="F645" s="48" t="inlineStr">
        <is>
          <t>N-A</t>
        </is>
      </c>
      <c r="G645" s="48" t="inlineStr">
        <is>
          <t>Pass</t>
        </is>
      </c>
      <c r="H645" s="50" t="inlineStr">
        <is>
          <t>script không dùng ROW_NUMBER, và MAX_BY (nếu có) không vượt quá 5 cột/khối</t>
        </is>
      </c>
      <c r="I6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45" s="48" t="inlineStr">
        <is>
          <t>034. OCB_GOLD_TCKH_V_TB_AR_DTL_BH_HOP.xlsx [SCRIPT: V_TB_AR_DTL_BH]</t>
        </is>
      </c>
    </row>
    <row r="646">
      <c r="A646" s="48" t="inlineStr">
        <is>
          <t>TCKH.V_TB_AR_DTL_BH</t>
        </is>
      </c>
      <c r="B646" s="48" t="inlineStr">
        <is>
          <t>SILVER_CONSUMER</t>
        </is>
      </c>
      <c r="C646" s="48" t="inlineStr">
        <is>
          <t>3.6</t>
        </is>
      </c>
      <c r="D646" s="48" t="inlineStr">
        <is>
          <t>Nhom 3 - Optimization</t>
        </is>
      </c>
      <c r="E646" s="48" t="inlineStr">
        <is>
          <t>Không lạm dụng window function; có comment khi dùng</t>
        </is>
      </c>
      <c r="F646" s="48" t="inlineStr">
        <is>
          <t>N-A</t>
        </is>
      </c>
      <c r="G646" s="48" t="inlineStr">
        <is>
          <t>Pass</t>
        </is>
      </c>
      <c r="H646" s="50" t="inlineStr">
        <is>
          <t>script không dùng window function</t>
        </is>
      </c>
      <c r="I646" s="50" t="inlineStr">
        <is>
          <t>Mỗi window function cần một comment ngay trên khối CTE chứa nó, nói rõ vì sao không dùng được max_by/QUALIFY đơn giản hơn.</t>
        </is>
      </c>
      <c r="J646" s="48" t="inlineStr">
        <is>
          <t>034. OCB_GOLD_TCKH_V_TB_AR_DTL_BH_HOP.xlsx [SCRIPT: V_TB_AR_DTL_BH]</t>
        </is>
      </c>
    </row>
    <row r="647">
      <c r="A647" s="48" t="inlineStr">
        <is>
          <t>TCKH.V_TB_AR_DTL_BH</t>
        </is>
      </c>
      <c r="B647" s="48" t="inlineStr">
        <is>
          <t>SILVER_CONSUMER</t>
        </is>
      </c>
      <c r="C647" s="48" t="inlineStr">
        <is>
          <t>X.1</t>
        </is>
      </c>
      <c r="D647" s="48" t="inlineStr">
        <is>
          <t>Nhom X - Bo sung Raffles</t>
        </is>
      </c>
      <c r="E647" s="48" t="inlineStr">
        <is>
          <t>[Bổ sung] Link phải rút về current trước khi join (chống fan-out)</t>
        </is>
      </c>
      <c r="F647" s="49" t="inlineStr">
        <is>
          <t>PASS</t>
        </is>
      </c>
      <c r="G647" s="48" t="inlineStr">
        <is>
          <t>Pass</t>
        </is>
      </c>
      <c r="H647" s="50" t="inlineStr">
        <is>
          <t>các bảng link_* đều được rút về current trước khi join</t>
        </is>
      </c>
      <c r="I6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47" s="48" t="inlineStr">
        <is>
          <t>034. OCB_GOLD_TCKH_V_TB_AR_DTL_BH_HOP.xlsx [SCRIPT: V_TB_AR_DTL_BH]</t>
        </is>
      </c>
    </row>
    <row r="648">
      <c r="A648" s="48" t="inlineStr">
        <is>
          <t>TCKH.V_TB_AR_DTL_BH</t>
        </is>
      </c>
      <c r="B648" s="48" t="inlineStr">
        <is>
          <t>SILVER_CONSUMER</t>
        </is>
      </c>
      <c r="C648" s="48" t="inlineStr">
        <is>
          <t>X.6</t>
        </is>
      </c>
      <c r="D648" s="48" t="inlineStr">
        <is>
          <t>Nhom X - Bo sung Raffles</t>
        </is>
      </c>
      <c r="E648" s="48" t="inlineStr">
        <is>
          <t>[Bổ sung] Satellite phải LEFT JOIN, không INNER JOIN</t>
        </is>
      </c>
      <c r="F648" s="48" t="inlineStr">
        <is>
          <t>N-A</t>
        </is>
      </c>
      <c r="G648" s="48" t="inlineStr">
        <is>
          <t>Pass</t>
        </is>
      </c>
      <c r="H648" s="50" t="inlineStr">
        <is>
          <t>không join satellite trực tiếp</t>
        </is>
      </c>
      <c r="I648" s="50" t="inlineStr">
        <is>
          <t>Technical Document III.4.2.2 nguyên tắc 1: làm giàu thuộc tính luôn dùng LEFT JOIN. INNER JOIN satellite sẽ loại mất bản ghi Hub đang còn hiệu lực nhưng chưa có dòng satellite.</t>
        </is>
      </c>
      <c r="J648" s="48" t="inlineStr">
        <is>
          <t>034. OCB_GOLD_TCKH_V_TB_AR_DTL_BH_HOP.xlsx [SCRIPT: V_TB_AR_DTL_BH]</t>
        </is>
      </c>
    </row>
    <row r="649">
      <c r="A649" s="48" t="inlineStr">
        <is>
          <t>TCKH.V_TB_AR_DTL_BH</t>
        </is>
      </c>
      <c r="B649" s="48" t="inlineStr">
        <is>
          <t>SILVER_CONSUMER</t>
        </is>
      </c>
      <c r="C649" s="48" t="inlineStr">
        <is>
          <t>X.7</t>
        </is>
      </c>
      <c r="D649" s="48" t="inlineStr">
        <is>
          <t>Nhom X - Bo sung Raffles</t>
        </is>
      </c>
      <c r="E649" s="48" t="inlineStr">
        <is>
          <t>[Bổ sung] Không hard-code catalog, dùng biến môi trường</t>
        </is>
      </c>
      <c r="F649" s="49" t="inlineStr">
        <is>
          <t>PASS</t>
        </is>
      </c>
      <c r="G649" s="48" t="inlineStr">
        <is>
          <t>Pass</t>
        </is>
      </c>
      <c r="H649" s="50" t="inlineStr">
        <is>
          <t>dùng biến môi trường cho catalog</t>
        </is>
      </c>
      <c r="I6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49" s="48" t="inlineStr">
        <is>
          <t>034. OCB_GOLD_TCKH_V_TB_AR_DTL_BH_HOP.xlsx [SCRIPT: V_TB_AR_DTL_BH]</t>
        </is>
      </c>
    </row>
    <row r="650">
      <c r="A650" s="48" t="inlineStr">
        <is>
          <t>TCKH.V_TB_AR_DTL_BH</t>
        </is>
      </c>
      <c r="B650" s="48" t="inlineStr">
        <is>
          <t>SILVER_CONSUMER</t>
        </is>
      </c>
      <c r="C650" s="48" t="inlineStr">
        <is>
          <t>X.10</t>
        </is>
      </c>
      <c r="D650" s="48" t="inlineStr">
        <is>
          <t>Nhom X - Bo sung Raffles</t>
        </is>
      </c>
      <c r="E650" s="48" t="inlineStr">
        <is>
          <t>Bang raw_vault/business_vault duoc doc phai TON TAI THAT trong Data Vault model</t>
        </is>
      </c>
      <c r="F650" s="49" t="inlineStr">
        <is>
          <t>PASS</t>
        </is>
      </c>
      <c r="G650" s="48" t="inlineStr">
        <is>
          <t>Pass</t>
        </is>
      </c>
      <c r="H650" s="50" t="inlineStr">
        <is>
          <t>1 bảng Silver đều có thật trong Data Vault model</t>
        </is>
      </c>
      <c r="I650" s="50" t="inlineStr"/>
      <c r="J650" s="48" t="inlineStr">
        <is>
          <t>034. OCB_GOLD_TCKH_V_TB_AR_DTL_BH_HOP.xlsx [SCRIPT: V_TB_AR_DTL_BH]</t>
        </is>
      </c>
    </row>
    <row r="651">
      <c r="A651" s="48" t="inlineStr">
        <is>
          <t>TCKH.V_TB_AR_DTL_BH</t>
        </is>
      </c>
      <c r="B651" s="48" t="inlineStr">
        <is>
          <t>SILVER_CONSUMER</t>
        </is>
      </c>
      <c r="C651" s="48" t="inlineStr">
        <is>
          <t>X.11</t>
        </is>
      </c>
      <c r="D651" s="48" t="inlineStr">
        <is>
          <t>Nhom X - Bo sung Raffles</t>
        </is>
      </c>
      <c r="E651" s="48" t="inlineStr">
        <is>
          <t>Cot doc tu satellite (sat_*) phai TON TAI THAT trong model</t>
        </is>
      </c>
      <c r="F651" s="48" t="inlineStr">
        <is>
          <t>N-A</t>
        </is>
      </c>
      <c r="G651" s="48" t="inlineStr">
        <is>
          <t>Pass</t>
        </is>
      </c>
      <c r="H651" s="50" t="inlineStr">
        <is>
          <t>không có bảng sat_* nào đủ điều kiện đối chiếu (Select chỉ đọc 1 bảng)</t>
        </is>
      </c>
      <c r="I651" s="50" t="inlineStr"/>
      <c r="J651" s="48" t="inlineStr">
        <is>
          <t>034. OCB_GOLD_TCKH_V_TB_AR_DTL_BH_HOP.xlsx [SCRIPT: V_TB_AR_DTL_BH]</t>
        </is>
      </c>
    </row>
    <row r="652">
      <c r="A652" s="48" t="inlineStr">
        <is>
          <t>TCKH.V_TB_AR_DTL_LNSCH</t>
        </is>
      </c>
      <c r="B652" s="48" t="inlineStr">
        <is>
          <t>GOLD_DERIVED</t>
        </is>
      </c>
      <c r="C652" s="48" t="inlineStr">
        <is>
          <t>1.1</t>
        </is>
      </c>
      <c r="D652" s="48" t="inlineStr">
        <is>
          <t>Nhom 1 - Mapping</t>
        </is>
      </c>
      <c r="E652" s="48" t="inlineStr">
        <is>
          <t>Đầy đủ mapping từ Silver/manual sang Gold</t>
        </is>
      </c>
      <c r="F652" s="49" t="inlineStr">
        <is>
          <t>PASS</t>
        </is>
      </c>
      <c r="G652" s="48" t="inlineStr">
        <is>
          <t>Pass</t>
        </is>
      </c>
      <c r="H652" s="50" t="inlineStr">
        <is>
          <t>workbook 035. OCB_GOLD_TCKH_V_TB_AR_DTL_LNSCH_HOP.xlsx: thiết kế 23 field, SQL có 23 cột</t>
        </is>
      </c>
      <c r="I6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52" s="48" t="inlineStr">
        <is>
          <t>035. OCB_GOLD_TCKH_V_TB_AR_DTL_LNSCH_HOP.xlsx [SCRIPT: V_TB_AR_DTL_LNSCH]</t>
        </is>
      </c>
    </row>
    <row r="653">
      <c r="A653" s="48" t="inlineStr">
        <is>
          <t>TCKH.V_TB_AR_DTL_LNSCH</t>
        </is>
      </c>
      <c r="B653" s="48" t="inlineStr">
        <is>
          <t>GOLD_DERIVED</t>
        </is>
      </c>
      <c r="C653" s="48" t="inlineStr">
        <is>
          <t>1.2</t>
        </is>
      </c>
      <c r="D653" s="48" t="inlineStr">
        <is>
          <t>Nhom 1 - Mapping</t>
        </is>
      </c>
      <c r="E653" s="48" t="inlineStr">
        <is>
          <t>Danh sách bảng/view Gold khớp tài liệu thiết kế đã duyệt</t>
        </is>
      </c>
      <c r="F653" s="49" t="inlineStr">
        <is>
          <t>PASS</t>
        </is>
      </c>
      <c r="G653" s="48" t="inlineStr">
        <is>
          <t>Pass</t>
        </is>
      </c>
      <c r="H653" s="50" t="inlineStr">
        <is>
          <t>V_TB_AR_DTL_LNSCH có workbook thiết kế: 035. OCB_GOLD_TCKH_V_TB_AR_DTL_LNSCH_HOP.xlsx</t>
        </is>
      </c>
      <c r="I653" s="50" t="inlineStr">
        <is>
          <t>Đảm bảo object có workbook thiết kế tương ứng trong thư mục --mapping-dir. Muốn đối chiếu với danh sách đã duyệt thì chạy thêm tham số --gold-list "&lt;file danh sách Gold&gt;.xlsx".</t>
        </is>
      </c>
      <c r="J653" s="48" t="inlineStr">
        <is>
          <t>035. OCB_GOLD_TCKH_V_TB_AR_DTL_LNSCH_HOP.xlsx [SCRIPT: V_TB_AR_DTL_LNSCH]</t>
        </is>
      </c>
    </row>
    <row r="654">
      <c r="A654" s="48" t="inlineStr">
        <is>
          <t>TCKH.V_TB_AR_DTL_LNSCH</t>
        </is>
      </c>
      <c r="B654" s="48" t="inlineStr">
        <is>
          <t>GOLD_DERIVED</t>
        </is>
      </c>
      <c r="C654" s="48" t="inlineStr">
        <is>
          <t>2.1</t>
        </is>
      </c>
      <c r="D654" s="48" t="inlineStr">
        <is>
          <t>Nhom 2 - Logic</t>
        </is>
      </c>
      <c r="E654" s="48" t="inlineStr">
        <is>
          <t>Chỉ lấy bản ghi active, loại bản ghi đã xóa (qua sts_hub)</t>
        </is>
      </c>
      <c r="F654" s="48" t="inlineStr">
        <is>
          <t>N-A</t>
        </is>
      </c>
      <c r="G654" s="48" t="inlineStr">
        <is>
          <t>Pass</t>
        </is>
      </c>
      <c r="H654" s="50" t="inlineStr">
        <is>
          <t>khong ap dung cho profile GOLD_DERIVED</t>
        </is>
      </c>
      <c r="I6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54" s="48" t="inlineStr">
        <is>
          <t>035. OCB_GOLD_TCKH_V_TB_AR_DTL_LNSCH_HOP.xlsx [SCRIPT: V_TB_AR_DTL_LNSCH]</t>
        </is>
      </c>
    </row>
    <row r="655">
      <c r="A655" s="48" t="inlineStr">
        <is>
          <t>TCKH.V_TB_AR_DTL_LNSCH</t>
        </is>
      </c>
      <c r="B655" s="48" t="inlineStr">
        <is>
          <t>GOLD_DERIVED</t>
        </is>
      </c>
      <c r="C655" s="48" t="inlineStr">
        <is>
          <t>2.2</t>
        </is>
      </c>
      <c r="D655" s="48" t="inlineStr">
        <is>
          <t>Nhom 2 - Logic</t>
        </is>
      </c>
      <c r="E655" s="48" t="inlineStr">
        <is>
          <t>Thống nhất MỘT pattern duy nhất xác định bản ghi active mới nhất</t>
        </is>
      </c>
      <c r="F655" s="48" t="inlineStr">
        <is>
          <t>N-A</t>
        </is>
      </c>
      <c r="G655" s="48" t="inlineStr">
        <is>
          <t>Pass</t>
        </is>
      </c>
      <c r="H655" s="50" t="inlineStr">
        <is>
          <t>khong ap dung cho profile GOLD_DERIVED</t>
        </is>
      </c>
      <c r="I6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55" s="48" t="inlineStr">
        <is>
          <t>035. OCB_GOLD_TCKH_V_TB_AR_DTL_LNSCH_HOP.xlsx [SCRIPT: V_TB_AR_DTL_LNSCH]</t>
        </is>
      </c>
    </row>
    <row r="656">
      <c r="A656" s="48" t="inlineStr">
        <is>
          <t>TCKH.V_TB_AR_DTL_LNSCH</t>
        </is>
      </c>
      <c r="B656" s="48" t="inlineStr">
        <is>
          <t>GOLD_DERIVED</t>
        </is>
      </c>
      <c r="C656" s="48" t="inlineStr">
        <is>
          <t>2.3</t>
        </is>
      </c>
      <c r="D656" s="48" t="inlineStr">
        <is>
          <t>Nhom 2 - Logic</t>
        </is>
      </c>
      <c r="E656" s="48" t="inlineStr">
        <is>
          <t>Điều kiện lọc trạng thái đặt SAU khi xác định bản ghi mới nhất</t>
        </is>
      </c>
      <c r="F656" s="49" t="inlineStr">
        <is>
          <t>PASS</t>
        </is>
      </c>
      <c r="G656" s="48" t="inlineStr">
        <is>
          <t>Pass</t>
        </is>
      </c>
      <c r="H656" s="50" t="inlineStr">
        <is>
          <t>không có điều kiện trạng thái nào lồng trong JOIN ON</t>
        </is>
      </c>
      <c r="I6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56" s="48" t="inlineStr">
        <is>
          <t>035. OCB_GOLD_TCKH_V_TB_AR_DTL_LNSCH_HOP.xlsx [SCRIPT: V_TB_AR_DTL_LNSCH]</t>
        </is>
      </c>
    </row>
    <row r="657">
      <c r="A657" s="48" t="inlineStr">
        <is>
          <t>TCKH.V_TB_AR_DTL_LNSCH</t>
        </is>
      </c>
      <c r="B657" s="48" t="inlineStr">
        <is>
          <t>GOLD_DERIVED</t>
        </is>
      </c>
      <c r="C657" s="48" t="inlineStr">
        <is>
          <t>2.4</t>
        </is>
      </c>
      <c r="D657" s="48" t="inlineStr">
        <is>
          <t>Nhom 2 - Logic</t>
        </is>
      </c>
      <c r="E657" s="48" t="inlineStr">
        <is>
          <t>source_event_date áp dụng đúng dạng theo loại bảng</t>
        </is>
      </c>
      <c r="F657" s="48" t="inlineStr">
        <is>
          <t>N-A</t>
        </is>
      </c>
      <c r="G657" s="48" t="inlineStr">
        <is>
          <t>Pass</t>
        </is>
      </c>
      <c r="H657" s="50" t="inlineStr">
        <is>
          <t>khong ap dung cho profile GOLD_DERIVED</t>
        </is>
      </c>
      <c r="I6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57" s="48" t="inlineStr">
        <is>
          <t>035. OCB_GOLD_TCKH_V_TB_AR_DTL_LNSCH_HOP.xlsx [SCRIPT: V_TB_AR_DTL_LNSCH]</t>
        </is>
      </c>
    </row>
    <row r="658">
      <c r="A658" s="48" t="inlineStr">
        <is>
          <t>TCKH.V_TB_AR_DTL_LNSCH</t>
        </is>
      </c>
      <c r="B658" s="48" t="inlineStr">
        <is>
          <t>GOLD_DERIVED</t>
        </is>
      </c>
      <c r="C658" s="48" t="inlineStr">
        <is>
          <t>2.5</t>
        </is>
      </c>
      <c r="D658" s="48" t="inlineStr">
        <is>
          <t>Nhom 2 - Logic</t>
        </is>
      </c>
      <c r="E658" s="48" t="inlineStr">
        <is>
          <t>Không lặp lại lỗi logic cũ đã được DA Data Vault fix</t>
        </is>
      </c>
      <c r="F658" s="49" t="inlineStr">
        <is>
          <t>PASS</t>
        </is>
      </c>
      <c r="G658" s="48" t="inlineStr">
        <is>
          <t>Pass</t>
        </is>
      </c>
      <c r="H658" s="50" t="inlineStr">
        <is>
          <t>không trùng lỗi nào trong Issue log của DA Data Vault</t>
        </is>
      </c>
      <c r="I6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58" s="48" t="inlineStr">
        <is>
          <t>035. OCB_GOLD_TCKH_V_TB_AR_DTL_LNSCH_HOP.xlsx [SCRIPT: V_TB_AR_DTL_LNSCH]</t>
        </is>
      </c>
    </row>
    <row r="659">
      <c r="A659" s="48" t="inlineStr">
        <is>
          <t>TCKH.V_TB_AR_DTL_LNSCH</t>
        </is>
      </c>
      <c r="B659" s="48" t="inlineStr">
        <is>
          <t>GOLD_DERIVED</t>
        </is>
      </c>
      <c r="C659" s="48" t="inlineStr">
        <is>
          <t>2.6</t>
        </is>
      </c>
      <c r="D659" s="48" t="inlineStr">
        <is>
          <t>Nhom 2 - Logic</t>
        </is>
      </c>
      <c r="E659" s="48" t="inlineStr">
        <is>
          <t>SCD Type 2 cho bảng DIM áp dụng đúng kỹ thuật đã thống nhất</t>
        </is>
      </c>
      <c r="F659" s="48" t="inlineStr">
        <is>
          <t>N-A</t>
        </is>
      </c>
      <c r="G659" s="48" t="inlineStr">
        <is>
          <t>Pass</t>
        </is>
      </c>
      <c r="H659" s="50" t="inlineStr">
        <is>
          <t>object không phải bảng DIM nên không áp dụng SCD Type 2</t>
        </is>
      </c>
      <c r="I6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59" s="48" t="inlineStr">
        <is>
          <t>035. OCB_GOLD_TCKH_V_TB_AR_DTL_LNSCH_HOP.xlsx [SCRIPT: V_TB_AR_DTL_LNSCH]</t>
        </is>
      </c>
    </row>
    <row r="660">
      <c r="A660" s="48" t="inlineStr">
        <is>
          <t>TCKH.V_TB_AR_DTL_LNSCH</t>
        </is>
      </c>
      <c r="B660" s="48" t="inlineStr">
        <is>
          <t>GOLD_DERIVED</t>
        </is>
      </c>
      <c r="C660" s="48" t="inlineStr">
        <is>
          <t>2.7</t>
        </is>
      </c>
      <c r="D660" s="48" t="inlineStr">
        <is>
          <t>Nhom 2 - Logic</t>
        </is>
      </c>
      <c r="E660" s="48" t="inlineStr">
        <is>
          <t>CASE WHEN cover đủ nhánh như job on-prem</t>
        </is>
      </c>
      <c r="F660" s="48" t="inlineStr">
        <is>
          <t>N-A</t>
        </is>
      </c>
      <c r="G660" s="48" t="inlineStr">
        <is>
          <t>Pass</t>
        </is>
      </c>
      <c r="H660" s="50" t="inlineStr">
        <is>
          <t>script không có CASE WHEN nào</t>
        </is>
      </c>
      <c r="I660" s="50" t="inlineStr">
        <is>
          <t>Mở job on-prem tương ứng (DataStage DSX hoặc SQL cũ), đối chiếu từng nhánh WHEN và cả nhánh ELSE. CASE không có ELSE sẽ trả NULL âm thầm — xác nhận đó là ý muốn hay thiếu nhánh.</t>
        </is>
      </c>
      <c r="J660" s="48" t="inlineStr">
        <is>
          <t>035. OCB_GOLD_TCKH_V_TB_AR_DTL_LNSCH_HOP.xlsx [SCRIPT: V_TB_AR_DTL_LNSCH]</t>
        </is>
      </c>
    </row>
    <row r="661">
      <c r="A661" s="48" t="inlineStr">
        <is>
          <t>TCKH.V_TB_AR_DTL_LNSCH</t>
        </is>
      </c>
      <c r="B661" s="48" t="inlineStr">
        <is>
          <t>GOLD_DERIVED</t>
        </is>
      </c>
      <c r="C661" s="48" t="inlineStr">
        <is>
          <t>2.8</t>
        </is>
      </c>
      <c r="D661" s="48" t="inlineStr">
        <is>
          <t>Nhom 2 - Logic</t>
        </is>
      </c>
      <c r="E661" s="48" t="inlineStr">
        <is>
          <t>Cột SUM/COUNT được COALESCE/NVL hợp lý</t>
        </is>
      </c>
      <c r="F661" s="49" t="inlineStr">
        <is>
          <t>PASS</t>
        </is>
      </c>
      <c r="G661" s="48" t="inlineStr">
        <is>
          <t>Pass</t>
        </is>
      </c>
      <c r="H661" s="50" t="inlineStr">
        <is>
          <t>mọi SUM/COUNT đều đã coalesce (trực tiếp hoặc ở lớp ngoài)</t>
        </is>
      </c>
      <c r="I6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61" s="48" t="inlineStr">
        <is>
          <t>035. OCB_GOLD_TCKH_V_TB_AR_DTL_LNSCH_HOP.xlsx [SCRIPT: V_TB_AR_DTL_LNSCH]</t>
        </is>
      </c>
    </row>
    <row r="662">
      <c r="A662" s="48" t="inlineStr">
        <is>
          <t>TCKH.V_TB_AR_DTL_LNSCH</t>
        </is>
      </c>
      <c r="B662" s="48" t="inlineStr">
        <is>
          <t>GOLD_DERIVED</t>
        </is>
      </c>
      <c r="C662" s="48" t="inlineStr">
        <is>
          <t>2.9</t>
        </is>
      </c>
      <c r="D662" s="48" t="inlineStr">
        <is>
          <t>Nhom 2 - Logic</t>
        </is>
      </c>
      <c r="E662" s="48" t="inlineStr">
        <is>
          <t>Subquery / custom function / điều kiện LIKE đúng ý nghĩa nghiệp vụ</t>
        </is>
      </c>
      <c r="F662" s="49" t="inlineStr">
        <is>
          <t>PASS</t>
        </is>
      </c>
      <c r="G662" s="48" t="inlineStr">
        <is>
          <t>Pass</t>
        </is>
      </c>
      <c r="H662" s="50" t="inlineStr">
        <is>
          <t>1 điều kiện LIKE: A.GL LIKE '2%'; cú pháp hợp lệ; ý nghĩa nghiệp vụ cần người review đối chiếu job on-prem</t>
        </is>
      </c>
      <c r="I662" s="50" t="inlineStr">
        <is>
          <t>Đọc lại từng điều kiện LIKE và từng subquery, đối chiếu ý nghĩa nghiệp vụ với on-prem — đúng cú pháp không đủ. Chú ý pattern LIKE có ký tự % ở đầu/cuối và phân biệt chữ hoa/thường.</t>
        </is>
      </c>
      <c r="J662" s="48" t="inlineStr">
        <is>
          <t>035. OCB_GOLD_TCKH_V_TB_AR_DTL_LNSCH_HOP.xlsx [SCRIPT: V_TB_AR_DTL_LNSCH]</t>
        </is>
      </c>
    </row>
    <row r="663">
      <c r="A663" s="48" t="inlineStr">
        <is>
          <t>TCKH.V_TB_AR_DTL_LNSCH</t>
        </is>
      </c>
      <c r="B663" s="48" t="inlineStr">
        <is>
          <t>GOLD_DERIVED</t>
        </is>
      </c>
      <c r="C663" s="48" t="inlineStr">
        <is>
          <t>2.10</t>
        </is>
      </c>
      <c r="D663" s="48" t="inlineStr">
        <is>
          <t>Nhom 2 - Logic</t>
        </is>
      </c>
      <c r="E663" s="48" t="inlineStr">
        <is>
          <t>Aggregation kèm filter date range chính xác</t>
        </is>
      </c>
      <c r="F663" s="49" t="inlineStr">
        <is>
          <t>PASS</t>
        </is>
      </c>
      <c r="G663" s="48" t="inlineStr">
        <is>
          <t>Pass</t>
        </is>
      </c>
      <c r="H663" s="50" t="inlineStr">
        <is>
          <t>mọi khối tổng hợp đều có điều kiện theo kỳ dữ liệu</t>
        </is>
      </c>
      <c r="I663" s="50" t="inlineStr">
        <is>
          <t>Mỗi khối SUM/COUNT/AVG phải có điều kiện lọc theo kỳ dữ liệu (CDR_DT_ID, DATA_DATE, :DATADT…). Nếu điều kiện nằm ở CTE nguồn thì ghi rõ trong comment để người review không phải truy ngược.</t>
        </is>
      </c>
      <c r="J663" s="48" t="inlineStr">
        <is>
          <t>035. OCB_GOLD_TCKH_V_TB_AR_DTL_LNSCH_HOP.xlsx [SCRIPT: V_TB_AR_DTL_LNSCH]</t>
        </is>
      </c>
    </row>
    <row r="664">
      <c r="A664" s="48" t="inlineStr">
        <is>
          <t>TCKH.V_TB_AR_DTL_LNSCH</t>
        </is>
      </c>
      <c r="B664" s="48" t="inlineStr">
        <is>
          <t>GOLD_DERIVED</t>
        </is>
      </c>
      <c r="C664" s="48" t="inlineStr">
        <is>
          <t>2.11</t>
        </is>
      </c>
      <c r="D664" s="48" t="inlineStr">
        <is>
          <t>Nhom 2 - Logic</t>
        </is>
      </c>
      <c r="E664" s="48" t="inlineStr">
        <is>
          <t>Join dùng key hợp lý, không lạm dụng UNION ALL + EXISTS/NOT EXISTS</t>
        </is>
      </c>
      <c r="F664" s="49" t="inlineStr">
        <is>
          <t>PASS</t>
        </is>
      </c>
      <c r="G664" s="48" t="inlineStr">
        <is>
          <t>Pass</t>
        </is>
      </c>
      <c r="H664" s="50" t="inlineStr">
        <is>
          <t>join đều theo điều kiện bằng, không lạm dụng UNION ALL + EXISTS</t>
        </is>
      </c>
      <c r="I664" s="50" t="inlineStr">
        <is>
          <t>Ưu tiên LEFT JOIN theo business key hoặc hashkey. Xem lại các chỗ dùng UNION ALL kết hợp EXISTS/NOT EXISTS — thường thay được bằng một LEFT JOIN. Join không có điều kiện bằng (=) dễ tạo tích Descartes.</t>
        </is>
      </c>
      <c r="J664" s="48" t="inlineStr">
        <is>
          <t>035. OCB_GOLD_TCKH_V_TB_AR_DTL_LNSCH_HOP.xlsx [SCRIPT: V_TB_AR_DTL_LNSCH]</t>
        </is>
      </c>
    </row>
    <row r="665">
      <c r="A665" s="48" t="inlineStr">
        <is>
          <t>TCKH.V_TB_AR_DTL_LNSCH</t>
        </is>
      </c>
      <c r="B665" s="48" t="inlineStr">
        <is>
          <t>GOLD_DERIVED</t>
        </is>
      </c>
      <c r="C665" s="48" t="inlineStr">
        <is>
          <t>2.12</t>
        </is>
      </c>
      <c r="D665" s="48" t="inlineStr">
        <is>
          <t>Nhom 2 - Logic</t>
        </is>
      </c>
      <c r="E665" s="48" t="inlineStr">
        <is>
          <t>Build Gold từ CTE snapshot Silver, không build nhiều tầng chồng chéo</t>
        </is>
      </c>
      <c r="F665" s="49" t="inlineStr">
        <is>
          <t>PASS</t>
        </is>
      </c>
      <c r="G665" s="48" t="inlineStr">
        <is>
          <t>Pass</t>
        </is>
      </c>
      <c r="H665" s="50" t="inlineStr">
        <is>
          <t>mỗi bảng nguồn chỉ đọc trong 1 khối SELECT</t>
        </is>
      </c>
      <c r="I6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65" s="48" t="inlineStr">
        <is>
          <t>035. OCB_GOLD_TCKH_V_TB_AR_DTL_LNSCH_HOP.xlsx [SCRIPT: V_TB_AR_DTL_LNSCH]</t>
        </is>
      </c>
    </row>
    <row r="666">
      <c r="A666" s="48" t="inlineStr">
        <is>
          <t>TCKH.V_TB_AR_DTL_LNSCH</t>
        </is>
      </c>
      <c r="B666" s="48" t="inlineStr">
        <is>
          <t>GOLD_DERIVED</t>
        </is>
      </c>
      <c r="C666" s="48" t="inlineStr">
        <is>
          <t>3.1</t>
        </is>
      </c>
      <c r="D666" s="48" t="inlineStr">
        <is>
          <t>Nhom 3 - Optimization</t>
        </is>
      </c>
      <c r="E666" s="48" t="inlineStr">
        <is>
          <t>Không SELECT *</t>
        </is>
      </c>
      <c r="F666" s="49" t="inlineStr">
        <is>
          <t>PASS</t>
        </is>
      </c>
      <c r="G666" s="48" t="inlineStr">
        <is>
          <t>Pass</t>
        </is>
      </c>
      <c r="H666" s="50" t="inlineStr">
        <is>
          <t>không dùng SELECT * ở đâu</t>
        </is>
      </c>
      <c r="I666" s="50" t="inlineStr">
        <is>
          <t>Liệt kê tường minh các cột cần dùng, kể cả trong CTE trung gian. SELECT * làm tăng IO/memory và vỡ script khi bảng nguồn thêm cột.</t>
        </is>
      </c>
      <c r="J666" s="48" t="inlineStr">
        <is>
          <t>035. OCB_GOLD_TCKH_V_TB_AR_DTL_LNSCH_HOP.xlsx [SCRIPT: V_TB_AR_DTL_LNSCH]</t>
        </is>
      </c>
    </row>
    <row r="667">
      <c r="A667" s="48" t="inlineStr">
        <is>
          <t>TCKH.V_TB_AR_DTL_LNSCH</t>
        </is>
      </c>
      <c r="B667" s="48" t="inlineStr">
        <is>
          <t>GOLD_DERIVED</t>
        </is>
      </c>
      <c r="C667" s="48" t="inlineStr">
        <is>
          <t>3.2</t>
        </is>
      </c>
      <c r="D667" s="48" t="inlineStr">
        <is>
          <t>Nhom 3 - Optimization</t>
        </is>
      </c>
      <c r="E667" s="48" t="inlineStr">
        <is>
          <t>CTE không bị scan lại nhiều lần</t>
        </is>
      </c>
      <c r="F667" s="49" t="inlineStr">
        <is>
          <t>PASS</t>
        </is>
      </c>
      <c r="G667" s="48" t="inlineStr">
        <is>
          <t>Pass</t>
        </is>
      </c>
      <c r="H667" s="50" t="inlineStr">
        <is>
          <t>không có CTE nào bị gọi lại</t>
        </is>
      </c>
      <c r="I667" s="50" t="inlineStr">
        <is>
          <t>Với CTE nặng (đọc nhiều bảng Silver) bị tham chiếu từ 2 chỗ trở lên: gom lại còn một lần dùng, hoặc vật chất hóa (CACHE / bảng tạm). CTE nhẹ chỉ chứa tham số thì bỏ qua được — tự tick Pass.</t>
        </is>
      </c>
      <c r="J667" s="48" t="inlineStr">
        <is>
          <t>035. OCB_GOLD_TCKH_V_TB_AR_DTL_LNSCH_HOP.xlsx [SCRIPT: V_TB_AR_DTL_LNSCH]</t>
        </is>
      </c>
    </row>
    <row r="668">
      <c r="A668" s="48" t="inlineStr">
        <is>
          <t>TCKH.V_TB_AR_DTL_LNSCH</t>
        </is>
      </c>
      <c r="B668" s="48" t="inlineStr">
        <is>
          <t>GOLD_DERIVED</t>
        </is>
      </c>
      <c r="C668" s="48" t="inlineStr">
        <is>
          <t>3.3</t>
        </is>
      </c>
      <c r="D668" s="48" t="inlineStr">
        <is>
          <t>Nhom 3 - Optimization</t>
        </is>
      </c>
      <c r="E668" s="48" t="inlineStr">
        <is>
          <t>Filter trước khi join, tận dụng partition pruning</t>
        </is>
      </c>
      <c r="F668" s="49" t="inlineStr">
        <is>
          <t>PASS</t>
        </is>
      </c>
      <c r="G668" s="48" t="inlineStr">
        <is>
          <t>Pass</t>
        </is>
      </c>
      <c r="H668" s="50" t="inlineStr">
        <is>
          <t>các bảng join đều được filter trước</t>
        </is>
      </c>
      <c r="I668" s="50" t="inlineStr">
        <is>
          <t>Đưa điều kiện lọc (ngày dữ liệu, trạng thái) vào subquery của từng bảng TRƯỚC khi join, để tận dụng partition pruning. Bảng dim nhỏ không partition thì không cần — tự tick Pass.</t>
        </is>
      </c>
      <c r="J668" s="48" t="inlineStr">
        <is>
          <t>035. OCB_GOLD_TCKH_V_TB_AR_DTL_LNSCH_HOP.xlsx [SCRIPT: V_TB_AR_DTL_LNSCH]</t>
        </is>
      </c>
    </row>
    <row r="669">
      <c r="A669" s="48" t="inlineStr">
        <is>
          <t>TCKH.V_TB_AR_DTL_LNSCH</t>
        </is>
      </c>
      <c r="B669" s="48" t="inlineStr">
        <is>
          <t>GOLD_DERIVED</t>
        </is>
      </c>
      <c r="C669" s="48" t="inlineStr">
        <is>
          <t>3.4</t>
        </is>
      </c>
      <c r="D669" s="48" t="inlineStr">
        <is>
          <t>Nhom 3 - Optimization</t>
        </is>
      </c>
      <c r="E669" s="48" t="inlineStr">
        <is>
          <t>Sử dụng CACHE cho query lặp lại trong cùng luồng</t>
        </is>
      </c>
      <c r="F669" s="48" t="inlineStr">
        <is>
          <t>N-A</t>
        </is>
      </c>
      <c r="G669" s="48" t="inlineStr">
        <is>
          <t>Pass</t>
        </is>
      </c>
      <c r="H669" s="50" t="inlineStr">
        <is>
          <t>không có kết quả nào được dùng lại nhiều lần nên chưa cần CACHE</t>
        </is>
      </c>
      <c r="I669" s="50" t="inlineStr">
        <is>
          <t>Nếu một kết quả nặng được dùng lại nhiều bước trong cùng luồng, thêm CACHE TABLE / CACHE SELECT. Kết quả nhỏ thì cache còn chậm hơn — tự tick Pass.</t>
        </is>
      </c>
      <c r="J669" s="48" t="inlineStr">
        <is>
          <t>035. OCB_GOLD_TCKH_V_TB_AR_DTL_LNSCH_HOP.xlsx [SCRIPT: V_TB_AR_DTL_LNSCH]</t>
        </is>
      </c>
    </row>
    <row r="670">
      <c r="A670" s="48" t="inlineStr">
        <is>
          <t>TCKH.V_TB_AR_DTL_LNSCH</t>
        </is>
      </c>
      <c r="B670" s="48" t="inlineStr">
        <is>
          <t>GOLD_DERIVED</t>
        </is>
      </c>
      <c r="C670" s="48" t="inlineStr">
        <is>
          <t>3.5</t>
        </is>
      </c>
      <c r="D670" s="48" t="inlineStr">
        <is>
          <t>Nhom 3 - Optimization</t>
        </is>
      </c>
      <c r="E670" s="48" t="inlineStr">
        <is>
          <t>Ưu tiên MAX_BY + QUALIFY thay ROW_NUMBER() + WHERE rn = 1</t>
        </is>
      </c>
      <c r="F670" s="48" t="inlineStr">
        <is>
          <t>N-A</t>
        </is>
      </c>
      <c r="G670" s="48" t="inlineStr">
        <is>
          <t>Pass</t>
        </is>
      </c>
      <c r="H670" s="50" t="inlineStr">
        <is>
          <t>script không dùng ROW_NUMBER, và MAX_BY (nếu có) không vượt quá 5 cột/khối</t>
        </is>
      </c>
      <c r="I6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70" s="48" t="inlineStr">
        <is>
          <t>035. OCB_GOLD_TCKH_V_TB_AR_DTL_LNSCH_HOP.xlsx [SCRIPT: V_TB_AR_DTL_LNSCH]</t>
        </is>
      </c>
    </row>
    <row r="671">
      <c r="A671" s="48" t="inlineStr">
        <is>
          <t>TCKH.V_TB_AR_DTL_LNSCH</t>
        </is>
      </c>
      <c r="B671" s="48" t="inlineStr">
        <is>
          <t>GOLD_DERIVED</t>
        </is>
      </c>
      <c r="C671" s="48" t="inlineStr">
        <is>
          <t>3.6</t>
        </is>
      </c>
      <c r="D671" s="48" t="inlineStr">
        <is>
          <t>Nhom 3 - Optimization</t>
        </is>
      </c>
      <c r="E671" s="48" t="inlineStr">
        <is>
          <t>Không lạm dụng window function; có comment khi dùng</t>
        </is>
      </c>
      <c r="F671" s="48" t="inlineStr">
        <is>
          <t>N-A</t>
        </is>
      </c>
      <c r="G671" s="48" t="inlineStr">
        <is>
          <t>Pass</t>
        </is>
      </c>
      <c r="H671" s="50" t="inlineStr">
        <is>
          <t>script không dùng window function</t>
        </is>
      </c>
      <c r="I671" s="50" t="inlineStr">
        <is>
          <t>Mỗi window function cần một comment ngay trên khối CTE chứa nó, nói rõ vì sao không dùng được max_by/QUALIFY đơn giản hơn.</t>
        </is>
      </c>
      <c r="J671" s="48" t="inlineStr">
        <is>
          <t>035. OCB_GOLD_TCKH_V_TB_AR_DTL_LNSCH_HOP.xlsx [SCRIPT: V_TB_AR_DTL_LNSCH]</t>
        </is>
      </c>
    </row>
    <row r="672">
      <c r="A672" s="48" t="inlineStr">
        <is>
          <t>TCKH.V_TB_AR_DTL_LNSCH</t>
        </is>
      </c>
      <c r="B672" s="48" t="inlineStr">
        <is>
          <t>GOLD_DERIVED</t>
        </is>
      </c>
      <c r="C672" s="48" t="inlineStr">
        <is>
          <t>X.1</t>
        </is>
      </c>
      <c r="D672" s="48" t="inlineStr">
        <is>
          <t>Nhom X - Bo sung Raffles</t>
        </is>
      </c>
      <c r="E672" s="48" t="inlineStr">
        <is>
          <t>[Bổ sung] Link phải rút về current trước khi join (chống fan-out)</t>
        </is>
      </c>
      <c r="F672" s="48" t="inlineStr">
        <is>
          <t>N-A</t>
        </is>
      </c>
      <c r="G672" s="48" t="inlineStr">
        <is>
          <t>Pass</t>
        </is>
      </c>
      <c r="H672" s="50" t="inlineStr">
        <is>
          <t>khong ap dung cho profile GOLD_DERIVED</t>
        </is>
      </c>
      <c r="I6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72" s="48" t="inlineStr">
        <is>
          <t>035. OCB_GOLD_TCKH_V_TB_AR_DTL_LNSCH_HOP.xlsx [SCRIPT: V_TB_AR_DTL_LNSCH]</t>
        </is>
      </c>
    </row>
    <row r="673">
      <c r="A673" s="48" t="inlineStr">
        <is>
          <t>TCKH.V_TB_AR_DTL_LNSCH</t>
        </is>
      </c>
      <c r="B673" s="48" t="inlineStr">
        <is>
          <t>GOLD_DERIVED</t>
        </is>
      </c>
      <c r="C673" s="48" t="inlineStr">
        <is>
          <t>X.6</t>
        </is>
      </c>
      <c r="D673" s="48" t="inlineStr">
        <is>
          <t>Nhom X - Bo sung Raffles</t>
        </is>
      </c>
      <c r="E673" s="48" t="inlineStr">
        <is>
          <t>[Bổ sung] Satellite phải LEFT JOIN, không INNER JOIN</t>
        </is>
      </c>
      <c r="F673" s="48" t="inlineStr">
        <is>
          <t>N-A</t>
        </is>
      </c>
      <c r="G673" s="48" t="inlineStr">
        <is>
          <t>Pass</t>
        </is>
      </c>
      <c r="H673" s="50" t="inlineStr">
        <is>
          <t>khong ap dung cho profile GOLD_DERIVED</t>
        </is>
      </c>
      <c r="I673" s="50" t="inlineStr">
        <is>
          <t>Technical Document III.4.2.2 nguyên tắc 1: làm giàu thuộc tính luôn dùng LEFT JOIN. INNER JOIN satellite sẽ loại mất bản ghi Hub đang còn hiệu lực nhưng chưa có dòng satellite.</t>
        </is>
      </c>
      <c r="J673" s="48" t="inlineStr">
        <is>
          <t>035. OCB_GOLD_TCKH_V_TB_AR_DTL_LNSCH_HOP.xlsx [SCRIPT: V_TB_AR_DTL_LNSCH]</t>
        </is>
      </c>
    </row>
    <row r="674">
      <c r="A674" s="48" t="inlineStr">
        <is>
          <t>TCKH.V_TB_AR_DTL_LNSCH</t>
        </is>
      </c>
      <c r="B674" s="48" t="inlineStr">
        <is>
          <t>GOLD_DERIVED</t>
        </is>
      </c>
      <c r="C674" s="48" t="inlineStr">
        <is>
          <t>X.7</t>
        </is>
      </c>
      <c r="D674" s="48" t="inlineStr">
        <is>
          <t>Nhom X - Bo sung Raffles</t>
        </is>
      </c>
      <c r="E674" s="48" t="inlineStr">
        <is>
          <t>[Bổ sung] Không hard-code catalog, dùng biến môi trường</t>
        </is>
      </c>
      <c r="F674" s="49" t="inlineStr">
        <is>
          <t>PASS</t>
        </is>
      </c>
      <c r="G674" s="48" t="inlineStr">
        <is>
          <t>Pass</t>
        </is>
      </c>
      <c r="H674" s="50" t="inlineStr">
        <is>
          <t>dùng biến môi trường cho catalog</t>
        </is>
      </c>
      <c r="I6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74" s="48" t="inlineStr">
        <is>
          <t>035. OCB_GOLD_TCKH_V_TB_AR_DTL_LNSCH_HOP.xlsx [SCRIPT: V_TB_AR_DTL_LNSCH]</t>
        </is>
      </c>
    </row>
    <row r="675">
      <c r="A675" s="48" t="inlineStr">
        <is>
          <t>TCKH.V_TB_AR_DTL_LNSCH</t>
        </is>
      </c>
      <c r="B675" s="48" t="inlineStr">
        <is>
          <t>GOLD_DERIVED</t>
        </is>
      </c>
      <c r="C675" s="48" t="inlineStr">
        <is>
          <t>X.10</t>
        </is>
      </c>
      <c r="D675" s="48" t="inlineStr">
        <is>
          <t>Nhom X - Bo sung Raffles</t>
        </is>
      </c>
      <c r="E675" s="48" t="inlineStr">
        <is>
          <t>Bang raw_vault/business_vault duoc doc phai TON TAI THAT trong Data Vault model</t>
        </is>
      </c>
      <c r="F675" s="48" t="inlineStr">
        <is>
          <t>N-A</t>
        </is>
      </c>
      <c r="G675" s="48" t="inlineStr">
        <is>
          <t>Pass</t>
        </is>
      </c>
      <c r="H675" s="50" t="inlineStr">
        <is>
          <t>script không đọc bảng raw_vault/business_vault nào</t>
        </is>
      </c>
      <c r="I675" s="50" t="inlineStr"/>
      <c r="J675" s="48" t="inlineStr">
        <is>
          <t>035. OCB_GOLD_TCKH_V_TB_AR_DTL_LNSCH_HOP.xlsx [SCRIPT: V_TB_AR_DTL_LNSCH]</t>
        </is>
      </c>
    </row>
    <row r="676">
      <c r="A676" s="48" t="inlineStr">
        <is>
          <t>TCKH.V_TB_AR_DTL_LNSCH</t>
        </is>
      </c>
      <c r="B676" s="48" t="inlineStr">
        <is>
          <t>GOLD_DERIVED</t>
        </is>
      </c>
      <c r="C676" s="48" t="inlineStr">
        <is>
          <t>X.11</t>
        </is>
      </c>
      <c r="D676" s="48" t="inlineStr">
        <is>
          <t>Nhom X - Bo sung Raffles</t>
        </is>
      </c>
      <c r="E676" s="48" t="inlineStr">
        <is>
          <t>Cot doc tu satellite (sat_*) phai TON TAI THAT trong model</t>
        </is>
      </c>
      <c r="F676" s="48" t="inlineStr">
        <is>
          <t>N-A</t>
        </is>
      </c>
      <c r="G676" s="48" t="inlineStr">
        <is>
          <t>Pass</t>
        </is>
      </c>
      <c r="H676" s="50" t="inlineStr">
        <is>
          <t>không có bảng sat_* nào đủ điều kiện đối chiếu (Select chỉ đọc 1 bảng)</t>
        </is>
      </c>
      <c r="I676" s="50" t="inlineStr"/>
      <c r="J676" s="48" t="inlineStr">
        <is>
          <t>035. OCB_GOLD_TCKH_V_TB_AR_DTL_LNSCH_HOP.xlsx [SCRIPT: V_TB_AR_DTL_LNSCH]</t>
        </is>
      </c>
    </row>
    <row r="677">
      <c r="A677" s="48" t="inlineStr">
        <is>
          <t>TCKH.V_TB_NIM</t>
        </is>
      </c>
      <c r="B677" s="48" t="inlineStr">
        <is>
          <t>GOLD_DERIVED</t>
        </is>
      </c>
      <c r="C677" s="48" t="inlineStr">
        <is>
          <t>1.1</t>
        </is>
      </c>
      <c r="D677" s="48" t="inlineStr">
        <is>
          <t>Nhom 1 - Mapping</t>
        </is>
      </c>
      <c r="E677" s="48" t="inlineStr">
        <is>
          <t>Đầy đủ mapping từ Silver/manual sang Gold</t>
        </is>
      </c>
      <c r="F677" s="49" t="inlineStr">
        <is>
          <t>PASS</t>
        </is>
      </c>
      <c r="G677" s="48" t="inlineStr">
        <is>
          <t>Pass</t>
        </is>
      </c>
      <c r="H677" s="50" t="inlineStr">
        <is>
          <t>workbook 036. OCB_GOLD_TCKH_V_TB_NIM_HOP.xlsx: thiết kế 57 field, SQL có 57 cột</t>
        </is>
      </c>
      <c r="I6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77" s="48" t="inlineStr">
        <is>
          <t>036. OCB_GOLD_TCKH_V_TB_NIM_HOP.xlsx [SCRIPT: V_TB_NIM]</t>
        </is>
      </c>
    </row>
    <row r="678">
      <c r="A678" s="48" t="inlineStr">
        <is>
          <t>TCKH.V_TB_NIM</t>
        </is>
      </c>
      <c r="B678" s="48" t="inlineStr">
        <is>
          <t>GOLD_DERIVED</t>
        </is>
      </c>
      <c r="C678" s="48" t="inlineStr">
        <is>
          <t>1.2</t>
        </is>
      </c>
      <c r="D678" s="48" t="inlineStr">
        <is>
          <t>Nhom 1 - Mapping</t>
        </is>
      </c>
      <c r="E678" s="48" t="inlineStr">
        <is>
          <t>Danh sách bảng/view Gold khớp tài liệu thiết kế đã duyệt</t>
        </is>
      </c>
      <c r="F678" s="49" t="inlineStr">
        <is>
          <t>PASS</t>
        </is>
      </c>
      <c r="G678" s="48" t="inlineStr">
        <is>
          <t>Pass</t>
        </is>
      </c>
      <c r="H678" s="50" t="inlineStr">
        <is>
          <t>V_TB_NIM có workbook thiết kế: 036. OCB_GOLD_TCKH_V_TB_NIM_HOP.xlsx</t>
        </is>
      </c>
      <c r="I678" s="50" t="inlineStr">
        <is>
          <t>Đảm bảo object có workbook thiết kế tương ứng trong thư mục --mapping-dir. Muốn đối chiếu với danh sách đã duyệt thì chạy thêm tham số --gold-list "&lt;file danh sách Gold&gt;.xlsx".</t>
        </is>
      </c>
      <c r="J678" s="48" t="inlineStr">
        <is>
          <t>036. OCB_GOLD_TCKH_V_TB_NIM_HOP.xlsx [SCRIPT: V_TB_NIM]</t>
        </is>
      </c>
    </row>
    <row r="679">
      <c r="A679" s="48" t="inlineStr">
        <is>
          <t>TCKH.V_TB_NIM</t>
        </is>
      </c>
      <c r="B679" s="48" t="inlineStr">
        <is>
          <t>GOLD_DERIVED</t>
        </is>
      </c>
      <c r="C679" s="48" t="inlineStr">
        <is>
          <t>2.1</t>
        </is>
      </c>
      <c r="D679" s="48" t="inlineStr">
        <is>
          <t>Nhom 2 - Logic</t>
        </is>
      </c>
      <c r="E679" s="48" t="inlineStr">
        <is>
          <t>Chỉ lấy bản ghi active, loại bản ghi đã xóa (qua sts_hub)</t>
        </is>
      </c>
      <c r="F679" s="48" t="inlineStr">
        <is>
          <t>N-A</t>
        </is>
      </c>
      <c r="G679" s="48" t="inlineStr">
        <is>
          <t>Pass</t>
        </is>
      </c>
      <c r="H679" s="50" t="inlineStr">
        <is>
          <t>khong ap dung cho profile GOLD_DERIVED</t>
        </is>
      </c>
      <c r="I6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79" s="48" t="inlineStr">
        <is>
          <t>036. OCB_GOLD_TCKH_V_TB_NIM_HOP.xlsx [SCRIPT: V_TB_NIM]</t>
        </is>
      </c>
    </row>
    <row r="680">
      <c r="A680" s="48" t="inlineStr">
        <is>
          <t>TCKH.V_TB_NIM</t>
        </is>
      </c>
      <c r="B680" s="48" t="inlineStr">
        <is>
          <t>GOLD_DERIVED</t>
        </is>
      </c>
      <c r="C680" s="48" t="inlineStr">
        <is>
          <t>2.2</t>
        </is>
      </c>
      <c r="D680" s="48" t="inlineStr">
        <is>
          <t>Nhom 2 - Logic</t>
        </is>
      </c>
      <c r="E680" s="48" t="inlineStr">
        <is>
          <t>Thống nhất MỘT pattern duy nhất xác định bản ghi active mới nhất</t>
        </is>
      </c>
      <c r="F680" s="48" t="inlineStr">
        <is>
          <t>N-A</t>
        </is>
      </c>
      <c r="G680" s="48" t="inlineStr">
        <is>
          <t>Pass</t>
        </is>
      </c>
      <c r="H680" s="50" t="inlineStr">
        <is>
          <t>khong ap dung cho profile GOLD_DERIVED</t>
        </is>
      </c>
      <c r="I6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80" s="48" t="inlineStr">
        <is>
          <t>036. OCB_GOLD_TCKH_V_TB_NIM_HOP.xlsx [SCRIPT: V_TB_NIM]</t>
        </is>
      </c>
    </row>
    <row r="681">
      <c r="A681" s="48" t="inlineStr">
        <is>
          <t>TCKH.V_TB_NIM</t>
        </is>
      </c>
      <c r="B681" s="48" t="inlineStr">
        <is>
          <t>GOLD_DERIVED</t>
        </is>
      </c>
      <c r="C681" s="48" t="inlineStr">
        <is>
          <t>2.3</t>
        </is>
      </c>
      <c r="D681" s="48" t="inlineStr">
        <is>
          <t>Nhom 2 - Logic</t>
        </is>
      </c>
      <c r="E681" s="48" t="inlineStr">
        <is>
          <t>Điều kiện lọc trạng thái đặt SAU khi xác định bản ghi mới nhất</t>
        </is>
      </c>
      <c r="F681" s="49" t="inlineStr">
        <is>
          <t>PASS</t>
        </is>
      </c>
      <c r="G681" s="48" t="inlineStr">
        <is>
          <t>Pass</t>
        </is>
      </c>
      <c r="H681" s="50" t="inlineStr">
        <is>
          <t>không có điều kiện trạng thái nào lồng trong JOIN ON</t>
        </is>
      </c>
      <c r="I6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81" s="48" t="inlineStr">
        <is>
          <t>036. OCB_GOLD_TCKH_V_TB_NIM_HOP.xlsx [SCRIPT: V_TB_NIM]</t>
        </is>
      </c>
    </row>
    <row r="682">
      <c r="A682" s="48" t="inlineStr">
        <is>
          <t>TCKH.V_TB_NIM</t>
        </is>
      </c>
      <c r="B682" s="48" t="inlineStr">
        <is>
          <t>GOLD_DERIVED</t>
        </is>
      </c>
      <c r="C682" s="48" t="inlineStr">
        <is>
          <t>2.4</t>
        </is>
      </c>
      <c r="D682" s="48" t="inlineStr">
        <is>
          <t>Nhom 2 - Logic</t>
        </is>
      </c>
      <c r="E682" s="48" t="inlineStr">
        <is>
          <t>source_event_date áp dụng đúng dạng theo loại bảng</t>
        </is>
      </c>
      <c r="F682" s="48" t="inlineStr">
        <is>
          <t>N-A</t>
        </is>
      </c>
      <c r="G682" s="48" t="inlineStr">
        <is>
          <t>Pass</t>
        </is>
      </c>
      <c r="H682" s="50" t="inlineStr">
        <is>
          <t>khong ap dung cho profile GOLD_DERIVED</t>
        </is>
      </c>
      <c r="I6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82" s="48" t="inlineStr">
        <is>
          <t>036. OCB_GOLD_TCKH_V_TB_NIM_HOP.xlsx [SCRIPT: V_TB_NIM]</t>
        </is>
      </c>
    </row>
    <row r="683">
      <c r="A683" s="48" t="inlineStr">
        <is>
          <t>TCKH.V_TB_NIM</t>
        </is>
      </c>
      <c r="B683" s="48" t="inlineStr">
        <is>
          <t>GOLD_DERIVED</t>
        </is>
      </c>
      <c r="C683" s="48" t="inlineStr">
        <is>
          <t>2.5</t>
        </is>
      </c>
      <c r="D683" s="48" t="inlineStr">
        <is>
          <t>Nhom 2 - Logic</t>
        </is>
      </c>
      <c r="E683" s="48" t="inlineStr">
        <is>
          <t>Không lặp lại lỗi logic cũ đã được DA Data Vault fix</t>
        </is>
      </c>
      <c r="F683" s="49" t="inlineStr">
        <is>
          <t>PASS</t>
        </is>
      </c>
      <c r="G683" s="48" t="inlineStr">
        <is>
          <t>Pass</t>
        </is>
      </c>
      <c r="H683" s="50" t="inlineStr">
        <is>
          <t>không trùng lỗi nào trong Issue log của DA Data Vault</t>
        </is>
      </c>
      <c r="I6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83" s="48" t="inlineStr">
        <is>
          <t>036. OCB_GOLD_TCKH_V_TB_NIM_HOP.xlsx [SCRIPT: V_TB_NIM]</t>
        </is>
      </c>
    </row>
    <row r="684">
      <c r="A684" s="48" t="inlineStr">
        <is>
          <t>TCKH.V_TB_NIM</t>
        </is>
      </c>
      <c r="B684" s="48" t="inlineStr">
        <is>
          <t>GOLD_DERIVED</t>
        </is>
      </c>
      <c r="C684" s="48" t="inlineStr">
        <is>
          <t>2.6</t>
        </is>
      </c>
      <c r="D684" s="48" t="inlineStr">
        <is>
          <t>Nhom 2 - Logic</t>
        </is>
      </c>
      <c r="E684" s="48" t="inlineStr">
        <is>
          <t>SCD Type 2 cho bảng DIM áp dụng đúng kỹ thuật đã thống nhất</t>
        </is>
      </c>
      <c r="F684" s="48" t="inlineStr">
        <is>
          <t>N-A</t>
        </is>
      </c>
      <c r="G684" s="48" t="inlineStr">
        <is>
          <t>Pass</t>
        </is>
      </c>
      <c r="H684" s="50" t="inlineStr">
        <is>
          <t>object không phải bảng DIM nên không áp dụng SCD Type 2</t>
        </is>
      </c>
      <c r="I6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84" s="48" t="inlineStr">
        <is>
          <t>036. OCB_GOLD_TCKH_V_TB_NIM_HOP.xlsx [SCRIPT: V_TB_NIM]</t>
        </is>
      </c>
    </row>
    <row r="685">
      <c r="A685" s="48" t="inlineStr">
        <is>
          <t>TCKH.V_TB_NIM</t>
        </is>
      </c>
      <c r="B685" s="48" t="inlineStr">
        <is>
          <t>GOLD_DERIVED</t>
        </is>
      </c>
      <c r="C685" s="48" t="inlineStr">
        <is>
          <t>2.7</t>
        </is>
      </c>
      <c r="D685" s="48" t="inlineStr">
        <is>
          <t>Nhom 2 - Logic</t>
        </is>
      </c>
      <c r="E685" s="48" t="inlineStr">
        <is>
          <t>CASE WHEN cover đủ nhánh như job on-prem</t>
        </is>
      </c>
      <c r="F685" s="49" t="inlineStr">
        <is>
          <t>PASS</t>
        </is>
      </c>
      <c r="G685" s="48" t="inlineStr">
        <is>
          <t>Pass</t>
        </is>
      </c>
      <c r="H685" s="50" t="inlineStr">
        <is>
          <t>cả 1 CASE đều có nhánh ELSE</t>
        </is>
      </c>
      <c r="I685" s="50" t="inlineStr">
        <is>
          <t>Mở job on-prem tương ứng (DataStage DSX hoặc SQL cũ), đối chiếu từng nhánh WHEN và cả nhánh ELSE. CASE không có ELSE sẽ trả NULL âm thầm — xác nhận đó là ý muốn hay thiếu nhánh.</t>
        </is>
      </c>
      <c r="J685" s="48" t="inlineStr">
        <is>
          <t>036. OCB_GOLD_TCKH_V_TB_NIM_HOP.xlsx [SCRIPT: V_TB_NIM]</t>
        </is>
      </c>
    </row>
    <row r="686">
      <c r="A686" s="48" t="inlineStr">
        <is>
          <t>TCKH.V_TB_NIM</t>
        </is>
      </c>
      <c r="B686" s="48" t="inlineStr">
        <is>
          <t>GOLD_DERIVED</t>
        </is>
      </c>
      <c r="C686" s="48" t="inlineStr">
        <is>
          <t>2.8</t>
        </is>
      </c>
      <c r="D686" s="48" t="inlineStr">
        <is>
          <t>Nhom 2 - Logic</t>
        </is>
      </c>
      <c r="E686" s="48" t="inlineStr">
        <is>
          <t>Cột SUM/COUNT được COALESCE/NVL hợp lý</t>
        </is>
      </c>
      <c r="F686" s="49" t="inlineStr">
        <is>
          <t>PASS</t>
        </is>
      </c>
      <c r="G686" s="48" t="inlineStr">
        <is>
          <t>Pass</t>
        </is>
      </c>
      <c r="H686" s="50" t="inlineStr">
        <is>
          <t>mọi SUM/COUNT đều đã coalesce (trực tiếp hoặc ở lớp ngoài)</t>
        </is>
      </c>
      <c r="I6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86" s="48" t="inlineStr">
        <is>
          <t>036. OCB_GOLD_TCKH_V_TB_NIM_HOP.xlsx [SCRIPT: V_TB_NIM]</t>
        </is>
      </c>
    </row>
    <row r="687">
      <c r="A687" s="48" t="inlineStr">
        <is>
          <t>TCKH.V_TB_NIM</t>
        </is>
      </c>
      <c r="B687" s="48" t="inlineStr">
        <is>
          <t>GOLD_DERIVED</t>
        </is>
      </c>
      <c r="C687" s="48" t="inlineStr">
        <is>
          <t>2.9</t>
        </is>
      </c>
      <c r="D687" s="48" t="inlineStr">
        <is>
          <t>Nhom 2 - Logic</t>
        </is>
      </c>
      <c r="E687" s="48" t="inlineStr">
        <is>
          <t>Subquery / custom function / điều kiện LIKE đúng ý nghĩa nghiệp vụ</t>
        </is>
      </c>
      <c r="F687" s="48" t="inlineStr">
        <is>
          <t>N-A</t>
        </is>
      </c>
      <c r="G687" s="48" t="inlineStr">
        <is>
          <t>Pass</t>
        </is>
      </c>
      <c r="H687" s="50" t="inlineStr">
        <is>
          <t>script không có điều kiện LIKE hay scalar subquery nào</t>
        </is>
      </c>
      <c r="I687" s="50" t="inlineStr">
        <is>
          <t>Đọc lại từng điều kiện LIKE và từng subquery, đối chiếu ý nghĩa nghiệp vụ với on-prem — đúng cú pháp không đủ. Chú ý pattern LIKE có ký tự % ở đầu/cuối và phân biệt chữ hoa/thường.</t>
        </is>
      </c>
      <c r="J687" s="48" t="inlineStr">
        <is>
          <t>036. OCB_GOLD_TCKH_V_TB_NIM_HOP.xlsx [SCRIPT: V_TB_NIM]</t>
        </is>
      </c>
    </row>
    <row r="688">
      <c r="A688" s="48" t="inlineStr">
        <is>
          <t>TCKH.V_TB_NIM</t>
        </is>
      </c>
      <c r="B688" s="48" t="inlineStr">
        <is>
          <t>GOLD_DERIVED</t>
        </is>
      </c>
      <c r="C688" s="48" t="inlineStr">
        <is>
          <t>2.10</t>
        </is>
      </c>
      <c r="D688" s="48" t="inlineStr">
        <is>
          <t>Nhom 2 - Logic</t>
        </is>
      </c>
      <c r="E688" s="48" t="inlineStr">
        <is>
          <t>Aggregation kèm filter date range chính xác</t>
        </is>
      </c>
      <c r="F688" s="49" t="inlineStr">
        <is>
          <t>PASS</t>
        </is>
      </c>
      <c r="G688" s="48" t="inlineStr">
        <is>
          <t>Pass</t>
        </is>
      </c>
      <c r="H688" s="50" t="inlineStr">
        <is>
          <t>mọi khối tổng hợp đều có điều kiện theo kỳ dữ liệu</t>
        </is>
      </c>
      <c r="I688" s="50" t="inlineStr">
        <is>
          <t>Mỗi khối SUM/COUNT/AVG phải có điều kiện lọc theo kỳ dữ liệu (CDR_DT_ID, DATA_DATE, :DATADT…). Nếu điều kiện nằm ở CTE nguồn thì ghi rõ trong comment để người review không phải truy ngược.</t>
        </is>
      </c>
      <c r="J688" s="48" t="inlineStr">
        <is>
          <t>036. OCB_GOLD_TCKH_V_TB_NIM_HOP.xlsx [SCRIPT: V_TB_NIM]</t>
        </is>
      </c>
    </row>
    <row r="689">
      <c r="A689" s="48" t="inlineStr">
        <is>
          <t>TCKH.V_TB_NIM</t>
        </is>
      </c>
      <c r="B689" s="48" t="inlineStr">
        <is>
          <t>GOLD_DERIVED</t>
        </is>
      </c>
      <c r="C689" s="48" t="inlineStr">
        <is>
          <t>2.11</t>
        </is>
      </c>
      <c r="D689" s="48" t="inlineStr">
        <is>
          <t>Nhom 2 - Logic</t>
        </is>
      </c>
      <c r="E689" s="48" t="inlineStr">
        <is>
          <t>Join dùng key hợp lý, không lạm dụng UNION ALL + EXISTS/NOT EXISTS</t>
        </is>
      </c>
      <c r="F689" s="49" t="inlineStr">
        <is>
          <t>PASS</t>
        </is>
      </c>
      <c r="G689" s="48" t="inlineStr">
        <is>
          <t>Pass</t>
        </is>
      </c>
      <c r="H689" s="50" t="inlineStr">
        <is>
          <t>join đều theo điều kiện bằng, không lạm dụng UNION ALL + EXISTS</t>
        </is>
      </c>
      <c r="I689" s="50" t="inlineStr">
        <is>
          <t>Ưu tiên LEFT JOIN theo business key hoặc hashkey. Xem lại các chỗ dùng UNION ALL kết hợp EXISTS/NOT EXISTS — thường thay được bằng một LEFT JOIN. Join không có điều kiện bằng (=) dễ tạo tích Descartes.</t>
        </is>
      </c>
      <c r="J689" s="48" t="inlineStr">
        <is>
          <t>036. OCB_GOLD_TCKH_V_TB_NIM_HOP.xlsx [SCRIPT: V_TB_NIM]</t>
        </is>
      </c>
    </row>
    <row r="690">
      <c r="A690" s="48" t="inlineStr">
        <is>
          <t>TCKH.V_TB_NIM</t>
        </is>
      </c>
      <c r="B690" s="48" t="inlineStr">
        <is>
          <t>GOLD_DERIVED</t>
        </is>
      </c>
      <c r="C690" s="48" t="inlineStr">
        <is>
          <t>2.12</t>
        </is>
      </c>
      <c r="D690" s="48" t="inlineStr">
        <is>
          <t>Nhom 2 - Logic</t>
        </is>
      </c>
      <c r="E690" s="48" t="inlineStr">
        <is>
          <t>Build Gold từ CTE snapshot Silver, không build nhiều tầng chồng chéo</t>
        </is>
      </c>
      <c r="F690" s="49" t="inlineStr">
        <is>
          <t>PASS</t>
        </is>
      </c>
      <c r="G690" s="48" t="inlineStr">
        <is>
          <t>Pass</t>
        </is>
      </c>
      <c r="H690" s="50" t="inlineStr">
        <is>
          <t>mỗi bảng nguồn chỉ đọc trong 1 khối SELECT</t>
        </is>
      </c>
      <c r="I6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90" s="48" t="inlineStr">
        <is>
          <t>036. OCB_GOLD_TCKH_V_TB_NIM_HOP.xlsx [SCRIPT: V_TB_NIM]</t>
        </is>
      </c>
    </row>
    <row r="691">
      <c r="A691" s="48" t="inlineStr">
        <is>
          <t>TCKH.V_TB_NIM</t>
        </is>
      </c>
      <c r="B691" s="48" t="inlineStr">
        <is>
          <t>GOLD_DERIVED</t>
        </is>
      </c>
      <c r="C691" s="48" t="inlineStr">
        <is>
          <t>3.1</t>
        </is>
      </c>
      <c r="D691" s="48" t="inlineStr">
        <is>
          <t>Nhom 3 - Optimization</t>
        </is>
      </c>
      <c r="E691" s="48" t="inlineStr">
        <is>
          <t>Không SELECT *</t>
        </is>
      </c>
      <c r="F691" s="49" t="inlineStr">
        <is>
          <t>PASS</t>
        </is>
      </c>
      <c r="G691" s="48" t="inlineStr">
        <is>
          <t>Pass</t>
        </is>
      </c>
      <c r="H691" s="50" t="inlineStr">
        <is>
          <t>không dùng SELECT * ở đâu</t>
        </is>
      </c>
      <c r="I691" s="50" t="inlineStr">
        <is>
          <t>Liệt kê tường minh các cột cần dùng, kể cả trong CTE trung gian. SELECT * làm tăng IO/memory và vỡ script khi bảng nguồn thêm cột.</t>
        </is>
      </c>
      <c r="J691" s="48" t="inlineStr">
        <is>
          <t>036. OCB_GOLD_TCKH_V_TB_NIM_HOP.xlsx [SCRIPT: V_TB_NIM]</t>
        </is>
      </c>
    </row>
    <row r="692">
      <c r="A692" s="48" t="inlineStr">
        <is>
          <t>TCKH.V_TB_NIM</t>
        </is>
      </c>
      <c r="B692" s="48" t="inlineStr">
        <is>
          <t>GOLD_DERIVED</t>
        </is>
      </c>
      <c r="C692" s="48" t="inlineStr">
        <is>
          <t>3.2</t>
        </is>
      </c>
      <c r="D692" s="48" t="inlineStr">
        <is>
          <t>Nhom 3 - Optimization</t>
        </is>
      </c>
      <c r="E692" s="48" t="inlineStr">
        <is>
          <t>CTE không bị scan lại nhiều lần</t>
        </is>
      </c>
      <c r="F692" s="49" t="inlineStr">
        <is>
          <t>PASS</t>
        </is>
      </c>
      <c r="G692" s="48" t="inlineStr">
        <is>
          <t>Pass</t>
        </is>
      </c>
      <c r="H692" s="50" t="inlineStr">
        <is>
          <t>không có CTE nào bị gọi lại</t>
        </is>
      </c>
      <c r="I692" s="50" t="inlineStr">
        <is>
          <t>Với CTE nặng (đọc nhiều bảng Silver) bị tham chiếu từ 2 chỗ trở lên: gom lại còn một lần dùng, hoặc vật chất hóa (CACHE / bảng tạm). CTE nhẹ chỉ chứa tham số thì bỏ qua được — tự tick Pass.</t>
        </is>
      </c>
      <c r="J692" s="48" t="inlineStr">
        <is>
          <t>036. OCB_GOLD_TCKH_V_TB_NIM_HOP.xlsx [SCRIPT: V_TB_NIM]</t>
        </is>
      </c>
    </row>
    <row r="693">
      <c r="A693" s="48" t="inlineStr">
        <is>
          <t>TCKH.V_TB_NIM</t>
        </is>
      </c>
      <c r="B693" s="48" t="inlineStr">
        <is>
          <t>GOLD_DERIVED</t>
        </is>
      </c>
      <c r="C693" s="48" t="inlineStr">
        <is>
          <t>3.3</t>
        </is>
      </c>
      <c r="D693" s="48" t="inlineStr">
        <is>
          <t>Nhom 3 - Optimization</t>
        </is>
      </c>
      <c r="E693" s="48" t="inlineStr">
        <is>
          <t>Filter trước khi join, tận dụng partition pruning</t>
        </is>
      </c>
      <c r="F693" s="49" t="inlineStr">
        <is>
          <t>PASS</t>
        </is>
      </c>
      <c r="G693" s="48" t="inlineStr">
        <is>
          <t>Pass</t>
        </is>
      </c>
      <c r="H693" s="50" t="inlineStr">
        <is>
          <t>các bảng join đều được filter trước</t>
        </is>
      </c>
      <c r="I693" s="50" t="inlineStr">
        <is>
          <t>Đưa điều kiện lọc (ngày dữ liệu, trạng thái) vào subquery của từng bảng TRƯỚC khi join, để tận dụng partition pruning. Bảng dim nhỏ không partition thì không cần — tự tick Pass.</t>
        </is>
      </c>
      <c r="J693" s="48" t="inlineStr">
        <is>
          <t>036. OCB_GOLD_TCKH_V_TB_NIM_HOP.xlsx [SCRIPT: V_TB_NIM]</t>
        </is>
      </c>
    </row>
    <row r="694">
      <c r="A694" s="48" t="inlineStr">
        <is>
          <t>TCKH.V_TB_NIM</t>
        </is>
      </c>
      <c r="B694" s="48" t="inlineStr">
        <is>
          <t>GOLD_DERIVED</t>
        </is>
      </c>
      <c r="C694" s="48" t="inlineStr">
        <is>
          <t>3.4</t>
        </is>
      </c>
      <c r="D694" s="48" t="inlineStr">
        <is>
          <t>Nhom 3 - Optimization</t>
        </is>
      </c>
      <c r="E694" s="48" t="inlineStr">
        <is>
          <t>Sử dụng CACHE cho query lặp lại trong cùng luồng</t>
        </is>
      </c>
      <c r="F694" s="48" t="inlineStr">
        <is>
          <t>N-A</t>
        </is>
      </c>
      <c r="G694" s="48" t="inlineStr">
        <is>
          <t>Pass</t>
        </is>
      </c>
      <c r="H694" s="50" t="inlineStr">
        <is>
          <t>không có kết quả nào được dùng lại nhiều lần nên chưa cần CACHE</t>
        </is>
      </c>
      <c r="I694" s="50" t="inlineStr">
        <is>
          <t>Nếu một kết quả nặng được dùng lại nhiều bước trong cùng luồng, thêm CACHE TABLE / CACHE SELECT. Kết quả nhỏ thì cache còn chậm hơn — tự tick Pass.</t>
        </is>
      </c>
      <c r="J694" s="48" t="inlineStr">
        <is>
          <t>036. OCB_GOLD_TCKH_V_TB_NIM_HOP.xlsx [SCRIPT: V_TB_NIM]</t>
        </is>
      </c>
    </row>
    <row r="695">
      <c r="A695" s="48" t="inlineStr">
        <is>
          <t>TCKH.V_TB_NIM</t>
        </is>
      </c>
      <c r="B695" s="48" t="inlineStr">
        <is>
          <t>GOLD_DERIVED</t>
        </is>
      </c>
      <c r="C695" s="48" t="inlineStr">
        <is>
          <t>3.5</t>
        </is>
      </c>
      <c r="D695" s="48" t="inlineStr">
        <is>
          <t>Nhom 3 - Optimization</t>
        </is>
      </c>
      <c r="E695" s="48" t="inlineStr">
        <is>
          <t>Ưu tiên MAX_BY + QUALIFY thay ROW_NUMBER() + WHERE rn = 1</t>
        </is>
      </c>
      <c r="F695" s="48" t="inlineStr">
        <is>
          <t>N-A</t>
        </is>
      </c>
      <c r="G695" s="48" t="inlineStr">
        <is>
          <t>Pass</t>
        </is>
      </c>
      <c r="H695" s="50" t="inlineStr">
        <is>
          <t>script không dùng ROW_NUMBER, và MAX_BY (nếu có) không vượt quá 5 cột/khối</t>
        </is>
      </c>
      <c r="I6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95" s="48" t="inlineStr">
        <is>
          <t>036. OCB_GOLD_TCKH_V_TB_NIM_HOP.xlsx [SCRIPT: V_TB_NIM]</t>
        </is>
      </c>
    </row>
    <row r="696">
      <c r="A696" s="48" t="inlineStr">
        <is>
          <t>TCKH.V_TB_NIM</t>
        </is>
      </c>
      <c r="B696" s="48" t="inlineStr">
        <is>
          <t>GOLD_DERIVED</t>
        </is>
      </c>
      <c r="C696" s="48" t="inlineStr">
        <is>
          <t>3.6</t>
        </is>
      </c>
      <c r="D696" s="48" t="inlineStr">
        <is>
          <t>Nhom 3 - Optimization</t>
        </is>
      </c>
      <c r="E696" s="48" t="inlineStr">
        <is>
          <t>Không lạm dụng window function; có comment khi dùng</t>
        </is>
      </c>
      <c r="F696" s="48" t="inlineStr">
        <is>
          <t>N-A</t>
        </is>
      </c>
      <c r="G696" s="48" t="inlineStr">
        <is>
          <t>Pass</t>
        </is>
      </c>
      <c r="H696" s="50" t="inlineStr">
        <is>
          <t>script không dùng window function</t>
        </is>
      </c>
      <c r="I696" s="50" t="inlineStr">
        <is>
          <t>Mỗi window function cần một comment ngay trên khối CTE chứa nó, nói rõ vì sao không dùng được max_by/QUALIFY đơn giản hơn.</t>
        </is>
      </c>
      <c r="J696" s="48" t="inlineStr">
        <is>
          <t>036. OCB_GOLD_TCKH_V_TB_NIM_HOP.xlsx [SCRIPT: V_TB_NIM]</t>
        </is>
      </c>
    </row>
    <row r="697">
      <c r="A697" s="48" t="inlineStr">
        <is>
          <t>TCKH.V_TB_NIM</t>
        </is>
      </c>
      <c r="B697" s="48" t="inlineStr">
        <is>
          <t>GOLD_DERIVED</t>
        </is>
      </c>
      <c r="C697" s="48" t="inlineStr">
        <is>
          <t>X.1</t>
        </is>
      </c>
      <c r="D697" s="48" t="inlineStr">
        <is>
          <t>Nhom X - Bo sung Raffles</t>
        </is>
      </c>
      <c r="E697" s="48" t="inlineStr">
        <is>
          <t>[Bổ sung] Link phải rút về current trước khi join (chống fan-out)</t>
        </is>
      </c>
      <c r="F697" s="48" t="inlineStr">
        <is>
          <t>N-A</t>
        </is>
      </c>
      <c r="G697" s="48" t="inlineStr">
        <is>
          <t>Pass</t>
        </is>
      </c>
      <c r="H697" s="50" t="inlineStr">
        <is>
          <t>khong ap dung cho profile GOLD_DERIVED</t>
        </is>
      </c>
      <c r="I6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97" s="48" t="inlineStr">
        <is>
          <t>036. OCB_GOLD_TCKH_V_TB_NIM_HOP.xlsx [SCRIPT: V_TB_NIM]</t>
        </is>
      </c>
    </row>
    <row r="698">
      <c r="A698" s="48" t="inlineStr">
        <is>
          <t>TCKH.V_TB_NIM</t>
        </is>
      </c>
      <c r="B698" s="48" t="inlineStr">
        <is>
          <t>GOLD_DERIVED</t>
        </is>
      </c>
      <c r="C698" s="48" t="inlineStr">
        <is>
          <t>X.6</t>
        </is>
      </c>
      <c r="D698" s="48" t="inlineStr">
        <is>
          <t>Nhom X - Bo sung Raffles</t>
        </is>
      </c>
      <c r="E698" s="48" t="inlineStr">
        <is>
          <t>[Bổ sung] Satellite phải LEFT JOIN, không INNER JOIN</t>
        </is>
      </c>
      <c r="F698" s="48" t="inlineStr">
        <is>
          <t>N-A</t>
        </is>
      </c>
      <c r="G698" s="48" t="inlineStr">
        <is>
          <t>Pass</t>
        </is>
      </c>
      <c r="H698" s="50" t="inlineStr">
        <is>
          <t>khong ap dung cho profile GOLD_DERIVED</t>
        </is>
      </c>
      <c r="I698" s="50" t="inlineStr">
        <is>
          <t>Technical Document III.4.2.2 nguyên tắc 1: làm giàu thuộc tính luôn dùng LEFT JOIN. INNER JOIN satellite sẽ loại mất bản ghi Hub đang còn hiệu lực nhưng chưa có dòng satellite.</t>
        </is>
      </c>
      <c r="J698" s="48" t="inlineStr">
        <is>
          <t>036. OCB_GOLD_TCKH_V_TB_NIM_HOP.xlsx [SCRIPT: V_TB_NIM]</t>
        </is>
      </c>
    </row>
    <row r="699">
      <c r="A699" s="48" t="inlineStr">
        <is>
          <t>TCKH.V_TB_NIM</t>
        </is>
      </c>
      <c r="B699" s="48" t="inlineStr">
        <is>
          <t>GOLD_DERIVED</t>
        </is>
      </c>
      <c r="C699" s="48" t="inlineStr">
        <is>
          <t>X.7</t>
        </is>
      </c>
      <c r="D699" s="48" t="inlineStr">
        <is>
          <t>Nhom X - Bo sung Raffles</t>
        </is>
      </c>
      <c r="E699" s="48" t="inlineStr">
        <is>
          <t>[Bổ sung] Không hard-code catalog, dùng biến môi trường</t>
        </is>
      </c>
      <c r="F699" s="49" t="inlineStr">
        <is>
          <t>PASS</t>
        </is>
      </c>
      <c r="G699" s="48" t="inlineStr">
        <is>
          <t>Pass</t>
        </is>
      </c>
      <c r="H699" s="50" t="inlineStr">
        <is>
          <t>dùng biến môi trường cho catalog</t>
        </is>
      </c>
      <c r="I6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99" s="48" t="inlineStr">
        <is>
          <t>036. OCB_GOLD_TCKH_V_TB_NIM_HOP.xlsx [SCRIPT: V_TB_NIM]</t>
        </is>
      </c>
    </row>
    <row r="700">
      <c r="A700" s="48" t="inlineStr">
        <is>
          <t>TCKH.V_TB_NIM</t>
        </is>
      </c>
      <c r="B700" s="48" t="inlineStr">
        <is>
          <t>GOLD_DERIVED</t>
        </is>
      </c>
      <c r="C700" s="48" t="inlineStr">
        <is>
          <t>X.10</t>
        </is>
      </c>
      <c r="D700" s="48" t="inlineStr">
        <is>
          <t>Nhom X - Bo sung Raffles</t>
        </is>
      </c>
      <c r="E700" s="48" t="inlineStr">
        <is>
          <t>Bang raw_vault/business_vault duoc doc phai TON TAI THAT trong Data Vault model</t>
        </is>
      </c>
      <c r="F700" s="48" t="inlineStr">
        <is>
          <t>N-A</t>
        </is>
      </c>
      <c r="G700" s="48" t="inlineStr">
        <is>
          <t>Pass</t>
        </is>
      </c>
      <c r="H700" s="50" t="inlineStr">
        <is>
          <t>script không đọc bảng raw_vault/business_vault nào</t>
        </is>
      </c>
      <c r="I700" s="50" t="inlineStr"/>
      <c r="J700" s="48" t="inlineStr">
        <is>
          <t>036. OCB_GOLD_TCKH_V_TB_NIM_HOP.xlsx [SCRIPT: V_TB_NIM]</t>
        </is>
      </c>
    </row>
    <row r="701">
      <c r="A701" s="48" t="inlineStr">
        <is>
          <t>TCKH.V_TB_NIM</t>
        </is>
      </c>
      <c r="B701" s="48" t="inlineStr">
        <is>
          <t>GOLD_DERIVED</t>
        </is>
      </c>
      <c r="C701" s="48" t="inlineStr">
        <is>
          <t>X.11</t>
        </is>
      </c>
      <c r="D701" s="48" t="inlineStr">
        <is>
          <t>Nhom X - Bo sung Raffles</t>
        </is>
      </c>
      <c r="E701" s="48" t="inlineStr">
        <is>
          <t>Cot doc tu satellite (sat_*) phai TON TAI THAT trong model</t>
        </is>
      </c>
      <c r="F701" s="48" t="inlineStr">
        <is>
          <t>N-A</t>
        </is>
      </c>
      <c r="G701" s="48" t="inlineStr">
        <is>
          <t>Pass</t>
        </is>
      </c>
      <c r="H701" s="50" t="inlineStr">
        <is>
          <t>không có bảng sat_* nào đủ điều kiện đối chiếu (Select chỉ đọc 1 bảng)</t>
        </is>
      </c>
      <c r="I701" s="50" t="inlineStr"/>
      <c r="J701" s="48" t="inlineStr">
        <is>
          <t>036. OCB_GOLD_TCKH_V_TB_NIM_HOP.xlsx [SCRIPT: V_TB_NIM]</t>
        </is>
      </c>
    </row>
    <row r="702">
      <c r="A702" s="48" t="inlineStr">
        <is>
          <t>TCKH.V_USD_RATE</t>
        </is>
      </c>
      <c r="B702" s="48" t="inlineStr">
        <is>
          <t>SILVER_CONSUMER</t>
        </is>
      </c>
      <c r="C702" s="48" t="inlineStr">
        <is>
          <t>1.1</t>
        </is>
      </c>
      <c r="D702" s="48" t="inlineStr">
        <is>
          <t>Nhom 1 - Mapping</t>
        </is>
      </c>
      <c r="E702" s="48" t="inlineStr">
        <is>
          <t>Đầy đủ mapping từ Silver/manual sang Gold</t>
        </is>
      </c>
      <c r="F702" s="49" t="inlineStr">
        <is>
          <t>PASS</t>
        </is>
      </c>
      <c r="G702" s="48" t="inlineStr">
        <is>
          <t>Pass</t>
        </is>
      </c>
      <c r="H702" s="50" t="inlineStr">
        <is>
          <t>workbook 037. OCB_GOLD_TCKH_V_USD_RATE_QUANG.xlsx: thiết kế 3 field, SQL có 3 cột</t>
        </is>
      </c>
      <c r="I7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02" s="48" t="inlineStr">
        <is>
          <t>037. OCB_GOLD_TCKH_V_USD_RATE_QUANG.xlsx [Script SQL: V_USD_RATE]</t>
        </is>
      </c>
    </row>
    <row r="703">
      <c r="A703" s="48" t="inlineStr">
        <is>
          <t>TCKH.V_USD_RATE</t>
        </is>
      </c>
      <c r="B703" s="48" t="inlineStr">
        <is>
          <t>SILVER_CONSUMER</t>
        </is>
      </c>
      <c r="C703" s="48" t="inlineStr">
        <is>
          <t>1.2</t>
        </is>
      </c>
      <c r="D703" s="48" t="inlineStr">
        <is>
          <t>Nhom 1 - Mapping</t>
        </is>
      </c>
      <c r="E703" s="48" t="inlineStr">
        <is>
          <t>Danh sách bảng/view Gold khớp tài liệu thiết kế đã duyệt</t>
        </is>
      </c>
      <c r="F703" s="49" t="inlineStr">
        <is>
          <t>PASS</t>
        </is>
      </c>
      <c r="G703" s="48" t="inlineStr">
        <is>
          <t>Pass</t>
        </is>
      </c>
      <c r="H703" s="50" t="inlineStr">
        <is>
          <t>V_USD_RATE có workbook thiết kế: 037. OCB_GOLD_TCKH_V_USD_RATE_QUANG.xlsx</t>
        </is>
      </c>
      <c r="I703" s="50" t="inlineStr">
        <is>
          <t>Đảm bảo object có workbook thiết kế tương ứng trong thư mục --mapping-dir. Muốn đối chiếu với danh sách đã duyệt thì chạy thêm tham số --gold-list "&lt;file danh sách Gold&gt;.xlsx".</t>
        </is>
      </c>
      <c r="J703" s="48" t="inlineStr">
        <is>
          <t>037. OCB_GOLD_TCKH_V_USD_RATE_QUANG.xlsx [Script SQL: V_USD_RATE]</t>
        </is>
      </c>
    </row>
    <row r="704">
      <c r="A704" s="48" t="inlineStr">
        <is>
          <t>TCKH.V_USD_RATE</t>
        </is>
      </c>
      <c r="B704" s="48" t="inlineStr">
        <is>
          <t>SILVER_CONSUMER</t>
        </is>
      </c>
      <c r="C704" s="48" t="inlineStr">
        <is>
          <t>2.1</t>
        </is>
      </c>
      <c r="D704" s="48" t="inlineStr">
        <is>
          <t>Nhom 2 - Logic</t>
        </is>
      </c>
      <c r="E704" s="48" t="inlineStr">
        <is>
          <t>Chỉ lấy bản ghi active, loại bản ghi đã xóa (qua sts_hub)</t>
        </is>
      </c>
      <c r="F704" s="48" t="inlineStr">
        <is>
          <t>N-A</t>
        </is>
      </c>
      <c r="G704" s="48" t="inlineStr">
        <is>
          <t>Pass</t>
        </is>
      </c>
      <c r="H704" s="50" t="inlineStr">
        <is>
          <t>script không đọc sts_hub/satellite nào nên không có bản ghi xóa để lọc</t>
        </is>
      </c>
      <c r="I7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04" s="48" t="inlineStr">
        <is>
          <t>037. OCB_GOLD_TCKH_V_USD_RATE_QUANG.xlsx [Script SQL: V_USD_RATE]</t>
        </is>
      </c>
    </row>
    <row r="705">
      <c r="A705" s="48" t="inlineStr">
        <is>
          <t>TCKH.V_USD_RATE</t>
        </is>
      </c>
      <c r="B705" s="48" t="inlineStr">
        <is>
          <t>SILVER_CONSUMER</t>
        </is>
      </c>
      <c r="C705" s="48" t="inlineStr">
        <is>
          <t>2.2</t>
        </is>
      </c>
      <c r="D705" s="48" t="inlineStr">
        <is>
          <t>Nhom 2 - Logic</t>
        </is>
      </c>
      <c r="E705" s="48" t="inlineStr">
        <is>
          <t>Thống nhất MỘT pattern duy nhất xác định bản ghi active mới nhất</t>
        </is>
      </c>
      <c r="F705" s="48" t="inlineStr">
        <is>
          <t>N-A</t>
        </is>
      </c>
      <c r="G705" s="48" t="inlineStr">
        <is>
          <t>Pass</t>
        </is>
      </c>
      <c r="H705" s="50" t="inlineStr">
        <is>
          <t>script không có bước lấy bản ghi mới nhất nào tính là bất nhất (không dùng, hoặc chỉ dùng ROW_NUMBER cho block &gt;5 cột - đã miễn trừ)</t>
        </is>
      </c>
      <c r="I7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05" s="48" t="inlineStr">
        <is>
          <t>037. OCB_GOLD_TCKH_V_USD_RATE_QUANG.xlsx [Script SQL: V_USD_RATE]</t>
        </is>
      </c>
    </row>
    <row r="706">
      <c r="A706" s="48" t="inlineStr">
        <is>
          <t>TCKH.V_USD_RATE</t>
        </is>
      </c>
      <c r="B706" s="48" t="inlineStr">
        <is>
          <t>SILVER_CONSUMER</t>
        </is>
      </c>
      <c r="C706" s="48" t="inlineStr">
        <is>
          <t>2.3</t>
        </is>
      </c>
      <c r="D706" s="48" t="inlineStr">
        <is>
          <t>Nhom 2 - Logic</t>
        </is>
      </c>
      <c r="E706" s="48" t="inlineStr">
        <is>
          <t>Điều kiện lọc trạng thái đặt SAU khi xác định bản ghi mới nhất</t>
        </is>
      </c>
      <c r="F706" s="49" t="inlineStr">
        <is>
          <t>PASS</t>
        </is>
      </c>
      <c r="G706" s="48" t="inlineStr">
        <is>
          <t>Pass</t>
        </is>
      </c>
      <c r="H706" s="50" t="inlineStr">
        <is>
          <t>không có điều kiện trạng thái nào lồng trong JOIN ON</t>
        </is>
      </c>
      <c r="I7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06" s="48" t="inlineStr">
        <is>
          <t>037. OCB_GOLD_TCKH_V_USD_RATE_QUANG.xlsx [Script SQL: V_USD_RATE]</t>
        </is>
      </c>
    </row>
    <row r="707">
      <c r="A707" s="48" t="inlineStr">
        <is>
          <t>TCKH.V_USD_RATE</t>
        </is>
      </c>
      <c r="B707" s="48" t="inlineStr">
        <is>
          <t>SILVER_CONSUMER</t>
        </is>
      </c>
      <c r="C707" s="48" t="inlineStr">
        <is>
          <t>2.4</t>
        </is>
      </c>
      <c r="D707" s="48" t="inlineStr">
        <is>
          <t>Nhom 2 - Logic</t>
        </is>
      </c>
      <c r="E707" s="48" t="inlineStr">
        <is>
          <t>source_event_date áp dụng đúng dạng theo loại bảng</t>
        </is>
      </c>
      <c r="F707" s="48" t="inlineStr">
        <is>
          <t>N-A</t>
        </is>
      </c>
      <c r="G707" s="48" t="inlineStr">
        <is>
          <t>Pass</t>
        </is>
      </c>
      <c r="H707" s="50" t="inlineStr">
        <is>
          <t>script không đọc satellite nào</t>
        </is>
      </c>
      <c r="I7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07" s="48" t="inlineStr">
        <is>
          <t>037. OCB_GOLD_TCKH_V_USD_RATE_QUANG.xlsx [Script SQL: V_USD_RATE]</t>
        </is>
      </c>
    </row>
    <row r="708">
      <c r="A708" s="48" t="inlineStr">
        <is>
          <t>TCKH.V_USD_RATE</t>
        </is>
      </c>
      <c r="B708" s="48" t="inlineStr">
        <is>
          <t>SILVER_CONSUMER</t>
        </is>
      </c>
      <c r="C708" s="48" t="inlineStr">
        <is>
          <t>2.5</t>
        </is>
      </c>
      <c r="D708" s="48" t="inlineStr">
        <is>
          <t>Nhom 2 - Logic</t>
        </is>
      </c>
      <c r="E708" s="48" t="inlineStr">
        <is>
          <t>Không lặp lại lỗi logic cũ đã được DA Data Vault fix</t>
        </is>
      </c>
      <c r="F708" s="49" t="inlineStr">
        <is>
          <t>PASS</t>
        </is>
      </c>
      <c r="G708" s="48" t="inlineStr">
        <is>
          <t>Pass</t>
        </is>
      </c>
      <c r="H708" s="50" t="inlineStr">
        <is>
          <t>không trùng lỗi nào trong Issue log của DA Data Vault</t>
        </is>
      </c>
      <c r="I7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08" s="48" t="inlineStr">
        <is>
          <t>037. OCB_GOLD_TCKH_V_USD_RATE_QUANG.xlsx [Script SQL: V_USD_RATE]</t>
        </is>
      </c>
    </row>
    <row r="709">
      <c r="A709" s="48" t="inlineStr">
        <is>
          <t>TCKH.V_USD_RATE</t>
        </is>
      </c>
      <c r="B709" s="48" t="inlineStr">
        <is>
          <t>SILVER_CONSUMER</t>
        </is>
      </c>
      <c r="C709" s="48" t="inlineStr">
        <is>
          <t>2.6</t>
        </is>
      </c>
      <c r="D709" s="48" t="inlineStr">
        <is>
          <t>Nhom 2 - Logic</t>
        </is>
      </c>
      <c r="E709" s="48" t="inlineStr">
        <is>
          <t>SCD Type 2 cho bảng DIM áp dụng đúng kỹ thuật đã thống nhất</t>
        </is>
      </c>
      <c r="F709" s="48" t="inlineStr">
        <is>
          <t>N-A</t>
        </is>
      </c>
      <c r="G709" s="48" t="inlineStr">
        <is>
          <t>Pass</t>
        </is>
      </c>
      <c r="H709" s="50" t="inlineStr">
        <is>
          <t>object không phải bảng DIM nên không áp dụng SCD Type 2</t>
        </is>
      </c>
      <c r="I7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09" s="48" t="inlineStr">
        <is>
          <t>037. OCB_GOLD_TCKH_V_USD_RATE_QUANG.xlsx [Script SQL: V_USD_RATE]</t>
        </is>
      </c>
    </row>
    <row r="710">
      <c r="A710" s="48" t="inlineStr">
        <is>
          <t>TCKH.V_USD_RATE</t>
        </is>
      </c>
      <c r="B710" s="48" t="inlineStr">
        <is>
          <t>SILVER_CONSUMER</t>
        </is>
      </c>
      <c r="C710" s="48" t="inlineStr">
        <is>
          <t>2.7</t>
        </is>
      </c>
      <c r="D710" s="48" t="inlineStr">
        <is>
          <t>Nhom 2 - Logic</t>
        </is>
      </c>
      <c r="E710" s="48" t="inlineStr">
        <is>
          <t>CASE WHEN cover đủ nhánh như job on-prem</t>
        </is>
      </c>
      <c r="F710" s="48" t="inlineStr">
        <is>
          <t>N-A</t>
        </is>
      </c>
      <c r="G710" s="48" t="inlineStr">
        <is>
          <t>Pass</t>
        </is>
      </c>
      <c r="H710" s="50" t="inlineStr">
        <is>
          <t>script không có CASE WHEN nào</t>
        </is>
      </c>
      <c r="I710" s="50" t="inlineStr">
        <is>
          <t>Mở job on-prem tương ứng (DataStage DSX hoặc SQL cũ), đối chiếu từng nhánh WHEN và cả nhánh ELSE. CASE không có ELSE sẽ trả NULL âm thầm — xác nhận đó là ý muốn hay thiếu nhánh.</t>
        </is>
      </c>
      <c r="J710" s="48" t="inlineStr">
        <is>
          <t>037. OCB_GOLD_TCKH_V_USD_RATE_QUANG.xlsx [Script SQL: V_USD_RATE]</t>
        </is>
      </c>
    </row>
    <row r="711">
      <c r="A711" s="48" t="inlineStr">
        <is>
          <t>TCKH.V_USD_RATE</t>
        </is>
      </c>
      <c r="B711" s="48" t="inlineStr">
        <is>
          <t>SILVER_CONSUMER</t>
        </is>
      </c>
      <c r="C711" s="48" t="inlineStr">
        <is>
          <t>2.8</t>
        </is>
      </c>
      <c r="D711" s="48" t="inlineStr">
        <is>
          <t>Nhom 2 - Logic</t>
        </is>
      </c>
      <c r="E711" s="48" t="inlineStr">
        <is>
          <t>Cột SUM/COUNT được COALESCE/NVL hợp lý</t>
        </is>
      </c>
      <c r="F711" s="49" t="inlineStr">
        <is>
          <t>PASS</t>
        </is>
      </c>
      <c r="G711" s="48" t="inlineStr">
        <is>
          <t>Pass</t>
        </is>
      </c>
      <c r="H711" s="50" t="inlineStr">
        <is>
          <t>mọi SUM/COUNT đều đã coalesce (trực tiếp hoặc ở lớp ngoài)</t>
        </is>
      </c>
      <c r="I7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11" s="48" t="inlineStr">
        <is>
          <t>037. OCB_GOLD_TCKH_V_USD_RATE_QUANG.xlsx [Script SQL: V_USD_RATE]</t>
        </is>
      </c>
    </row>
    <row r="712">
      <c r="A712" s="48" t="inlineStr">
        <is>
          <t>TCKH.V_USD_RATE</t>
        </is>
      </c>
      <c r="B712" s="48" t="inlineStr">
        <is>
          <t>SILVER_CONSUMER</t>
        </is>
      </c>
      <c r="C712" s="48" t="inlineStr">
        <is>
          <t>2.9</t>
        </is>
      </c>
      <c r="D712" s="48" t="inlineStr">
        <is>
          <t>Nhom 2 - Logic</t>
        </is>
      </c>
      <c r="E712" s="48" t="inlineStr">
        <is>
          <t>Subquery / custom function / điều kiện LIKE đúng ý nghĩa nghiệp vụ</t>
        </is>
      </c>
      <c r="F712" s="48" t="inlineStr">
        <is>
          <t>N-A</t>
        </is>
      </c>
      <c r="G712" s="48" t="inlineStr">
        <is>
          <t>Pass</t>
        </is>
      </c>
      <c r="H712" s="50" t="inlineStr">
        <is>
          <t>script không có điều kiện LIKE hay scalar subquery nào</t>
        </is>
      </c>
      <c r="I712" s="50" t="inlineStr">
        <is>
          <t>Đọc lại từng điều kiện LIKE và từng subquery, đối chiếu ý nghĩa nghiệp vụ với on-prem — đúng cú pháp không đủ. Chú ý pattern LIKE có ký tự % ở đầu/cuối và phân biệt chữ hoa/thường.</t>
        </is>
      </c>
      <c r="J712" s="48" t="inlineStr">
        <is>
          <t>037. OCB_GOLD_TCKH_V_USD_RATE_QUANG.xlsx [Script SQL: V_USD_RATE]</t>
        </is>
      </c>
    </row>
    <row r="713">
      <c r="A713" s="48" t="inlineStr">
        <is>
          <t>TCKH.V_USD_RATE</t>
        </is>
      </c>
      <c r="B713" s="48" t="inlineStr">
        <is>
          <t>SILVER_CONSUMER</t>
        </is>
      </c>
      <c r="C713" s="48" t="inlineStr">
        <is>
          <t>2.10</t>
        </is>
      </c>
      <c r="D713" s="48" t="inlineStr">
        <is>
          <t>Nhom 2 - Logic</t>
        </is>
      </c>
      <c r="E713" s="48" t="inlineStr">
        <is>
          <t>Aggregation kèm filter date range chính xác</t>
        </is>
      </c>
      <c r="F713" s="49" t="inlineStr">
        <is>
          <t>PASS</t>
        </is>
      </c>
      <c r="G713" s="48" t="inlineStr">
        <is>
          <t>Pass</t>
        </is>
      </c>
      <c r="H713" s="50" t="inlineStr">
        <is>
          <t>mọi khối tổng hợp đều có điều kiện theo kỳ dữ liệu</t>
        </is>
      </c>
      <c r="I713" s="50" t="inlineStr">
        <is>
          <t>Mỗi khối SUM/COUNT/AVG phải có điều kiện lọc theo kỳ dữ liệu (CDR_DT_ID, DATA_DATE, :DATADT…). Nếu điều kiện nằm ở CTE nguồn thì ghi rõ trong comment để người review không phải truy ngược.</t>
        </is>
      </c>
      <c r="J713" s="48" t="inlineStr">
        <is>
          <t>037. OCB_GOLD_TCKH_V_USD_RATE_QUANG.xlsx [Script SQL: V_USD_RATE]</t>
        </is>
      </c>
    </row>
    <row r="714">
      <c r="A714" s="48" t="inlineStr">
        <is>
          <t>TCKH.V_USD_RATE</t>
        </is>
      </c>
      <c r="B714" s="48" t="inlineStr">
        <is>
          <t>SILVER_CONSUMER</t>
        </is>
      </c>
      <c r="C714" s="48" t="inlineStr">
        <is>
          <t>2.11</t>
        </is>
      </c>
      <c r="D714" s="48" t="inlineStr">
        <is>
          <t>Nhom 2 - Logic</t>
        </is>
      </c>
      <c r="E714" s="48" t="inlineStr">
        <is>
          <t>Join dùng key hợp lý, không lạm dụng UNION ALL + EXISTS/NOT EXISTS</t>
        </is>
      </c>
      <c r="F714" s="49" t="inlineStr">
        <is>
          <t>PASS</t>
        </is>
      </c>
      <c r="G714" s="48" t="inlineStr">
        <is>
          <t>Pass</t>
        </is>
      </c>
      <c r="H714" s="50" t="inlineStr">
        <is>
          <t>join đều theo điều kiện bằng, không lạm dụng UNION ALL + EXISTS</t>
        </is>
      </c>
      <c r="I714" s="50" t="inlineStr">
        <is>
          <t>Ưu tiên LEFT JOIN theo business key hoặc hashkey. Xem lại các chỗ dùng UNION ALL kết hợp EXISTS/NOT EXISTS — thường thay được bằng một LEFT JOIN. Join không có điều kiện bằng (=) dễ tạo tích Descartes.</t>
        </is>
      </c>
      <c r="J714" s="48" t="inlineStr">
        <is>
          <t>037. OCB_GOLD_TCKH_V_USD_RATE_QUANG.xlsx [Script SQL: V_USD_RATE]</t>
        </is>
      </c>
    </row>
    <row r="715">
      <c r="A715" s="48" t="inlineStr">
        <is>
          <t>TCKH.V_USD_RATE</t>
        </is>
      </c>
      <c r="B715" s="48" t="inlineStr">
        <is>
          <t>SILVER_CONSUMER</t>
        </is>
      </c>
      <c r="C715" s="48" t="inlineStr">
        <is>
          <t>2.12</t>
        </is>
      </c>
      <c r="D715" s="48" t="inlineStr">
        <is>
          <t>Nhom 2 - Logic</t>
        </is>
      </c>
      <c r="E715" s="48" t="inlineStr">
        <is>
          <t>Build Gold từ CTE snapshot Silver, không build nhiều tầng chồng chéo</t>
        </is>
      </c>
      <c r="F715" s="49" t="inlineStr">
        <is>
          <t>PASS</t>
        </is>
      </c>
      <c r="G715" s="48" t="inlineStr">
        <is>
          <t>Pass</t>
        </is>
      </c>
      <c r="H715" s="50" t="inlineStr">
        <is>
          <t>mỗi bảng nguồn chỉ đọc trong 1 khối SELECT</t>
        </is>
      </c>
      <c r="I7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15" s="48" t="inlineStr">
        <is>
          <t>037. OCB_GOLD_TCKH_V_USD_RATE_QUANG.xlsx [Script SQL: V_USD_RATE]</t>
        </is>
      </c>
    </row>
    <row r="716">
      <c r="A716" s="48" t="inlineStr">
        <is>
          <t>TCKH.V_USD_RATE</t>
        </is>
      </c>
      <c r="B716" s="48" t="inlineStr">
        <is>
          <t>SILVER_CONSUMER</t>
        </is>
      </c>
      <c r="C716" s="48" t="inlineStr">
        <is>
          <t>3.1</t>
        </is>
      </c>
      <c r="D716" s="48" t="inlineStr">
        <is>
          <t>Nhom 3 - Optimization</t>
        </is>
      </c>
      <c r="E716" s="48" t="inlineStr">
        <is>
          <t>Không SELECT *</t>
        </is>
      </c>
      <c r="F716" s="49" t="inlineStr">
        <is>
          <t>PASS</t>
        </is>
      </c>
      <c r="G716" s="48" t="inlineStr">
        <is>
          <t>Pass</t>
        </is>
      </c>
      <c r="H716" s="50" t="inlineStr">
        <is>
          <t>không dùng SELECT * ở đâu</t>
        </is>
      </c>
      <c r="I716" s="50" t="inlineStr">
        <is>
          <t>Liệt kê tường minh các cột cần dùng, kể cả trong CTE trung gian. SELECT * làm tăng IO/memory và vỡ script khi bảng nguồn thêm cột.</t>
        </is>
      </c>
      <c r="J716" s="48" t="inlineStr">
        <is>
          <t>037. OCB_GOLD_TCKH_V_USD_RATE_QUANG.xlsx [Script SQL: V_USD_RATE]</t>
        </is>
      </c>
    </row>
    <row r="717">
      <c r="A717" s="48" t="inlineStr">
        <is>
          <t>TCKH.V_USD_RATE</t>
        </is>
      </c>
      <c r="B717" s="48" t="inlineStr">
        <is>
          <t>SILVER_CONSUMER</t>
        </is>
      </c>
      <c r="C717" s="48" t="inlineStr">
        <is>
          <t>3.2</t>
        </is>
      </c>
      <c r="D717" s="48" t="inlineStr">
        <is>
          <t>Nhom 3 - Optimization</t>
        </is>
      </c>
      <c r="E717" s="48" t="inlineStr">
        <is>
          <t>CTE không bị scan lại nhiều lần</t>
        </is>
      </c>
      <c r="F717" s="49" t="inlineStr">
        <is>
          <t>PASS</t>
        </is>
      </c>
      <c r="G717" s="48" t="inlineStr">
        <is>
          <t>Pass</t>
        </is>
      </c>
      <c r="H717" s="50" t="inlineStr">
        <is>
          <t>không có CTE nào bị gọi lại</t>
        </is>
      </c>
      <c r="I717" s="50" t="inlineStr">
        <is>
          <t>Với CTE nặng (đọc nhiều bảng Silver) bị tham chiếu từ 2 chỗ trở lên: gom lại còn một lần dùng, hoặc vật chất hóa (CACHE / bảng tạm). CTE nhẹ chỉ chứa tham số thì bỏ qua được — tự tick Pass.</t>
        </is>
      </c>
      <c r="J717" s="48" t="inlineStr">
        <is>
          <t>037. OCB_GOLD_TCKH_V_USD_RATE_QUANG.xlsx [Script SQL: V_USD_RATE]</t>
        </is>
      </c>
    </row>
    <row r="718">
      <c r="A718" s="48" t="inlineStr">
        <is>
          <t>TCKH.V_USD_RATE</t>
        </is>
      </c>
      <c r="B718" s="48" t="inlineStr">
        <is>
          <t>SILVER_CONSUMER</t>
        </is>
      </c>
      <c r="C718" s="48" t="inlineStr">
        <is>
          <t>3.3</t>
        </is>
      </c>
      <c r="D718" s="48" t="inlineStr">
        <is>
          <t>Nhom 3 - Optimization</t>
        </is>
      </c>
      <c r="E718" s="48" t="inlineStr">
        <is>
          <t>Filter trước khi join, tận dụng partition pruning</t>
        </is>
      </c>
      <c r="F718" s="49" t="inlineStr">
        <is>
          <t>PASS</t>
        </is>
      </c>
      <c r="G718" s="48" t="inlineStr">
        <is>
          <t>Pass</t>
        </is>
      </c>
      <c r="H718" s="50" t="inlineStr">
        <is>
          <t>các bảng join đều được filter trước</t>
        </is>
      </c>
      <c r="I718" s="50" t="inlineStr">
        <is>
          <t>Đưa điều kiện lọc (ngày dữ liệu, trạng thái) vào subquery của từng bảng TRƯỚC khi join, để tận dụng partition pruning. Bảng dim nhỏ không partition thì không cần — tự tick Pass.</t>
        </is>
      </c>
      <c r="J718" s="48" t="inlineStr">
        <is>
          <t>037. OCB_GOLD_TCKH_V_USD_RATE_QUANG.xlsx [Script SQL: V_USD_RATE]</t>
        </is>
      </c>
    </row>
    <row r="719">
      <c r="A719" s="48" t="inlineStr">
        <is>
          <t>TCKH.V_USD_RATE</t>
        </is>
      </c>
      <c r="B719" s="48" t="inlineStr">
        <is>
          <t>SILVER_CONSUMER</t>
        </is>
      </c>
      <c r="C719" s="48" t="inlineStr">
        <is>
          <t>3.4</t>
        </is>
      </c>
      <c r="D719" s="48" t="inlineStr">
        <is>
          <t>Nhom 3 - Optimization</t>
        </is>
      </c>
      <c r="E719" s="48" t="inlineStr">
        <is>
          <t>Sử dụng CACHE cho query lặp lại trong cùng luồng</t>
        </is>
      </c>
      <c r="F719" s="48" t="inlineStr">
        <is>
          <t>N-A</t>
        </is>
      </c>
      <c r="G719" s="48" t="inlineStr">
        <is>
          <t>Pass</t>
        </is>
      </c>
      <c r="H719" s="50" t="inlineStr">
        <is>
          <t>không có kết quả nào được dùng lại nhiều lần nên chưa cần CACHE</t>
        </is>
      </c>
      <c r="I719" s="50" t="inlineStr">
        <is>
          <t>Nếu một kết quả nặng được dùng lại nhiều bước trong cùng luồng, thêm CACHE TABLE / CACHE SELECT. Kết quả nhỏ thì cache còn chậm hơn — tự tick Pass.</t>
        </is>
      </c>
      <c r="J719" s="48" t="inlineStr">
        <is>
          <t>037. OCB_GOLD_TCKH_V_USD_RATE_QUANG.xlsx [Script SQL: V_USD_RATE]</t>
        </is>
      </c>
    </row>
    <row r="720">
      <c r="A720" s="48" t="inlineStr">
        <is>
          <t>TCKH.V_USD_RATE</t>
        </is>
      </c>
      <c r="B720" s="48" t="inlineStr">
        <is>
          <t>SILVER_CONSUMER</t>
        </is>
      </c>
      <c r="C720" s="48" t="inlineStr">
        <is>
          <t>3.5</t>
        </is>
      </c>
      <c r="D720" s="48" t="inlineStr">
        <is>
          <t>Nhom 3 - Optimization</t>
        </is>
      </c>
      <c r="E720" s="48" t="inlineStr">
        <is>
          <t>Ưu tiên MAX_BY + QUALIFY thay ROW_NUMBER() + WHERE rn = 1</t>
        </is>
      </c>
      <c r="F720" s="48" t="inlineStr">
        <is>
          <t>N-A</t>
        </is>
      </c>
      <c r="G720" s="48" t="inlineStr">
        <is>
          <t>Pass</t>
        </is>
      </c>
      <c r="H720" s="50" t="inlineStr">
        <is>
          <t>script không dùng ROW_NUMBER, và MAX_BY (nếu có) không vượt quá 5 cột/khối</t>
        </is>
      </c>
      <c r="I7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20" s="48" t="inlineStr">
        <is>
          <t>037. OCB_GOLD_TCKH_V_USD_RATE_QUANG.xlsx [Script SQL: V_USD_RATE]</t>
        </is>
      </c>
    </row>
    <row r="721">
      <c r="A721" s="48" t="inlineStr">
        <is>
          <t>TCKH.V_USD_RATE</t>
        </is>
      </c>
      <c r="B721" s="48" t="inlineStr">
        <is>
          <t>SILVER_CONSUMER</t>
        </is>
      </c>
      <c r="C721" s="48" t="inlineStr">
        <is>
          <t>3.6</t>
        </is>
      </c>
      <c r="D721" s="48" t="inlineStr">
        <is>
          <t>Nhom 3 - Optimization</t>
        </is>
      </c>
      <c r="E721" s="48" t="inlineStr">
        <is>
          <t>Không lạm dụng window function; có comment khi dùng</t>
        </is>
      </c>
      <c r="F721" s="48" t="inlineStr">
        <is>
          <t>N-A</t>
        </is>
      </c>
      <c r="G721" s="48" t="inlineStr">
        <is>
          <t>Pass</t>
        </is>
      </c>
      <c r="H721" s="50" t="inlineStr">
        <is>
          <t>script không dùng window function</t>
        </is>
      </c>
      <c r="I721" s="50" t="inlineStr">
        <is>
          <t>Mỗi window function cần một comment ngay trên khối CTE chứa nó, nói rõ vì sao không dùng được max_by/QUALIFY đơn giản hơn.</t>
        </is>
      </c>
      <c r="J721" s="48" t="inlineStr">
        <is>
          <t>037. OCB_GOLD_TCKH_V_USD_RATE_QUANG.xlsx [Script SQL: V_USD_RATE]</t>
        </is>
      </c>
    </row>
    <row r="722">
      <c r="A722" s="48" t="inlineStr">
        <is>
          <t>TCKH.V_USD_RATE</t>
        </is>
      </c>
      <c r="B722" s="48" t="inlineStr">
        <is>
          <t>SILVER_CONSUMER</t>
        </is>
      </c>
      <c r="C722" s="48" t="inlineStr">
        <is>
          <t>X.1</t>
        </is>
      </c>
      <c r="D722" s="48" t="inlineStr">
        <is>
          <t>Nhom X - Bo sung Raffles</t>
        </is>
      </c>
      <c r="E722" s="48" t="inlineStr">
        <is>
          <t>[Bổ sung] Link phải rút về current trước khi join (chống fan-out)</t>
        </is>
      </c>
      <c r="F722" s="49" t="inlineStr">
        <is>
          <t>PASS</t>
        </is>
      </c>
      <c r="G722" s="48" t="inlineStr">
        <is>
          <t>Pass</t>
        </is>
      </c>
      <c r="H722" s="50" t="inlineStr">
        <is>
          <t>các bảng link_* đều được rút về current trước khi join</t>
        </is>
      </c>
      <c r="I7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22" s="48" t="inlineStr">
        <is>
          <t>037. OCB_GOLD_TCKH_V_USD_RATE_QUANG.xlsx [Script SQL: V_USD_RATE]</t>
        </is>
      </c>
    </row>
    <row r="723">
      <c r="A723" s="48" t="inlineStr">
        <is>
          <t>TCKH.V_USD_RATE</t>
        </is>
      </c>
      <c r="B723" s="48" t="inlineStr">
        <is>
          <t>SILVER_CONSUMER</t>
        </is>
      </c>
      <c r="C723" s="48" t="inlineStr">
        <is>
          <t>X.6</t>
        </is>
      </c>
      <c r="D723" s="48" t="inlineStr">
        <is>
          <t>Nhom X - Bo sung Raffles</t>
        </is>
      </c>
      <c r="E723" s="48" t="inlineStr">
        <is>
          <t>[Bổ sung] Satellite phải LEFT JOIN, không INNER JOIN</t>
        </is>
      </c>
      <c r="F723" s="48" t="inlineStr">
        <is>
          <t>N-A</t>
        </is>
      </c>
      <c r="G723" s="48" t="inlineStr">
        <is>
          <t>Pass</t>
        </is>
      </c>
      <c r="H723" s="50" t="inlineStr">
        <is>
          <t>không join satellite trực tiếp</t>
        </is>
      </c>
      <c r="I723" s="50" t="inlineStr">
        <is>
          <t>Technical Document III.4.2.2 nguyên tắc 1: làm giàu thuộc tính luôn dùng LEFT JOIN. INNER JOIN satellite sẽ loại mất bản ghi Hub đang còn hiệu lực nhưng chưa có dòng satellite.</t>
        </is>
      </c>
      <c r="J723" s="48" t="inlineStr">
        <is>
          <t>037. OCB_GOLD_TCKH_V_USD_RATE_QUANG.xlsx [Script SQL: V_USD_RATE]</t>
        </is>
      </c>
    </row>
    <row r="724">
      <c r="A724" s="48" t="inlineStr">
        <is>
          <t>TCKH.V_USD_RATE</t>
        </is>
      </c>
      <c r="B724" s="48" t="inlineStr">
        <is>
          <t>SILVER_CONSUMER</t>
        </is>
      </c>
      <c r="C724" s="48" t="inlineStr">
        <is>
          <t>X.7</t>
        </is>
      </c>
      <c r="D724" s="48" t="inlineStr">
        <is>
          <t>Nhom X - Bo sung Raffles</t>
        </is>
      </c>
      <c r="E724" s="48" t="inlineStr">
        <is>
          <t>[Bổ sung] Không hard-code catalog, dùng biến môi trường</t>
        </is>
      </c>
      <c r="F724" s="49" t="inlineStr">
        <is>
          <t>PASS</t>
        </is>
      </c>
      <c r="G724" s="48" t="inlineStr">
        <is>
          <t>Pass</t>
        </is>
      </c>
      <c r="H724" s="50" t="inlineStr">
        <is>
          <t>dùng biến môi trường cho catalog</t>
        </is>
      </c>
      <c r="I7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24" s="48" t="inlineStr">
        <is>
          <t>037. OCB_GOLD_TCKH_V_USD_RATE_QUANG.xlsx [Script SQL: V_USD_RATE]</t>
        </is>
      </c>
    </row>
    <row r="725">
      <c r="A725" s="48" t="inlineStr">
        <is>
          <t>TCKH.V_USD_RATE</t>
        </is>
      </c>
      <c r="B725" s="48" t="inlineStr">
        <is>
          <t>SILVER_CONSUMER</t>
        </is>
      </c>
      <c r="C725" s="48" t="inlineStr">
        <is>
          <t>X.10</t>
        </is>
      </c>
      <c r="D725" s="48" t="inlineStr">
        <is>
          <t>Nhom X - Bo sung Raffles</t>
        </is>
      </c>
      <c r="E725" s="48" t="inlineStr">
        <is>
          <t>Bang raw_vault/business_vault duoc doc phai TON TAI THAT trong Data Vault model</t>
        </is>
      </c>
      <c r="F725" s="49" t="inlineStr">
        <is>
          <t>PASS</t>
        </is>
      </c>
      <c r="G725" s="48" t="inlineStr">
        <is>
          <t>Pass</t>
        </is>
      </c>
      <c r="H725" s="50" t="inlineStr">
        <is>
          <t>1 bảng Silver đều có thật trong Data Vault model</t>
        </is>
      </c>
      <c r="I725" s="50" t="inlineStr"/>
      <c r="J725" s="48" t="inlineStr">
        <is>
          <t>037. OCB_GOLD_TCKH_V_USD_RATE_QUANG.xlsx [Script SQL: V_USD_RATE]</t>
        </is>
      </c>
    </row>
    <row r="726">
      <c r="A726" s="48" t="inlineStr">
        <is>
          <t>TCKH.V_USD_RATE</t>
        </is>
      </c>
      <c r="B726" s="48" t="inlineStr">
        <is>
          <t>SILVER_CONSUMER</t>
        </is>
      </c>
      <c r="C726" s="48" t="inlineStr">
        <is>
          <t>X.11</t>
        </is>
      </c>
      <c r="D726" s="48" t="inlineStr">
        <is>
          <t>Nhom X - Bo sung Raffles</t>
        </is>
      </c>
      <c r="E726" s="48" t="inlineStr">
        <is>
          <t>Cot doc tu satellite (sat_*) phai TON TAI THAT trong model</t>
        </is>
      </c>
      <c r="F726" s="48" t="inlineStr">
        <is>
          <t>N-A</t>
        </is>
      </c>
      <c r="G726" s="48" t="inlineStr">
        <is>
          <t>Pass</t>
        </is>
      </c>
      <c r="H726" s="50" t="inlineStr">
        <is>
          <t>không có bảng sat_* nào đủ điều kiện đối chiếu (Select chỉ đọc 1 bảng)</t>
        </is>
      </c>
      <c r="I726" s="50" t="inlineStr"/>
      <c r="J726" s="48" t="inlineStr">
        <is>
          <t>037. OCB_GOLD_TCKH_V_USD_RATE_QUANG.xlsx [Script SQL: V_USD_RATE]</t>
        </is>
      </c>
    </row>
    <row r="727">
      <c r="A727" s="48" t="inlineStr">
        <is>
          <t>TCKH.V_SECTOR_LIST</t>
        </is>
      </c>
      <c r="B727" s="48" t="inlineStr">
        <is>
          <t>SILVER_CONSUMER</t>
        </is>
      </c>
      <c r="C727" s="48" t="inlineStr">
        <is>
          <t>1.1</t>
        </is>
      </c>
      <c r="D727" s="48" t="inlineStr">
        <is>
          <t>Nhom 1 - Mapping</t>
        </is>
      </c>
      <c r="E727" s="48" t="inlineStr">
        <is>
          <t>Đầy đủ mapping từ Silver/manual sang Gold</t>
        </is>
      </c>
      <c r="F727" s="49" t="inlineStr">
        <is>
          <t>PASS</t>
        </is>
      </c>
      <c r="G727" s="48" t="inlineStr">
        <is>
          <t>Pass</t>
        </is>
      </c>
      <c r="H727" s="50" t="inlineStr">
        <is>
          <t>workbook 038. OCB_GOLD_TCKH_V_SECTOR_LIST_HOP.xlsx: thiết kế 3 field, SQL có 3 cột</t>
        </is>
      </c>
      <c r="I7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27" s="48" t="inlineStr">
        <is>
          <t>038. OCB_GOLD_TCKH_V_SECTOR_LIST_HOP.xlsx [Script: V_SECTOR_LIST]</t>
        </is>
      </c>
    </row>
    <row r="728">
      <c r="A728" s="48" t="inlineStr">
        <is>
          <t>TCKH.V_SECTOR_LIST</t>
        </is>
      </c>
      <c r="B728" s="48" t="inlineStr">
        <is>
          <t>SILVER_CONSUMER</t>
        </is>
      </c>
      <c r="C728" s="48" t="inlineStr">
        <is>
          <t>1.2</t>
        </is>
      </c>
      <c r="D728" s="48" t="inlineStr">
        <is>
          <t>Nhom 1 - Mapping</t>
        </is>
      </c>
      <c r="E728" s="48" t="inlineStr">
        <is>
          <t>Danh sách bảng/view Gold khớp tài liệu thiết kế đã duyệt</t>
        </is>
      </c>
      <c r="F728" s="49" t="inlineStr">
        <is>
          <t>PASS</t>
        </is>
      </c>
      <c r="G728" s="48" t="inlineStr">
        <is>
          <t>Pass</t>
        </is>
      </c>
      <c r="H728" s="50" t="inlineStr">
        <is>
          <t>V_SECTOR_LIST có workbook thiết kế: 038. OCB_GOLD_TCKH_V_SECTOR_LIST_HOP.xlsx</t>
        </is>
      </c>
      <c r="I728" s="50" t="inlineStr">
        <is>
          <t>Đảm bảo object có workbook thiết kế tương ứng trong thư mục --mapping-dir. Muốn đối chiếu với danh sách đã duyệt thì chạy thêm tham số --gold-list "&lt;file danh sách Gold&gt;.xlsx".</t>
        </is>
      </c>
      <c r="J728" s="48" t="inlineStr">
        <is>
          <t>038. OCB_GOLD_TCKH_V_SECTOR_LIST_HOP.xlsx [Script: V_SECTOR_LIST]</t>
        </is>
      </c>
    </row>
    <row r="729">
      <c r="A729" s="48" t="inlineStr">
        <is>
          <t>TCKH.V_SECTOR_LIST</t>
        </is>
      </c>
      <c r="B729" s="48" t="inlineStr">
        <is>
          <t>SILVER_CONSUMER</t>
        </is>
      </c>
      <c r="C729" s="48" t="inlineStr">
        <is>
          <t>2.1</t>
        </is>
      </c>
      <c r="D729" s="48" t="inlineStr">
        <is>
          <t>Nhom 2 - Logic</t>
        </is>
      </c>
      <c r="E729" s="48" t="inlineStr">
        <is>
          <t>Chỉ lấy bản ghi active, loại bản ghi đã xóa (qua sts_hub)</t>
        </is>
      </c>
      <c r="F729" s="48" t="inlineStr">
        <is>
          <t>N-A</t>
        </is>
      </c>
      <c r="G729" s="48" t="inlineStr">
        <is>
          <t>Pass</t>
        </is>
      </c>
      <c r="H729" s="50" t="inlineStr">
        <is>
          <t>script không đọc sts_hub/satellite nào nên không có bản ghi xóa để lọc</t>
        </is>
      </c>
      <c r="I7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29" s="48" t="inlineStr">
        <is>
          <t>038. OCB_GOLD_TCKH_V_SECTOR_LIST_HOP.xlsx [Script: V_SECTOR_LIST]</t>
        </is>
      </c>
    </row>
    <row r="730">
      <c r="A730" s="48" t="inlineStr">
        <is>
          <t>TCKH.V_SECTOR_LIST</t>
        </is>
      </c>
      <c r="B730" s="48" t="inlineStr">
        <is>
          <t>SILVER_CONSUMER</t>
        </is>
      </c>
      <c r="C730" s="48" t="inlineStr">
        <is>
          <t>2.2</t>
        </is>
      </c>
      <c r="D730" s="48" t="inlineStr">
        <is>
          <t>Nhom 2 - Logic</t>
        </is>
      </c>
      <c r="E730" s="48" t="inlineStr">
        <is>
          <t>Thống nhất MỘT pattern duy nhất xác định bản ghi active mới nhất</t>
        </is>
      </c>
      <c r="F730" s="48" t="inlineStr">
        <is>
          <t>N-A</t>
        </is>
      </c>
      <c r="G730" s="48" t="inlineStr">
        <is>
          <t>Pass</t>
        </is>
      </c>
      <c r="H730" s="50" t="inlineStr">
        <is>
          <t>script không có bước lấy bản ghi mới nhất nào tính là bất nhất (không dùng, hoặc chỉ dùng ROW_NUMBER cho block &gt;5 cột - đã miễn trừ)</t>
        </is>
      </c>
      <c r="I7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30" s="48" t="inlineStr">
        <is>
          <t>038. OCB_GOLD_TCKH_V_SECTOR_LIST_HOP.xlsx [Script: V_SECTOR_LIST]</t>
        </is>
      </c>
    </row>
    <row r="731">
      <c r="A731" s="48" t="inlineStr">
        <is>
          <t>TCKH.V_SECTOR_LIST</t>
        </is>
      </c>
      <c r="B731" s="48" t="inlineStr">
        <is>
          <t>SILVER_CONSUMER</t>
        </is>
      </c>
      <c r="C731" s="48" t="inlineStr">
        <is>
          <t>2.3</t>
        </is>
      </c>
      <c r="D731" s="48" t="inlineStr">
        <is>
          <t>Nhom 2 - Logic</t>
        </is>
      </c>
      <c r="E731" s="48" t="inlineStr">
        <is>
          <t>Điều kiện lọc trạng thái đặt SAU khi xác định bản ghi mới nhất</t>
        </is>
      </c>
      <c r="F731" s="49" t="inlineStr">
        <is>
          <t>PASS</t>
        </is>
      </c>
      <c r="G731" s="48" t="inlineStr">
        <is>
          <t>Pass</t>
        </is>
      </c>
      <c r="H731" s="50" t="inlineStr">
        <is>
          <t>không có điều kiện trạng thái nào lồng trong JOIN ON</t>
        </is>
      </c>
      <c r="I7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31" s="48" t="inlineStr">
        <is>
          <t>038. OCB_GOLD_TCKH_V_SECTOR_LIST_HOP.xlsx [Script: V_SECTOR_LIST]</t>
        </is>
      </c>
    </row>
    <row r="732">
      <c r="A732" s="48" t="inlineStr">
        <is>
          <t>TCKH.V_SECTOR_LIST</t>
        </is>
      </c>
      <c r="B732" s="48" t="inlineStr">
        <is>
          <t>SILVER_CONSUMER</t>
        </is>
      </c>
      <c r="C732" s="48" t="inlineStr">
        <is>
          <t>2.4</t>
        </is>
      </c>
      <c r="D732" s="48" t="inlineStr">
        <is>
          <t>Nhom 2 - Logic</t>
        </is>
      </c>
      <c r="E732" s="48" t="inlineStr">
        <is>
          <t>source_event_date áp dụng đúng dạng theo loại bảng</t>
        </is>
      </c>
      <c r="F732" s="48" t="inlineStr">
        <is>
          <t>N-A</t>
        </is>
      </c>
      <c r="G732" s="48" t="inlineStr">
        <is>
          <t>Pass</t>
        </is>
      </c>
      <c r="H732" s="50" t="inlineStr">
        <is>
          <t>script không đọc satellite nào</t>
        </is>
      </c>
      <c r="I7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32" s="48" t="inlineStr">
        <is>
          <t>038. OCB_GOLD_TCKH_V_SECTOR_LIST_HOP.xlsx [Script: V_SECTOR_LIST]</t>
        </is>
      </c>
    </row>
    <row r="733">
      <c r="A733" s="48" t="inlineStr">
        <is>
          <t>TCKH.V_SECTOR_LIST</t>
        </is>
      </c>
      <c r="B733" s="48" t="inlineStr">
        <is>
          <t>SILVER_CONSUMER</t>
        </is>
      </c>
      <c r="C733" s="48" t="inlineStr">
        <is>
          <t>2.5</t>
        </is>
      </c>
      <c r="D733" s="48" t="inlineStr">
        <is>
          <t>Nhom 2 - Logic</t>
        </is>
      </c>
      <c r="E733" s="48" t="inlineStr">
        <is>
          <t>Không lặp lại lỗi logic cũ đã được DA Data Vault fix</t>
        </is>
      </c>
      <c r="F733" s="49" t="inlineStr">
        <is>
          <t>PASS</t>
        </is>
      </c>
      <c r="G733" s="48" t="inlineStr">
        <is>
          <t>Pass</t>
        </is>
      </c>
      <c r="H733" s="50" t="inlineStr">
        <is>
          <t>không trùng lỗi nào trong Issue log của DA Data Vault</t>
        </is>
      </c>
      <c r="I7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33" s="48" t="inlineStr">
        <is>
          <t>038. OCB_GOLD_TCKH_V_SECTOR_LIST_HOP.xlsx [Script: V_SECTOR_LIST]</t>
        </is>
      </c>
    </row>
    <row r="734">
      <c r="A734" s="48" t="inlineStr">
        <is>
          <t>TCKH.V_SECTOR_LIST</t>
        </is>
      </c>
      <c r="B734" s="48" t="inlineStr">
        <is>
          <t>SILVER_CONSUMER</t>
        </is>
      </c>
      <c r="C734" s="48" t="inlineStr">
        <is>
          <t>2.6</t>
        </is>
      </c>
      <c r="D734" s="48" t="inlineStr">
        <is>
          <t>Nhom 2 - Logic</t>
        </is>
      </c>
      <c r="E734" s="48" t="inlineStr">
        <is>
          <t>SCD Type 2 cho bảng DIM áp dụng đúng kỹ thuật đã thống nhất</t>
        </is>
      </c>
      <c r="F734" s="48" t="inlineStr">
        <is>
          <t>N-A</t>
        </is>
      </c>
      <c r="G734" s="48" t="inlineStr">
        <is>
          <t>Pass</t>
        </is>
      </c>
      <c r="H734" s="50" t="inlineStr">
        <is>
          <t>object không phải bảng DIM nên không áp dụng SCD Type 2</t>
        </is>
      </c>
      <c r="I7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34" s="48" t="inlineStr">
        <is>
          <t>038. OCB_GOLD_TCKH_V_SECTOR_LIST_HOP.xlsx [Script: V_SECTOR_LIST]</t>
        </is>
      </c>
    </row>
    <row r="735">
      <c r="A735" s="48" t="inlineStr">
        <is>
          <t>TCKH.V_SECTOR_LIST</t>
        </is>
      </c>
      <c r="B735" s="48" t="inlineStr">
        <is>
          <t>SILVER_CONSUMER</t>
        </is>
      </c>
      <c r="C735" s="48" t="inlineStr">
        <is>
          <t>2.7</t>
        </is>
      </c>
      <c r="D735" s="48" t="inlineStr">
        <is>
          <t>Nhom 2 - Logic</t>
        </is>
      </c>
      <c r="E735" s="48" t="inlineStr">
        <is>
          <t>CASE WHEN cover đủ nhánh như job on-prem</t>
        </is>
      </c>
      <c r="F735" s="49" t="inlineStr">
        <is>
          <t>PASS</t>
        </is>
      </c>
      <c r="G735" s="48" t="inlineStr">
        <is>
          <t>Pass</t>
        </is>
      </c>
      <c r="H735" s="50" t="inlineStr">
        <is>
          <t>cả 1 CASE đều có nhánh ELSE</t>
        </is>
      </c>
      <c r="I735" s="50" t="inlineStr">
        <is>
          <t>Mở job on-prem tương ứng (DataStage DSX hoặc SQL cũ), đối chiếu từng nhánh WHEN và cả nhánh ELSE. CASE không có ELSE sẽ trả NULL âm thầm — xác nhận đó là ý muốn hay thiếu nhánh.</t>
        </is>
      </c>
      <c r="J735" s="48" t="inlineStr">
        <is>
          <t>038. OCB_GOLD_TCKH_V_SECTOR_LIST_HOP.xlsx [Script: V_SECTOR_LIST]</t>
        </is>
      </c>
    </row>
    <row r="736">
      <c r="A736" s="48" t="inlineStr">
        <is>
          <t>TCKH.V_SECTOR_LIST</t>
        </is>
      </c>
      <c r="B736" s="48" t="inlineStr">
        <is>
          <t>SILVER_CONSUMER</t>
        </is>
      </c>
      <c r="C736" s="48" t="inlineStr">
        <is>
          <t>2.8</t>
        </is>
      </c>
      <c r="D736" s="48" t="inlineStr">
        <is>
          <t>Nhom 2 - Logic</t>
        </is>
      </c>
      <c r="E736" s="48" t="inlineStr">
        <is>
          <t>Cột SUM/COUNT được COALESCE/NVL hợp lý</t>
        </is>
      </c>
      <c r="F736" s="49" t="inlineStr">
        <is>
          <t>PASS</t>
        </is>
      </c>
      <c r="G736" s="48" t="inlineStr">
        <is>
          <t>Pass</t>
        </is>
      </c>
      <c r="H736" s="50" t="inlineStr">
        <is>
          <t>mọi SUM/COUNT đều đã coalesce (trực tiếp hoặc ở lớp ngoài)</t>
        </is>
      </c>
      <c r="I7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36" s="48" t="inlineStr">
        <is>
          <t>038. OCB_GOLD_TCKH_V_SECTOR_LIST_HOP.xlsx [Script: V_SECTOR_LIST]</t>
        </is>
      </c>
    </row>
    <row r="737">
      <c r="A737" s="48" t="inlineStr">
        <is>
          <t>TCKH.V_SECTOR_LIST</t>
        </is>
      </c>
      <c r="B737" s="48" t="inlineStr">
        <is>
          <t>SILVER_CONSUMER</t>
        </is>
      </c>
      <c r="C737" s="48" t="inlineStr">
        <is>
          <t>2.9</t>
        </is>
      </c>
      <c r="D737" s="48" t="inlineStr">
        <is>
          <t>Nhom 2 - Logic</t>
        </is>
      </c>
      <c r="E737" s="48" t="inlineStr">
        <is>
          <t>Subquery / custom function / điều kiện LIKE đúng ý nghĩa nghiệp vụ</t>
        </is>
      </c>
      <c r="F737" s="48" t="inlineStr">
        <is>
          <t>N-A</t>
        </is>
      </c>
      <c r="G737" s="48" t="inlineStr">
        <is>
          <t>Pass</t>
        </is>
      </c>
      <c r="H737" s="50" t="inlineStr">
        <is>
          <t>script không có điều kiện LIKE hay scalar subquery nào</t>
        </is>
      </c>
      <c r="I737" s="50" t="inlineStr">
        <is>
          <t>Đọc lại từng điều kiện LIKE và từng subquery, đối chiếu ý nghĩa nghiệp vụ với on-prem — đúng cú pháp không đủ. Chú ý pattern LIKE có ký tự % ở đầu/cuối và phân biệt chữ hoa/thường.</t>
        </is>
      </c>
      <c r="J737" s="48" t="inlineStr">
        <is>
          <t>038. OCB_GOLD_TCKH_V_SECTOR_LIST_HOP.xlsx [Script: V_SECTOR_LIST]</t>
        </is>
      </c>
    </row>
    <row r="738">
      <c r="A738" s="48" t="inlineStr">
        <is>
          <t>TCKH.V_SECTOR_LIST</t>
        </is>
      </c>
      <c r="B738" s="48" t="inlineStr">
        <is>
          <t>SILVER_CONSUMER</t>
        </is>
      </c>
      <c r="C738" s="48" t="inlineStr">
        <is>
          <t>2.10</t>
        </is>
      </c>
      <c r="D738" s="48" t="inlineStr">
        <is>
          <t>Nhom 2 - Logic</t>
        </is>
      </c>
      <c r="E738" s="48" t="inlineStr">
        <is>
          <t>Aggregation kèm filter date range chính xác</t>
        </is>
      </c>
      <c r="F738" s="49" t="inlineStr">
        <is>
          <t>PASS</t>
        </is>
      </c>
      <c r="G738" s="48" t="inlineStr">
        <is>
          <t>Pass</t>
        </is>
      </c>
      <c r="H738" s="50" t="inlineStr">
        <is>
          <t>mọi khối tổng hợp đều có điều kiện theo kỳ dữ liệu</t>
        </is>
      </c>
      <c r="I738" s="50" t="inlineStr">
        <is>
          <t>Mỗi khối SUM/COUNT/AVG phải có điều kiện lọc theo kỳ dữ liệu (CDR_DT_ID, DATA_DATE, :DATADT…). Nếu điều kiện nằm ở CTE nguồn thì ghi rõ trong comment để người review không phải truy ngược.</t>
        </is>
      </c>
      <c r="J738" s="48" t="inlineStr">
        <is>
          <t>038. OCB_GOLD_TCKH_V_SECTOR_LIST_HOP.xlsx [Script: V_SECTOR_LIST]</t>
        </is>
      </c>
    </row>
    <row r="739">
      <c r="A739" s="48" t="inlineStr">
        <is>
          <t>TCKH.V_SECTOR_LIST</t>
        </is>
      </c>
      <c r="B739" s="48" t="inlineStr">
        <is>
          <t>SILVER_CONSUMER</t>
        </is>
      </c>
      <c r="C739" s="48" t="inlineStr">
        <is>
          <t>2.11</t>
        </is>
      </c>
      <c r="D739" s="48" t="inlineStr">
        <is>
          <t>Nhom 2 - Logic</t>
        </is>
      </c>
      <c r="E739" s="48" t="inlineStr">
        <is>
          <t>Join dùng key hợp lý, không lạm dụng UNION ALL + EXISTS/NOT EXISTS</t>
        </is>
      </c>
      <c r="F739" s="49" t="inlineStr">
        <is>
          <t>PASS</t>
        </is>
      </c>
      <c r="G739" s="48" t="inlineStr">
        <is>
          <t>Pass</t>
        </is>
      </c>
      <c r="H739" s="50" t="inlineStr">
        <is>
          <t>join đều theo điều kiện bằng, không lạm dụng UNION ALL + EXISTS</t>
        </is>
      </c>
      <c r="I739" s="50" t="inlineStr">
        <is>
          <t>Ưu tiên LEFT JOIN theo business key hoặc hashkey. Xem lại các chỗ dùng UNION ALL kết hợp EXISTS/NOT EXISTS — thường thay được bằng một LEFT JOIN. Join không có điều kiện bằng (=) dễ tạo tích Descartes.</t>
        </is>
      </c>
      <c r="J739" s="48" t="inlineStr">
        <is>
          <t>038. OCB_GOLD_TCKH_V_SECTOR_LIST_HOP.xlsx [Script: V_SECTOR_LIST]</t>
        </is>
      </c>
    </row>
    <row r="740">
      <c r="A740" s="48" t="inlineStr">
        <is>
          <t>TCKH.V_SECTOR_LIST</t>
        </is>
      </c>
      <c r="B740" s="48" t="inlineStr">
        <is>
          <t>SILVER_CONSUMER</t>
        </is>
      </c>
      <c r="C740" s="48" t="inlineStr">
        <is>
          <t>2.12</t>
        </is>
      </c>
      <c r="D740" s="48" t="inlineStr">
        <is>
          <t>Nhom 2 - Logic</t>
        </is>
      </c>
      <c r="E740" s="48" t="inlineStr">
        <is>
          <t>Build Gold từ CTE snapshot Silver, không build nhiều tầng chồng chéo</t>
        </is>
      </c>
      <c r="F740" s="49" t="inlineStr">
        <is>
          <t>PASS</t>
        </is>
      </c>
      <c r="G740" s="48" t="inlineStr">
        <is>
          <t>Pass</t>
        </is>
      </c>
      <c r="H740" s="50" t="inlineStr">
        <is>
          <t>mỗi bảng nguồn chỉ đọc trong 1 khối SELECT</t>
        </is>
      </c>
      <c r="I7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40" s="48" t="inlineStr">
        <is>
          <t>038. OCB_GOLD_TCKH_V_SECTOR_LIST_HOP.xlsx [Script: V_SECTOR_LIST]</t>
        </is>
      </c>
    </row>
    <row r="741">
      <c r="A741" s="48" t="inlineStr">
        <is>
          <t>TCKH.V_SECTOR_LIST</t>
        </is>
      </c>
      <c r="B741" s="48" t="inlineStr">
        <is>
          <t>SILVER_CONSUMER</t>
        </is>
      </c>
      <c r="C741" s="48" t="inlineStr">
        <is>
          <t>3.1</t>
        </is>
      </c>
      <c r="D741" s="48" t="inlineStr">
        <is>
          <t>Nhom 3 - Optimization</t>
        </is>
      </c>
      <c r="E741" s="48" t="inlineStr">
        <is>
          <t>Không SELECT *</t>
        </is>
      </c>
      <c r="F741" s="49" t="inlineStr">
        <is>
          <t>PASS</t>
        </is>
      </c>
      <c r="G741" s="48" t="inlineStr">
        <is>
          <t>Pass</t>
        </is>
      </c>
      <c r="H741" s="50" t="inlineStr">
        <is>
          <t>không dùng SELECT * ở đâu</t>
        </is>
      </c>
      <c r="I741" s="50" t="inlineStr">
        <is>
          <t>Liệt kê tường minh các cột cần dùng, kể cả trong CTE trung gian. SELECT * làm tăng IO/memory và vỡ script khi bảng nguồn thêm cột.</t>
        </is>
      </c>
      <c r="J741" s="48" t="inlineStr">
        <is>
          <t>038. OCB_GOLD_TCKH_V_SECTOR_LIST_HOP.xlsx [Script: V_SECTOR_LIST]</t>
        </is>
      </c>
    </row>
    <row r="742">
      <c r="A742" s="48" t="inlineStr">
        <is>
          <t>TCKH.V_SECTOR_LIST</t>
        </is>
      </c>
      <c r="B742" s="48" t="inlineStr">
        <is>
          <t>SILVER_CONSUMER</t>
        </is>
      </c>
      <c r="C742" s="48" t="inlineStr">
        <is>
          <t>3.2</t>
        </is>
      </c>
      <c r="D742" s="48" t="inlineStr">
        <is>
          <t>Nhom 3 - Optimization</t>
        </is>
      </c>
      <c r="E742" s="48" t="inlineStr">
        <is>
          <t>CTE không bị scan lại nhiều lần</t>
        </is>
      </c>
      <c r="F742" s="49" t="inlineStr">
        <is>
          <t>PASS</t>
        </is>
      </c>
      <c r="G742" s="48" t="inlineStr">
        <is>
          <t>Pass</t>
        </is>
      </c>
      <c r="H742" s="50" t="inlineStr">
        <is>
          <t>không có CTE nào bị gọi lại</t>
        </is>
      </c>
      <c r="I742" s="50" t="inlineStr">
        <is>
          <t>Với CTE nặng (đọc nhiều bảng Silver) bị tham chiếu từ 2 chỗ trở lên: gom lại còn một lần dùng, hoặc vật chất hóa (CACHE / bảng tạm). CTE nhẹ chỉ chứa tham số thì bỏ qua được — tự tick Pass.</t>
        </is>
      </c>
      <c r="J742" s="48" t="inlineStr">
        <is>
          <t>038. OCB_GOLD_TCKH_V_SECTOR_LIST_HOP.xlsx [Script: V_SECTOR_LIST]</t>
        </is>
      </c>
    </row>
    <row r="743">
      <c r="A743" s="48" t="inlineStr">
        <is>
          <t>TCKH.V_SECTOR_LIST</t>
        </is>
      </c>
      <c r="B743" s="48" t="inlineStr">
        <is>
          <t>SILVER_CONSUMER</t>
        </is>
      </c>
      <c r="C743" s="48" t="inlineStr">
        <is>
          <t>3.3</t>
        </is>
      </c>
      <c r="D743" s="48" t="inlineStr">
        <is>
          <t>Nhom 3 - Optimization</t>
        </is>
      </c>
      <c r="E743" s="48" t="inlineStr">
        <is>
          <t>Filter trước khi join, tận dụng partition pruning</t>
        </is>
      </c>
      <c r="F743" s="49" t="inlineStr">
        <is>
          <t>PASS</t>
        </is>
      </c>
      <c r="G743" s="48" t="inlineStr">
        <is>
          <t>Pass</t>
        </is>
      </c>
      <c r="H743" s="50" t="inlineStr">
        <is>
          <t>các bảng join đều được filter trước</t>
        </is>
      </c>
      <c r="I743" s="50" t="inlineStr">
        <is>
          <t>Đưa điều kiện lọc (ngày dữ liệu, trạng thái) vào subquery của từng bảng TRƯỚC khi join, để tận dụng partition pruning. Bảng dim nhỏ không partition thì không cần — tự tick Pass.</t>
        </is>
      </c>
      <c r="J743" s="48" t="inlineStr">
        <is>
          <t>038. OCB_GOLD_TCKH_V_SECTOR_LIST_HOP.xlsx [Script: V_SECTOR_LIST]</t>
        </is>
      </c>
    </row>
    <row r="744">
      <c r="A744" s="48" t="inlineStr">
        <is>
          <t>TCKH.V_SECTOR_LIST</t>
        </is>
      </c>
      <c r="B744" s="48" t="inlineStr">
        <is>
          <t>SILVER_CONSUMER</t>
        </is>
      </c>
      <c r="C744" s="48" t="inlineStr">
        <is>
          <t>3.4</t>
        </is>
      </c>
      <c r="D744" s="48" t="inlineStr">
        <is>
          <t>Nhom 3 - Optimization</t>
        </is>
      </c>
      <c r="E744" s="48" t="inlineStr">
        <is>
          <t>Sử dụng CACHE cho query lặp lại trong cùng luồng</t>
        </is>
      </c>
      <c r="F744" s="48" t="inlineStr">
        <is>
          <t>N-A</t>
        </is>
      </c>
      <c r="G744" s="48" t="inlineStr">
        <is>
          <t>Pass</t>
        </is>
      </c>
      <c r="H744" s="50" t="inlineStr">
        <is>
          <t>không có kết quả nào được dùng lại nhiều lần nên chưa cần CACHE</t>
        </is>
      </c>
      <c r="I744" s="50" t="inlineStr">
        <is>
          <t>Nếu một kết quả nặng được dùng lại nhiều bước trong cùng luồng, thêm CACHE TABLE / CACHE SELECT. Kết quả nhỏ thì cache còn chậm hơn — tự tick Pass.</t>
        </is>
      </c>
      <c r="J744" s="48" t="inlineStr">
        <is>
          <t>038. OCB_GOLD_TCKH_V_SECTOR_LIST_HOP.xlsx [Script: V_SECTOR_LIST]</t>
        </is>
      </c>
    </row>
    <row r="745">
      <c r="A745" s="48" t="inlineStr">
        <is>
          <t>TCKH.V_SECTOR_LIST</t>
        </is>
      </c>
      <c r="B745" s="48" t="inlineStr">
        <is>
          <t>SILVER_CONSUMER</t>
        </is>
      </c>
      <c r="C745" s="48" t="inlineStr">
        <is>
          <t>3.5</t>
        </is>
      </c>
      <c r="D745" s="48" t="inlineStr">
        <is>
          <t>Nhom 3 - Optimization</t>
        </is>
      </c>
      <c r="E745" s="48" t="inlineStr">
        <is>
          <t>Ưu tiên MAX_BY + QUALIFY thay ROW_NUMBER() + WHERE rn = 1</t>
        </is>
      </c>
      <c r="F745" s="48" t="inlineStr">
        <is>
          <t>N-A</t>
        </is>
      </c>
      <c r="G745" s="48" t="inlineStr">
        <is>
          <t>Pass</t>
        </is>
      </c>
      <c r="H745" s="50" t="inlineStr">
        <is>
          <t>script không dùng ROW_NUMBER, và MAX_BY (nếu có) không vượt quá 5 cột/khối</t>
        </is>
      </c>
      <c r="I7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45" s="48" t="inlineStr">
        <is>
          <t>038. OCB_GOLD_TCKH_V_SECTOR_LIST_HOP.xlsx [Script: V_SECTOR_LIST]</t>
        </is>
      </c>
    </row>
    <row r="746">
      <c r="A746" s="48" t="inlineStr">
        <is>
          <t>TCKH.V_SECTOR_LIST</t>
        </is>
      </c>
      <c r="B746" s="48" t="inlineStr">
        <is>
          <t>SILVER_CONSUMER</t>
        </is>
      </c>
      <c r="C746" s="48" t="inlineStr">
        <is>
          <t>3.6</t>
        </is>
      </c>
      <c r="D746" s="48" t="inlineStr">
        <is>
          <t>Nhom 3 - Optimization</t>
        </is>
      </c>
      <c r="E746" s="48" t="inlineStr">
        <is>
          <t>Không lạm dụng window function; có comment khi dùng</t>
        </is>
      </c>
      <c r="F746" s="48" t="inlineStr">
        <is>
          <t>N-A</t>
        </is>
      </c>
      <c r="G746" s="48" t="inlineStr">
        <is>
          <t>Pass</t>
        </is>
      </c>
      <c r="H746" s="50" t="inlineStr">
        <is>
          <t>script không dùng window function</t>
        </is>
      </c>
      <c r="I746" s="50" t="inlineStr">
        <is>
          <t>Mỗi window function cần một comment ngay trên khối CTE chứa nó, nói rõ vì sao không dùng được max_by/QUALIFY đơn giản hơn.</t>
        </is>
      </c>
      <c r="J746" s="48" t="inlineStr">
        <is>
          <t>038. OCB_GOLD_TCKH_V_SECTOR_LIST_HOP.xlsx [Script: V_SECTOR_LIST]</t>
        </is>
      </c>
    </row>
    <row r="747">
      <c r="A747" s="48" t="inlineStr">
        <is>
          <t>TCKH.V_SECTOR_LIST</t>
        </is>
      </c>
      <c r="B747" s="48" t="inlineStr">
        <is>
          <t>SILVER_CONSUMER</t>
        </is>
      </c>
      <c r="C747" s="48" t="inlineStr">
        <is>
          <t>X.1</t>
        </is>
      </c>
      <c r="D747" s="48" t="inlineStr">
        <is>
          <t>Nhom X - Bo sung Raffles</t>
        </is>
      </c>
      <c r="E747" s="48" t="inlineStr">
        <is>
          <t>[Bổ sung] Link phải rút về current trước khi join (chống fan-out)</t>
        </is>
      </c>
      <c r="F747" s="49" t="inlineStr">
        <is>
          <t>PASS</t>
        </is>
      </c>
      <c r="G747" s="48" t="inlineStr">
        <is>
          <t>Pass</t>
        </is>
      </c>
      <c r="H747" s="50" t="inlineStr">
        <is>
          <t>các bảng link_* đều được rút về current trước khi join</t>
        </is>
      </c>
      <c r="I7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47" s="48" t="inlineStr">
        <is>
          <t>038. OCB_GOLD_TCKH_V_SECTOR_LIST_HOP.xlsx [Script: V_SECTOR_LIST]</t>
        </is>
      </c>
    </row>
    <row r="748">
      <c r="A748" s="48" t="inlineStr">
        <is>
          <t>TCKH.V_SECTOR_LIST</t>
        </is>
      </c>
      <c r="B748" s="48" t="inlineStr">
        <is>
          <t>SILVER_CONSUMER</t>
        </is>
      </c>
      <c r="C748" s="48" t="inlineStr">
        <is>
          <t>X.6</t>
        </is>
      </c>
      <c r="D748" s="48" t="inlineStr">
        <is>
          <t>Nhom X - Bo sung Raffles</t>
        </is>
      </c>
      <c r="E748" s="48" t="inlineStr">
        <is>
          <t>[Bổ sung] Satellite phải LEFT JOIN, không INNER JOIN</t>
        </is>
      </c>
      <c r="F748" s="48" t="inlineStr">
        <is>
          <t>N-A</t>
        </is>
      </c>
      <c r="G748" s="48" t="inlineStr">
        <is>
          <t>Pass</t>
        </is>
      </c>
      <c r="H748" s="50" t="inlineStr">
        <is>
          <t>không join satellite trực tiếp</t>
        </is>
      </c>
      <c r="I748" s="50" t="inlineStr">
        <is>
          <t>Technical Document III.4.2.2 nguyên tắc 1: làm giàu thuộc tính luôn dùng LEFT JOIN. INNER JOIN satellite sẽ loại mất bản ghi Hub đang còn hiệu lực nhưng chưa có dòng satellite.</t>
        </is>
      </c>
      <c r="J748" s="48" t="inlineStr">
        <is>
          <t>038. OCB_GOLD_TCKH_V_SECTOR_LIST_HOP.xlsx [Script: V_SECTOR_LIST]</t>
        </is>
      </c>
    </row>
    <row r="749">
      <c r="A749" s="48" t="inlineStr">
        <is>
          <t>TCKH.V_SECTOR_LIST</t>
        </is>
      </c>
      <c r="B749" s="48" t="inlineStr">
        <is>
          <t>SILVER_CONSUMER</t>
        </is>
      </c>
      <c r="C749" s="48" t="inlineStr">
        <is>
          <t>X.7</t>
        </is>
      </c>
      <c r="D749" s="48" t="inlineStr">
        <is>
          <t>Nhom X - Bo sung Raffles</t>
        </is>
      </c>
      <c r="E749" s="48" t="inlineStr">
        <is>
          <t>[Bổ sung] Không hard-code catalog, dùng biến môi trường</t>
        </is>
      </c>
      <c r="F749" s="49" t="inlineStr">
        <is>
          <t>PASS</t>
        </is>
      </c>
      <c r="G749" s="48" t="inlineStr">
        <is>
          <t>Pass</t>
        </is>
      </c>
      <c r="H749" s="50" t="inlineStr">
        <is>
          <t>dùng biến môi trường cho catalog</t>
        </is>
      </c>
      <c r="I7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49" s="48" t="inlineStr">
        <is>
          <t>038. OCB_GOLD_TCKH_V_SECTOR_LIST_HOP.xlsx [Script: V_SECTOR_LIST]</t>
        </is>
      </c>
    </row>
    <row r="750">
      <c r="A750" s="48" t="inlineStr">
        <is>
          <t>TCKH.V_SECTOR_LIST</t>
        </is>
      </c>
      <c r="B750" s="48" t="inlineStr">
        <is>
          <t>SILVER_CONSUMER</t>
        </is>
      </c>
      <c r="C750" s="48" t="inlineStr">
        <is>
          <t>X.10</t>
        </is>
      </c>
      <c r="D750" s="48" t="inlineStr">
        <is>
          <t>Nhom X - Bo sung Raffles</t>
        </is>
      </c>
      <c r="E750" s="48" t="inlineStr">
        <is>
          <t>Bang raw_vault/business_vault duoc doc phai TON TAI THAT trong Data Vault model</t>
        </is>
      </c>
      <c r="F750" s="49" t="inlineStr">
        <is>
          <t>PASS</t>
        </is>
      </c>
      <c r="G750" s="48" t="inlineStr">
        <is>
          <t>Pass</t>
        </is>
      </c>
      <c r="H750" s="50" t="inlineStr">
        <is>
          <t>1 bảng Silver đều có thật trong Data Vault model</t>
        </is>
      </c>
      <c r="I750" s="50" t="inlineStr"/>
      <c r="J750" s="48" t="inlineStr">
        <is>
          <t>038. OCB_GOLD_TCKH_V_SECTOR_LIST_HOP.xlsx [Script: V_SECTOR_LIST]</t>
        </is>
      </c>
    </row>
    <row r="751">
      <c r="A751" s="48" t="inlineStr">
        <is>
          <t>TCKH.V_SECTOR_LIST</t>
        </is>
      </c>
      <c r="B751" s="48" t="inlineStr">
        <is>
          <t>SILVER_CONSUMER</t>
        </is>
      </c>
      <c r="C751" s="48" t="inlineStr">
        <is>
          <t>X.11</t>
        </is>
      </c>
      <c r="D751" s="48" t="inlineStr">
        <is>
          <t>Nhom X - Bo sung Raffles</t>
        </is>
      </c>
      <c r="E751" s="48" t="inlineStr">
        <is>
          <t>Cot doc tu satellite (sat_*) phai TON TAI THAT trong model</t>
        </is>
      </c>
      <c r="F751" s="48" t="inlineStr">
        <is>
          <t>N-A</t>
        </is>
      </c>
      <c r="G751" s="48" t="inlineStr">
        <is>
          <t>Pass</t>
        </is>
      </c>
      <c r="H751" s="50" t="inlineStr">
        <is>
          <t>không có bảng sat_* nào đủ điều kiện đối chiếu (Select chỉ đọc 1 bảng)</t>
        </is>
      </c>
      <c r="I751" s="50" t="inlineStr"/>
      <c r="J751" s="48" t="inlineStr">
        <is>
          <t>038. OCB_GOLD_TCKH_V_SECTOR_LIST_HOP.xlsx [Script: V_SECTOR_LIST]</t>
        </is>
      </c>
    </row>
    <row r="752">
      <c r="A752" s="48" t="inlineStr">
        <is>
          <t>TCKH.BRANCH_LIST</t>
        </is>
      </c>
      <c r="B752" s="48" t="inlineStr">
        <is>
          <t>GOLD_DERIVED</t>
        </is>
      </c>
      <c r="C752" s="48" t="inlineStr">
        <is>
          <t>1.1</t>
        </is>
      </c>
      <c r="D752" s="48" t="inlineStr">
        <is>
          <t>Nhom 1 - Mapping</t>
        </is>
      </c>
      <c r="E752" s="48" t="inlineStr">
        <is>
          <t>Đầy đủ mapping từ Silver/manual sang Gold</t>
        </is>
      </c>
      <c r="F752" s="49" t="inlineStr">
        <is>
          <t>PASS</t>
        </is>
      </c>
      <c r="G752" s="48" t="inlineStr">
        <is>
          <t>Pass</t>
        </is>
      </c>
      <c r="H752" s="50" t="inlineStr">
        <is>
          <t>workbook 039. OCB_GOLD_TCKH_BRANCH_LIST_HOP.xlsx: thiết kế 5 field, SQL có 5 cột</t>
        </is>
      </c>
      <c r="I7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52" s="48" t="inlineStr">
        <is>
          <t>039. OCB_GOLD_TCKH_BRANCH_LIST_HOP.xlsx [SCRIPT: BRANCH_LIST]</t>
        </is>
      </c>
    </row>
    <row r="753">
      <c r="A753" s="48" t="inlineStr">
        <is>
          <t>TCKH.BRANCH_LIST</t>
        </is>
      </c>
      <c r="B753" s="48" t="inlineStr">
        <is>
          <t>GOLD_DERIVED</t>
        </is>
      </c>
      <c r="C753" s="48" t="inlineStr">
        <is>
          <t>1.2</t>
        </is>
      </c>
      <c r="D753" s="48" t="inlineStr">
        <is>
          <t>Nhom 1 - Mapping</t>
        </is>
      </c>
      <c r="E753" s="48" t="inlineStr">
        <is>
          <t>Danh sách bảng/view Gold khớp tài liệu thiết kế đã duyệt</t>
        </is>
      </c>
      <c r="F753" s="49" t="inlineStr">
        <is>
          <t>PASS</t>
        </is>
      </c>
      <c r="G753" s="48" t="inlineStr">
        <is>
          <t>Pass</t>
        </is>
      </c>
      <c r="H753" s="50" t="inlineStr">
        <is>
          <t>BRANCH_LIST có workbook thiết kế: 039. OCB_GOLD_TCKH_BRANCH_LIST_HOP.xlsx</t>
        </is>
      </c>
      <c r="I753" s="50" t="inlineStr">
        <is>
          <t>Đảm bảo object có workbook thiết kế tương ứng trong thư mục --mapping-dir. Muốn đối chiếu với danh sách đã duyệt thì chạy thêm tham số --gold-list "&lt;file danh sách Gold&gt;.xlsx".</t>
        </is>
      </c>
      <c r="J753" s="48" t="inlineStr">
        <is>
          <t>039. OCB_GOLD_TCKH_BRANCH_LIST_HOP.xlsx [SCRIPT: BRANCH_LIST]</t>
        </is>
      </c>
    </row>
    <row r="754">
      <c r="A754" s="48" t="inlineStr">
        <is>
          <t>TCKH.BRANCH_LIST</t>
        </is>
      </c>
      <c r="B754" s="48" t="inlineStr">
        <is>
          <t>GOLD_DERIVED</t>
        </is>
      </c>
      <c r="C754" s="48" t="inlineStr">
        <is>
          <t>2.1</t>
        </is>
      </c>
      <c r="D754" s="48" t="inlineStr">
        <is>
          <t>Nhom 2 - Logic</t>
        </is>
      </c>
      <c r="E754" s="48" t="inlineStr">
        <is>
          <t>Chỉ lấy bản ghi active, loại bản ghi đã xóa (qua sts_hub)</t>
        </is>
      </c>
      <c r="F754" s="48" t="inlineStr">
        <is>
          <t>N-A</t>
        </is>
      </c>
      <c r="G754" s="48" t="inlineStr">
        <is>
          <t>Pass</t>
        </is>
      </c>
      <c r="H754" s="50" t="inlineStr">
        <is>
          <t>khong ap dung cho profile GOLD_DERIVED</t>
        </is>
      </c>
      <c r="I7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54" s="48" t="inlineStr">
        <is>
          <t>039. OCB_GOLD_TCKH_BRANCH_LIST_HOP.xlsx [SCRIPT: BRANCH_LIST]</t>
        </is>
      </c>
    </row>
    <row r="755">
      <c r="A755" s="48" t="inlineStr">
        <is>
          <t>TCKH.BRANCH_LIST</t>
        </is>
      </c>
      <c r="B755" s="48" t="inlineStr">
        <is>
          <t>GOLD_DERIVED</t>
        </is>
      </c>
      <c r="C755" s="48" t="inlineStr">
        <is>
          <t>2.2</t>
        </is>
      </c>
      <c r="D755" s="48" t="inlineStr">
        <is>
          <t>Nhom 2 - Logic</t>
        </is>
      </c>
      <c r="E755" s="48" t="inlineStr">
        <is>
          <t>Thống nhất MỘT pattern duy nhất xác định bản ghi active mới nhất</t>
        </is>
      </c>
      <c r="F755" s="48" t="inlineStr">
        <is>
          <t>N-A</t>
        </is>
      </c>
      <c r="G755" s="48" t="inlineStr">
        <is>
          <t>Pass</t>
        </is>
      </c>
      <c r="H755" s="50" t="inlineStr">
        <is>
          <t>khong ap dung cho profile GOLD_DERIVED</t>
        </is>
      </c>
      <c r="I7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55" s="48" t="inlineStr">
        <is>
          <t>039. OCB_GOLD_TCKH_BRANCH_LIST_HOP.xlsx [SCRIPT: BRANCH_LIST]</t>
        </is>
      </c>
    </row>
    <row r="756">
      <c r="A756" s="48" t="inlineStr">
        <is>
          <t>TCKH.BRANCH_LIST</t>
        </is>
      </c>
      <c r="B756" s="48" t="inlineStr">
        <is>
          <t>GOLD_DERIVED</t>
        </is>
      </c>
      <c r="C756" s="48" t="inlineStr">
        <is>
          <t>2.3</t>
        </is>
      </c>
      <c r="D756" s="48" t="inlineStr">
        <is>
          <t>Nhom 2 - Logic</t>
        </is>
      </c>
      <c r="E756" s="48" t="inlineStr">
        <is>
          <t>Điều kiện lọc trạng thái đặt SAU khi xác định bản ghi mới nhất</t>
        </is>
      </c>
      <c r="F756" s="49" t="inlineStr">
        <is>
          <t>PASS</t>
        </is>
      </c>
      <c r="G756" s="48" t="inlineStr">
        <is>
          <t>Pass</t>
        </is>
      </c>
      <c r="H756" s="50" t="inlineStr">
        <is>
          <t>không có điều kiện trạng thái nào lồng trong JOIN ON</t>
        </is>
      </c>
      <c r="I7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56" s="48" t="inlineStr">
        <is>
          <t>039. OCB_GOLD_TCKH_BRANCH_LIST_HOP.xlsx [SCRIPT: BRANCH_LIST]</t>
        </is>
      </c>
    </row>
    <row r="757">
      <c r="A757" s="48" t="inlineStr">
        <is>
          <t>TCKH.BRANCH_LIST</t>
        </is>
      </c>
      <c r="B757" s="48" t="inlineStr">
        <is>
          <t>GOLD_DERIVED</t>
        </is>
      </c>
      <c r="C757" s="48" t="inlineStr">
        <is>
          <t>2.4</t>
        </is>
      </c>
      <c r="D757" s="48" t="inlineStr">
        <is>
          <t>Nhom 2 - Logic</t>
        </is>
      </c>
      <c r="E757" s="48" t="inlineStr">
        <is>
          <t>source_event_date áp dụng đúng dạng theo loại bảng</t>
        </is>
      </c>
      <c r="F757" s="48" t="inlineStr">
        <is>
          <t>N-A</t>
        </is>
      </c>
      <c r="G757" s="48" t="inlineStr">
        <is>
          <t>Pass</t>
        </is>
      </c>
      <c r="H757" s="50" t="inlineStr">
        <is>
          <t>khong ap dung cho profile GOLD_DERIVED</t>
        </is>
      </c>
      <c r="I7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57" s="48" t="inlineStr">
        <is>
          <t>039. OCB_GOLD_TCKH_BRANCH_LIST_HOP.xlsx [SCRIPT: BRANCH_LIST]</t>
        </is>
      </c>
    </row>
    <row r="758">
      <c r="A758" s="48" t="inlineStr">
        <is>
          <t>TCKH.BRANCH_LIST</t>
        </is>
      </c>
      <c r="B758" s="48" t="inlineStr">
        <is>
          <t>GOLD_DERIVED</t>
        </is>
      </c>
      <c r="C758" s="48" t="inlineStr">
        <is>
          <t>2.5</t>
        </is>
      </c>
      <c r="D758" s="48" t="inlineStr">
        <is>
          <t>Nhom 2 - Logic</t>
        </is>
      </c>
      <c r="E758" s="48" t="inlineStr">
        <is>
          <t>Không lặp lại lỗi logic cũ đã được DA Data Vault fix</t>
        </is>
      </c>
      <c r="F758" s="49" t="inlineStr">
        <is>
          <t>PASS</t>
        </is>
      </c>
      <c r="G758" s="48" t="inlineStr">
        <is>
          <t>Pass</t>
        </is>
      </c>
      <c r="H758" s="50" t="inlineStr">
        <is>
          <t>không trùng lỗi nào trong Issue log của DA Data Vault</t>
        </is>
      </c>
      <c r="I7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58" s="48" t="inlineStr">
        <is>
          <t>039. OCB_GOLD_TCKH_BRANCH_LIST_HOP.xlsx [SCRIPT: BRANCH_LIST]</t>
        </is>
      </c>
    </row>
    <row r="759">
      <c r="A759" s="48" t="inlineStr">
        <is>
          <t>TCKH.BRANCH_LIST</t>
        </is>
      </c>
      <c r="B759" s="48" t="inlineStr">
        <is>
          <t>GOLD_DERIVED</t>
        </is>
      </c>
      <c r="C759" s="48" t="inlineStr">
        <is>
          <t>2.6</t>
        </is>
      </c>
      <c r="D759" s="48" t="inlineStr">
        <is>
          <t>Nhom 2 - Logic</t>
        </is>
      </c>
      <c r="E759" s="48" t="inlineStr">
        <is>
          <t>SCD Type 2 cho bảng DIM áp dụng đúng kỹ thuật đã thống nhất</t>
        </is>
      </c>
      <c r="F759" s="48" t="inlineStr">
        <is>
          <t>N-A</t>
        </is>
      </c>
      <c r="G759" s="48" t="inlineStr">
        <is>
          <t>Pass</t>
        </is>
      </c>
      <c r="H759" s="50" t="inlineStr">
        <is>
          <t>object không phải bảng DIM nên không áp dụng SCD Type 2</t>
        </is>
      </c>
      <c r="I7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59" s="48" t="inlineStr">
        <is>
          <t>039. OCB_GOLD_TCKH_BRANCH_LIST_HOP.xlsx [SCRIPT: BRANCH_LIST]</t>
        </is>
      </c>
    </row>
    <row r="760">
      <c r="A760" s="48" t="inlineStr">
        <is>
          <t>TCKH.BRANCH_LIST</t>
        </is>
      </c>
      <c r="B760" s="48" t="inlineStr">
        <is>
          <t>GOLD_DERIVED</t>
        </is>
      </c>
      <c r="C760" s="48" t="inlineStr">
        <is>
          <t>2.7</t>
        </is>
      </c>
      <c r="D760" s="48" t="inlineStr">
        <is>
          <t>Nhom 2 - Logic</t>
        </is>
      </c>
      <c r="E760" s="48" t="inlineStr">
        <is>
          <t>CASE WHEN cover đủ nhánh như job on-prem</t>
        </is>
      </c>
      <c r="F760" s="48" t="inlineStr">
        <is>
          <t>N-A</t>
        </is>
      </c>
      <c r="G760" s="48" t="inlineStr">
        <is>
          <t>Pass</t>
        </is>
      </c>
      <c r="H760" s="50" t="inlineStr">
        <is>
          <t>script không có CASE WHEN nào</t>
        </is>
      </c>
      <c r="I760" s="50" t="inlineStr">
        <is>
          <t>Mở job on-prem tương ứng (DataStage DSX hoặc SQL cũ), đối chiếu từng nhánh WHEN và cả nhánh ELSE. CASE không có ELSE sẽ trả NULL âm thầm — xác nhận đó là ý muốn hay thiếu nhánh.</t>
        </is>
      </c>
      <c r="J760" s="48" t="inlineStr">
        <is>
          <t>039. OCB_GOLD_TCKH_BRANCH_LIST_HOP.xlsx [SCRIPT: BRANCH_LIST]</t>
        </is>
      </c>
    </row>
    <row r="761">
      <c r="A761" s="48" t="inlineStr">
        <is>
          <t>TCKH.BRANCH_LIST</t>
        </is>
      </c>
      <c r="B761" s="48" t="inlineStr">
        <is>
          <t>GOLD_DERIVED</t>
        </is>
      </c>
      <c r="C761" s="48" t="inlineStr">
        <is>
          <t>2.8</t>
        </is>
      </c>
      <c r="D761" s="48" t="inlineStr">
        <is>
          <t>Nhom 2 - Logic</t>
        </is>
      </c>
      <c r="E761" s="48" t="inlineStr">
        <is>
          <t>Cột SUM/COUNT được COALESCE/NVL hợp lý</t>
        </is>
      </c>
      <c r="F761" s="49" t="inlineStr">
        <is>
          <t>PASS</t>
        </is>
      </c>
      <c r="G761" s="48" t="inlineStr">
        <is>
          <t>Pass</t>
        </is>
      </c>
      <c r="H761" s="50" t="inlineStr">
        <is>
          <t>mọi SUM/COUNT đều đã coalesce (trực tiếp hoặc ở lớp ngoài)</t>
        </is>
      </c>
      <c r="I7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61" s="48" t="inlineStr">
        <is>
          <t>039. OCB_GOLD_TCKH_BRANCH_LIST_HOP.xlsx [SCRIPT: BRANCH_LIST]</t>
        </is>
      </c>
    </row>
    <row r="762">
      <c r="A762" s="48" t="inlineStr">
        <is>
          <t>TCKH.BRANCH_LIST</t>
        </is>
      </c>
      <c r="B762" s="48" t="inlineStr">
        <is>
          <t>GOLD_DERIVED</t>
        </is>
      </c>
      <c r="C762" s="48" t="inlineStr">
        <is>
          <t>2.9</t>
        </is>
      </c>
      <c r="D762" s="48" t="inlineStr">
        <is>
          <t>Nhom 2 - Logic</t>
        </is>
      </c>
      <c r="E762" s="48" t="inlineStr">
        <is>
          <t>Subquery / custom function / điều kiện LIKE đúng ý nghĩa nghiệp vụ</t>
        </is>
      </c>
      <c r="F762" s="48" t="inlineStr">
        <is>
          <t>N-A</t>
        </is>
      </c>
      <c r="G762" s="48" t="inlineStr">
        <is>
          <t>Pass</t>
        </is>
      </c>
      <c r="H762" s="50" t="inlineStr">
        <is>
          <t>script không có điều kiện LIKE hay scalar subquery nào</t>
        </is>
      </c>
      <c r="I762" s="50" t="inlineStr">
        <is>
          <t>Đọc lại từng điều kiện LIKE và từng subquery, đối chiếu ý nghĩa nghiệp vụ với on-prem — đúng cú pháp không đủ. Chú ý pattern LIKE có ký tự % ở đầu/cuối và phân biệt chữ hoa/thường.</t>
        </is>
      </c>
      <c r="J762" s="48" t="inlineStr">
        <is>
          <t>039. OCB_GOLD_TCKH_BRANCH_LIST_HOP.xlsx [SCRIPT: BRANCH_LIST]</t>
        </is>
      </c>
    </row>
    <row r="763">
      <c r="A763" s="48" t="inlineStr">
        <is>
          <t>TCKH.BRANCH_LIST</t>
        </is>
      </c>
      <c r="B763" s="48" t="inlineStr">
        <is>
          <t>GOLD_DERIVED</t>
        </is>
      </c>
      <c r="C763" s="48" t="inlineStr">
        <is>
          <t>2.10</t>
        </is>
      </c>
      <c r="D763" s="48" t="inlineStr">
        <is>
          <t>Nhom 2 - Logic</t>
        </is>
      </c>
      <c r="E763" s="48" t="inlineStr">
        <is>
          <t>Aggregation kèm filter date range chính xác</t>
        </is>
      </c>
      <c r="F763" s="49" t="inlineStr">
        <is>
          <t>PASS</t>
        </is>
      </c>
      <c r="G763" s="48" t="inlineStr">
        <is>
          <t>Pass</t>
        </is>
      </c>
      <c r="H763" s="50" t="inlineStr">
        <is>
          <t>mọi khối tổng hợp đều có điều kiện theo kỳ dữ liệu</t>
        </is>
      </c>
      <c r="I763" s="50" t="inlineStr">
        <is>
          <t>Mỗi khối SUM/COUNT/AVG phải có điều kiện lọc theo kỳ dữ liệu (CDR_DT_ID, DATA_DATE, :DATADT…). Nếu điều kiện nằm ở CTE nguồn thì ghi rõ trong comment để người review không phải truy ngược.</t>
        </is>
      </c>
      <c r="J763" s="48" t="inlineStr">
        <is>
          <t>039. OCB_GOLD_TCKH_BRANCH_LIST_HOP.xlsx [SCRIPT: BRANCH_LIST]</t>
        </is>
      </c>
    </row>
    <row r="764">
      <c r="A764" s="48" t="inlineStr">
        <is>
          <t>TCKH.BRANCH_LIST</t>
        </is>
      </c>
      <c r="B764" s="48" t="inlineStr">
        <is>
          <t>GOLD_DERIVED</t>
        </is>
      </c>
      <c r="C764" s="48" t="inlineStr">
        <is>
          <t>2.11</t>
        </is>
      </c>
      <c r="D764" s="48" t="inlineStr">
        <is>
          <t>Nhom 2 - Logic</t>
        </is>
      </c>
      <c r="E764" s="48" t="inlineStr">
        <is>
          <t>Join dùng key hợp lý, không lạm dụng UNION ALL + EXISTS/NOT EXISTS</t>
        </is>
      </c>
      <c r="F764" s="49" t="inlineStr">
        <is>
          <t>PASS</t>
        </is>
      </c>
      <c r="G764" s="48" t="inlineStr">
        <is>
          <t>Pass</t>
        </is>
      </c>
      <c r="H764" s="50" t="inlineStr">
        <is>
          <t>join đều theo điều kiện bằng, không lạm dụng UNION ALL + EXISTS</t>
        </is>
      </c>
      <c r="I764" s="50" t="inlineStr">
        <is>
          <t>Ưu tiên LEFT JOIN theo business key hoặc hashkey. Xem lại các chỗ dùng UNION ALL kết hợp EXISTS/NOT EXISTS — thường thay được bằng một LEFT JOIN. Join không có điều kiện bằng (=) dễ tạo tích Descartes.</t>
        </is>
      </c>
      <c r="J764" s="48" t="inlineStr">
        <is>
          <t>039. OCB_GOLD_TCKH_BRANCH_LIST_HOP.xlsx [SCRIPT: BRANCH_LIST]</t>
        </is>
      </c>
    </row>
    <row r="765">
      <c r="A765" s="48" t="inlineStr">
        <is>
          <t>TCKH.BRANCH_LIST</t>
        </is>
      </c>
      <c r="B765" s="48" t="inlineStr">
        <is>
          <t>GOLD_DERIVED</t>
        </is>
      </c>
      <c r="C765" s="48" t="inlineStr">
        <is>
          <t>2.12</t>
        </is>
      </c>
      <c r="D765" s="48" t="inlineStr">
        <is>
          <t>Nhom 2 - Logic</t>
        </is>
      </c>
      <c r="E765" s="48" t="inlineStr">
        <is>
          <t>Build Gold từ CTE snapshot Silver, không build nhiều tầng chồng chéo</t>
        </is>
      </c>
      <c r="F765" s="49" t="inlineStr">
        <is>
          <t>PASS</t>
        </is>
      </c>
      <c r="G765" s="48" t="inlineStr">
        <is>
          <t>Pass</t>
        </is>
      </c>
      <c r="H765" s="50" t="inlineStr">
        <is>
          <t>mỗi bảng nguồn chỉ đọc trong 1 khối SELECT</t>
        </is>
      </c>
      <c r="I7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65" s="48" t="inlineStr">
        <is>
          <t>039. OCB_GOLD_TCKH_BRANCH_LIST_HOP.xlsx [SCRIPT: BRANCH_LIST]</t>
        </is>
      </c>
    </row>
    <row r="766">
      <c r="A766" s="48" t="inlineStr">
        <is>
          <t>TCKH.BRANCH_LIST</t>
        </is>
      </c>
      <c r="B766" s="48" t="inlineStr">
        <is>
          <t>GOLD_DERIVED</t>
        </is>
      </c>
      <c r="C766" s="48" t="inlineStr">
        <is>
          <t>3.1</t>
        </is>
      </c>
      <c r="D766" s="48" t="inlineStr">
        <is>
          <t>Nhom 3 - Optimization</t>
        </is>
      </c>
      <c r="E766" s="48" t="inlineStr">
        <is>
          <t>Không SELECT *</t>
        </is>
      </c>
      <c r="F766" s="49" t="inlineStr">
        <is>
          <t>PASS</t>
        </is>
      </c>
      <c r="G766" s="48" t="inlineStr">
        <is>
          <t>Pass</t>
        </is>
      </c>
      <c r="H766" s="50" t="inlineStr">
        <is>
          <t>không dùng SELECT * ở đâu</t>
        </is>
      </c>
      <c r="I766" s="50" t="inlineStr">
        <is>
          <t>Liệt kê tường minh các cột cần dùng, kể cả trong CTE trung gian. SELECT * làm tăng IO/memory và vỡ script khi bảng nguồn thêm cột.</t>
        </is>
      </c>
      <c r="J766" s="48" t="inlineStr">
        <is>
          <t>039. OCB_GOLD_TCKH_BRANCH_LIST_HOP.xlsx [SCRIPT: BRANCH_LIST]</t>
        </is>
      </c>
    </row>
    <row r="767">
      <c r="A767" s="48" t="inlineStr">
        <is>
          <t>TCKH.BRANCH_LIST</t>
        </is>
      </c>
      <c r="B767" s="48" t="inlineStr">
        <is>
          <t>GOLD_DERIVED</t>
        </is>
      </c>
      <c r="C767" s="48" t="inlineStr">
        <is>
          <t>3.2</t>
        </is>
      </c>
      <c r="D767" s="48" t="inlineStr">
        <is>
          <t>Nhom 3 - Optimization</t>
        </is>
      </c>
      <c r="E767" s="48" t="inlineStr">
        <is>
          <t>CTE không bị scan lại nhiều lần</t>
        </is>
      </c>
      <c r="F767" s="49" t="inlineStr">
        <is>
          <t>PASS</t>
        </is>
      </c>
      <c r="G767" s="48" t="inlineStr">
        <is>
          <t>Pass</t>
        </is>
      </c>
      <c r="H767" s="50" t="inlineStr">
        <is>
          <t>không có CTE nào bị gọi lại</t>
        </is>
      </c>
      <c r="I767" s="50" t="inlineStr">
        <is>
          <t>Với CTE nặng (đọc nhiều bảng Silver) bị tham chiếu từ 2 chỗ trở lên: gom lại còn một lần dùng, hoặc vật chất hóa (CACHE / bảng tạm). CTE nhẹ chỉ chứa tham số thì bỏ qua được — tự tick Pass.</t>
        </is>
      </c>
      <c r="J767" s="48" t="inlineStr">
        <is>
          <t>039. OCB_GOLD_TCKH_BRANCH_LIST_HOP.xlsx [SCRIPT: BRANCH_LIST]</t>
        </is>
      </c>
    </row>
    <row r="768">
      <c r="A768" s="48" t="inlineStr">
        <is>
          <t>TCKH.BRANCH_LIST</t>
        </is>
      </c>
      <c r="B768" s="48" t="inlineStr">
        <is>
          <t>GOLD_DERIVED</t>
        </is>
      </c>
      <c r="C768" s="48" t="inlineStr">
        <is>
          <t>3.3</t>
        </is>
      </c>
      <c r="D768" s="48" t="inlineStr">
        <is>
          <t>Nhom 3 - Optimization</t>
        </is>
      </c>
      <c r="E768" s="48" t="inlineStr">
        <is>
          <t>Filter trước khi join, tận dụng partition pruning</t>
        </is>
      </c>
      <c r="F768" s="49" t="inlineStr">
        <is>
          <t>PASS</t>
        </is>
      </c>
      <c r="G768" s="48" t="inlineStr">
        <is>
          <t>Pass</t>
        </is>
      </c>
      <c r="H768" s="50" t="inlineStr">
        <is>
          <t>các bảng join đều được filter trước</t>
        </is>
      </c>
      <c r="I768" s="50" t="inlineStr">
        <is>
          <t>Đưa điều kiện lọc (ngày dữ liệu, trạng thái) vào subquery của từng bảng TRƯỚC khi join, để tận dụng partition pruning. Bảng dim nhỏ không partition thì không cần — tự tick Pass.</t>
        </is>
      </c>
      <c r="J768" s="48" t="inlineStr">
        <is>
          <t>039. OCB_GOLD_TCKH_BRANCH_LIST_HOP.xlsx [SCRIPT: BRANCH_LIST]</t>
        </is>
      </c>
    </row>
    <row r="769">
      <c r="A769" s="48" t="inlineStr">
        <is>
          <t>TCKH.BRANCH_LIST</t>
        </is>
      </c>
      <c r="B769" s="48" t="inlineStr">
        <is>
          <t>GOLD_DERIVED</t>
        </is>
      </c>
      <c r="C769" s="48" t="inlineStr">
        <is>
          <t>3.4</t>
        </is>
      </c>
      <c r="D769" s="48" t="inlineStr">
        <is>
          <t>Nhom 3 - Optimization</t>
        </is>
      </c>
      <c r="E769" s="48" t="inlineStr">
        <is>
          <t>Sử dụng CACHE cho query lặp lại trong cùng luồng</t>
        </is>
      </c>
      <c r="F769" s="48" t="inlineStr">
        <is>
          <t>N-A</t>
        </is>
      </c>
      <c r="G769" s="48" t="inlineStr">
        <is>
          <t>Pass</t>
        </is>
      </c>
      <c r="H769" s="50" t="inlineStr">
        <is>
          <t>không có kết quả nào được dùng lại nhiều lần nên chưa cần CACHE</t>
        </is>
      </c>
      <c r="I769" s="50" t="inlineStr">
        <is>
          <t>Nếu một kết quả nặng được dùng lại nhiều bước trong cùng luồng, thêm CACHE TABLE / CACHE SELECT. Kết quả nhỏ thì cache còn chậm hơn — tự tick Pass.</t>
        </is>
      </c>
      <c r="J769" s="48" t="inlineStr">
        <is>
          <t>039. OCB_GOLD_TCKH_BRANCH_LIST_HOP.xlsx [SCRIPT: BRANCH_LIST]</t>
        </is>
      </c>
    </row>
    <row r="770">
      <c r="A770" s="48" t="inlineStr">
        <is>
          <t>TCKH.BRANCH_LIST</t>
        </is>
      </c>
      <c r="B770" s="48" t="inlineStr">
        <is>
          <t>GOLD_DERIVED</t>
        </is>
      </c>
      <c r="C770" s="48" t="inlineStr">
        <is>
          <t>3.5</t>
        </is>
      </c>
      <c r="D770" s="48" t="inlineStr">
        <is>
          <t>Nhom 3 - Optimization</t>
        </is>
      </c>
      <c r="E770" s="48" t="inlineStr">
        <is>
          <t>Ưu tiên MAX_BY + QUALIFY thay ROW_NUMBER() + WHERE rn = 1</t>
        </is>
      </c>
      <c r="F770" s="48" t="inlineStr">
        <is>
          <t>N-A</t>
        </is>
      </c>
      <c r="G770" s="48" t="inlineStr">
        <is>
          <t>Pass</t>
        </is>
      </c>
      <c r="H770" s="50" t="inlineStr">
        <is>
          <t>script không dùng ROW_NUMBER, và MAX_BY (nếu có) không vượt quá 5 cột/khối</t>
        </is>
      </c>
      <c r="I7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70" s="48" t="inlineStr">
        <is>
          <t>039. OCB_GOLD_TCKH_BRANCH_LIST_HOP.xlsx [SCRIPT: BRANCH_LIST]</t>
        </is>
      </c>
    </row>
    <row r="771">
      <c r="A771" s="48" t="inlineStr">
        <is>
          <t>TCKH.BRANCH_LIST</t>
        </is>
      </c>
      <c r="B771" s="48" t="inlineStr">
        <is>
          <t>GOLD_DERIVED</t>
        </is>
      </c>
      <c r="C771" s="48" t="inlineStr">
        <is>
          <t>3.6</t>
        </is>
      </c>
      <c r="D771" s="48" t="inlineStr">
        <is>
          <t>Nhom 3 - Optimization</t>
        </is>
      </c>
      <c r="E771" s="48" t="inlineStr">
        <is>
          <t>Không lạm dụng window function; có comment khi dùng</t>
        </is>
      </c>
      <c r="F771" s="48" t="inlineStr">
        <is>
          <t>N-A</t>
        </is>
      </c>
      <c r="G771" s="48" t="inlineStr">
        <is>
          <t>Pass</t>
        </is>
      </c>
      <c r="H771" s="50" t="inlineStr">
        <is>
          <t>script không dùng window function</t>
        </is>
      </c>
      <c r="I771" s="50" t="inlineStr">
        <is>
          <t>Mỗi window function cần một comment ngay trên khối CTE chứa nó, nói rõ vì sao không dùng được max_by/QUALIFY đơn giản hơn.</t>
        </is>
      </c>
      <c r="J771" s="48" t="inlineStr">
        <is>
          <t>039. OCB_GOLD_TCKH_BRANCH_LIST_HOP.xlsx [SCRIPT: BRANCH_LIST]</t>
        </is>
      </c>
    </row>
    <row r="772">
      <c r="A772" s="48" t="inlineStr">
        <is>
          <t>TCKH.BRANCH_LIST</t>
        </is>
      </c>
      <c r="B772" s="48" t="inlineStr">
        <is>
          <t>GOLD_DERIVED</t>
        </is>
      </c>
      <c r="C772" s="48" t="inlineStr">
        <is>
          <t>X.1</t>
        </is>
      </c>
      <c r="D772" s="48" t="inlineStr">
        <is>
          <t>Nhom X - Bo sung Raffles</t>
        </is>
      </c>
      <c r="E772" s="48" t="inlineStr">
        <is>
          <t>[Bổ sung] Link phải rút về current trước khi join (chống fan-out)</t>
        </is>
      </c>
      <c r="F772" s="48" t="inlineStr">
        <is>
          <t>N-A</t>
        </is>
      </c>
      <c r="G772" s="48" t="inlineStr">
        <is>
          <t>Pass</t>
        </is>
      </c>
      <c r="H772" s="50" t="inlineStr">
        <is>
          <t>khong ap dung cho profile GOLD_DERIVED</t>
        </is>
      </c>
      <c r="I7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72" s="48" t="inlineStr">
        <is>
          <t>039. OCB_GOLD_TCKH_BRANCH_LIST_HOP.xlsx [SCRIPT: BRANCH_LIST]</t>
        </is>
      </c>
    </row>
    <row r="773">
      <c r="A773" s="48" t="inlineStr">
        <is>
          <t>TCKH.BRANCH_LIST</t>
        </is>
      </c>
      <c r="B773" s="48" t="inlineStr">
        <is>
          <t>GOLD_DERIVED</t>
        </is>
      </c>
      <c r="C773" s="48" t="inlineStr">
        <is>
          <t>X.6</t>
        </is>
      </c>
      <c r="D773" s="48" t="inlineStr">
        <is>
          <t>Nhom X - Bo sung Raffles</t>
        </is>
      </c>
      <c r="E773" s="48" t="inlineStr">
        <is>
          <t>[Bổ sung] Satellite phải LEFT JOIN, không INNER JOIN</t>
        </is>
      </c>
      <c r="F773" s="48" t="inlineStr">
        <is>
          <t>N-A</t>
        </is>
      </c>
      <c r="G773" s="48" t="inlineStr">
        <is>
          <t>Pass</t>
        </is>
      </c>
      <c r="H773" s="50" t="inlineStr">
        <is>
          <t>khong ap dung cho profile GOLD_DERIVED</t>
        </is>
      </c>
      <c r="I773" s="50" t="inlineStr">
        <is>
          <t>Technical Document III.4.2.2 nguyên tắc 1: làm giàu thuộc tính luôn dùng LEFT JOIN. INNER JOIN satellite sẽ loại mất bản ghi Hub đang còn hiệu lực nhưng chưa có dòng satellite.</t>
        </is>
      </c>
      <c r="J773" s="48" t="inlineStr">
        <is>
          <t>039. OCB_GOLD_TCKH_BRANCH_LIST_HOP.xlsx [SCRIPT: BRANCH_LIST]</t>
        </is>
      </c>
    </row>
    <row r="774">
      <c r="A774" s="48" t="inlineStr">
        <is>
          <t>TCKH.BRANCH_LIST</t>
        </is>
      </c>
      <c r="B774" s="48" t="inlineStr">
        <is>
          <t>GOLD_DERIVED</t>
        </is>
      </c>
      <c r="C774" s="48" t="inlineStr">
        <is>
          <t>X.7</t>
        </is>
      </c>
      <c r="D774" s="48" t="inlineStr">
        <is>
          <t>Nhom X - Bo sung Raffles</t>
        </is>
      </c>
      <c r="E774" s="48" t="inlineStr">
        <is>
          <t>[Bổ sung] Không hard-code catalog, dùng biến môi trường</t>
        </is>
      </c>
      <c r="F774" s="49" t="inlineStr">
        <is>
          <t>PASS</t>
        </is>
      </c>
      <c r="G774" s="48" t="inlineStr">
        <is>
          <t>Pass</t>
        </is>
      </c>
      <c r="H774" s="50" t="inlineStr">
        <is>
          <t>dùng biến môi trường cho catalog</t>
        </is>
      </c>
      <c r="I7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74" s="48" t="inlineStr">
        <is>
          <t>039. OCB_GOLD_TCKH_BRANCH_LIST_HOP.xlsx [SCRIPT: BRANCH_LIST]</t>
        </is>
      </c>
    </row>
    <row r="775">
      <c r="A775" s="48" t="inlineStr">
        <is>
          <t>TCKH.BRANCH_LIST</t>
        </is>
      </c>
      <c r="B775" s="48" t="inlineStr">
        <is>
          <t>GOLD_DERIVED</t>
        </is>
      </c>
      <c r="C775" s="48" t="inlineStr">
        <is>
          <t>X.10</t>
        </is>
      </c>
      <c r="D775" s="48" t="inlineStr">
        <is>
          <t>Nhom X - Bo sung Raffles</t>
        </is>
      </c>
      <c r="E775" s="48" t="inlineStr">
        <is>
          <t>Bang raw_vault/business_vault duoc doc phai TON TAI THAT trong Data Vault model</t>
        </is>
      </c>
      <c r="F775" s="48" t="inlineStr">
        <is>
          <t>N-A</t>
        </is>
      </c>
      <c r="G775" s="48" t="inlineStr">
        <is>
          <t>Pass</t>
        </is>
      </c>
      <c r="H775" s="50" t="inlineStr">
        <is>
          <t>script không đọc bảng raw_vault/business_vault nào</t>
        </is>
      </c>
      <c r="I775" s="50" t="inlineStr"/>
      <c r="J775" s="48" t="inlineStr">
        <is>
          <t>039. OCB_GOLD_TCKH_BRANCH_LIST_HOP.xlsx [SCRIPT: BRANCH_LIST]</t>
        </is>
      </c>
    </row>
    <row r="776">
      <c r="A776" s="48" t="inlineStr">
        <is>
          <t>TCKH.BRANCH_LIST</t>
        </is>
      </c>
      <c r="B776" s="48" t="inlineStr">
        <is>
          <t>GOLD_DERIVED</t>
        </is>
      </c>
      <c r="C776" s="48" t="inlineStr">
        <is>
          <t>X.11</t>
        </is>
      </c>
      <c r="D776" s="48" t="inlineStr">
        <is>
          <t>Nhom X - Bo sung Raffles</t>
        </is>
      </c>
      <c r="E776" s="48" t="inlineStr">
        <is>
          <t>Cot doc tu satellite (sat_*) phai TON TAI THAT trong model</t>
        </is>
      </c>
      <c r="F776" s="48" t="inlineStr">
        <is>
          <t>N-A</t>
        </is>
      </c>
      <c r="G776" s="48" t="inlineStr">
        <is>
          <t>Pass</t>
        </is>
      </c>
      <c r="H776" s="50" t="inlineStr">
        <is>
          <t>không có bảng sat_* nào đủ điều kiện đối chiếu (Select chỉ đọc 1 bảng)</t>
        </is>
      </c>
      <c r="I776" s="50" t="inlineStr"/>
      <c r="J776" s="48" t="inlineStr">
        <is>
          <t>039. OCB_GOLD_TCKH_BRANCH_LIST_HOP.xlsx [SCRIPT: BRANCH_LIST]</t>
        </is>
      </c>
    </row>
    <row r="777">
      <c r="A777" s="48" t="inlineStr">
        <is>
          <t>TCKH.CST_LCS_KT_30D_FINAL_CASE5</t>
        </is>
      </c>
      <c r="B777" s="48" t="inlineStr">
        <is>
          <t>SILVER_CONSUMER</t>
        </is>
      </c>
      <c r="C777" s="48" t="inlineStr">
        <is>
          <t>1.1</t>
        </is>
      </c>
      <c r="D777" s="48" t="inlineStr">
        <is>
          <t>Nhom 1 - Mapping</t>
        </is>
      </c>
      <c r="E777" s="48" t="inlineStr">
        <is>
          <t>Đầy đủ mapping từ Silver/manual sang Gold</t>
        </is>
      </c>
      <c r="F777" s="49" t="inlineStr">
        <is>
          <t>PASS</t>
        </is>
      </c>
      <c r="G777" s="48" t="inlineStr">
        <is>
          <t>Pass</t>
        </is>
      </c>
      <c r="H777" s="50" t="inlineStr">
        <is>
          <t>workbook 008. OCB_GOLD_TCKH_V_CUST_STATUS_BAOANH.xlsx: thiết kế 31 field, SQL có 31 cột</t>
        </is>
      </c>
      <c r="I7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77" s="48" t="inlineStr">
        <is>
          <t>040. OCB_GOLD_TCKH_CST_LCS_KT_30D_FINAL_CASE5_MAPPING_MAIPT_BAOANH.xlsx [Script: CST_LCS_KT_30D_FINAL_CASE5]</t>
        </is>
      </c>
    </row>
    <row r="778">
      <c r="A778" s="48" t="inlineStr">
        <is>
          <t>TCKH.CST_LCS_KT_30D_FINAL_CASE5</t>
        </is>
      </c>
      <c r="B778" s="48" t="inlineStr">
        <is>
          <t>SILVER_CONSUMER</t>
        </is>
      </c>
      <c r="C778" s="48" t="inlineStr">
        <is>
          <t>1.2</t>
        </is>
      </c>
      <c r="D778" s="48" t="inlineStr">
        <is>
          <t>Nhom 1 - Mapping</t>
        </is>
      </c>
      <c r="E778" s="48" t="inlineStr">
        <is>
          <t>Danh sách bảng/view Gold khớp tài liệu thiết kế đã duyệt</t>
        </is>
      </c>
      <c r="F778" s="49" t="inlineStr">
        <is>
          <t>PASS</t>
        </is>
      </c>
      <c r="G778" s="48" t="inlineStr">
        <is>
          <t>Pass</t>
        </is>
      </c>
      <c r="H778" s="50" t="inlineStr">
        <is>
          <t>CST_LCS_KT_30D_FINAL_CASE5 có workbook thiết kế: 008. OCB_GOLD_TCKH_V_CUST_STATUS_BAOANH.xlsx</t>
        </is>
      </c>
      <c r="I778" s="50" t="inlineStr">
        <is>
          <t>Đảm bảo object có workbook thiết kế tương ứng trong thư mục --mapping-dir. Muốn đối chiếu với danh sách đã duyệt thì chạy thêm tham số --gold-list "&lt;file danh sách Gold&gt;.xlsx".</t>
        </is>
      </c>
      <c r="J778" s="48" t="inlineStr">
        <is>
          <t>040. OCB_GOLD_TCKH_CST_LCS_KT_30D_FINAL_CASE5_MAPPING_MAIPT_BAOANH.xlsx [Script: CST_LCS_KT_30D_FINAL_CASE5]</t>
        </is>
      </c>
    </row>
    <row r="779">
      <c r="A779" s="48" t="inlineStr">
        <is>
          <t>TCKH.CST_LCS_KT_30D_FINAL_CASE5</t>
        </is>
      </c>
      <c r="B779" s="48" t="inlineStr">
        <is>
          <t>SILVER_CONSUMER</t>
        </is>
      </c>
      <c r="C779" s="48" t="inlineStr">
        <is>
          <t>2.1</t>
        </is>
      </c>
      <c r="D779" s="48" t="inlineStr">
        <is>
          <t>Nhom 2 - Logic</t>
        </is>
      </c>
      <c r="E779" s="48" t="inlineStr">
        <is>
          <t>Chỉ lấy bản ghi active, loại bản ghi đã xóa (qua sts_hub)</t>
        </is>
      </c>
      <c r="F779" s="49" t="inlineStr">
        <is>
          <t>PASS</t>
        </is>
      </c>
      <c r="G779" s="48" t="inlineStr">
        <is>
          <t>Pass</t>
        </is>
      </c>
      <c r="H779" s="50" t="inlineStr">
        <is>
          <t>4 sts_hub_* đọc đúng format</t>
        </is>
      </c>
      <c r="I7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79" s="48" t="inlineStr">
        <is>
          <t>040. OCB_GOLD_TCKH_CST_LCS_KT_30D_FINAL_CASE5_MAPPING_MAIPT_BAOANH.xlsx [Script: CST_LCS_KT_30D_FINAL_CASE5]</t>
        </is>
      </c>
    </row>
    <row r="780">
      <c r="A780" s="48" t="inlineStr">
        <is>
          <t>TCKH.CST_LCS_KT_30D_FINAL_CASE5</t>
        </is>
      </c>
      <c r="B780" s="48" t="inlineStr">
        <is>
          <t>SILVER_CONSUMER</t>
        </is>
      </c>
      <c r="C780" s="48" t="inlineStr">
        <is>
          <t>2.2</t>
        </is>
      </c>
      <c r="D780" s="48" t="inlineStr">
        <is>
          <t>Nhom 2 - Logic</t>
        </is>
      </c>
      <c r="E780" s="48" t="inlineStr">
        <is>
          <t>Thống nhất MỘT pattern duy nhất xác định bản ghi active mới nhất</t>
        </is>
      </c>
      <c r="F780" s="49" t="inlineStr">
        <is>
          <t>PASS</t>
        </is>
      </c>
      <c r="G780" s="48" t="inlineStr">
        <is>
          <t>Pass</t>
        </is>
      </c>
      <c r="H780" s="50" t="inlineStr">
        <is>
          <t>file này dùng: ['MAX_BY']; toàn batch dùng: ['MAX_BY']</t>
        </is>
      </c>
      <c r="I7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80" s="48" t="inlineStr">
        <is>
          <t>040. OCB_GOLD_TCKH_CST_LCS_KT_30D_FINAL_CASE5_MAPPING_MAIPT_BAOANH.xlsx [Script: CST_LCS_KT_30D_FINAL_CASE5]</t>
        </is>
      </c>
    </row>
    <row r="781">
      <c r="A781" s="48" t="inlineStr">
        <is>
          <t>TCKH.CST_LCS_KT_30D_FINAL_CASE5</t>
        </is>
      </c>
      <c r="B781" s="48" t="inlineStr">
        <is>
          <t>SILVER_CONSUMER</t>
        </is>
      </c>
      <c r="C781" s="48" t="inlineStr">
        <is>
          <t>2.3</t>
        </is>
      </c>
      <c r="D781" s="48" t="inlineStr">
        <is>
          <t>Nhom 2 - Logic</t>
        </is>
      </c>
      <c r="E781" s="48" t="inlineStr">
        <is>
          <t>Điều kiện lọc trạng thái đặt SAU khi xác định bản ghi mới nhất</t>
        </is>
      </c>
      <c r="F781" s="49" t="inlineStr">
        <is>
          <t>PASS</t>
        </is>
      </c>
      <c r="G781" s="48" t="inlineStr">
        <is>
          <t>Pass</t>
        </is>
      </c>
      <c r="H781" s="50" t="inlineStr">
        <is>
          <t>không có điều kiện trạng thái nào lồng trong JOIN ON</t>
        </is>
      </c>
      <c r="I7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81" s="48" t="inlineStr">
        <is>
          <t>040. OCB_GOLD_TCKH_CST_LCS_KT_30D_FINAL_CASE5_MAPPING_MAIPT_BAOANH.xlsx [Script: CST_LCS_KT_30D_FINAL_CASE5]</t>
        </is>
      </c>
    </row>
    <row r="782">
      <c r="A782" s="48" t="inlineStr">
        <is>
          <t>TCKH.CST_LCS_KT_30D_FINAL_CASE5</t>
        </is>
      </c>
      <c r="B782" s="48" t="inlineStr">
        <is>
          <t>SILVER_CONSUMER</t>
        </is>
      </c>
      <c r="C782" s="48" t="inlineStr">
        <is>
          <t>2.4</t>
        </is>
      </c>
      <c r="D782" s="48" t="inlineStr">
        <is>
          <t>Nhom 2 - Logic</t>
        </is>
      </c>
      <c r="E782" s="48" t="inlineStr">
        <is>
          <t>source_event_date áp dụng đúng dạng theo loại bảng</t>
        </is>
      </c>
      <c r="F782" s="49" t="inlineStr">
        <is>
          <t>PASS</t>
        </is>
      </c>
      <c r="G782" s="48" t="inlineStr">
        <is>
          <t>Pass</t>
        </is>
      </c>
      <c r="H782" s="50" t="inlineStr">
        <is>
          <t>23 satellite đều đúng dạng điều kiện source_event_date</t>
        </is>
      </c>
      <c r="I7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82" s="48" t="inlineStr">
        <is>
          <t>040. OCB_GOLD_TCKH_CST_LCS_KT_30D_FINAL_CASE5_MAPPING_MAIPT_BAOANH.xlsx [Script: CST_LCS_KT_30D_FINAL_CASE5]</t>
        </is>
      </c>
    </row>
    <row r="783">
      <c r="A783" s="48" t="inlineStr">
        <is>
          <t>TCKH.CST_LCS_KT_30D_FINAL_CASE5</t>
        </is>
      </c>
      <c r="B783" s="48" t="inlineStr">
        <is>
          <t>SILVER_CONSUMER</t>
        </is>
      </c>
      <c r="C783" s="48" t="inlineStr">
        <is>
          <t>2.5</t>
        </is>
      </c>
      <c r="D783" s="48" t="inlineStr">
        <is>
          <t>Nhom 2 - Logic</t>
        </is>
      </c>
      <c r="E783" s="48" t="inlineStr">
        <is>
          <t>Không lặp lại lỗi logic cũ đã được DA Data Vault fix</t>
        </is>
      </c>
      <c r="F783" s="49" t="inlineStr">
        <is>
          <t>PASS</t>
        </is>
      </c>
      <c r="G783" s="48" t="inlineStr">
        <is>
          <t>Pass</t>
        </is>
      </c>
      <c r="H783" s="50" t="inlineStr">
        <is>
          <t>không trùng lỗi nào trong Issue log của DA Data Vault</t>
        </is>
      </c>
      <c r="I7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83" s="48" t="inlineStr">
        <is>
          <t>040. OCB_GOLD_TCKH_CST_LCS_KT_30D_FINAL_CASE5_MAPPING_MAIPT_BAOANH.xlsx [Script: CST_LCS_KT_30D_FINAL_CASE5]</t>
        </is>
      </c>
    </row>
    <row r="784">
      <c r="A784" s="48" t="inlineStr">
        <is>
          <t>TCKH.CST_LCS_KT_30D_FINAL_CASE5</t>
        </is>
      </c>
      <c r="B784" s="48" t="inlineStr">
        <is>
          <t>SILVER_CONSUMER</t>
        </is>
      </c>
      <c r="C784" s="48" t="inlineStr">
        <is>
          <t>2.6</t>
        </is>
      </c>
      <c r="D784" s="48" t="inlineStr">
        <is>
          <t>Nhom 2 - Logic</t>
        </is>
      </c>
      <c r="E784" s="48" t="inlineStr">
        <is>
          <t>SCD Type 2 cho bảng DIM áp dụng đúng kỹ thuật đã thống nhất</t>
        </is>
      </c>
      <c r="F784" s="48" t="inlineStr">
        <is>
          <t>N-A</t>
        </is>
      </c>
      <c r="G784" s="48" t="inlineStr">
        <is>
          <t>Pass</t>
        </is>
      </c>
      <c r="H784" s="50" t="inlineStr">
        <is>
          <t>object không phải bảng DIM nên không áp dụng SCD Type 2</t>
        </is>
      </c>
      <c r="I7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84" s="48" t="inlineStr">
        <is>
          <t>040. OCB_GOLD_TCKH_CST_LCS_KT_30D_FINAL_CASE5_MAPPING_MAIPT_BAOANH.xlsx [Script: CST_LCS_KT_30D_FINAL_CASE5]</t>
        </is>
      </c>
    </row>
    <row r="785">
      <c r="A785" s="48" t="inlineStr">
        <is>
          <t>TCKH.CST_LCS_KT_30D_FINAL_CASE5</t>
        </is>
      </c>
      <c r="B785" s="48" t="inlineStr">
        <is>
          <t>SILVER_CONSUMER</t>
        </is>
      </c>
      <c r="C785" s="48" t="inlineStr">
        <is>
          <t>2.7</t>
        </is>
      </c>
      <c r="D785" s="48" t="inlineStr">
        <is>
          <t>Nhom 2 - Logic</t>
        </is>
      </c>
      <c r="E785" s="48" t="inlineStr">
        <is>
          <t>CASE WHEN cover đủ nhánh như job on-prem</t>
        </is>
      </c>
      <c r="F785" s="49" t="inlineStr">
        <is>
          <t>PASS</t>
        </is>
      </c>
      <c r="G785" s="48" t="inlineStr">
        <is>
          <t>Pass</t>
        </is>
      </c>
      <c r="H785" s="50" t="inlineStr">
        <is>
          <t>cả 41 CASE đều có nhánh ELSE</t>
        </is>
      </c>
      <c r="I785" s="50" t="inlineStr">
        <is>
          <t>Mở job on-prem tương ứng (DataStage DSX hoặc SQL cũ), đối chiếu từng nhánh WHEN và cả nhánh ELSE. CASE không có ELSE sẽ trả NULL âm thầm — xác nhận đó là ý muốn hay thiếu nhánh.</t>
        </is>
      </c>
      <c r="J785" s="48" t="inlineStr">
        <is>
          <t>040. OCB_GOLD_TCKH_CST_LCS_KT_30D_FINAL_CASE5_MAPPING_MAIPT_BAOANH.xlsx [Script: CST_LCS_KT_30D_FINAL_CASE5]</t>
        </is>
      </c>
    </row>
    <row r="786">
      <c r="A786" s="48" t="inlineStr">
        <is>
          <t>TCKH.CST_LCS_KT_30D_FINAL_CASE5</t>
        </is>
      </c>
      <c r="B786" s="48" t="inlineStr">
        <is>
          <t>SILVER_CONSUMER</t>
        </is>
      </c>
      <c r="C786" s="48" t="inlineStr">
        <is>
          <t>2.8</t>
        </is>
      </c>
      <c r="D786" s="48" t="inlineStr">
        <is>
          <t>Nhom 2 - Logic</t>
        </is>
      </c>
      <c r="E786" s="48" t="inlineStr">
        <is>
          <t>Cột SUM/COUNT được COALESCE/NVL hợp lý</t>
        </is>
      </c>
      <c r="F786" s="49" t="inlineStr">
        <is>
          <t>PASS</t>
        </is>
      </c>
      <c r="G786" s="48" t="inlineStr">
        <is>
          <t>Pass</t>
        </is>
      </c>
      <c r="H786" s="50" t="inlineStr">
        <is>
          <t>mọi SUM/COUNT đều đã coalesce (trực tiếp hoặc ở lớp ngoài)</t>
        </is>
      </c>
      <c r="I7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86" s="48" t="inlineStr">
        <is>
          <t>040. OCB_GOLD_TCKH_CST_LCS_KT_30D_FINAL_CASE5_MAPPING_MAIPT_BAOANH.xlsx [Script: CST_LCS_KT_30D_FINAL_CASE5]</t>
        </is>
      </c>
    </row>
    <row r="787">
      <c r="A787" s="48" t="inlineStr">
        <is>
          <t>TCKH.CST_LCS_KT_30D_FINAL_CASE5</t>
        </is>
      </c>
      <c r="B787" s="48" t="inlineStr">
        <is>
          <t>SILVER_CONSUMER</t>
        </is>
      </c>
      <c r="C787" s="48" t="inlineStr">
        <is>
          <t>2.9</t>
        </is>
      </c>
      <c r="D787" s="48" t="inlineStr">
        <is>
          <t>Nhom 2 - Logic</t>
        </is>
      </c>
      <c r="E787" s="48" t="inlineStr">
        <is>
          <t>Subquery / custom function / điều kiện LIKE đúng ý nghĩa nghiệp vụ</t>
        </is>
      </c>
      <c r="F787" s="49" t="inlineStr">
        <is>
          <t>PASS</t>
        </is>
      </c>
      <c r="G787" s="48" t="inlineStr">
        <is>
          <t>Pass</t>
        </is>
      </c>
      <c r="H787" s="50" t="inlineStr">
        <is>
          <t>3 điều kiện LIKE: ad1.t_inputter NOT LIKE '%\_COB%' | ce.business_key NOT LIKE 'F%' | hst.business_key NOT LIKE 'F%'; 1 subquery nằm trong điều kiện; cú pháp hợp lệ; ý nghĩa nghiệp vụ cần người review đối chiếu job on-prem</t>
        </is>
      </c>
      <c r="I787" s="50" t="inlineStr">
        <is>
          <t>Đọc lại từng điều kiện LIKE và từng subquery, đối chiếu ý nghĩa nghiệp vụ với on-prem — đúng cú pháp không đủ. Chú ý pattern LIKE có ký tự % ở đầu/cuối và phân biệt chữ hoa/thường.</t>
        </is>
      </c>
      <c r="J787" s="48" t="inlineStr">
        <is>
          <t>040. OCB_GOLD_TCKH_CST_LCS_KT_30D_FINAL_CASE5_MAPPING_MAIPT_BAOANH.xlsx [Script: CST_LCS_KT_30D_FINAL_CASE5]</t>
        </is>
      </c>
    </row>
    <row r="788">
      <c r="A788" s="48" t="inlineStr">
        <is>
          <t>TCKH.CST_LCS_KT_30D_FINAL_CASE5</t>
        </is>
      </c>
      <c r="B788" s="48" t="inlineStr">
        <is>
          <t>SILVER_CONSUMER</t>
        </is>
      </c>
      <c r="C788" s="48" t="inlineStr">
        <is>
          <t>2.10</t>
        </is>
      </c>
      <c r="D788" s="48" t="inlineStr">
        <is>
          <t>Nhom 2 - Logic</t>
        </is>
      </c>
      <c r="E788" s="48" t="inlineStr">
        <is>
          <t>Aggregation kèm filter date range chính xác</t>
        </is>
      </c>
      <c r="F788" s="51" t="inlineStr">
        <is>
          <t>WARN</t>
        </is>
      </c>
      <c r="G788" s="48" t="inlineStr">
        <is>
          <t>WARN</t>
        </is>
      </c>
      <c r="H788" s="50" t="inlineStr">
        <is>
          <t>1 khối tổng hợp không thấy filter theo ngày/tham số: cte_w4_status</t>
        </is>
      </c>
      <c r="I788" s="50" t="inlineStr">
        <is>
          <t>Mỗi khối SUM/COUNT/AVG phải có điều kiện lọc theo kỳ dữ liệu (CDR_DT_ID, DATA_DATE, :DATADT…). Nếu điều kiện nằm ở CTE nguồn thì ghi rõ trong comment để người review không phải truy ngược.</t>
        </is>
      </c>
      <c r="J788" s="48" t="inlineStr">
        <is>
          <t>040. OCB_GOLD_TCKH_CST_LCS_KT_30D_FINAL_CASE5_MAPPING_MAIPT_BAOANH.xlsx [Script: CST_LCS_KT_30D_FINAL_CASE5]</t>
        </is>
      </c>
    </row>
    <row r="789">
      <c r="A789" s="48" t="inlineStr">
        <is>
          <t>TCKH.CST_LCS_KT_30D_FINAL_CASE5</t>
        </is>
      </c>
      <c r="B789" s="48" t="inlineStr">
        <is>
          <t>SILVER_CONSUMER</t>
        </is>
      </c>
      <c r="C789" s="48" t="inlineStr">
        <is>
          <t>2.11</t>
        </is>
      </c>
      <c r="D789" s="48" t="inlineStr">
        <is>
          <t>Nhom 2 - Logic</t>
        </is>
      </c>
      <c r="E789" s="48" t="inlineStr">
        <is>
          <t>Join dùng key hợp lý, không lạm dụng UNION ALL + EXISTS/NOT EXISTS</t>
        </is>
      </c>
      <c r="F789" s="51" t="inlineStr">
        <is>
          <t>WARN</t>
        </is>
      </c>
      <c r="G789" s="48" t="inlineStr">
        <is>
          <t>WARN</t>
        </is>
      </c>
      <c r="H789" s="50" t="inlineStr">
        <is>
          <t>dùng đồng thời UNION ALL và EXISTS ở dòng [4, 595], xét thay bằng LEFT JOIN</t>
        </is>
      </c>
      <c r="I789" s="50" t="inlineStr">
        <is>
          <t>Ưu tiên LEFT JOIN theo business key hoặc hashkey. Xem lại các chỗ dùng UNION ALL kết hợp EXISTS/NOT EXISTS — thường thay được bằng một LEFT JOIN. Join không có điều kiện bằng (=) dễ tạo tích Descartes.</t>
        </is>
      </c>
      <c r="J789" s="48" t="inlineStr">
        <is>
          <t>040. OCB_GOLD_TCKH_CST_LCS_KT_30D_FINAL_CASE5_MAPPING_MAIPT_BAOANH.xlsx [Script: CST_LCS_KT_30D_FINAL_CASE5]</t>
        </is>
      </c>
    </row>
    <row r="790">
      <c r="A790" s="48" t="inlineStr">
        <is>
          <t>TCKH.CST_LCS_KT_30D_FINAL_CASE5</t>
        </is>
      </c>
      <c r="B790" s="48" t="inlineStr">
        <is>
          <t>SILVER_CONSUMER</t>
        </is>
      </c>
      <c r="C790" s="48" t="inlineStr">
        <is>
          <t>2.12</t>
        </is>
      </c>
      <c r="D790" s="48" t="inlineStr">
        <is>
          <t>Nhom 2 - Logic</t>
        </is>
      </c>
      <c r="E790" s="48" t="inlineStr">
        <is>
          <t>Build Gold từ CTE snapshot Silver, không build nhiều tầng chồng chéo</t>
        </is>
      </c>
      <c r="F790" s="49" t="inlineStr">
        <is>
          <t>PASS</t>
        </is>
      </c>
      <c r="G790" s="48" t="inlineStr">
        <is>
          <t>Pass</t>
        </is>
      </c>
      <c r="H790" s="50" t="inlineStr">
        <is>
          <t>mỗi bảng nguồn chỉ đọc trong 1 khối SELECT</t>
        </is>
      </c>
      <c r="I7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90" s="48" t="inlineStr">
        <is>
          <t>040. OCB_GOLD_TCKH_CST_LCS_KT_30D_FINAL_CASE5_MAPPING_MAIPT_BAOANH.xlsx [Script: CST_LCS_KT_30D_FINAL_CASE5]</t>
        </is>
      </c>
    </row>
    <row r="791">
      <c r="A791" s="48" t="inlineStr">
        <is>
          <t>TCKH.CST_LCS_KT_30D_FINAL_CASE5</t>
        </is>
      </c>
      <c r="B791" s="48" t="inlineStr">
        <is>
          <t>SILVER_CONSUMER</t>
        </is>
      </c>
      <c r="C791" s="48" t="inlineStr">
        <is>
          <t>3.1</t>
        </is>
      </c>
      <c r="D791" s="48" t="inlineStr">
        <is>
          <t>Nhom 3 - Optimization</t>
        </is>
      </c>
      <c r="E791" s="48" t="inlineStr">
        <is>
          <t>Không SELECT *</t>
        </is>
      </c>
      <c r="F791" s="49" t="inlineStr">
        <is>
          <t>PASS</t>
        </is>
      </c>
      <c r="G791" s="48" t="inlineStr">
        <is>
          <t>Pass</t>
        </is>
      </c>
      <c r="H791" s="50" t="inlineStr">
        <is>
          <t>không dùng SELECT * ở đâu</t>
        </is>
      </c>
      <c r="I791" s="50" t="inlineStr">
        <is>
          <t>Liệt kê tường minh các cột cần dùng, kể cả trong CTE trung gian. SELECT * làm tăng IO/memory và vỡ script khi bảng nguồn thêm cột.</t>
        </is>
      </c>
      <c r="J791" s="48" t="inlineStr">
        <is>
          <t>040. OCB_GOLD_TCKH_CST_LCS_KT_30D_FINAL_CASE5_MAPPING_MAIPT_BAOANH.xlsx [Script: CST_LCS_KT_30D_FINAL_CASE5]</t>
        </is>
      </c>
    </row>
    <row r="792">
      <c r="A792" s="48" t="inlineStr">
        <is>
          <t>TCKH.CST_LCS_KT_30D_FINAL_CASE5</t>
        </is>
      </c>
      <c r="B792" s="48" t="inlineStr">
        <is>
          <t>SILVER_CONSUMER</t>
        </is>
      </c>
      <c r="C792" s="48" t="inlineStr">
        <is>
          <t>3.2</t>
        </is>
      </c>
      <c r="D792" s="48" t="inlineStr">
        <is>
          <t>Nhom 3 - Optimization</t>
        </is>
      </c>
      <c r="E792" s="48" t="inlineStr">
        <is>
          <t>CTE không bị scan lại nhiều lần</t>
        </is>
      </c>
      <c r="F792" s="51" t="inlineStr">
        <is>
          <t>WARN</t>
        </is>
      </c>
      <c r="G792" s="48" t="inlineStr">
        <is>
          <t>WARN</t>
        </is>
      </c>
      <c r="H792" s="50" t="inlineStr">
        <is>
          <t>CTE bị tham chiếu lại nhiều lần: cte_account_sts_del x2, cte_crb_sts_del x2, cte_snap_hub_customer x2, cte_snap_hub_branch x2, cte_snap_hub_account x4, cte_snap_link_account_customer x3, cte_snap_hub_crb x3, cte_snap_link_letter_of_credit_customer x2, cte_snap_sat_account_balance x2, cte_snap_calendar x3, cte_customer_classification x2, cte_customer_balance x2, cte_acct_base x2, cte_acct_b2 x2, cte_ft_dedup x2, cte_ref_way4_contr_status_cur x2, cte_w4_acnt_contract_info_cur x2, cte_w4_acnt_contract_type_cur x3</t>
        </is>
      </c>
      <c r="I792" s="50" t="inlineStr">
        <is>
          <t>Với CTE nặng (đọc nhiều bảng Silver) bị tham chiếu từ 2 chỗ trở lên: gom lại còn một lần dùng, hoặc vật chất hóa (CACHE / bảng tạm). CTE nhẹ chỉ chứa tham số thì bỏ qua được — tự tick Pass.</t>
        </is>
      </c>
      <c r="J792" s="48" t="inlineStr">
        <is>
          <t>040. OCB_GOLD_TCKH_CST_LCS_KT_30D_FINAL_CASE5_MAPPING_MAIPT_BAOANH.xlsx [Script: CST_LCS_KT_30D_FINAL_CASE5]</t>
        </is>
      </c>
    </row>
    <row r="793">
      <c r="A793" s="48" t="inlineStr">
        <is>
          <t>TCKH.CST_LCS_KT_30D_FINAL_CASE5</t>
        </is>
      </c>
      <c r="B793" s="48" t="inlineStr">
        <is>
          <t>SILVER_CONSUMER</t>
        </is>
      </c>
      <c r="C793" s="48" t="inlineStr">
        <is>
          <t>3.3</t>
        </is>
      </c>
      <c r="D793" s="48" t="inlineStr">
        <is>
          <t>Nhom 3 - Optimization</t>
        </is>
      </c>
      <c r="E793" s="48" t="inlineStr">
        <is>
          <t>Filter trước khi join, tận dụng partition pruning</t>
        </is>
      </c>
      <c r="F793" s="51" t="inlineStr">
        <is>
          <t>WARN</t>
        </is>
      </c>
      <c r="G793" s="48" t="inlineStr">
        <is>
          <t>WARN</t>
        </is>
      </c>
      <c r="H793" s="50" t="inlineStr">
        <is>
          <t>9 bảng join trực tiếp mà không có filter riêng: hub_acnt_contract (cc), hub_acnt_contract (lac), hub_letter_of_credit (hlc), hub_loans (hln), hub_md_deal (hmd), ref_currency (rc), ref_t24_acct_group_condition (mini), sat_categ_entry_information (info)</t>
        </is>
      </c>
      <c r="I793" s="50" t="inlineStr">
        <is>
          <t>Đưa điều kiện lọc (ngày dữ liệu, trạng thái) vào subquery của từng bảng TRƯỚC khi join, để tận dụng partition pruning. Bảng dim nhỏ không partition thì không cần — tự tick Pass.</t>
        </is>
      </c>
      <c r="J793" s="48" t="inlineStr">
        <is>
          <t>040. OCB_GOLD_TCKH_CST_LCS_KT_30D_FINAL_CASE5_MAPPING_MAIPT_BAOANH.xlsx [Script: CST_LCS_KT_30D_FINAL_CASE5]</t>
        </is>
      </c>
    </row>
    <row r="794">
      <c r="A794" s="48" t="inlineStr">
        <is>
          <t>TCKH.CST_LCS_KT_30D_FINAL_CASE5</t>
        </is>
      </c>
      <c r="B794" s="48" t="inlineStr">
        <is>
          <t>SILVER_CONSUMER</t>
        </is>
      </c>
      <c r="C794" s="48" t="inlineStr">
        <is>
          <t>3.4</t>
        </is>
      </c>
      <c r="D794" s="48" t="inlineStr">
        <is>
          <t>Nhom 3 - Optimization</t>
        </is>
      </c>
      <c r="E794" s="48" t="inlineStr">
        <is>
          <t>Sử dụng CACHE cho query lặp lại trong cùng luồng</t>
        </is>
      </c>
      <c r="F794" s="51" t="inlineStr">
        <is>
          <t>WARN</t>
        </is>
      </c>
      <c r="G794" s="48" t="inlineStr">
        <is>
          <t>WARN</t>
        </is>
      </c>
      <c r="H794" s="50" t="inlineStr">
        <is>
          <t>18 CTE nặng dùng lại &gt;= 2 lần mà không có CACHE: cte_account_sts_del, cte_acct_b2, cte_acct_base, cte_crb_sts_del, cte_customer_balance, cte_customer_classification, cte_ft_dedup, cte_ref_way4_contr_status_cur, cte_snap_calendar, cte_snap_hub_account, cte_snap_hub_branch, cte_snap_hub_crb, cte_snap_hub_customer, cte_snap_link_account_customer, cte_snap_link_letter_of_credit_customer, cte_snap_sat_account_balance, cte_w4_acnt_contract_info_cur, cte_w4_acnt_contract_type_cur</t>
        </is>
      </c>
      <c r="I794" s="50" t="inlineStr">
        <is>
          <t>Nếu một kết quả nặng được dùng lại nhiều bước trong cùng luồng, thêm CACHE TABLE / CACHE SELECT. Kết quả nhỏ thì cache còn chậm hơn — tự tick Pass.</t>
        </is>
      </c>
      <c r="J794" s="48" t="inlineStr">
        <is>
          <t>040. OCB_GOLD_TCKH_CST_LCS_KT_30D_FINAL_CASE5_MAPPING_MAIPT_BAOANH.xlsx [Script: CST_LCS_KT_30D_FINAL_CASE5]</t>
        </is>
      </c>
    </row>
    <row r="795">
      <c r="A795" s="48" t="inlineStr">
        <is>
          <t>TCKH.CST_LCS_KT_30D_FINAL_CASE5</t>
        </is>
      </c>
      <c r="B795" s="48" t="inlineStr">
        <is>
          <t>SILVER_CONSUMER</t>
        </is>
      </c>
      <c r="C795" s="48" t="inlineStr">
        <is>
          <t>3.5</t>
        </is>
      </c>
      <c r="D795" s="48" t="inlineStr">
        <is>
          <t>Nhom 3 - Optimization</t>
        </is>
      </c>
      <c r="E795" s="48" t="inlineStr">
        <is>
          <t>Ưu tiên MAX_BY + QUALIFY thay ROW_NUMBER() + WHERE rn = 1</t>
        </is>
      </c>
      <c r="F795" s="48" t="inlineStr">
        <is>
          <t>N-A</t>
        </is>
      </c>
      <c r="G795" s="48" t="inlineStr">
        <is>
          <t>Pass</t>
        </is>
      </c>
      <c r="H795" s="50" t="inlineStr">
        <is>
          <t>script không dùng ROW_NUMBER, và MAX_BY (nếu có) không vượt quá 5 cột/khối</t>
        </is>
      </c>
      <c r="I7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95" s="48" t="inlineStr">
        <is>
          <t>040. OCB_GOLD_TCKH_CST_LCS_KT_30D_FINAL_CASE5_MAPPING_MAIPT_BAOANH.xlsx [Script: CST_LCS_KT_30D_FINAL_CASE5]</t>
        </is>
      </c>
    </row>
    <row r="796">
      <c r="A796" s="48" t="inlineStr">
        <is>
          <t>TCKH.CST_LCS_KT_30D_FINAL_CASE5</t>
        </is>
      </c>
      <c r="B796" s="48" t="inlineStr">
        <is>
          <t>SILVER_CONSUMER</t>
        </is>
      </c>
      <c r="C796" s="48" t="inlineStr">
        <is>
          <t>3.6</t>
        </is>
      </c>
      <c r="D796" s="48" t="inlineStr">
        <is>
          <t>Nhom 3 - Optimization</t>
        </is>
      </c>
      <c r="E796" s="48" t="inlineStr">
        <is>
          <t>Không lạm dụng window function; có comment khi dùng</t>
        </is>
      </c>
      <c r="F796" s="48" t="inlineStr">
        <is>
          <t>N-A</t>
        </is>
      </c>
      <c r="G796" s="48" t="inlineStr">
        <is>
          <t>Pass</t>
        </is>
      </c>
      <c r="H796" s="50" t="inlineStr">
        <is>
          <t>script không dùng window function</t>
        </is>
      </c>
      <c r="I796" s="50" t="inlineStr">
        <is>
          <t>Mỗi window function cần một comment ngay trên khối CTE chứa nó, nói rõ vì sao không dùng được max_by/QUALIFY đơn giản hơn.</t>
        </is>
      </c>
      <c r="J796" s="48" t="inlineStr">
        <is>
          <t>040. OCB_GOLD_TCKH_CST_LCS_KT_30D_FINAL_CASE5_MAPPING_MAIPT_BAOANH.xlsx [Script: CST_LCS_KT_30D_FINAL_CASE5]</t>
        </is>
      </c>
    </row>
    <row r="797">
      <c r="A797" s="48" t="inlineStr">
        <is>
          <t>TCKH.CST_LCS_KT_30D_FINAL_CASE5</t>
        </is>
      </c>
      <c r="B797" s="48" t="inlineStr">
        <is>
          <t>SILVER_CONSUMER</t>
        </is>
      </c>
      <c r="C797" s="48" t="inlineStr">
        <is>
          <t>X.1</t>
        </is>
      </c>
      <c r="D797" s="48" t="inlineStr">
        <is>
          <t>Nhom X - Bo sung Raffles</t>
        </is>
      </c>
      <c r="E797" s="48" t="inlineStr">
        <is>
          <t>[Bổ sung] Link phải rút về current trước khi join (chống fan-out)</t>
        </is>
      </c>
      <c r="F797" s="49" t="inlineStr">
        <is>
          <t>PASS</t>
        </is>
      </c>
      <c r="G797" s="48" t="inlineStr">
        <is>
          <t>Pass</t>
        </is>
      </c>
      <c r="H797" s="50" t="inlineStr">
        <is>
          <t>các bảng link_* đều được rút về current trước khi join</t>
        </is>
      </c>
      <c r="I7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97" s="48" t="inlineStr">
        <is>
          <t>040. OCB_GOLD_TCKH_CST_LCS_KT_30D_FINAL_CASE5_MAPPING_MAIPT_BAOANH.xlsx [Script: CST_LCS_KT_30D_FINAL_CASE5]</t>
        </is>
      </c>
    </row>
    <row r="798">
      <c r="A798" s="48" t="inlineStr">
        <is>
          <t>TCKH.CST_LCS_KT_30D_FINAL_CASE5</t>
        </is>
      </c>
      <c r="B798" s="48" t="inlineStr">
        <is>
          <t>SILVER_CONSUMER</t>
        </is>
      </c>
      <c r="C798" s="48" t="inlineStr">
        <is>
          <t>X.6</t>
        </is>
      </c>
      <c r="D798" s="48" t="inlineStr">
        <is>
          <t>Nhom X - Bo sung Raffles</t>
        </is>
      </c>
      <c r="E798" s="48" t="inlineStr">
        <is>
          <t>[Bổ sung] Satellite phải LEFT JOIN, không INNER JOIN</t>
        </is>
      </c>
      <c r="F798" s="49" t="inlineStr">
        <is>
          <t>PASS</t>
        </is>
      </c>
      <c r="G798" s="48" t="inlineStr">
        <is>
          <t>Pass</t>
        </is>
      </c>
      <c r="H798" s="50" t="inlineStr">
        <is>
          <t>các satellite đều LEFT JOIN</t>
        </is>
      </c>
      <c r="I798" s="50" t="inlineStr">
        <is>
          <t>Technical Document III.4.2.2 nguyên tắc 1: làm giàu thuộc tính luôn dùng LEFT JOIN. INNER JOIN satellite sẽ loại mất bản ghi Hub đang còn hiệu lực nhưng chưa có dòng satellite.</t>
        </is>
      </c>
      <c r="J798" s="48" t="inlineStr">
        <is>
          <t>040. OCB_GOLD_TCKH_CST_LCS_KT_30D_FINAL_CASE5_MAPPING_MAIPT_BAOANH.xlsx [Script: CST_LCS_KT_30D_FINAL_CASE5]</t>
        </is>
      </c>
    </row>
    <row r="799">
      <c r="A799" s="48" t="inlineStr">
        <is>
          <t>TCKH.CST_LCS_KT_30D_FINAL_CASE5</t>
        </is>
      </c>
      <c r="B799" s="48" t="inlineStr">
        <is>
          <t>SILVER_CONSUMER</t>
        </is>
      </c>
      <c r="C799" s="48" t="inlineStr">
        <is>
          <t>X.7</t>
        </is>
      </c>
      <c r="D799" s="48" t="inlineStr">
        <is>
          <t>Nhom X - Bo sung Raffles</t>
        </is>
      </c>
      <c r="E799" s="48" t="inlineStr">
        <is>
          <t>[Bổ sung] Không hard-code catalog, dùng biến môi trường</t>
        </is>
      </c>
      <c r="F799" s="49" t="inlineStr">
        <is>
          <t>PASS</t>
        </is>
      </c>
      <c r="G799" s="48" t="inlineStr">
        <is>
          <t>Pass</t>
        </is>
      </c>
      <c r="H799" s="50" t="inlineStr">
        <is>
          <t>dùng biến môi trường cho catalog</t>
        </is>
      </c>
      <c r="I7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99" s="48" t="inlineStr">
        <is>
          <t>040. OCB_GOLD_TCKH_CST_LCS_KT_30D_FINAL_CASE5_MAPPING_MAIPT_BAOANH.xlsx [Script: CST_LCS_KT_30D_FINAL_CASE5]</t>
        </is>
      </c>
    </row>
    <row r="800">
      <c r="A800" s="48" t="inlineStr">
        <is>
          <t>TCKH.CST_LCS_KT_30D_FINAL_CASE5</t>
        </is>
      </c>
      <c r="B800" s="48" t="inlineStr">
        <is>
          <t>SILVER_CONSUMER</t>
        </is>
      </c>
      <c r="C800" s="48" t="inlineStr">
        <is>
          <t>X.10</t>
        </is>
      </c>
      <c r="D800" s="48" t="inlineStr">
        <is>
          <t>Nhom X - Bo sung Raffles</t>
        </is>
      </c>
      <c r="E800" s="48" t="inlineStr">
        <is>
          <t>Bang raw_vault/business_vault duoc doc phai TON TAI THAT trong Data Vault model</t>
        </is>
      </c>
      <c r="F800" s="49" t="inlineStr">
        <is>
          <t>PASS</t>
        </is>
      </c>
      <c r="G800" s="48" t="inlineStr">
        <is>
          <t>Pass</t>
        </is>
      </c>
      <c r="H800" s="50" t="inlineStr">
        <is>
          <t>59 bảng Silver đều có thật trong Data Vault model</t>
        </is>
      </c>
      <c r="I800" s="50" t="inlineStr"/>
      <c r="J800" s="48" t="inlineStr">
        <is>
          <t>040. OCB_GOLD_TCKH_CST_LCS_KT_30D_FINAL_CASE5_MAPPING_MAIPT_BAOANH.xlsx [Script: CST_LCS_KT_30D_FINAL_CASE5]</t>
        </is>
      </c>
    </row>
    <row r="801">
      <c r="A801" s="48" t="inlineStr">
        <is>
          <t>TCKH.CST_LCS_KT_30D_FINAL_CASE5</t>
        </is>
      </c>
      <c r="B801" s="48" t="inlineStr">
        <is>
          <t>SILVER_CONSUMER</t>
        </is>
      </c>
      <c r="C801" s="48" t="inlineStr">
        <is>
          <t>X.11</t>
        </is>
      </c>
      <c r="D801" s="48" t="inlineStr">
        <is>
          <t>Nhom X - Bo sung Raffles</t>
        </is>
      </c>
      <c r="E801" s="48" t="inlineStr">
        <is>
          <t>Cot doc tu satellite (sat_*) phai TON TAI THAT trong model</t>
        </is>
      </c>
      <c r="F801" s="49" t="inlineStr">
        <is>
          <t>PASS</t>
        </is>
      </c>
      <c r="G801" s="48" t="inlineStr">
        <is>
          <t>Pass</t>
        </is>
      </c>
      <c r="H801" s="50" t="inlineStr">
        <is>
          <t>mọi cột đọc từ sat_* đều tồn tại trong model thật</t>
        </is>
      </c>
      <c r="I801" s="50" t="inlineStr"/>
      <c r="J801" s="48" t="inlineStr">
        <is>
          <t>040. OCB_GOLD_TCKH_CST_LCS_KT_30D_FINAL_CASE5_MAPPING_MAIPT_BAOANH.xlsx [Script: CST_LCS_KT_30D_FINAL_CASE5]</t>
        </is>
      </c>
    </row>
    <row r="802">
      <c r="A802" s="48" t="inlineStr">
        <is>
          <t>TCKH.HOLIDAY</t>
        </is>
      </c>
      <c r="B802" s="48" t="inlineStr">
        <is>
          <t>SILVER_CONSUMER</t>
        </is>
      </c>
      <c r="C802" s="48" t="inlineStr">
        <is>
          <t>1.1</t>
        </is>
      </c>
      <c r="D802" s="48" t="inlineStr">
        <is>
          <t>Nhom 1 - Mapping</t>
        </is>
      </c>
      <c r="E802" s="48" t="inlineStr">
        <is>
          <t>Đầy đủ mapping từ Silver/manual sang Gold</t>
        </is>
      </c>
      <c r="F802" s="49" t="inlineStr">
        <is>
          <t>PASS</t>
        </is>
      </c>
      <c r="G802" s="48" t="inlineStr">
        <is>
          <t>Pass</t>
        </is>
      </c>
      <c r="H802" s="50" t="inlineStr">
        <is>
          <t>workbook 041. OCB_GOLD_TCKH_HOLIDAY_BAOANH.xlsx: thiết kế 4 field, SQL có 4 cột</t>
        </is>
      </c>
      <c r="I8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02" s="48" t="inlineStr">
        <is>
          <t>041. OCB_GOLD_TCKH_HOLIDAY_BAOANH.xlsx [SCRIPT: HOLIDAY]</t>
        </is>
      </c>
    </row>
    <row r="803">
      <c r="A803" s="48" t="inlineStr">
        <is>
          <t>TCKH.HOLIDAY</t>
        </is>
      </c>
      <c r="B803" s="48" t="inlineStr">
        <is>
          <t>SILVER_CONSUMER</t>
        </is>
      </c>
      <c r="C803" s="48" t="inlineStr">
        <is>
          <t>1.2</t>
        </is>
      </c>
      <c r="D803" s="48" t="inlineStr">
        <is>
          <t>Nhom 1 - Mapping</t>
        </is>
      </c>
      <c r="E803" s="48" t="inlineStr">
        <is>
          <t>Danh sách bảng/view Gold khớp tài liệu thiết kế đã duyệt</t>
        </is>
      </c>
      <c r="F803" s="49" t="inlineStr">
        <is>
          <t>PASS</t>
        </is>
      </c>
      <c r="G803" s="48" t="inlineStr">
        <is>
          <t>Pass</t>
        </is>
      </c>
      <c r="H803" s="50" t="inlineStr">
        <is>
          <t>HOLIDAY có workbook thiết kế: 041. OCB_GOLD_TCKH_HOLIDAY_BAOANH.xlsx</t>
        </is>
      </c>
      <c r="I803" s="50" t="inlineStr">
        <is>
          <t>Đảm bảo object có workbook thiết kế tương ứng trong thư mục --mapping-dir. Muốn đối chiếu với danh sách đã duyệt thì chạy thêm tham số --gold-list "&lt;file danh sách Gold&gt;.xlsx".</t>
        </is>
      </c>
      <c r="J803" s="48" t="inlineStr">
        <is>
          <t>041. OCB_GOLD_TCKH_HOLIDAY_BAOANH.xlsx [SCRIPT: HOLIDAY]</t>
        </is>
      </c>
    </row>
    <row r="804">
      <c r="A804" s="48" t="inlineStr">
        <is>
          <t>TCKH.HOLIDAY</t>
        </is>
      </c>
      <c r="B804" s="48" t="inlineStr">
        <is>
          <t>SILVER_CONSUMER</t>
        </is>
      </c>
      <c r="C804" s="48" t="inlineStr">
        <is>
          <t>2.1</t>
        </is>
      </c>
      <c r="D804" s="48" t="inlineStr">
        <is>
          <t>Nhom 2 - Logic</t>
        </is>
      </c>
      <c r="E804" s="48" t="inlineStr">
        <is>
          <t>Chỉ lấy bản ghi active, loại bản ghi đã xóa (qua sts_hub)</t>
        </is>
      </c>
      <c r="F804" s="48" t="inlineStr">
        <is>
          <t>N-A</t>
        </is>
      </c>
      <c r="G804" s="48" t="inlineStr">
        <is>
          <t>Pass</t>
        </is>
      </c>
      <c r="H804" s="50" t="inlineStr">
        <is>
          <t>script không đọc sts_hub/satellite nào nên không có bản ghi xóa để lọc</t>
        </is>
      </c>
      <c r="I8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04" s="48" t="inlineStr">
        <is>
          <t>041. OCB_GOLD_TCKH_HOLIDAY_BAOANH.xlsx [SCRIPT: HOLIDAY]</t>
        </is>
      </c>
    </row>
    <row r="805">
      <c r="A805" s="48" t="inlineStr">
        <is>
          <t>TCKH.HOLIDAY</t>
        </is>
      </c>
      <c r="B805" s="48" t="inlineStr">
        <is>
          <t>SILVER_CONSUMER</t>
        </is>
      </c>
      <c r="C805" s="48" t="inlineStr">
        <is>
          <t>2.2</t>
        </is>
      </c>
      <c r="D805" s="48" t="inlineStr">
        <is>
          <t>Nhom 2 - Logic</t>
        </is>
      </c>
      <c r="E805" s="48" t="inlineStr">
        <is>
          <t>Thống nhất MỘT pattern duy nhất xác định bản ghi active mới nhất</t>
        </is>
      </c>
      <c r="F805" s="48" t="inlineStr">
        <is>
          <t>N-A</t>
        </is>
      </c>
      <c r="G805" s="48" t="inlineStr">
        <is>
          <t>Pass</t>
        </is>
      </c>
      <c r="H805" s="50" t="inlineStr">
        <is>
          <t>script không có bước lấy bản ghi mới nhất nào tính là bất nhất (không dùng, hoặc chỉ dùng ROW_NUMBER cho block &gt;5 cột - đã miễn trừ)</t>
        </is>
      </c>
      <c r="I8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05" s="48" t="inlineStr">
        <is>
          <t>041. OCB_GOLD_TCKH_HOLIDAY_BAOANH.xlsx [SCRIPT: HOLIDAY]</t>
        </is>
      </c>
    </row>
    <row r="806">
      <c r="A806" s="48" t="inlineStr">
        <is>
          <t>TCKH.HOLIDAY</t>
        </is>
      </c>
      <c r="B806" s="48" t="inlineStr">
        <is>
          <t>SILVER_CONSUMER</t>
        </is>
      </c>
      <c r="C806" s="48" t="inlineStr">
        <is>
          <t>2.3</t>
        </is>
      </c>
      <c r="D806" s="48" t="inlineStr">
        <is>
          <t>Nhom 2 - Logic</t>
        </is>
      </c>
      <c r="E806" s="48" t="inlineStr">
        <is>
          <t>Điều kiện lọc trạng thái đặt SAU khi xác định bản ghi mới nhất</t>
        </is>
      </c>
      <c r="F806" s="49" t="inlineStr">
        <is>
          <t>PASS</t>
        </is>
      </c>
      <c r="G806" s="48" t="inlineStr">
        <is>
          <t>Pass</t>
        </is>
      </c>
      <c r="H806" s="50" t="inlineStr">
        <is>
          <t>không có điều kiện trạng thái nào lồng trong JOIN ON</t>
        </is>
      </c>
      <c r="I8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06" s="48" t="inlineStr">
        <is>
          <t>041. OCB_GOLD_TCKH_HOLIDAY_BAOANH.xlsx [SCRIPT: HOLIDAY]</t>
        </is>
      </c>
    </row>
    <row r="807">
      <c r="A807" s="48" t="inlineStr">
        <is>
          <t>TCKH.HOLIDAY</t>
        </is>
      </c>
      <c r="B807" s="48" t="inlineStr">
        <is>
          <t>SILVER_CONSUMER</t>
        </is>
      </c>
      <c r="C807" s="48" t="inlineStr">
        <is>
          <t>2.4</t>
        </is>
      </c>
      <c r="D807" s="48" t="inlineStr">
        <is>
          <t>Nhom 2 - Logic</t>
        </is>
      </c>
      <c r="E807" s="48" t="inlineStr">
        <is>
          <t>source_event_date áp dụng đúng dạng theo loại bảng</t>
        </is>
      </c>
      <c r="F807" s="48" t="inlineStr">
        <is>
          <t>N-A</t>
        </is>
      </c>
      <c r="G807" s="48" t="inlineStr">
        <is>
          <t>Pass</t>
        </is>
      </c>
      <c r="H807" s="50" t="inlineStr">
        <is>
          <t>script không đọc satellite nào</t>
        </is>
      </c>
      <c r="I8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07" s="48" t="inlineStr">
        <is>
          <t>041. OCB_GOLD_TCKH_HOLIDAY_BAOANH.xlsx [SCRIPT: HOLIDAY]</t>
        </is>
      </c>
    </row>
    <row r="808">
      <c r="A808" s="48" t="inlineStr">
        <is>
          <t>TCKH.HOLIDAY</t>
        </is>
      </c>
      <c r="B808" s="48" t="inlineStr">
        <is>
          <t>SILVER_CONSUMER</t>
        </is>
      </c>
      <c r="C808" s="48" t="inlineStr">
        <is>
          <t>2.5</t>
        </is>
      </c>
      <c r="D808" s="48" t="inlineStr">
        <is>
          <t>Nhom 2 - Logic</t>
        </is>
      </c>
      <c r="E808" s="48" t="inlineStr">
        <is>
          <t>Không lặp lại lỗi logic cũ đã được DA Data Vault fix</t>
        </is>
      </c>
      <c r="F808" s="49" t="inlineStr">
        <is>
          <t>PASS</t>
        </is>
      </c>
      <c r="G808" s="48" t="inlineStr">
        <is>
          <t>Pass</t>
        </is>
      </c>
      <c r="H808" s="50" t="inlineStr">
        <is>
          <t>không trùng lỗi nào trong Issue log của DA Data Vault</t>
        </is>
      </c>
      <c r="I8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08" s="48" t="inlineStr">
        <is>
          <t>041. OCB_GOLD_TCKH_HOLIDAY_BAOANH.xlsx [SCRIPT: HOLIDAY]</t>
        </is>
      </c>
    </row>
    <row r="809">
      <c r="A809" s="48" t="inlineStr">
        <is>
          <t>TCKH.HOLIDAY</t>
        </is>
      </c>
      <c r="B809" s="48" t="inlineStr">
        <is>
          <t>SILVER_CONSUMER</t>
        </is>
      </c>
      <c r="C809" s="48" t="inlineStr">
        <is>
          <t>2.6</t>
        </is>
      </c>
      <c r="D809" s="48" t="inlineStr">
        <is>
          <t>Nhom 2 - Logic</t>
        </is>
      </c>
      <c r="E809" s="48" t="inlineStr">
        <is>
          <t>SCD Type 2 cho bảng DIM áp dụng đúng kỹ thuật đã thống nhất</t>
        </is>
      </c>
      <c r="F809" s="48" t="inlineStr">
        <is>
          <t>N-A</t>
        </is>
      </c>
      <c r="G809" s="48" t="inlineStr">
        <is>
          <t>Pass</t>
        </is>
      </c>
      <c r="H809" s="50" t="inlineStr">
        <is>
          <t>object không phải bảng DIM nên không áp dụng SCD Type 2</t>
        </is>
      </c>
      <c r="I8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09" s="48" t="inlineStr">
        <is>
          <t>041. OCB_GOLD_TCKH_HOLIDAY_BAOANH.xlsx [SCRIPT: HOLIDAY]</t>
        </is>
      </c>
    </row>
    <row r="810">
      <c r="A810" s="48" t="inlineStr">
        <is>
          <t>TCKH.HOLIDAY</t>
        </is>
      </c>
      <c r="B810" s="48" t="inlineStr">
        <is>
          <t>SILVER_CONSUMER</t>
        </is>
      </c>
      <c r="C810" s="48" t="inlineStr">
        <is>
          <t>2.7</t>
        </is>
      </c>
      <c r="D810" s="48" t="inlineStr">
        <is>
          <t>Nhom 2 - Logic</t>
        </is>
      </c>
      <c r="E810" s="48" t="inlineStr">
        <is>
          <t>CASE WHEN cover đủ nhánh như job on-prem</t>
        </is>
      </c>
      <c r="F810" s="48" t="inlineStr">
        <is>
          <t>N-A</t>
        </is>
      </c>
      <c r="G810" s="48" t="inlineStr">
        <is>
          <t>Pass</t>
        </is>
      </c>
      <c r="H810" s="50" t="inlineStr">
        <is>
          <t>script không có CASE WHEN nào</t>
        </is>
      </c>
      <c r="I810" s="50" t="inlineStr">
        <is>
          <t>Mở job on-prem tương ứng (DataStage DSX hoặc SQL cũ), đối chiếu từng nhánh WHEN và cả nhánh ELSE. CASE không có ELSE sẽ trả NULL âm thầm — xác nhận đó là ý muốn hay thiếu nhánh.</t>
        </is>
      </c>
      <c r="J810" s="48" t="inlineStr">
        <is>
          <t>041. OCB_GOLD_TCKH_HOLIDAY_BAOANH.xlsx [SCRIPT: HOLIDAY]</t>
        </is>
      </c>
    </row>
    <row r="811">
      <c r="A811" s="48" t="inlineStr">
        <is>
          <t>TCKH.HOLIDAY</t>
        </is>
      </c>
      <c r="B811" s="48" t="inlineStr">
        <is>
          <t>SILVER_CONSUMER</t>
        </is>
      </c>
      <c r="C811" s="48" t="inlineStr">
        <is>
          <t>2.8</t>
        </is>
      </c>
      <c r="D811" s="48" t="inlineStr">
        <is>
          <t>Nhom 2 - Logic</t>
        </is>
      </c>
      <c r="E811" s="48" t="inlineStr">
        <is>
          <t>Cột SUM/COUNT được COALESCE/NVL hợp lý</t>
        </is>
      </c>
      <c r="F811" s="49" t="inlineStr">
        <is>
          <t>PASS</t>
        </is>
      </c>
      <c r="G811" s="48" t="inlineStr">
        <is>
          <t>Pass</t>
        </is>
      </c>
      <c r="H811" s="50" t="inlineStr">
        <is>
          <t>mọi SUM/COUNT đều đã coalesce (trực tiếp hoặc ở lớp ngoài)</t>
        </is>
      </c>
      <c r="I8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11" s="48" t="inlineStr">
        <is>
          <t>041. OCB_GOLD_TCKH_HOLIDAY_BAOANH.xlsx [SCRIPT: HOLIDAY]</t>
        </is>
      </c>
    </row>
    <row r="812">
      <c r="A812" s="48" t="inlineStr">
        <is>
          <t>TCKH.HOLIDAY</t>
        </is>
      </c>
      <c r="B812" s="48" t="inlineStr">
        <is>
          <t>SILVER_CONSUMER</t>
        </is>
      </c>
      <c r="C812" s="48" t="inlineStr">
        <is>
          <t>2.9</t>
        </is>
      </c>
      <c r="D812" s="48" t="inlineStr">
        <is>
          <t>Nhom 2 - Logic</t>
        </is>
      </c>
      <c r="E812" s="48" t="inlineStr">
        <is>
          <t>Subquery / custom function / điều kiện LIKE đúng ý nghĩa nghiệp vụ</t>
        </is>
      </c>
      <c r="F812" s="48" t="inlineStr">
        <is>
          <t>N-A</t>
        </is>
      </c>
      <c r="G812" s="48" t="inlineStr">
        <is>
          <t>Pass</t>
        </is>
      </c>
      <c r="H812" s="50" t="inlineStr">
        <is>
          <t>script không có điều kiện LIKE hay scalar subquery nào</t>
        </is>
      </c>
      <c r="I812" s="50" t="inlineStr">
        <is>
          <t>Đọc lại từng điều kiện LIKE và từng subquery, đối chiếu ý nghĩa nghiệp vụ với on-prem — đúng cú pháp không đủ. Chú ý pattern LIKE có ký tự % ở đầu/cuối và phân biệt chữ hoa/thường.</t>
        </is>
      </c>
      <c r="J812" s="48" t="inlineStr">
        <is>
          <t>041. OCB_GOLD_TCKH_HOLIDAY_BAOANH.xlsx [SCRIPT: HOLIDAY]</t>
        </is>
      </c>
    </row>
    <row r="813">
      <c r="A813" s="48" t="inlineStr">
        <is>
          <t>TCKH.HOLIDAY</t>
        </is>
      </c>
      <c r="B813" s="48" t="inlineStr">
        <is>
          <t>SILVER_CONSUMER</t>
        </is>
      </c>
      <c r="C813" s="48" t="inlineStr">
        <is>
          <t>2.10</t>
        </is>
      </c>
      <c r="D813" s="48" t="inlineStr">
        <is>
          <t>Nhom 2 - Logic</t>
        </is>
      </c>
      <c r="E813" s="48" t="inlineStr">
        <is>
          <t>Aggregation kèm filter date range chính xác</t>
        </is>
      </c>
      <c r="F813" s="49" t="inlineStr">
        <is>
          <t>PASS</t>
        </is>
      </c>
      <c r="G813" s="48" t="inlineStr">
        <is>
          <t>Pass</t>
        </is>
      </c>
      <c r="H813" s="50" t="inlineStr">
        <is>
          <t>mọi khối tổng hợp đều có điều kiện theo kỳ dữ liệu</t>
        </is>
      </c>
      <c r="I813" s="50" t="inlineStr">
        <is>
          <t>Mỗi khối SUM/COUNT/AVG phải có điều kiện lọc theo kỳ dữ liệu (CDR_DT_ID, DATA_DATE, :DATADT…). Nếu điều kiện nằm ở CTE nguồn thì ghi rõ trong comment để người review không phải truy ngược.</t>
        </is>
      </c>
      <c r="J813" s="48" t="inlineStr">
        <is>
          <t>041. OCB_GOLD_TCKH_HOLIDAY_BAOANH.xlsx [SCRIPT: HOLIDAY]</t>
        </is>
      </c>
    </row>
    <row r="814">
      <c r="A814" s="48" t="inlineStr">
        <is>
          <t>TCKH.HOLIDAY</t>
        </is>
      </c>
      <c r="B814" s="48" t="inlineStr">
        <is>
          <t>SILVER_CONSUMER</t>
        </is>
      </c>
      <c r="C814" s="48" t="inlineStr">
        <is>
          <t>2.11</t>
        </is>
      </c>
      <c r="D814" s="48" t="inlineStr">
        <is>
          <t>Nhom 2 - Logic</t>
        </is>
      </c>
      <c r="E814" s="48" t="inlineStr">
        <is>
          <t>Join dùng key hợp lý, không lạm dụng UNION ALL + EXISTS/NOT EXISTS</t>
        </is>
      </c>
      <c r="F814" s="49" t="inlineStr">
        <is>
          <t>PASS</t>
        </is>
      </c>
      <c r="G814" s="48" t="inlineStr">
        <is>
          <t>Pass</t>
        </is>
      </c>
      <c r="H814" s="50" t="inlineStr">
        <is>
          <t>join đều theo điều kiện bằng, không lạm dụng UNION ALL + EXISTS</t>
        </is>
      </c>
      <c r="I814" s="50" t="inlineStr">
        <is>
          <t>Ưu tiên LEFT JOIN theo business key hoặc hashkey. Xem lại các chỗ dùng UNION ALL kết hợp EXISTS/NOT EXISTS — thường thay được bằng một LEFT JOIN. Join không có điều kiện bằng (=) dễ tạo tích Descartes.</t>
        </is>
      </c>
      <c r="J814" s="48" t="inlineStr">
        <is>
          <t>041. OCB_GOLD_TCKH_HOLIDAY_BAOANH.xlsx [SCRIPT: HOLIDAY]</t>
        </is>
      </c>
    </row>
    <row r="815">
      <c r="A815" s="48" t="inlineStr">
        <is>
          <t>TCKH.HOLIDAY</t>
        </is>
      </c>
      <c r="B815" s="48" t="inlineStr">
        <is>
          <t>SILVER_CONSUMER</t>
        </is>
      </c>
      <c r="C815" s="48" t="inlineStr">
        <is>
          <t>2.12</t>
        </is>
      </c>
      <c r="D815" s="48" t="inlineStr">
        <is>
          <t>Nhom 2 - Logic</t>
        </is>
      </c>
      <c r="E815" s="48" t="inlineStr">
        <is>
          <t>Build Gold từ CTE snapshot Silver, không build nhiều tầng chồng chéo</t>
        </is>
      </c>
      <c r="F815" s="49" t="inlineStr">
        <is>
          <t>PASS</t>
        </is>
      </c>
      <c r="G815" s="48" t="inlineStr">
        <is>
          <t>Pass</t>
        </is>
      </c>
      <c r="H815" s="50" t="inlineStr">
        <is>
          <t>mỗi bảng nguồn chỉ đọc trong 1 khối SELECT</t>
        </is>
      </c>
      <c r="I8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15" s="48" t="inlineStr">
        <is>
          <t>041. OCB_GOLD_TCKH_HOLIDAY_BAOANH.xlsx [SCRIPT: HOLIDAY]</t>
        </is>
      </c>
    </row>
    <row r="816">
      <c r="A816" s="48" t="inlineStr">
        <is>
          <t>TCKH.HOLIDAY</t>
        </is>
      </c>
      <c r="B816" s="48" t="inlineStr">
        <is>
          <t>SILVER_CONSUMER</t>
        </is>
      </c>
      <c r="C816" s="48" t="inlineStr">
        <is>
          <t>3.1</t>
        </is>
      </c>
      <c r="D816" s="48" t="inlineStr">
        <is>
          <t>Nhom 3 - Optimization</t>
        </is>
      </c>
      <c r="E816" s="48" t="inlineStr">
        <is>
          <t>Không SELECT *</t>
        </is>
      </c>
      <c r="F816" s="49" t="inlineStr">
        <is>
          <t>PASS</t>
        </is>
      </c>
      <c r="G816" s="48" t="inlineStr">
        <is>
          <t>Pass</t>
        </is>
      </c>
      <c r="H816" s="50" t="inlineStr">
        <is>
          <t>không dùng SELECT * ở đâu</t>
        </is>
      </c>
      <c r="I816" s="50" t="inlineStr">
        <is>
          <t>Liệt kê tường minh các cột cần dùng, kể cả trong CTE trung gian. SELECT * làm tăng IO/memory và vỡ script khi bảng nguồn thêm cột.</t>
        </is>
      </c>
      <c r="J816" s="48" t="inlineStr">
        <is>
          <t>041. OCB_GOLD_TCKH_HOLIDAY_BAOANH.xlsx [SCRIPT: HOLIDAY]</t>
        </is>
      </c>
    </row>
    <row r="817">
      <c r="A817" s="48" t="inlineStr">
        <is>
          <t>TCKH.HOLIDAY</t>
        </is>
      </c>
      <c r="B817" s="48" t="inlineStr">
        <is>
          <t>SILVER_CONSUMER</t>
        </is>
      </c>
      <c r="C817" s="48" t="inlineStr">
        <is>
          <t>3.2</t>
        </is>
      </c>
      <c r="D817" s="48" t="inlineStr">
        <is>
          <t>Nhom 3 - Optimization</t>
        </is>
      </c>
      <c r="E817" s="48" t="inlineStr">
        <is>
          <t>CTE không bị scan lại nhiều lần</t>
        </is>
      </c>
      <c r="F817" s="49" t="inlineStr">
        <is>
          <t>PASS</t>
        </is>
      </c>
      <c r="G817" s="48" t="inlineStr">
        <is>
          <t>Pass</t>
        </is>
      </c>
      <c r="H817" s="50" t="inlineStr">
        <is>
          <t>không có CTE nào bị gọi lại</t>
        </is>
      </c>
      <c r="I817" s="50" t="inlineStr">
        <is>
          <t>Với CTE nặng (đọc nhiều bảng Silver) bị tham chiếu từ 2 chỗ trở lên: gom lại còn một lần dùng, hoặc vật chất hóa (CACHE / bảng tạm). CTE nhẹ chỉ chứa tham số thì bỏ qua được — tự tick Pass.</t>
        </is>
      </c>
      <c r="J817" s="48" t="inlineStr">
        <is>
          <t>041. OCB_GOLD_TCKH_HOLIDAY_BAOANH.xlsx [SCRIPT: HOLIDAY]</t>
        </is>
      </c>
    </row>
    <row r="818">
      <c r="A818" s="48" t="inlineStr">
        <is>
          <t>TCKH.HOLIDAY</t>
        </is>
      </c>
      <c r="B818" s="48" t="inlineStr">
        <is>
          <t>SILVER_CONSUMER</t>
        </is>
      </c>
      <c r="C818" s="48" t="inlineStr">
        <is>
          <t>3.3</t>
        </is>
      </c>
      <c r="D818" s="48" t="inlineStr">
        <is>
          <t>Nhom 3 - Optimization</t>
        </is>
      </c>
      <c r="E818" s="48" t="inlineStr">
        <is>
          <t>Filter trước khi join, tận dụng partition pruning</t>
        </is>
      </c>
      <c r="F818" s="49" t="inlineStr">
        <is>
          <t>PASS</t>
        </is>
      </c>
      <c r="G818" s="48" t="inlineStr">
        <is>
          <t>Pass</t>
        </is>
      </c>
      <c r="H818" s="50" t="inlineStr">
        <is>
          <t>các bảng join đều được filter trước</t>
        </is>
      </c>
      <c r="I818" s="50" t="inlineStr">
        <is>
          <t>Đưa điều kiện lọc (ngày dữ liệu, trạng thái) vào subquery của từng bảng TRƯỚC khi join, để tận dụng partition pruning. Bảng dim nhỏ không partition thì không cần — tự tick Pass.</t>
        </is>
      </c>
      <c r="J818" s="48" t="inlineStr">
        <is>
          <t>041. OCB_GOLD_TCKH_HOLIDAY_BAOANH.xlsx [SCRIPT: HOLIDAY]</t>
        </is>
      </c>
    </row>
    <row r="819">
      <c r="A819" s="48" t="inlineStr">
        <is>
          <t>TCKH.HOLIDAY</t>
        </is>
      </c>
      <c r="B819" s="48" t="inlineStr">
        <is>
          <t>SILVER_CONSUMER</t>
        </is>
      </c>
      <c r="C819" s="48" t="inlineStr">
        <is>
          <t>3.4</t>
        </is>
      </c>
      <c r="D819" s="48" t="inlineStr">
        <is>
          <t>Nhom 3 - Optimization</t>
        </is>
      </c>
      <c r="E819" s="48" t="inlineStr">
        <is>
          <t>Sử dụng CACHE cho query lặp lại trong cùng luồng</t>
        </is>
      </c>
      <c r="F819" s="48" t="inlineStr">
        <is>
          <t>N-A</t>
        </is>
      </c>
      <c r="G819" s="48" t="inlineStr">
        <is>
          <t>Pass</t>
        </is>
      </c>
      <c r="H819" s="50" t="inlineStr">
        <is>
          <t>không có kết quả nào được dùng lại nhiều lần nên chưa cần CACHE</t>
        </is>
      </c>
      <c r="I819" s="50" t="inlineStr">
        <is>
          <t>Nếu một kết quả nặng được dùng lại nhiều bước trong cùng luồng, thêm CACHE TABLE / CACHE SELECT. Kết quả nhỏ thì cache còn chậm hơn — tự tick Pass.</t>
        </is>
      </c>
      <c r="J819" s="48" t="inlineStr">
        <is>
          <t>041. OCB_GOLD_TCKH_HOLIDAY_BAOANH.xlsx [SCRIPT: HOLIDAY]</t>
        </is>
      </c>
    </row>
    <row r="820">
      <c r="A820" s="48" t="inlineStr">
        <is>
          <t>TCKH.HOLIDAY</t>
        </is>
      </c>
      <c r="B820" s="48" t="inlineStr">
        <is>
          <t>SILVER_CONSUMER</t>
        </is>
      </c>
      <c r="C820" s="48" t="inlineStr">
        <is>
          <t>3.5</t>
        </is>
      </c>
      <c r="D820" s="48" t="inlineStr">
        <is>
          <t>Nhom 3 - Optimization</t>
        </is>
      </c>
      <c r="E820" s="48" t="inlineStr">
        <is>
          <t>Ưu tiên MAX_BY + QUALIFY thay ROW_NUMBER() + WHERE rn = 1</t>
        </is>
      </c>
      <c r="F820" s="48" t="inlineStr">
        <is>
          <t>N-A</t>
        </is>
      </c>
      <c r="G820" s="48" t="inlineStr">
        <is>
          <t>Pass</t>
        </is>
      </c>
      <c r="H820" s="50" t="inlineStr">
        <is>
          <t>script không dùng ROW_NUMBER, và MAX_BY (nếu có) không vượt quá 5 cột/khối</t>
        </is>
      </c>
      <c r="I8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20" s="48" t="inlineStr">
        <is>
          <t>041. OCB_GOLD_TCKH_HOLIDAY_BAOANH.xlsx [SCRIPT: HOLIDAY]</t>
        </is>
      </c>
    </row>
    <row r="821">
      <c r="A821" s="48" t="inlineStr">
        <is>
          <t>TCKH.HOLIDAY</t>
        </is>
      </c>
      <c r="B821" s="48" t="inlineStr">
        <is>
          <t>SILVER_CONSUMER</t>
        </is>
      </c>
      <c r="C821" s="48" t="inlineStr">
        <is>
          <t>3.6</t>
        </is>
      </c>
      <c r="D821" s="48" t="inlineStr">
        <is>
          <t>Nhom 3 - Optimization</t>
        </is>
      </c>
      <c r="E821" s="48" t="inlineStr">
        <is>
          <t>Không lạm dụng window function; có comment khi dùng</t>
        </is>
      </c>
      <c r="F821" s="48" t="inlineStr">
        <is>
          <t>N-A</t>
        </is>
      </c>
      <c r="G821" s="48" t="inlineStr">
        <is>
          <t>Pass</t>
        </is>
      </c>
      <c r="H821" s="50" t="inlineStr">
        <is>
          <t>script không dùng window function</t>
        </is>
      </c>
      <c r="I821" s="50" t="inlineStr">
        <is>
          <t>Mỗi window function cần một comment ngay trên khối CTE chứa nó, nói rõ vì sao không dùng được max_by/QUALIFY đơn giản hơn.</t>
        </is>
      </c>
      <c r="J821" s="48" t="inlineStr">
        <is>
          <t>041. OCB_GOLD_TCKH_HOLIDAY_BAOANH.xlsx [SCRIPT: HOLIDAY]</t>
        </is>
      </c>
    </row>
    <row r="822">
      <c r="A822" s="48" t="inlineStr">
        <is>
          <t>TCKH.HOLIDAY</t>
        </is>
      </c>
      <c r="B822" s="48" t="inlineStr">
        <is>
          <t>SILVER_CONSUMER</t>
        </is>
      </c>
      <c r="C822" s="48" t="inlineStr">
        <is>
          <t>X.1</t>
        </is>
      </c>
      <c r="D822" s="48" t="inlineStr">
        <is>
          <t>Nhom X - Bo sung Raffles</t>
        </is>
      </c>
      <c r="E822" s="48" t="inlineStr">
        <is>
          <t>[Bổ sung] Link phải rút về current trước khi join (chống fan-out)</t>
        </is>
      </c>
      <c r="F822" s="49" t="inlineStr">
        <is>
          <t>PASS</t>
        </is>
      </c>
      <c r="G822" s="48" t="inlineStr">
        <is>
          <t>Pass</t>
        </is>
      </c>
      <c r="H822" s="50" t="inlineStr">
        <is>
          <t>các bảng link_* đều được rút về current trước khi join</t>
        </is>
      </c>
      <c r="I8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22" s="48" t="inlineStr">
        <is>
          <t>041. OCB_GOLD_TCKH_HOLIDAY_BAOANH.xlsx [SCRIPT: HOLIDAY]</t>
        </is>
      </c>
    </row>
    <row r="823">
      <c r="A823" s="48" t="inlineStr">
        <is>
          <t>TCKH.HOLIDAY</t>
        </is>
      </c>
      <c r="B823" s="48" t="inlineStr">
        <is>
          <t>SILVER_CONSUMER</t>
        </is>
      </c>
      <c r="C823" s="48" t="inlineStr">
        <is>
          <t>X.6</t>
        </is>
      </c>
      <c r="D823" s="48" t="inlineStr">
        <is>
          <t>Nhom X - Bo sung Raffles</t>
        </is>
      </c>
      <c r="E823" s="48" t="inlineStr">
        <is>
          <t>[Bổ sung] Satellite phải LEFT JOIN, không INNER JOIN</t>
        </is>
      </c>
      <c r="F823" s="48" t="inlineStr">
        <is>
          <t>N-A</t>
        </is>
      </c>
      <c r="G823" s="48" t="inlineStr">
        <is>
          <t>Pass</t>
        </is>
      </c>
      <c r="H823" s="50" t="inlineStr">
        <is>
          <t>không join satellite trực tiếp</t>
        </is>
      </c>
      <c r="I823" s="50" t="inlineStr">
        <is>
          <t>Technical Document III.4.2.2 nguyên tắc 1: làm giàu thuộc tính luôn dùng LEFT JOIN. INNER JOIN satellite sẽ loại mất bản ghi Hub đang còn hiệu lực nhưng chưa có dòng satellite.</t>
        </is>
      </c>
      <c r="J823" s="48" t="inlineStr">
        <is>
          <t>041. OCB_GOLD_TCKH_HOLIDAY_BAOANH.xlsx [SCRIPT: HOLIDAY]</t>
        </is>
      </c>
    </row>
    <row r="824">
      <c r="A824" s="48" t="inlineStr">
        <is>
          <t>TCKH.HOLIDAY</t>
        </is>
      </c>
      <c r="B824" s="48" t="inlineStr">
        <is>
          <t>SILVER_CONSUMER</t>
        </is>
      </c>
      <c r="C824" s="48" t="inlineStr">
        <is>
          <t>X.7</t>
        </is>
      </c>
      <c r="D824" s="48" t="inlineStr">
        <is>
          <t>Nhom X - Bo sung Raffles</t>
        </is>
      </c>
      <c r="E824" s="48" t="inlineStr">
        <is>
          <t>[Bổ sung] Không hard-code catalog, dùng biến môi trường</t>
        </is>
      </c>
      <c r="F824" s="49" t="inlineStr">
        <is>
          <t>PASS</t>
        </is>
      </c>
      <c r="G824" s="48" t="inlineStr">
        <is>
          <t>Pass</t>
        </is>
      </c>
      <c r="H824" s="50" t="inlineStr">
        <is>
          <t>dùng biến môi trường cho catalog</t>
        </is>
      </c>
      <c r="I8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24" s="48" t="inlineStr">
        <is>
          <t>041. OCB_GOLD_TCKH_HOLIDAY_BAOANH.xlsx [SCRIPT: HOLIDAY]</t>
        </is>
      </c>
    </row>
    <row r="825">
      <c r="A825" s="48" t="inlineStr">
        <is>
          <t>TCKH.HOLIDAY</t>
        </is>
      </c>
      <c r="B825" s="48" t="inlineStr">
        <is>
          <t>SILVER_CONSUMER</t>
        </is>
      </c>
      <c r="C825" s="48" t="inlineStr">
        <is>
          <t>X.10</t>
        </is>
      </c>
      <c r="D825" s="48" t="inlineStr">
        <is>
          <t>Nhom X - Bo sung Raffles</t>
        </is>
      </c>
      <c r="E825" s="48" t="inlineStr">
        <is>
          <t>Bang raw_vault/business_vault duoc doc phai TON TAI THAT trong Data Vault model</t>
        </is>
      </c>
      <c r="F825" s="49" t="inlineStr">
        <is>
          <t>PASS</t>
        </is>
      </c>
      <c r="G825" s="48" t="inlineStr">
        <is>
          <t>Pass</t>
        </is>
      </c>
      <c r="H825" s="50" t="inlineStr">
        <is>
          <t>1 bảng Silver đều có thật trong Data Vault model</t>
        </is>
      </c>
      <c r="I825" s="50" t="inlineStr"/>
      <c r="J825" s="48" t="inlineStr">
        <is>
          <t>041. OCB_GOLD_TCKH_HOLIDAY_BAOANH.xlsx [SCRIPT: HOLIDAY]</t>
        </is>
      </c>
    </row>
    <row r="826">
      <c r="A826" s="48" t="inlineStr">
        <is>
          <t>TCKH.HOLIDAY</t>
        </is>
      </c>
      <c r="B826" s="48" t="inlineStr">
        <is>
          <t>SILVER_CONSUMER</t>
        </is>
      </c>
      <c r="C826" s="48" t="inlineStr">
        <is>
          <t>X.11</t>
        </is>
      </c>
      <c r="D826" s="48" t="inlineStr">
        <is>
          <t>Nhom X - Bo sung Raffles</t>
        </is>
      </c>
      <c r="E826" s="48" t="inlineStr">
        <is>
          <t>Cot doc tu satellite (sat_*) phai TON TAI THAT trong model</t>
        </is>
      </c>
      <c r="F826" s="48" t="inlineStr">
        <is>
          <t>N-A</t>
        </is>
      </c>
      <c r="G826" s="48" t="inlineStr">
        <is>
          <t>Pass</t>
        </is>
      </c>
      <c r="H826" s="50" t="inlineStr">
        <is>
          <t>không có bảng sat_* nào đủ điều kiện đối chiếu (Select chỉ đọc 1 bảng)</t>
        </is>
      </c>
      <c r="I826" s="50" t="inlineStr"/>
      <c r="J826" s="48" t="inlineStr">
        <is>
          <t>041. OCB_GOLD_TCKH_HOLIDAY_BAOANH.xlsx [SCRIPT: HOLIDAY]</t>
        </is>
      </c>
    </row>
    <row r="827">
      <c r="A827" s="48" t="inlineStr">
        <is>
          <t>TCKH.MUABAN_VON_DTL</t>
        </is>
      </c>
      <c r="B827" s="48" t="inlineStr">
        <is>
          <t>SILVER_CONSUMER</t>
        </is>
      </c>
      <c r="C827" s="48" t="inlineStr">
        <is>
          <t>1.1</t>
        </is>
      </c>
      <c r="D827" s="48" t="inlineStr">
        <is>
          <t>Nhom 1 - Mapping</t>
        </is>
      </c>
      <c r="E827" s="48" t="inlineStr">
        <is>
          <t>Đầy đủ mapping từ Silver/manual sang Gold</t>
        </is>
      </c>
      <c r="F827" s="49" t="inlineStr">
        <is>
          <t>PASS</t>
        </is>
      </c>
      <c r="G827" s="48" t="inlineStr">
        <is>
          <t>Pass</t>
        </is>
      </c>
      <c r="H827" s="50" t="inlineStr">
        <is>
          <t>workbook 042. OCB_GOLD_TCKH_MUABAN_VON_DTL_PHAT.xlsx: thiết kế 42 field, SQL có 42 cột</t>
        </is>
      </c>
      <c r="I8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27" s="48" t="inlineStr">
        <is>
          <t>042. OCB_GOLD_TCKH_MUABAN_VON_DTL_PHAT.xlsx [SCRIPT_SQL: MUABAN_VON_DTL]</t>
        </is>
      </c>
    </row>
    <row r="828">
      <c r="A828" s="48" t="inlineStr">
        <is>
          <t>TCKH.MUABAN_VON_DTL</t>
        </is>
      </c>
      <c r="B828" s="48" t="inlineStr">
        <is>
          <t>SILVER_CONSUMER</t>
        </is>
      </c>
      <c r="C828" s="48" t="inlineStr">
        <is>
          <t>1.2</t>
        </is>
      </c>
      <c r="D828" s="48" t="inlineStr">
        <is>
          <t>Nhom 1 - Mapping</t>
        </is>
      </c>
      <c r="E828" s="48" t="inlineStr">
        <is>
          <t>Danh sách bảng/view Gold khớp tài liệu thiết kế đã duyệt</t>
        </is>
      </c>
      <c r="F828" s="49" t="inlineStr">
        <is>
          <t>PASS</t>
        </is>
      </c>
      <c r="G828" s="48" t="inlineStr">
        <is>
          <t>Pass</t>
        </is>
      </c>
      <c r="H828" s="50" t="inlineStr">
        <is>
          <t>MUABAN_VON_DTL có workbook thiết kế: 042. OCB_GOLD_TCKH_MUABAN_VON_DTL_PHAT.xlsx</t>
        </is>
      </c>
      <c r="I828" s="50" t="inlineStr">
        <is>
          <t>Đảm bảo object có workbook thiết kế tương ứng trong thư mục --mapping-dir. Muốn đối chiếu với danh sách đã duyệt thì chạy thêm tham số --gold-list "&lt;file danh sách Gold&gt;.xlsx".</t>
        </is>
      </c>
      <c r="J828" s="48" t="inlineStr">
        <is>
          <t>042. OCB_GOLD_TCKH_MUABAN_VON_DTL_PHAT.xlsx [SCRIPT_SQL: MUABAN_VON_DTL]</t>
        </is>
      </c>
    </row>
    <row r="829">
      <c r="A829" s="48" t="inlineStr">
        <is>
          <t>TCKH.MUABAN_VON_DTL</t>
        </is>
      </c>
      <c r="B829" s="48" t="inlineStr">
        <is>
          <t>SILVER_CONSUMER</t>
        </is>
      </c>
      <c r="C829" s="48" t="inlineStr">
        <is>
          <t>2.1</t>
        </is>
      </c>
      <c r="D829" s="48" t="inlineStr">
        <is>
          <t>Nhom 2 - Logic</t>
        </is>
      </c>
      <c r="E829" s="48" t="inlineStr">
        <is>
          <t>Chỉ lấy bản ghi active, loại bản ghi đã xóa (qua sts_hub)</t>
        </is>
      </c>
      <c r="F829" s="49" t="inlineStr">
        <is>
          <t>PASS</t>
        </is>
      </c>
      <c r="G829" s="48" t="inlineStr">
        <is>
          <t>Pass</t>
        </is>
      </c>
      <c r="H829" s="50" t="inlineStr">
        <is>
          <t>không dùng sts_hub_* (không có yêu cầu nghiệp vụ giữ bản ghi đã xóa)</t>
        </is>
      </c>
      <c r="I8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29" s="48" t="inlineStr">
        <is>
          <t>042. OCB_GOLD_TCKH_MUABAN_VON_DTL_PHAT.xlsx [SCRIPT_SQL: MUABAN_VON_DTL]</t>
        </is>
      </c>
    </row>
    <row r="830">
      <c r="A830" s="48" t="inlineStr">
        <is>
          <t>TCKH.MUABAN_VON_DTL</t>
        </is>
      </c>
      <c r="B830" s="48" t="inlineStr">
        <is>
          <t>SILVER_CONSUMER</t>
        </is>
      </c>
      <c r="C830" s="48" t="inlineStr">
        <is>
          <t>2.2</t>
        </is>
      </c>
      <c r="D830" s="48" t="inlineStr">
        <is>
          <t>Nhom 2 - Logic</t>
        </is>
      </c>
      <c r="E830" s="48" t="inlineStr">
        <is>
          <t>Thống nhất MỘT pattern duy nhất xác định bản ghi active mới nhất</t>
        </is>
      </c>
      <c r="F830" s="49" t="inlineStr">
        <is>
          <t>PASS</t>
        </is>
      </c>
      <c r="G830" s="48" t="inlineStr">
        <is>
          <t>Pass</t>
        </is>
      </c>
      <c r="H830" s="50" t="inlineStr">
        <is>
          <t>file này dùng: ['MAX_BY']; toàn batch dùng: ['MAX_BY']</t>
        </is>
      </c>
      <c r="I8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30" s="48" t="inlineStr">
        <is>
          <t>042. OCB_GOLD_TCKH_MUABAN_VON_DTL_PHAT.xlsx [SCRIPT_SQL: MUABAN_VON_DTL]</t>
        </is>
      </c>
    </row>
    <row r="831">
      <c r="A831" s="48" t="inlineStr">
        <is>
          <t>TCKH.MUABAN_VON_DTL</t>
        </is>
      </c>
      <c r="B831" s="48" t="inlineStr">
        <is>
          <t>SILVER_CONSUMER</t>
        </is>
      </c>
      <c r="C831" s="48" t="inlineStr">
        <is>
          <t>2.3</t>
        </is>
      </c>
      <c r="D831" s="48" t="inlineStr">
        <is>
          <t>Nhom 2 - Logic</t>
        </is>
      </c>
      <c r="E831" s="48" t="inlineStr">
        <is>
          <t>Điều kiện lọc trạng thái đặt SAU khi xác định bản ghi mới nhất</t>
        </is>
      </c>
      <c r="F831" s="49" t="inlineStr">
        <is>
          <t>PASS</t>
        </is>
      </c>
      <c r="G831" s="48" t="inlineStr">
        <is>
          <t>Pass</t>
        </is>
      </c>
      <c r="H831" s="50" t="inlineStr">
        <is>
          <t>không có điều kiện trạng thái nào lồng trong JOIN ON</t>
        </is>
      </c>
      <c r="I8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31" s="48" t="inlineStr">
        <is>
          <t>042. OCB_GOLD_TCKH_MUABAN_VON_DTL_PHAT.xlsx [SCRIPT_SQL: MUABAN_VON_DTL]</t>
        </is>
      </c>
    </row>
    <row r="832">
      <c r="A832" s="48" t="inlineStr">
        <is>
          <t>TCKH.MUABAN_VON_DTL</t>
        </is>
      </c>
      <c r="B832" s="48" t="inlineStr">
        <is>
          <t>SILVER_CONSUMER</t>
        </is>
      </c>
      <c r="C832" s="48" t="inlineStr">
        <is>
          <t>2.4</t>
        </is>
      </c>
      <c r="D832" s="48" t="inlineStr">
        <is>
          <t>Nhom 2 - Logic</t>
        </is>
      </c>
      <c r="E832" s="48" t="inlineStr">
        <is>
          <t>source_event_date áp dụng đúng dạng theo loại bảng</t>
        </is>
      </c>
      <c r="F832" s="49" t="inlineStr">
        <is>
          <t>PASS</t>
        </is>
      </c>
      <c r="G832" s="48" t="inlineStr">
        <is>
          <t>Pass</t>
        </is>
      </c>
      <c r="H832" s="50" t="inlineStr">
        <is>
          <t>2 satellite đều đúng dạng điều kiện source_event_date</t>
        </is>
      </c>
      <c r="I8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32" s="48" t="inlineStr">
        <is>
          <t>042. OCB_GOLD_TCKH_MUABAN_VON_DTL_PHAT.xlsx [SCRIPT_SQL: MUABAN_VON_DTL]</t>
        </is>
      </c>
    </row>
    <row r="833">
      <c r="A833" s="48" t="inlineStr">
        <is>
          <t>TCKH.MUABAN_VON_DTL</t>
        </is>
      </c>
      <c r="B833" s="48" t="inlineStr">
        <is>
          <t>SILVER_CONSUMER</t>
        </is>
      </c>
      <c r="C833" s="48" t="inlineStr">
        <is>
          <t>2.5</t>
        </is>
      </c>
      <c r="D833" s="48" t="inlineStr">
        <is>
          <t>Nhom 2 - Logic</t>
        </is>
      </c>
      <c r="E833" s="48" t="inlineStr">
        <is>
          <t>Không lặp lại lỗi logic cũ đã được DA Data Vault fix</t>
        </is>
      </c>
      <c r="F833" s="49" t="inlineStr">
        <is>
          <t>PASS</t>
        </is>
      </c>
      <c r="G833" s="48" t="inlineStr">
        <is>
          <t>Pass</t>
        </is>
      </c>
      <c r="H833" s="50" t="inlineStr">
        <is>
          <t>không trùng lỗi nào trong Issue log của DA Data Vault</t>
        </is>
      </c>
      <c r="I8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33" s="48" t="inlineStr">
        <is>
          <t>042. OCB_GOLD_TCKH_MUABAN_VON_DTL_PHAT.xlsx [SCRIPT_SQL: MUABAN_VON_DTL]</t>
        </is>
      </c>
    </row>
    <row r="834">
      <c r="A834" s="48" t="inlineStr">
        <is>
          <t>TCKH.MUABAN_VON_DTL</t>
        </is>
      </c>
      <c r="B834" s="48" t="inlineStr">
        <is>
          <t>SILVER_CONSUMER</t>
        </is>
      </c>
      <c r="C834" s="48" t="inlineStr">
        <is>
          <t>2.6</t>
        </is>
      </c>
      <c r="D834" s="48" t="inlineStr">
        <is>
          <t>Nhom 2 - Logic</t>
        </is>
      </c>
      <c r="E834" s="48" t="inlineStr">
        <is>
          <t>SCD Type 2 cho bảng DIM áp dụng đúng kỹ thuật đã thống nhất</t>
        </is>
      </c>
      <c r="F834" s="48" t="inlineStr">
        <is>
          <t>N-A</t>
        </is>
      </c>
      <c r="G834" s="48" t="inlineStr">
        <is>
          <t>Pass</t>
        </is>
      </c>
      <c r="H834" s="50" t="inlineStr">
        <is>
          <t>object không phải bảng DIM nên không áp dụng SCD Type 2</t>
        </is>
      </c>
      <c r="I8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34" s="48" t="inlineStr">
        <is>
          <t>042. OCB_GOLD_TCKH_MUABAN_VON_DTL_PHAT.xlsx [SCRIPT_SQL: MUABAN_VON_DTL]</t>
        </is>
      </c>
    </row>
    <row r="835">
      <c r="A835" s="48" t="inlineStr">
        <is>
          <t>TCKH.MUABAN_VON_DTL</t>
        </is>
      </c>
      <c r="B835" s="48" t="inlineStr">
        <is>
          <t>SILVER_CONSUMER</t>
        </is>
      </c>
      <c r="C835" s="48" t="inlineStr">
        <is>
          <t>2.7</t>
        </is>
      </c>
      <c r="D835" s="48" t="inlineStr">
        <is>
          <t>Nhom 2 - Logic</t>
        </is>
      </c>
      <c r="E835" s="48" t="inlineStr">
        <is>
          <t>CASE WHEN cover đủ nhánh như job on-prem</t>
        </is>
      </c>
      <c r="F835" s="49" t="inlineStr">
        <is>
          <t>PASS</t>
        </is>
      </c>
      <c r="G835" s="48" t="inlineStr">
        <is>
          <t>Pass</t>
        </is>
      </c>
      <c r="H835" s="50" t="inlineStr">
        <is>
          <t>cả 2 CASE đều có nhánh ELSE</t>
        </is>
      </c>
      <c r="I835" s="50" t="inlineStr">
        <is>
          <t>Mở job on-prem tương ứng (DataStage DSX hoặc SQL cũ), đối chiếu từng nhánh WHEN và cả nhánh ELSE. CASE không có ELSE sẽ trả NULL âm thầm — xác nhận đó là ý muốn hay thiếu nhánh.</t>
        </is>
      </c>
      <c r="J835" s="48" t="inlineStr">
        <is>
          <t>042. OCB_GOLD_TCKH_MUABAN_VON_DTL_PHAT.xlsx [SCRIPT_SQL: MUABAN_VON_DTL]</t>
        </is>
      </c>
    </row>
    <row r="836">
      <c r="A836" s="48" t="inlineStr">
        <is>
          <t>TCKH.MUABAN_VON_DTL</t>
        </is>
      </c>
      <c r="B836" s="48" t="inlineStr">
        <is>
          <t>SILVER_CONSUMER</t>
        </is>
      </c>
      <c r="C836" s="48" t="inlineStr">
        <is>
          <t>2.8</t>
        </is>
      </c>
      <c r="D836" s="48" t="inlineStr">
        <is>
          <t>Nhom 2 - Logic</t>
        </is>
      </c>
      <c r="E836" s="48" t="inlineStr">
        <is>
          <t>Cột SUM/COUNT được COALESCE/NVL hợp lý</t>
        </is>
      </c>
      <c r="F836" s="49" t="inlineStr">
        <is>
          <t>PASS</t>
        </is>
      </c>
      <c r="G836" s="48" t="inlineStr">
        <is>
          <t>Pass</t>
        </is>
      </c>
      <c r="H836" s="50" t="inlineStr">
        <is>
          <t>mọi SUM/COUNT đều đã coalesce (trực tiếp hoặc ở lớp ngoài)</t>
        </is>
      </c>
      <c r="I8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36" s="48" t="inlineStr">
        <is>
          <t>042. OCB_GOLD_TCKH_MUABAN_VON_DTL_PHAT.xlsx [SCRIPT_SQL: MUABAN_VON_DTL]</t>
        </is>
      </c>
    </row>
    <row r="837">
      <c r="A837" s="48" t="inlineStr">
        <is>
          <t>TCKH.MUABAN_VON_DTL</t>
        </is>
      </c>
      <c r="B837" s="48" t="inlineStr">
        <is>
          <t>SILVER_CONSUMER</t>
        </is>
      </c>
      <c r="C837" s="48" t="inlineStr">
        <is>
          <t>2.9</t>
        </is>
      </c>
      <c r="D837" s="48" t="inlineStr">
        <is>
          <t>Nhom 2 - Logic</t>
        </is>
      </c>
      <c r="E837" s="48" t="inlineStr">
        <is>
          <t>Subquery / custom function / điều kiện LIKE đúng ý nghĩa nghiệp vụ</t>
        </is>
      </c>
      <c r="F837" s="49" t="inlineStr">
        <is>
          <t>PASS</t>
        </is>
      </c>
      <c r="G837" s="48" t="inlineStr">
        <is>
          <t>Pass</t>
        </is>
      </c>
      <c r="H837" s="50" t="inlineStr">
        <is>
          <t>1 subquery nằm trong điều kiện; cú pháp hợp lệ; ý nghĩa nghiệp vụ cần người review đối chiếu job on-prem</t>
        </is>
      </c>
      <c r="I837" s="50" t="inlineStr">
        <is>
          <t>Đọc lại từng điều kiện LIKE và từng subquery, đối chiếu ý nghĩa nghiệp vụ với on-prem — đúng cú pháp không đủ. Chú ý pattern LIKE có ký tự % ở đầu/cuối và phân biệt chữ hoa/thường.</t>
        </is>
      </c>
      <c r="J837" s="48" t="inlineStr">
        <is>
          <t>042. OCB_GOLD_TCKH_MUABAN_VON_DTL_PHAT.xlsx [SCRIPT_SQL: MUABAN_VON_DTL]</t>
        </is>
      </c>
    </row>
    <row r="838">
      <c r="A838" s="48" t="inlineStr">
        <is>
          <t>TCKH.MUABAN_VON_DTL</t>
        </is>
      </c>
      <c r="B838" s="48" t="inlineStr">
        <is>
          <t>SILVER_CONSUMER</t>
        </is>
      </c>
      <c r="C838" s="48" t="inlineStr">
        <is>
          <t>2.10</t>
        </is>
      </c>
      <c r="D838" s="48" t="inlineStr">
        <is>
          <t>Nhom 2 - Logic</t>
        </is>
      </c>
      <c r="E838" s="48" t="inlineStr">
        <is>
          <t>Aggregation kèm filter date range chính xác</t>
        </is>
      </c>
      <c r="F838" s="49" t="inlineStr">
        <is>
          <t>PASS</t>
        </is>
      </c>
      <c r="G838" s="48" t="inlineStr">
        <is>
          <t>Pass</t>
        </is>
      </c>
      <c r="H838" s="50" t="inlineStr">
        <is>
          <t>mọi khối tổng hợp đều có điều kiện theo kỳ dữ liệu</t>
        </is>
      </c>
      <c r="I838" s="50" t="inlineStr">
        <is>
          <t>Mỗi khối SUM/COUNT/AVG phải có điều kiện lọc theo kỳ dữ liệu (CDR_DT_ID, DATA_DATE, :DATADT…). Nếu điều kiện nằm ở CTE nguồn thì ghi rõ trong comment để người review không phải truy ngược.</t>
        </is>
      </c>
      <c r="J838" s="48" t="inlineStr">
        <is>
          <t>042. OCB_GOLD_TCKH_MUABAN_VON_DTL_PHAT.xlsx [SCRIPT_SQL: MUABAN_VON_DTL]</t>
        </is>
      </c>
    </row>
    <row r="839">
      <c r="A839" s="48" t="inlineStr">
        <is>
          <t>TCKH.MUABAN_VON_DTL</t>
        </is>
      </c>
      <c r="B839" s="48" t="inlineStr">
        <is>
          <t>SILVER_CONSUMER</t>
        </is>
      </c>
      <c r="C839" s="48" t="inlineStr">
        <is>
          <t>2.11</t>
        </is>
      </c>
      <c r="D839" s="48" t="inlineStr">
        <is>
          <t>Nhom 2 - Logic</t>
        </is>
      </c>
      <c r="E839" s="48" t="inlineStr">
        <is>
          <t>Join dùng key hợp lý, không lạm dụng UNION ALL + EXISTS/NOT EXISTS</t>
        </is>
      </c>
      <c r="F839" s="49" t="inlineStr">
        <is>
          <t>PASS</t>
        </is>
      </c>
      <c r="G839" s="48" t="inlineStr">
        <is>
          <t>Pass</t>
        </is>
      </c>
      <c r="H839" s="50" t="inlineStr">
        <is>
          <t>join đều theo điều kiện bằng, không lạm dụng UNION ALL + EXISTS</t>
        </is>
      </c>
      <c r="I839" s="50" t="inlineStr">
        <is>
          <t>Ưu tiên LEFT JOIN theo business key hoặc hashkey. Xem lại các chỗ dùng UNION ALL kết hợp EXISTS/NOT EXISTS — thường thay được bằng một LEFT JOIN. Join không có điều kiện bằng (=) dễ tạo tích Descartes.</t>
        </is>
      </c>
      <c r="J839" s="48" t="inlineStr">
        <is>
          <t>042. OCB_GOLD_TCKH_MUABAN_VON_DTL_PHAT.xlsx [SCRIPT_SQL: MUABAN_VON_DTL]</t>
        </is>
      </c>
    </row>
    <row r="840">
      <c r="A840" s="48" t="inlineStr">
        <is>
          <t>TCKH.MUABAN_VON_DTL</t>
        </is>
      </c>
      <c r="B840" s="48" t="inlineStr">
        <is>
          <t>SILVER_CONSUMER</t>
        </is>
      </c>
      <c r="C840" s="48" t="inlineStr">
        <is>
          <t>2.12</t>
        </is>
      </c>
      <c r="D840" s="48" t="inlineStr">
        <is>
          <t>Nhom 2 - Logic</t>
        </is>
      </c>
      <c r="E840" s="48" t="inlineStr">
        <is>
          <t>Build Gold từ CTE snapshot Silver, không build nhiều tầng chồng chéo</t>
        </is>
      </c>
      <c r="F840" s="49" t="inlineStr">
        <is>
          <t>PASS</t>
        </is>
      </c>
      <c r="G840" s="48" t="inlineStr">
        <is>
          <t>Pass</t>
        </is>
      </c>
      <c r="H840" s="50" t="inlineStr">
        <is>
          <t>mỗi bảng nguồn chỉ đọc trong 1 khối SELECT</t>
        </is>
      </c>
      <c r="I8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40" s="48" t="inlineStr">
        <is>
          <t>042. OCB_GOLD_TCKH_MUABAN_VON_DTL_PHAT.xlsx [SCRIPT_SQL: MUABAN_VON_DTL]</t>
        </is>
      </c>
    </row>
    <row r="841">
      <c r="A841" s="48" t="inlineStr">
        <is>
          <t>TCKH.MUABAN_VON_DTL</t>
        </is>
      </c>
      <c r="B841" s="48" t="inlineStr">
        <is>
          <t>SILVER_CONSUMER</t>
        </is>
      </c>
      <c r="C841" s="48" t="inlineStr">
        <is>
          <t>3.1</t>
        </is>
      </c>
      <c r="D841" s="48" t="inlineStr">
        <is>
          <t>Nhom 3 - Optimization</t>
        </is>
      </c>
      <c r="E841" s="48" t="inlineStr">
        <is>
          <t>Không SELECT *</t>
        </is>
      </c>
      <c r="F841" s="49" t="inlineStr">
        <is>
          <t>PASS</t>
        </is>
      </c>
      <c r="G841" s="48" t="inlineStr">
        <is>
          <t>Pass</t>
        </is>
      </c>
      <c r="H841" s="50" t="inlineStr">
        <is>
          <t>không dùng SELECT * ở đâu</t>
        </is>
      </c>
      <c r="I841" s="50" t="inlineStr">
        <is>
          <t>Liệt kê tường minh các cột cần dùng, kể cả trong CTE trung gian. SELECT * làm tăng IO/memory và vỡ script khi bảng nguồn thêm cột.</t>
        </is>
      </c>
      <c r="J841" s="48" t="inlineStr">
        <is>
          <t>042. OCB_GOLD_TCKH_MUABAN_VON_DTL_PHAT.xlsx [SCRIPT_SQL: MUABAN_VON_DTL]</t>
        </is>
      </c>
    </row>
    <row r="842">
      <c r="A842" s="48" t="inlineStr">
        <is>
          <t>TCKH.MUABAN_VON_DTL</t>
        </is>
      </c>
      <c r="B842" s="48" t="inlineStr">
        <is>
          <t>SILVER_CONSUMER</t>
        </is>
      </c>
      <c r="C842" s="48" t="inlineStr">
        <is>
          <t>3.2</t>
        </is>
      </c>
      <c r="D842" s="48" t="inlineStr">
        <is>
          <t>Nhom 3 - Optimization</t>
        </is>
      </c>
      <c r="E842" s="48" t="inlineStr">
        <is>
          <t>CTE không bị scan lại nhiều lần</t>
        </is>
      </c>
      <c r="F842" s="51" t="inlineStr">
        <is>
          <t>WARN</t>
        </is>
      </c>
      <c r="G842" s="48" t="inlineStr">
        <is>
          <t>WARN</t>
        </is>
      </c>
      <c r="H842" s="50" t="inlineStr">
        <is>
          <t>CTE bị tham chiếu lại nhiều lần: cust x3, prod x3, categ x5, promo x3</t>
        </is>
      </c>
      <c r="I842" s="50" t="inlineStr">
        <is>
          <t>Với CTE nặng (đọc nhiều bảng Silver) bị tham chiếu từ 2 chỗ trở lên: gom lại còn một lần dùng, hoặc vật chất hóa (CACHE / bảng tạm). CTE nhẹ chỉ chứa tham số thì bỏ qua được — tự tick Pass.</t>
        </is>
      </c>
      <c r="J842" s="48" t="inlineStr">
        <is>
          <t>042. OCB_GOLD_TCKH_MUABAN_VON_DTL_PHAT.xlsx [SCRIPT_SQL: MUABAN_VON_DTL]</t>
        </is>
      </c>
    </row>
    <row r="843">
      <c r="A843" s="48" t="inlineStr">
        <is>
          <t>TCKH.MUABAN_VON_DTL</t>
        </is>
      </c>
      <c r="B843" s="48" t="inlineStr">
        <is>
          <t>SILVER_CONSUMER</t>
        </is>
      </c>
      <c r="C843" s="48" t="inlineStr">
        <is>
          <t>3.3</t>
        </is>
      </c>
      <c r="D843" s="48" t="inlineStr">
        <is>
          <t>Nhom 3 - Optimization</t>
        </is>
      </c>
      <c r="E843" s="48" t="inlineStr">
        <is>
          <t>Filter trước khi join, tận dụng partition pruning</t>
        </is>
      </c>
      <c r="F843" s="51" t="inlineStr">
        <is>
          <t>WARN</t>
        </is>
      </c>
      <c r="G843" s="48" t="inlineStr">
        <is>
          <t>WARN</t>
        </is>
      </c>
      <c r="H843" s="50" t="inlineStr">
        <is>
          <t>1 bảng join trực tiếp mà không có filter riêng: BRANCH_LIST (b)</t>
        </is>
      </c>
      <c r="I843" s="50" t="inlineStr">
        <is>
          <t>Đưa điều kiện lọc (ngày dữ liệu, trạng thái) vào subquery của từng bảng TRƯỚC khi join, để tận dụng partition pruning. Bảng dim nhỏ không partition thì không cần — tự tick Pass.</t>
        </is>
      </c>
      <c r="J843" s="48" t="inlineStr">
        <is>
          <t>042. OCB_GOLD_TCKH_MUABAN_VON_DTL_PHAT.xlsx [SCRIPT_SQL: MUABAN_VON_DTL]</t>
        </is>
      </c>
    </row>
    <row r="844">
      <c r="A844" s="48" t="inlineStr">
        <is>
          <t>TCKH.MUABAN_VON_DTL</t>
        </is>
      </c>
      <c r="B844" s="48" t="inlineStr">
        <is>
          <t>SILVER_CONSUMER</t>
        </is>
      </c>
      <c r="C844" s="48" t="inlineStr">
        <is>
          <t>3.4</t>
        </is>
      </c>
      <c r="D844" s="48" t="inlineStr">
        <is>
          <t>Nhom 3 - Optimization</t>
        </is>
      </c>
      <c r="E844" s="48" t="inlineStr">
        <is>
          <t>Sử dụng CACHE cho query lặp lại trong cùng luồng</t>
        </is>
      </c>
      <c r="F844" s="51" t="inlineStr">
        <is>
          <t>WARN</t>
        </is>
      </c>
      <c r="G844" s="48" t="inlineStr">
        <is>
          <t>WARN</t>
        </is>
      </c>
      <c r="H844" s="50" t="inlineStr">
        <is>
          <t>4 CTE nặng dùng lại &gt;= 2 lần mà không có CACHE: categ, cust, prod, promo</t>
        </is>
      </c>
      <c r="I844" s="50" t="inlineStr">
        <is>
          <t>Nếu một kết quả nặng được dùng lại nhiều bước trong cùng luồng, thêm CACHE TABLE / CACHE SELECT. Kết quả nhỏ thì cache còn chậm hơn — tự tick Pass.</t>
        </is>
      </c>
      <c r="J844" s="48" t="inlineStr">
        <is>
          <t>042. OCB_GOLD_TCKH_MUABAN_VON_DTL_PHAT.xlsx [SCRIPT_SQL: MUABAN_VON_DTL]</t>
        </is>
      </c>
    </row>
    <row r="845">
      <c r="A845" s="48" t="inlineStr">
        <is>
          <t>TCKH.MUABAN_VON_DTL</t>
        </is>
      </c>
      <c r="B845" s="48" t="inlineStr">
        <is>
          <t>SILVER_CONSUMER</t>
        </is>
      </c>
      <c r="C845" s="48" t="inlineStr">
        <is>
          <t>3.5</t>
        </is>
      </c>
      <c r="D845" s="48" t="inlineStr">
        <is>
          <t>Nhom 3 - Optimization</t>
        </is>
      </c>
      <c r="E845" s="48" t="inlineStr">
        <is>
          <t>Ưu tiên MAX_BY + QUALIFY thay ROW_NUMBER() + WHERE rn = 1</t>
        </is>
      </c>
      <c r="F845" s="48" t="inlineStr">
        <is>
          <t>N-A</t>
        </is>
      </c>
      <c r="G845" s="48" t="inlineStr">
        <is>
          <t>Pass</t>
        </is>
      </c>
      <c r="H845" s="50" t="inlineStr">
        <is>
          <t>script không dùng ROW_NUMBER, và MAX_BY (nếu có) không vượt quá 5 cột/khối</t>
        </is>
      </c>
      <c r="I8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45" s="48" t="inlineStr">
        <is>
          <t>042. OCB_GOLD_TCKH_MUABAN_VON_DTL_PHAT.xlsx [SCRIPT_SQL: MUABAN_VON_DTL]</t>
        </is>
      </c>
    </row>
    <row r="846">
      <c r="A846" s="48" t="inlineStr">
        <is>
          <t>TCKH.MUABAN_VON_DTL</t>
        </is>
      </c>
      <c r="B846" s="48" t="inlineStr">
        <is>
          <t>SILVER_CONSUMER</t>
        </is>
      </c>
      <c r="C846" s="48" t="inlineStr">
        <is>
          <t>3.6</t>
        </is>
      </c>
      <c r="D846" s="48" t="inlineStr">
        <is>
          <t>Nhom 3 - Optimization</t>
        </is>
      </c>
      <c r="E846" s="48" t="inlineStr">
        <is>
          <t>Không lạm dụng window function; có comment khi dùng</t>
        </is>
      </c>
      <c r="F846" s="48" t="inlineStr">
        <is>
          <t>N-A</t>
        </is>
      </c>
      <c r="G846" s="48" t="inlineStr">
        <is>
          <t>Pass</t>
        </is>
      </c>
      <c r="H846" s="50" t="inlineStr">
        <is>
          <t>script không dùng window function</t>
        </is>
      </c>
      <c r="I846" s="50" t="inlineStr">
        <is>
          <t>Mỗi window function cần một comment ngay trên khối CTE chứa nó, nói rõ vì sao không dùng được max_by/QUALIFY đơn giản hơn.</t>
        </is>
      </c>
      <c r="J846" s="48" t="inlineStr">
        <is>
          <t>042. OCB_GOLD_TCKH_MUABAN_VON_DTL_PHAT.xlsx [SCRIPT_SQL: MUABAN_VON_DTL]</t>
        </is>
      </c>
    </row>
    <row r="847">
      <c r="A847" s="48" t="inlineStr">
        <is>
          <t>TCKH.MUABAN_VON_DTL</t>
        </is>
      </c>
      <c r="B847" s="48" t="inlineStr">
        <is>
          <t>SILVER_CONSUMER</t>
        </is>
      </c>
      <c r="C847" s="48" t="inlineStr">
        <is>
          <t>X.1</t>
        </is>
      </c>
      <c r="D847" s="48" t="inlineStr">
        <is>
          <t>Nhom X - Bo sung Raffles</t>
        </is>
      </c>
      <c r="E847" s="48" t="inlineStr">
        <is>
          <t>[Bổ sung] Link phải rút về current trước khi join (chống fan-out)</t>
        </is>
      </c>
      <c r="F847" s="49" t="inlineStr">
        <is>
          <t>PASS</t>
        </is>
      </c>
      <c r="G847" s="48" t="inlineStr">
        <is>
          <t>Pass</t>
        </is>
      </c>
      <c r="H847" s="50" t="inlineStr">
        <is>
          <t>các bảng link_* đều được rút về current trước khi join</t>
        </is>
      </c>
      <c r="I8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47" s="48" t="inlineStr">
        <is>
          <t>042. OCB_GOLD_TCKH_MUABAN_VON_DTL_PHAT.xlsx [SCRIPT_SQL: MUABAN_VON_DTL]</t>
        </is>
      </c>
    </row>
    <row r="848">
      <c r="A848" s="48" t="inlineStr">
        <is>
          <t>TCKH.MUABAN_VON_DTL</t>
        </is>
      </c>
      <c r="B848" s="48" t="inlineStr">
        <is>
          <t>SILVER_CONSUMER</t>
        </is>
      </c>
      <c r="C848" s="48" t="inlineStr">
        <is>
          <t>X.6</t>
        </is>
      </c>
      <c r="D848" s="48" t="inlineStr">
        <is>
          <t>Nhom X - Bo sung Raffles</t>
        </is>
      </c>
      <c r="E848" s="48" t="inlineStr">
        <is>
          <t>[Bổ sung] Satellite phải LEFT JOIN, không INNER JOIN</t>
        </is>
      </c>
      <c r="F848" s="52" t="inlineStr">
        <is>
          <t>FAIL</t>
        </is>
      </c>
      <c r="G848" s="48" t="inlineStr">
        <is>
          <t>Fail</t>
        </is>
      </c>
      <c r="H848" s="50" t="inlineStr">
        <is>
          <t>1 satellite dùng INNER JOIN, sẽ mất bản ghi Hub chưa có dòng satellite: sat_customer_information (dong 60)</t>
        </is>
      </c>
      <c r="I848" s="50" t="inlineStr">
        <is>
          <t>Technical Document III.4.2.2 nguyên tắc 1: làm giàu thuộc tính luôn dùng LEFT JOIN. INNER JOIN satellite sẽ loại mất bản ghi Hub đang còn hiệu lực nhưng chưa có dòng satellite.</t>
        </is>
      </c>
      <c r="J848" s="48" t="inlineStr">
        <is>
          <t>042. OCB_GOLD_TCKH_MUABAN_VON_DTL_PHAT.xlsx [SCRIPT_SQL: MUABAN_VON_DTL]</t>
        </is>
      </c>
    </row>
    <row r="849">
      <c r="A849" s="48" t="inlineStr">
        <is>
          <t>TCKH.MUABAN_VON_DTL</t>
        </is>
      </c>
      <c r="B849" s="48" t="inlineStr">
        <is>
          <t>SILVER_CONSUMER</t>
        </is>
      </c>
      <c r="C849" s="48" t="inlineStr">
        <is>
          <t>X.7</t>
        </is>
      </c>
      <c r="D849" s="48" t="inlineStr">
        <is>
          <t>Nhom X - Bo sung Raffles</t>
        </is>
      </c>
      <c r="E849" s="48" t="inlineStr">
        <is>
          <t>[Bổ sung] Không hard-code catalog, dùng biến môi trường</t>
        </is>
      </c>
      <c r="F849" s="51" t="inlineStr">
        <is>
          <t>WARN</t>
        </is>
      </c>
      <c r="G849" s="48" t="inlineStr">
        <is>
          <t>WARN</t>
        </is>
      </c>
      <c r="H849" s="50" t="inlineStr">
        <is>
          <t>dùng lẫn cả biến môi trường và catalog cứng: ['ocb_datavault_pilotcloud_cleaned']</t>
        </is>
      </c>
      <c r="I8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49" s="48" t="inlineStr">
        <is>
          <t>042. OCB_GOLD_TCKH_MUABAN_VON_DTL_PHAT.xlsx [SCRIPT_SQL: MUABAN_VON_DTL]</t>
        </is>
      </c>
    </row>
    <row r="850">
      <c r="A850" s="48" t="inlineStr">
        <is>
          <t>TCKH.MUABAN_VON_DTL</t>
        </is>
      </c>
      <c r="B850" s="48" t="inlineStr">
        <is>
          <t>SILVER_CONSUMER</t>
        </is>
      </c>
      <c r="C850" s="48" t="inlineStr">
        <is>
          <t>X.10</t>
        </is>
      </c>
      <c r="D850" s="48" t="inlineStr">
        <is>
          <t>Nhom X - Bo sung Raffles</t>
        </is>
      </c>
      <c r="E850" s="48" t="inlineStr">
        <is>
          <t>Bang raw_vault/business_vault duoc doc phai TON TAI THAT trong Data Vault model</t>
        </is>
      </c>
      <c r="F850" s="49" t="inlineStr">
        <is>
          <t>PASS</t>
        </is>
      </c>
      <c r="G850" s="48" t="inlineStr">
        <is>
          <t>Pass</t>
        </is>
      </c>
      <c r="H850" s="50" t="inlineStr">
        <is>
          <t>5 bảng Silver đều có thật trong Data Vault model</t>
        </is>
      </c>
      <c r="I850" s="50" t="inlineStr"/>
      <c r="J850" s="48" t="inlineStr">
        <is>
          <t>042. OCB_GOLD_TCKH_MUABAN_VON_DTL_PHAT.xlsx [SCRIPT_SQL: MUABAN_VON_DTL]</t>
        </is>
      </c>
    </row>
    <row r="851">
      <c r="A851" s="48" t="inlineStr">
        <is>
          <t>TCKH.MUABAN_VON_DTL</t>
        </is>
      </c>
      <c r="B851" s="48" t="inlineStr">
        <is>
          <t>SILVER_CONSUMER</t>
        </is>
      </c>
      <c r="C851" s="48" t="inlineStr">
        <is>
          <t>X.11</t>
        </is>
      </c>
      <c r="D851" s="48" t="inlineStr">
        <is>
          <t>Nhom X - Bo sung Raffles</t>
        </is>
      </c>
      <c r="E851" s="48" t="inlineStr">
        <is>
          <t>Cot doc tu satellite (sat_*) phai TON TAI THAT trong model</t>
        </is>
      </c>
      <c r="F851" s="52" t="inlineStr">
        <is>
          <t>FAIL</t>
        </is>
      </c>
      <c r="G851" s="48" t="inlineStr">
        <is>
          <t>Fail</t>
        </is>
      </c>
      <c r="H851" s="50" t="inlineStr">
        <is>
          <t>1 bảng sat_* đọc cột KHÔNG TỒN TẠI trong model thật: sat_app_product (dòng 70): ['productcode']</t>
        </is>
      </c>
      <c r="I851" s="50" t="inlineStr"/>
      <c r="J851" s="48" t="inlineStr">
        <is>
          <t>042. OCB_GOLD_TCKH_MUABAN_VON_DTL_PHAT.xlsx [SCRIPT_SQL: MUABAN_VON_DTL]</t>
        </is>
      </c>
    </row>
    <row r="852">
      <c r="A852" s="48" t="inlineStr">
        <is>
          <t>TCKH.T24_CRB</t>
        </is>
      </c>
      <c r="B852" s="48" t="inlineStr">
        <is>
          <t>SILVER_CONSUMER</t>
        </is>
      </c>
      <c r="C852" s="48" t="inlineStr">
        <is>
          <t>1.1</t>
        </is>
      </c>
      <c r="D852" s="48" t="inlineStr">
        <is>
          <t>Nhom 1 - Mapping</t>
        </is>
      </c>
      <c r="E852" s="48" t="inlineStr">
        <is>
          <t>Đầy đủ mapping từ Silver/manual sang Gold</t>
        </is>
      </c>
      <c r="F852" s="49" t="inlineStr">
        <is>
          <t>PASS</t>
        </is>
      </c>
      <c r="G852" s="48" t="inlineStr">
        <is>
          <t>Pass</t>
        </is>
      </c>
      <c r="H852" s="50" t="inlineStr">
        <is>
          <t>workbook 043. OCB_GOLD_TCKH_T24_CRB_PHAT.xlsx: thiết kế 20 field, SQL có 20 cột</t>
        </is>
      </c>
      <c r="I8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52" s="48" t="inlineStr">
        <is>
          <t>043. OCB_GOLD_TCKH_T24_CRB_PHAT.xlsx [Script: T24_CRB]</t>
        </is>
      </c>
    </row>
    <row r="853">
      <c r="A853" s="48" t="inlineStr">
        <is>
          <t>TCKH.T24_CRB</t>
        </is>
      </c>
      <c r="B853" s="48" t="inlineStr">
        <is>
          <t>SILVER_CONSUMER</t>
        </is>
      </c>
      <c r="C853" s="48" t="inlineStr">
        <is>
          <t>1.2</t>
        </is>
      </c>
      <c r="D853" s="48" t="inlineStr">
        <is>
          <t>Nhom 1 - Mapping</t>
        </is>
      </c>
      <c r="E853" s="48" t="inlineStr">
        <is>
          <t>Danh sách bảng/view Gold khớp tài liệu thiết kế đã duyệt</t>
        </is>
      </c>
      <c r="F853" s="49" t="inlineStr">
        <is>
          <t>PASS</t>
        </is>
      </c>
      <c r="G853" s="48" t="inlineStr">
        <is>
          <t>Pass</t>
        </is>
      </c>
      <c r="H853" s="50" t="inlineStr">
        <is>
          <t>T24_CRB có workbook thiết kế: 043. OCB_GOLD_TCKH_T24_CRB_PHAT.xlsx</t>
        </is>
      </c>
      <c r="I853" s="50" t="inlineStr">
        <is>
          <t>Đảm bảo object có workbook thiết kế tương ứng trong thư mục --mapping-dir. Muốn đối chiếu với danh sách đã duyệt thì chạy thêm tham số --gold-list "&lt;file danh sách Gold&gt;.xlsx".</t>
        </is>
      </c>
      <c r="J853" s="48" t="inlineStr">
        <is>
          <t>043. OCB_GOLD_TCKH_T24_CRB_PHAT.xlsx [Script: T24_CRB]</t>
        </is>
      </c>
    </row>
    <row r="854">
      <c r="A854" s="48" t="inlineStr">
        <is>
          <t>TCKH.T24_CRB</t>
        </is>
      </c>
      <c r="B854" s="48" t="inlineStr">
        <is>
          <t>SILVER_CONSUMER</t>
        </is>
      </c>
      <c r="C854" s="48" t="inlineStr">
        <is>
          <t>2.1</t>
        </is>
      </c>
      <c r="D854" s="48" t="inlineStr">
        <is>
          <t>Nhom 2 - Logic</t>
        </is>
      </c>
      <c r="E854" s="48" t="inlineStr">
        <is>
          <t>Chỉ lấy bản ghi active, loại bản ghi đã xóa (qua sts_hub)</t>
        </is>
      </c>
      <c r="F854" s="49" t="inlineStr">
        <is>
          <t>PASS</t>
        </is>
      </c>
      <c r="G854" s="48" t="inlineStr">
        <is>
          <t>Pass</t>
        </is>
      </c>
      <c r="H854" s="50" t="inlineStr">
        <is>
          <t>1 sts_hub_* đọc đúng format</t>
        </is>
      </c>
      <c r="I8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54" s="48" t="inlineStr">
        <is>
          <t>043. OCB_GOLD_TCKH_T24_CRB_PHAT.xlsx [Script: T24_CRB]</t>
        </is>
      </c>
    </row>
    <row r="855">
      <c r="A855" s="48" t="inlineStr">
        <is>
          <t>TCKH.T24_CRB</t>
        </is>
      </c>
      <c r="B855" s="48" t="inlineStr">
        <is>
          <t>SILVER_CONSUMER</t>
        </is>
      </c>
      <c r="C855" s="48" t="inlineStr">
        <is>
          <t>2.2</t>
        </is>
      </c>
      <c r="D855" s="48" t="inlineStr">
        <is>
          <t>Nhom 2 - Logic</t>
        </is>
      </c>
      <c r="E855" s="48" t="inlineStr">
        <is>
          <t>Thống nhất MỘT pattern duy nhất xác định bản ghi active mới nhất</t>
        </is>
      </c>
      <c r="F855" s="49" t="inlineStr">
        <is>
          <t>PASS</t>
        </is>
      </c>
      <c r="G855" s="48" t="inlineStr">
        <is>
          <t>Pass</t>
        </is>
      </c>
      <c r="H855" s="50" t="inlineStr">
        <is>
          <t>file này dùng: ['MAX_BY']; toàn batch dùng: ['MAX_BY']</t>
        </is>
      </c>
      <c r="I8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55" s="48" t="inlineStr">
        <is>
          <t>043. OCB_GOLD_TCKH_T24_CRB_PHAT.xlsx [Script: T24_CRB]</t>
        </is>
      </c>
    </row>
    <row r="856">
      <c r="A856" s="48" t="inlineStr">
        <is>
          <t>TCKH.T24_CRB</t>
        </is>
      </c>
      <c r="B856" s="48" t="inlineStr">
        <is>
          <t>SILVER_CONSUMER</t>
        </is>
      </c>
      <c r="C856" s="48" t="inlineStr">
        <is>
          <t>2.3</t>
        </is>
      </c>
      <c r="D856" s="48" t="inlineStr">
        <is>
          <t>Nhom 2 - Logic</t>
        </is>
      </c>
      <c r="E856" s="48" t="inlineStr">
        <is>
          <t>Điều kiện lọc trạng thái đặt SAU khi xác định bản ghi mới nhất</t>
        </is>
      </c>
      <c r="F856" s="49" t="inlineStr">
        <is>
          <t>PASS</t>
        </is>
      </c>
      <c r="G856" s="48" t="inlineStr">
        <is>
          <t>Pass</t>
        </is>
      </c>
      <c r="H856" s="50" t="inlineStr">
        <is>
          <t>không có điều kiện trạng thái nào lồng trong JOIN ON</t>
        </is>
      </c>
      <c r="I8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56" s="48" t="inlineStr">
        <is>
          <t>043. OCB_GOLD_TCKH_T24_CRB_PHAT.xlsx [Script: T24_CRB]</t>
        </is>
      </c>
    </row>
    <row r="857">
      <c r="A857" s="48" t="inlineStr">
        <is>
          <t>TCKH.T24_CRB</t>
        </is>
      </c>
      <c r="B857" s="48" t="inlineStr">
        <is>
          <t>SILVER_CONSUMER</t>
        </is>
      </c>
      <c r="C857" s="48" t="inlineStr">
        <is>
          <t>2.4</t>
        </is>
      </c>
      <c r="D857" s="48" t="inlineStr">
        <is>
          <t>Nhom 2 - Logic</t>
        </is>
      </c>
      <c r="E857" s="48" t="inlineStr">
        <is>
          <t>source_event_date áp dụng đúng dạng theo loại bảng</t>
        </is>
      </c>
      <c r="F857" s="49" t="inlineStr">
        <is>
          <t>PASS</t>
        </is>
      </c>
      <c r="G857" s="48" t="inlineStr">
        <is>
          <t>Pass</t>
        </is>
      </c>
      <c r="H857" s="50" t="inlineStr">
        <is>
          <t>2 satellite đều đúng dạng điều kiện source_event_date</t>
        </is>
      </c>
      <c r="I8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57" s="48" t="inlineStr">
        <is>
          <t>043. OCB_GOLD_TCKH_T24_CRB_PHAT.xlsx [Script: T24_CRB]</t>
        </is>
      </c>
    </row>
    <row r="858">
      <c r="A858" s="48" t="inlineStr">
        <is>
          <t>TCKH.T24_CRB</t>
        </is>
      </c>
      <c r="B858" s="48" t="inlineStr">
        <is>
          <t>SILVER_CONSUMER</t>
        </is>
      </c>
      <c r="C858" s="48" t="inlineStr">
        <is>
          <t>2.5</t>
        </is>
      </c>
      <c r="D858" s="48" t="inlineStr">
        <is>
          <t>Nhom 2 - Logic</t>
        </is>
      </c>
      <c r="E858" s="48" t="inlineStr">
        <is>
          <t>Không lặp lại lỗi logic cũ đã được DA Data Vault fix</t>
        </is>
      </c>
      <c r="F858" s="49" t="inlineStr">
        <is>
          <t>PASS</t>
        </is>
      </c>
      <c r="G858" s="48" t="inlineStr">
        <is>
          <t>Pass</t>
        </is>
      </c>
      <c r="H858" s="50" t="inlineStr">
        <is>
          <t>không trùng lỗi nào trong Issue log của DA Data Vault</t>
        </is>
      </c>
      <c r="I8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58" s="48" t="inlineStr">
        <is>
          <t>043. OCB_GOLD_TCKH_T24_CRB_PHAT.xlsx [Script: T24_CRB]</t>
        </is>
      </c>
    </row>
    <row r="859">
      <c r="A859" s="48" t="inlineStr">
        <is>
          <t>TCKH.T24_CRB</t>
        </is>
      </c>
      <c r="B859" s="48" t="inlineStr">
        <is>
          <t>SILVER_CONSUMER</t>
        </is>
      </c>
      <c r="C859" s="48" t="inlineStr">
        <is>
          <t>2.6</t>
        </is>
      </c>
      <c r="D859" s="48" t="inlineStr">
        <is>
          <t>Nhom 2 - Logic</t>
        </is>
      </c>
      <c r="E859" s="48" t="inlineStr">
        <is>
          <t>SCD Type 2 cho bảng DIM áp dụng đúng kỹ thuật đã thống nhất</t>
        </is>
      </c>
      <c r="F859" s="48" t="inlineStr">
        <is>
          <t>N-A</t>
        </is>
      </c>
      <c r="G859" s="48" t="inlineStr">
        <is>
          <t>Pass</t>
        </is>
      </c>
      <c r="H859" s="50" t="inlineStr">
        <is>
          <t>object không phải bảng DIM nên không áp dụng SCD Type 2</t>
        </is>
      </c>
      <c r="I8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59" s="48" t="inlineStr">
        <is>
          <t>043. OCB_GOLD_TCKH_T24_CRB_PHAT.xlsx [Script: T24_CRB]</t>
        </is>
      </c>
    </row>
    <row r="860">
      <c r="A860" s="48" t="inlineStr">
        <is>
          <t>TCKH.T24_CRB</t>
        </is>
      </c>
      <c r="B860" s="48" t="inlineStr">
        <is>
          <t>SILVER_CONSUMER</t>
        </is>
      </c>
      <c r="C860" s="48" t="inlineStr">
        <is>
          <t>2.7</t>
        </is>
      </c>
      <c r="D860" s="48" t="inlineStr">
        <is>
          <t>Nhom 2 - Logic</t>
        </is>
      </c>
      <c r="E860" s="48" t="inlineStr">
        <is>
          <t>CASE WHEN cover đủ nhánh như job on-prem</t>
        </is>
      </c>
      <c r="F860" s="48" t="inlineStr">
        <is>
          <t>N-A</t>
        </is>
      </c>
      <c r="G860" s="48" t="inlineStr">
        <is>
          <t>Pass</t>
        </is>
      </c>
      <c r="H860" s="50" t="inlineStr">
        <is>
          <t>script không có CASE WHEN nào</t>
        </is>
      </c>
      <c r="I860" s="50" t="inlineStr">
        <is>
          <t>Mở job on-prem tương ứng (DataStage DSX hoặc SQL cũ), đối chiếu từng nhánh WHEN và cả nhánh ELSE. CASE không có ELSE sẽ trả NULL âm thầm — xác nhận đó là ý muốn hay thiếu nhánh.</t>
        </is>
      </c>
      <c r="J860" s="48" t="inlineStr">
        <is>
          <t>043. OCB_GOLD_TCKH_T24_CRB_PHAT.xlsx [Script: T24_CRB]</t>
        </is>
      </c>
    </row>
    <row r="861">
      <c r="A861" s="48" t="inlineStr">
        <is>
          <t>TCKH.T24_CRB</t>
        </is>
      </c>
      <c r="B861" s="48" t="inlineStr">
        <is>
          <t>SILVER_CONSUMER</t>
        </is>
      </c>
      <c r="C861" s="48" t="inlineStr">
        <is>
          <t>2.8</t>
        </is>
      </c>
      <c r="D861" s="48" t="inlineStr">
        <is>
          <t>Nhom 2 - Logic</t>
        </is>
      </c>
      <c r="E861" s="48" t="inlineStr">
        <is>
          <t>Cột SUM/COUNT được COALESCE/NVL hợp lý</t>
        </is>
      </c>
      <c r="F861" s="49" t="inlineStr">
        <is>
          <t>PASS</t>
        </is>
      </c>
      <c r="G861" s="48" t="inlineStr">
        <is>
          <t>Pass</t>
        </is>
      </c>
      <c r="H861" s="50" t="inlineStr">
        <is>
          <t>mọi SUM/COUNT đều đã coalesce (trực tiếp hoặc ở lớp ngoài)</t>
        </is>
      </c>
      <c r="I8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61" s="48" t="inlineStr">
        <is>
          <t>043. OCB_GOLD_TCKH_T24_CRB_PHAT.xlsx [Script: T24_CRB]</t>
        </is>
      </c>
    </row>
    <row r="862">
      <c r="A862" s="48" t="inlineStr">
        <is>
          <t>TCKH.T24_CRB</t>
        </is>
      </c>
      <c r="B862" s="48" t="inlineStr">
        <is>
          <t>SILVER_CONSUMER</t>
        </is>
      </c>
      <c r="C862" s="48" t="inlineStr">
        <is>
          <t>2.9</t>
        </is>
      </c>
      <c r="D862" s="48" t="inlineStr">
        <is>
          <t>Nhom 2 - Logic</t>
        </is>
      </c>
      <c r="E862" s="48" t="inlineStr">
        <is>
          <t>Subquery / custom function / điều kiện LIKE đúng ý nghĩa nghiệp vụ</t>
        </is>
      </c>
      <c r="F862" s="48" t="inlineStr">
        <is>
          <t>N-A</t>
        </is>
      </c>
      <c r="G862" s="48" t="inlineStr">
        <is>
          <t>Pass</t>
        </is>
      </c>
      <c r="H862" s="50" t="inlineStr">
        <is>
          <t>script không có điều kiện LIKE hay scalar subquery nào</t>
        </is>
      </c>
      <c r="I862" s="50" t="inlineStr">
        <is>
          <t>Đọc lại từng điều kiện LIKE và từng subquery, đối chiếu ý nghĩa nghiệp vụ với on-prem — đúng cú pháp không đủ. Chú ý pattern LIKE có ký tự % ở đầu/cuối và phân biệt chữ hoa/thường.</t>
        </is>
      </c>
      <c r="J862" s="48" t="inlineStr">
        <is>
          <t>043. OCB_GOLD_TCKH_T24_CRB_PHAT.xlsx [Script: T24_CRB]</t>
        </is>
      </c>
    </row>
    <row r="863">
      <c r="A863" s="48" t="inlineStr">
        <is>
          <t>TCKH.T24_CRB</t>
        </is>
      </c>
      <c r="B863" s="48" t="inlineStr">
        <is>
          <t>SILVER_CONSUMER</t>
        </is>
      </c>
      <c r="C863" s="48" t="inlineStr">
        <is>
          <t>2.10</t>
        </is>
      </c>
      <c r="D863" s="48" t="inlineStr">
        <is>
          <t>Nhom 2 - Logic</t>
        </is>
      </c>
      <c r="E863" s="48" t="inlineStr">
        <is>
          <t>Aggregation kèm filter date range chính xác</t>
        </is>
      </c>
      <c r="F863" s="49" t="inlineStr">
        <is>
          <t>PASS</t>
        </is>
      </c>
      <c r="G863" s="48" t="inlineStr">
        <is>
          <t>Pass</t>
        </is>
      </c>
      <c r="H863" s="50" t="inlineStr">
        <is>
          <t>mọi khối tổng hợp đều có điều kiện theo kỳ dữ liệu</t>
        </is>
      </c>
      <c r="I863" s="50" t="inlineStr">
        <is>
          <t>Mỗi khối SUM/COUNT/AVG phải có điều kiện lọc theo kỳ dữ liệu (CDR_DT_ID, DATA_DATE, :DATADT…). Nếu điều kiện nằm ở CTE nguồn thì ghi rõ trong comment để người review không phải truy ngược.</t>
        </is>
      </c>
      <c r="J863" s="48" t="inlineStr">
        <is>
          <t>043. OCB_GOLD_TCKH_T24_CRB_PHAT.xlsx [Script: T24_CRB]</t>
        </is>
      </c>
    </row>
    <row r="864">
      <c r="A864" s="48" t="inlineStr">
        <is>
          <t>TCKH.T24_CRB</t>
        </is>
      </c>
      <c r="B864" s="48" t="inlineStr">
        <is>
          <t>SILVER_CONSUMER</t>
        </is>
      </c>
      <c r="C864" s="48" t="inlineStr">
        <is>
          <t>2.11</t>
        </is>
      </c>
      <c r="D864" s="48" t="inlineStr">
        <is>
          <t>Nhom 2 - Logic</t>
        </is>
      </c>
      <c r="E864" s="48" t="inlineStr">
        <is>
          <t>Join dùng key hợp lý, không lạm dụng UNION ALL + EXISTS/NOT EXISTS</t>
        </is>
      </c>
      <c r="F864" s="49" t="inlineStr">
        <is>
          <t>PASS</t>
        </is>
      </c>
      <c r="G864" s="48" t="inlineStr">
        <is>
          <t>Pass</t>
        </is>
      </c>
      <c r="H864" s="50" t="inlineStr">
        <is>
          <t>join đều theo điều kiện bằng, không lạm dụng UNION ALL + EXISTS</t>
        </is>
      </c>
      <c r="I864" s="50" t="inlineStr">
        <is>
          <t>Ưu tiên LEFT JOIN theo business key hoặc hashkey. Xem lại các chỗ dùng UNION ALL kết hợp EXISTS/NOT EXISTS — thường thay được bằng một LEFT JOIN. Join không có điều kiện bằng (=) dễ tạo tích Descartes.</t>
        </is>
      </c>
      <c r="J864" s="48" t="inlineStr">
        <is>
          <t>043. OCB_GOLD_TCKH_T24_CRB_PHAT.xlsx [Script: T24_CRB]</t>
        </is>
      </c>
    </row>
    <row r="865">
      <c r="A865" s="48" t="inlineStr">
        <is>
          <t>TCKH.T24_CRB</t>
        </is>
      </c>
      <c r="B865" s="48" t="inlineStr">
        <is>
          <t>SILVER_CONSUMER</t>
        </is>
      </c>
      <c r="C865" s="48" t="inlineStr">
        <is>
          <t>2.12</t>
        </is>
      </c>
      <c r="D865" s="48" t="inlineStr">
        <is>
          <t>Nhom 2 - Logic</t>
        </is>
      </c>
      <c r="E865" s="48" t="inlineStr">
        <is>
          <t>Build Gold từ CTE snapshot Silver, không build nhiều tầng chồng chéo</t>
        </is>
      </c>
      <c r="F865" s="49" t="inlineStr">
        <is>
          <t>PASS</t>
        </is>
      </c>
      <c r="G865" s="48" t="inlineStr">
        <is>
          <t>Pass</t>
        </is>
      </c>
      <c r="H865" s="50" t="inlineStr">
        <is>
          <t>mỗi bảng nguồn chỉ đọc trong 1 khối SELECT</t>
        </is>
      </c>
      <c r="I8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65" s="48" t="inlineStr">
        <is>
          <t>043. OCB_GOLD_TCKH_T24_CRB_PHAT.xlsx [Script: T24_CRB]</t>
        </is>
      </c>
    </row>
    <row r="866">
      <c r="A866" s="48" t="inlineStr">
        <is>
          <t>TCKH.T24_CRB</t>
        </is>
      </c>
      <c r="B866" s="48" t="inlineStr">
        <is>
          <t>SILVER_CONSUMER</t>
        </is>
      </c>
      <c r="C866" s="48" t="inlineStr">
        <is>
          <t>3.1</t>
        </is>
      </c>
      <c r="D866" s="48" t="inlineStr">
        <is>
          <t>Nhom 3 - Optimization</t>
        </is>
      </c>
      <c r="E866" s="48" t="inlineStr">
        <is>
          <t>Không SELECT *</t>
        </is>
      </c>
      <c r="F866" s="49" t="inlineStr">
        <is>
          <t>PASS</t>
        </is>
      </c>
      <c r="G866" s="48" t="inlineStr">
        <is>
          <t>Pass</t>
        </is>
      </c>
      <c r="H866" s="50" t="inlineStr">
        <is>
          <t>không dùng SELECT * ở đâu</t>
        </is>
      </c>
      <c r="I866" s="50" t="inlineStr">
        <is>
          <t>Liệt kê tường minh các cột cần dùng, kể cả trong CTE trung gian. SELECT * làm tăng IO/memory và vỡ script khi bảng nguồn thêm cột.</t>
        </is>
      </c>
      <c r="J866" s="48" t="inlineStr">
        <is>
          <t>043. OCB_GOLD_TCKH_T24_CRB_PHAT.xlsx [Script: T24_CRB]</t>
        </is>
      </c>
    </row>
    <row r="867">
      <c r="A867" s="48" t="inlineStr">
        <is>
          <t>TCKH.T24_CRB</t>
        </is>
      </c>
      <c r="B867" s="48" t="inlineStr">
        <is>
          <t>SILVER_CONSUMER</t>
        </is>
      </c>
      <c r="C867" s="48" t="inlineStr">
        <is>
          <t>3.2</t>
        </is>
      </c>
      <c r="D867" s="48" t="inlineStr">
        <is>
          <t>Nhom 3 - Optimization</t>
        </is>
      </c>
      <c r="E867" s="48" t="inlineStr">
        <is>
          <t>CTE không bị scan lại nhiều lần</t>
        </is>
      </c>
      <c r="F867" s="49" t="inlineStr">
        <is>
          <t>PASS</t>
        </is>
      </c>
      <c r="G867" s="48" t="inlineStr">
        <is>
          <t>Pass</t>
        </is>
      </c>
      <c r="H867" s="50" t="inlineStr">
        <is>
          <t>không có CTE nào bị gọi lại</t>
        </is>
      </c>
      <c r="I867" s="50" t="inlineStr">
        <is>
          <t>Với CTE nặng (đọc nhiều bảng Silver) bị tham chiếu từ 2 chỗ trở lên: gom lại còn một lần dùng, hoặc vật chất hóa (CACHE / bảng tạm). CTE nhẹ chỉ chứa tham số thì bỏ qua được — tự tick Pass.</t>
        </is>
      </c>
      <c r="J867" s="48" t="inlineStr">
        <is>
          <t>043. OCB_GOLD_TCKH_T24_CRB_PHAT.xlsx [Script: T24_CRB]</t>
        </is>
      </c>
    </row>
    <row r="868">
      <c r="A868" s="48" t="inlineStr">
        <is>
          <t>TCKH.T24_CRB</t>
        </is>
      </c>
      <c r="B868" s="48" t="inlineStr">
        <is>
          <t>SILVER_CONSUMER</t>
        </is>
      </c>
      <c r="C868" s="48" t="inlineStr">
        <is>
          <t>3.3</t>
        </is>
      </c>
      <c r="D868" s="48" t="inlineStr">
        <is>
          <t>Nhom 3 - Optimization</t>
        </is>
      </c>
      <c r="E868" s="48" t="inlineStr">
        <is>
          <t>Filter trước khi join, tận dụng partition pruning</t>
        </is>
      </c>
      <c r="F868" s="51" t="inlineStr">
        <is>
          <t>WARN</t>
        </is>
      </c>
      <c r="G868" s="48" t="inlineStr">
        <is>
          <t>WARN</t>
        </is>
      </c>
      <c r="H868" s="50" t="inlineStr">
        <is>
          <t>2 bảng join trực tiếp mà không có filter riêng: hub_branch (hb), hub_customer (hc)</t>
        </is>
      </c>
      <c r="I868" s="50" t="inlineStr">
        <is>
          <t>Đưa điều kiện lọc (ngày dữ liệu, trạng thái) vào subquery của từng bảng TRƯỚC khi join, để tận dụng partition pruning. Bảng dim nhỏ không partition thì không cần — tự tick Pass.</t>
        </is>
      </c>
      <c r="J868" s="48" t="inlineStr">
        <is>
          <t>043. OCB_GOLD_TCKH_T24_CRB_PHAT.xlsx [Script: T24_CRB]</t>
        </is>
      </c>
    </row>
    <row r="869">
      <c r="A869" s="48" t="inlineStr">
        <is>
          <t>TCKH.T24_CRB</t>
        </is>
      </c>
      <c r="B869" s="48" t="inlineStr">
        <is>
          <t>SILVER_CONSUMER</t>
        </is>
      </c>
      <c r="C869" s="48" t="inlineStr">
        <is>
          <t>3.4</t>
        </is>
      </c>
      <c r="D869" s="48" t="inlineStr">
        <is>
          <t>Nhom 3 - Optimization</t>
        </is>
      </c>
      <c r="E869" s="48" t="inlineStr">
        <is>
          <t>Sử dụng CACHE cho query lặp lại trong cùng luồng</t>
        </is>
      </c>
      <c r="F869" s="48" t="inlineStr">
        <is>
          <t>N-A</t>
        </is>
      </c>
      <c r="G869" s="48" t="inlineStr">
        <is>
          <t>Pass</t>
        </is>
      </c>
      <c r="H869" s="50" t="inlineStr">
        <is>
          <t>không có kết quả nào được dùng lại nhiều lần nên chưa cần CACHE</t>
        </is>
      </c>
      <c r="I869" s="50" t="inlineStr">
        <is>
          <t>Nếu một kết quả nặng được dùng lại nhiều bước trong cùng luồng, thêm CACHE TABLE / CACHE SELECT. Kết quả nhỏ thì cache còn chậm hơn — tự tick Pass.</t>
        </is>
      </c>
      <c r="J869" s="48" t="inlineStr">
        <is>
          <t>043. OCB_GOLD_TCKH_T24_CRB_PHAT.xlsx [Script: T24_CRB]</t>
        </is>
      </c>
    </row>
    <row r="870">
      <c r="A870" s="48" t="inlineStr">
        <is>
          <t>TCKH.T24_CRB</t>
        </is>
      </c>
      <c r="B870" s="48" t="inlineStr">
        <is>
          <t>SILVER_CONSUMER</t>
        </is>
      </c>
      <c r="C870" s="48" t="inlineStr">
        <is>
          <t>3.5</t>
        </is>
      </c>
      <c r="D870" s="48" t="inlineStr">
        <is>
          <t>Nhom 3 - Optimization</t>
        </is>
      </c>
      <c r="E870" s="48" t="inlineStr">
        <is>
          <t>Ưu tiên MAX_BY + QUALIFY thay ROW_NUMBER() + WHERE rn = 1</t>
        </is>
      </c>
      <c r="F870" s="51" t="inlineStr">
        <is>
          <t>WARN</t>
        </is>
      </c>
      <c r="G870" s="48" t="inlineStr">
        <is>
          <t>WARN</t>
        </is>
      </c>
      <c r="H870" s="50" t="inlineStr">
        <is>
          <t>1 khối dùng MAX_BY độc lập cho &gt;5 cột (dòng 48, [9]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8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70" s="48" t="inlineStr">
        <is>
          <t>043. OCB_GOLD_TCKH_T24_CRB_PHAT.xlsx [Script: T24_CRB]</t>
        </is>
      </c>
    </row>
    <row r="871">
      <c r="A871" s="48" t="inlineStr">
        <is>
          <t>TCKH.T24_CRB</t>
        </is>
      </c>
      <c r="B871" s="48" t="inlineStr">
        <is>
          <t>SILVER_CONSUMER</t>
        </is>
      </c>
      <c r="C871" s="48" t="inlineStr">
        <is>
          <t>3.6</t>
        </is>
      </c>
      <c r="D871" s="48" t="inlineStr">
        <is>
          <t>Nhom 3 - Optimization</t>
        </is>
      </c>
      <c r="E871" s="48" t="inlineStr">
        <is>
          <t>Không lạm dụng window function; có comment khi dùng</t>
        </is>
      </c>
      <c r="F871" s="48" t="inlineStr">
        <is>
          <t>N-A</t>
        </is>
      </c>
      <c r="G871" s="48" t="inlineStr">
        <is>
          <t>Pass</t>
        </is>
      </c>
      <c r="H871" s="50" t="inlineStr">
        <is>
          <t>script không dùng window function</t>
        </is>
      </c>
      <c r="I871" s="50" t="inlineStr">
        <is>
          <t>Mỗi window function cần một comment ngay trên khối CTE chứa nó, nói rõ vì sao không dùng được max_by/QUALIFY đơn giản hơn.</t>
        </is>
      </c>
      <c r="J871" s="48" t="inlineStr">
        <is>
          <t>043. OCB_GOLD_TCKH_T24_CRB_PHAT.xlsx [Script: T24_CRB]</t>
        </is>
      </c>
    </row>
    <row r="872">
      <c r="A872" s="48" t="inlineStr">
        <is>
          <t>TCKH.T24_CRB</t>
        </is>
      </c>
      <c r="B872" s="48" t="inlineStr">
        <is>
          <t>SILVER_CONSUMER</t>
        </is>
      </c>
      <c r="C872" s="48" t="inlineStr">
        <is>
          <t>X.1</t>
        </is>
      </c>
      <c r="D872" s="48" t="inlineStr">
        <is>
          <t>Nhom X - Bo sung Raffles</t>
        </is>
      </c>
      <c r="E872" s="48" t="inlineStr">
        <is>
          <t>[Bổ sung] Link phải rút về current trước khi join (chống fan-out)</t>
        </is>
      </c>
      <c r="F872" s="49" t="inlineStr">
        <is>
          <t>PASS</t>
        </is>
      </c>
      <c r="G872" s="48" t="inlineStr">
        <is>
          <t>Pass</t>
        </is>
      </c>
      <c r="H872" s="50" t="inlineStr">
        <is>
          <t>các bảng link_* đều được rút về current trước khi join</t>
        </is>
      </c>
      <c r="I8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72" s="48" t="inlineStr">
        <is>
          <t>043. OCB_GOLD_TCKH_T24_CRB_PHAT.xlsx [Script: T24_CRB]</t>
        </is>
      </c>
    </row>
    <row r="873">
      <c r="A873" s="48" t="inlineStr">
        <is>
          <t>TCKH.T24_CRB</t>
        </is>
      </c>
      <c r="B873" s="48" t="inlineStr">
        <is>
          <t>SILVER_CONSUMER</t>
        </is>
      </c>
      <c r="C873" s="48" t="inlineStr">
        <is>
          <t>X.6</t>
        </is>
      </c>
      <c r="D873" s="48" t="inlineStr">
        <is>
          <t>Nhom X - Bo sung Raffles</t>
        </is>
      </c>
      <c r="E873" s="48" t="inlineStr">
        <is>
          <t>[Bổ sung] Satellite phải LEFT JOIN, không INNER JOIN</t>
        </is>
      </c>
      <c r="F873" s="49" t="inlineStr">
        <is>
          <t>PASS</t>
        </is>
      </c>
      <c r="G873" s="48" t="inlineStr">
        <is>
          <t>Pass</t>
        </is>
      </c>
      <c r="H873" s="50" t="inlineStr">
        <is>
          <t>các satellite đều LEFT JOIN</t>
        </is>
      </c>
      <c r="I873" s="50" t="inlineStr">
        <is>
          <t>Technical Document III.4.2.2 nguyên tắc 1: làm giàu thuộc tính luôn dùng LEFT JOIN. INNER JOIN satellite sẽ loại mất bản ghi Hub đang còn hiệu lực nhưng chưa có dòng satellite.</t>
        </is>
      </c>
      <c r="J873" s="48" t="inlineStr">
        <is>
          <t>043. OCB_GOLD_TCKH_T24_CRB_PHAT.xlsx [Script: T24_CRB]</t>
        </is>
      </c>
    </row>
    <row r="874">
      <c r="A874" s="48" t="inlineStr">
        <is>
          <t>TCKH.T24_CRB</t>
        </is>
      </c>
      <c r="B874" s="48" t="inlineStr">
        <is>
          <t>SILVER_CONSUMER</t>
        </is>
      </c>
      <c r="C874" s="48" t="inlineStr">
        <is>
          <t>X.7</t>
        </is>
      </c>
      <c r="D874" s="48" t="inlineStr">
        <is>
          <t>Nhom X - Bo sung Raffles</t>
        </is>
      </c>
      <c r="E874" s="48" t="inlineStr">
        <is>
          <t>[Bổ sung] Không hard-code catalog, dùng biến môi trường</t>
        </is>
      </c>
      <c r="F874" s="49" t="inlineStr">
        <is>
          <t>PASS</t>
        </is>
      </c>
      <c r="G874" s="48" t="inlineStr">
        <is>
          <t>Pass</t>
        </is>
      </c>
      <c r="H874" s="50" t="inlineStr">
        <is>
          <t>dùng biến môi trường cho catalog</t>
        </is>
      </c>
      <c r="I8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74" s="48" t="inlineStr">
        <is>
          <t>043. OCB_GOLD_TCKH_T24_CRB_PHAT.xlsx [Script: T24_CRB]</t>
        </is>
      </c>
    </row>
    <row r="875">
      <c r="A875" s="48" t="inlineStr">
        <is>
          <t>TCKH.T24_CRB</t>
        </is>
      </c>
      <c r="B875" s="48" t="inlineStr">
        <is>
          <t>SILVER_CONSUMER</t>
        </is>
      </c>
      <c r="C875" s="48" t="inlineStr">
        <is>
          <t>X.10</t>
        </is>
      </c>
      <c r="D875" s="48" t="inlineStr">
        <is>
          <t>Nhom X - Bo sung Raffles</t>
        </is>
      </c>
      <c r="E875" s="48" t="inlineStr">
        <is>
          <t>Bang raw_vault/business_vault duoc doc phai TON TAI THAT trong Data Vault model</t>
        </is>
      </c>
      <c r="F875" s="49" t="inlineStr">
        <is>
          <t>PASS</t>
        </is>
      </c>
      <c r="G875" s="48" t="inlineStr">
        <is>
          <t>Pass</t>
        </is>
      </c>
      <c r="H875" s="50" t="inlineStr">
        <is>
          <t>8 bảng Silver đều có thật trong Data Vault model</t>
        </is>
      </c>
      <c r="I875" s="50" t="inlineStr"/>
      <c r="J875" s="48" t="inlineStr">
        <is>
          <t>043. OCB_GOLD_TCKH_T24_CRB_PHAT.xlsx [Script: T24_CRB]</t>
        </is>
      </c>
    </row>
    <row r="876">
      <c r="A876" s="48" t="inlineStr">
        <is>
          <t>TCKH.T24_CRB</t>
        </is>
      </c>
      <c r="B876" s="48" t="inlineStr">
        <is>
          <t>SILVER_CONSUMER</t>
        </is>
      </c>
      <c r="C876" s="48" t="inlineStr">
        <is>
          <t>X.11</t>
        </is>
      </c>
      <c r="D876" s="48" t="inlineStr">
        <is>
          <t>Nhom X - Bo sung Raffles</t>
        </is>
      </c>
      <c r="E876" s="48" t="inlineStr">
        <is>
          <t>Cot doc tu satellite (sat_*) phai TON TAI THAT trong model</t>
        </is>
      </c>
      <c r="F876" s="49" t="inlineStr">
        <is>
          <t>PASS</t>
        </is>
      </c>
      <c r="G876" s="48" t="inlineStr">
        <is>
          <t>Pass</t>
        </is>
      </c>
      <c r="H876" s="50" t="inlineStr">
        <is>
          <t>mọi cột đọc từ sat_* đều tồn tại trong model thật</t>
        </is>
      </c>
      <c r="I876" s="50" t="inlineStr"/>
      <c r="J876" s="48" t="inlineStr">
        <is>
          <t>043. OCB_GOLD_TCKH_T24_CRB_PHAT.xlsx [Script: T24_CRB]</t>
        </is>
      </c>
    </row>
    <row r="877">
      <c r="A877" s="48" t="inlineStr">
        <is>
          <t>TCKH.T24_CUSTOMER</t>
        </is>
      </c>
      <c r="B877" s="48" t="inlineStr">
        <is>
          <t>SILVER_CONSUMER</t>
        </is>
      </c>
      <c r="C877" s="48" t="inlineStr">
        <is>
          <t>1.1</t>
        </is>
      </c>
      <c r="D877" s="48" t="inlineStr">
        <is>
          <t>Nhom 1 - Mapping</t>
        </is>
      </c>
      <c r="E877" s="48" t="inlineStr">
        <is>
          <t>Đầy đủ mapping từ Silver/manual sang Gold</t>
        </is>
      </c>
      <c r="F877" s="49" t="inlineStr">
        <is>
          <t>PASS</t>
        </is>
      </c>
      <c r="G877" s="48" t="inlineStr">
        <is>
          <t>Pass</t>
        </is>
      </c>
      <c r="H877" s="50" t="inlineStr">
        <is>
          <t>workbook 044. OCB_GOLD_TCKH_T24_CUSTOMER_PHAT.xlsx: thiết kế 42 field, SQL có 42 cột</t>
        </is>
      </c>
      <c r="I8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77" s="48" t="inlineStr">
        <is>
          <t>044. OCB_GOLD_TCKH_T24_CUSTOMER_PHAT.xlsx [Script: T24_CUSTOMER]</t>
        </is>
      </c>
    </row>
    <row r="878">
      <c r="A878" s="48" t="inlineStr">
        <is>
          <t>TCKH.T24_CUSTOMER</t>
        </is>
      </c>
      <c r="B878" s="48" t="inlineStr">
        <is>
          <t>SILVER_CONSUMER</t>
        </is>
      </c>
      <c r="C878" s="48" t="inlineStr">
        <is>
          <t>1.2</t>
        </is>
      </c>
      <c r="D878" s="48" t="inlineStr">
        <is>
          <t>Nhom 1 - Mapping</t>
        </is>
      </c>
      <c r="E878" s="48" t="inlineStr">
        <is>
          <t>Danh sách bảng/view Gold khớp tài liệu thiết kế đã duyệt</t>
        </is>
      </c>
      <c r="F878" s="49" t="inlineStr">
        <is>
          <t>PASS</t>
        </is>
      </c>
      <c r="G878" s="48" t="inlineStr">
        <is>
          <t>Pass</t>
        </is>
      </c>
      <c r="H878" s="50" t="inlineStr">
        <is>
          <t>T24_CUSTOMER có workbook thiết kế: 044. OCB_GOLD_TCKH_T24_CUSTOMER_PHAT.xlsx</t>
        </is>
      </c>
      <c r="I878" s="50" t="inlineStr">
        <is>
          <t>Đảm bảo object có workbook thiết kế tương ứng trong thư mục --mapping-dir. Muốn đối chiếu với danh sách đã duyệt thì chạy thêm tham số --gold-list "&lt;file danh sách Gold&gt;.xlsx".</t>
        </is>
      </c>
      <c r="J878" s="48" t="inlineStr">
        <is>
          <t>044. OCB_GOLD_TCKH_T24_CUSTOMER_PHAT.xlsx [Script: T24_CUSTOMER]</t>
        </is>
      </c>
    </row>
    <row r="879">
      <c r="A879" s="48" t="inlineStr">
        <is>
          <t>TCKH.T24_CUSTOMER</t>
        </is>
      </c>
      <c r="B879" s="48" t="inlineStr">
        <is>
          <t>SILVER_CONSUMER</t>
        </is>
      </c>
      <c r="C879" s="48" t="inlineStr">
        <is>
          <t>2.1</t>
        </is>
      </c>
      <c r="D879" s="48" t="inlineStr">
        <is>
          <t>Nhom 2 - Logic</t>
        </is>
      </c>
      <c r="E879" s="48" t="inlineStr">
        <is>
          <t>Chỉ lấy bản ghi active, loại bản ghi đã xóa (qua sts_hub)</t>
        </is>
      </c>
      <c r="F879" s="49" t="inlineStr">
        <is>
          <t>PASS</t>
        </is>
      </c>
      <c r="G879" s="48" t="inlineStr">
        <is>
          <t>Pass</t>
        </is>
      </c>
      <c r="H879" s="50" t="inlineStr">
        <is>
          <t>1 sts_hub_* đọc đúng format</t>
        </is>
      </c>
      <c r="I8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79" s="48" t="inlineStr">
        <is>
          <t>044. OCB_GOLD_TCKH_T24_CUSTOMER_PHAT.xlsx [Script: T24_CUSTOMER]</t>
        </is>
      </c>
    </row>
    <row r="880">
      <c r="A880" s="48" t="inlineStr">
        <is>
          <t>TCKH.T24_CUSTOMER</t>
        </is>
      </c>
      <c r="B880" s="48" t="inlineStr">
        <is>
          <t>SILVER_CONSUMER</t>
        </is>
      </c>
      <c r="C880" s="48" t="inlineStr">
        <is>
          <t>2.2</t>
        </is>
      </c>
      <c r="D880" s="48" t="inlineStr">
        <is>
          <t>Nhom 2 - Logic</t>
        </is>
      </c>
      <c r="E880" s="48" t="inlineStr">
        <is>
          <t>Thống nhất MỘT pattern duy nhất xác định bản ghi active mới nhất</t>
        </is>
      </c>
      <c r="F880" s="49" t="inlineStr">
        <is>
          <t>PASS</t>
        </is>
      </c>
      <c r="G880" s="48" t="inlineStr">
        <is>
          <t>Pass</t>
        </is>
      </c>
      <c r="H880" s="50" t="inlineStr">
        <is>
          <t>file này dùng: ['MAX_BY']; toàn batch dùng: ['MAX_BY']</t>
        </is>
      </c>
      <c r="I8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80" s="48" t="inlineStr">
        <is>
          <t>044. OCB_GOLD_TCKH_T24_CUSTOMER_PHAT.xlsx [Script: T24_CUSTOMER]</t>
        </is>
      </c>
    </row>
    <row r="881">
      <c r="A881" s="48" t="inlineStr">
        <is>
          <t>TCKH.T24_CUSTOMER</t>
        </is>
      </c>
      <c r="B881" s="48" t="inlineStr">
        <is>
          <t>SILVER_CONSUMER</t>
        </is>
      </c>
      <c r="C881" s="48" t="inlineStr">
        <is>
          <t>2.3</t>
        </is>
      </c>
      <c r="D881" s="48" t="inlineStr">
        <is>
          <t>Nhom 2 - Logic</t>
        </is>
      </c>
      <c r="E881" s="48" t="inlineStr">
        <is>
          <t>Điều kiện lọc trạng thái đặt SAU khi xác định bản ghi mới nhất</t>
        </is>
      </c>
      <c r="F881" s="49" t="inlineStr">
        <is>
          <t>PASS</t>
        </is>
      </c>
      <c r="G881" s="48" t="inlineStr">
        <is>
          <t>Pass</t>
        </is>
      </c>
      <c r="H881" s="50" t="inlineStr">
        <is>
          <t>không có điều kiện trạng thái nào lồng trong JOIN ON</t>
        </is>
      </c>
      <c r="I8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81" s="48" t="inlineStr">
        <is>
          <t>044. OCB_GOLD_TCKH_T24_CUSTOMER_PHAT.xlsx [Script: T24_CUSTOMER]</t>
        </is>
      </c>
    </row>
    <row r="882">
      <c r="A882" s="48" t="inlineStr">
        <is>
          <t>TCKH.T24_CUSTOMER</t>
        </is>
      </c>
      <c r="B882" s="48" t="inlineStr">
        <is>
          <t>SILVER_CONSUMER</t>
        </is>
      </c>
      <c r="C882" s="48" t="inlineStr">
        <is>
          <t>2.4</t>
        </is>
      </c>
      <c r="D882" s="48" t="inlineStr">
        <is>
          <t>Nhom 2 - Logic</t>
        </is>
      </c>
      <c r="E882" s="48" t="inlineStr">
        <is>
          <t>source_event_date áp dụng đúng dạng theo loại bảng</t>
        </is>
      </c>
      <c r="F882" s="49" t="inlineStr">
        <is>
          <t>PASS</t>
        </is>
      </c>
      <c r="G882" s="48" t="inlineStr">
        <is>
          <t>Pass</t>
        </is>
      </c>
      <c r="H882" s="50" t="inlineStr">
        <is>
          <t>6 satellite đều đúng dạng điều kiện source_event_date</t>
        </is>
      </c>
      <c r="I8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82" s="48" t="inlineStr">
        <is>
          <t>044. OCB_GOLD_TCKH_T24_CUSTOMER_PHAT.xlsx [Script: T24_CUSTOMER]</t>
        </is>
      </c>
    </row>
    <row r="883">
      <c r="A883" s="48" t="inlineStr">
        <is>
          <t>TCKH.T24_CUSTOMER</t>
        </is>
      </c>
      <c r="B883" s="48" t="inlineStr">
        <is>
          <t>SILVER_CONSUMER</t>
        </is>
      </c>
      <c r="C883" s="48" t="inlineStr">
        <is>
          <t>2.5</t>
        </is>
      </c>
      <c r="D883" s="48" t="inlineStr">
        <is>
          <t>Nhom 2 - Logic</t>
        </is>
      </c>
      <c r="E883" s="48" t="inlineStr">
        <is>
          <t>Không lặp lại lỗi logic cũ đã được DA Data Vault fix</t>
        </is>
      </c>
      <c r="F883" s="49" t="inlineStr">
        <is>
          <t>PASS</t>
        </is>
      </c>
      <c r="G883" s="48" t="inlineStr">
        <is>
          <t>Pass</t>
        </is>
      </c>
      <c r="H883" s="50" t="inlineStr">
        <is>
          <t>không trùng lỗi nào trong Issue log của DA Data Vault</t>
        </is>
      </c>
      <c r="I8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83" s="48" t="inlineStr">
        <is>
          <t>044. OCB_GOLD_TCKH_T24_CUSTOMER_PHAT.xlsx [Script: T24_CUSTOMER]</t>
        </is>
      </c>
    </row>
    <row r="884">
      <c r="A884" s="48" t="inlineStr">
        <is>
          <t>TCKH.T24_CUSTOMER</t>
        </is>
      </c>
      <c r="B884" s="48" t="inlineStr">
        <is>
          <t>SILVER_CONSUMER</t>
        </is>
      </c>
      <c r="C884" s="48" t="inlineStr">
        <is>
          <t>2.6</t>
        </is>
      </c>
      <c r="D884" s="48" t="inlineStr">
        <is>
          <t>Nhom 2 - Logic</t>
        </is>
      </c>
      <c r="E884" s="48" t="inlineStr">
        <is>
          <t>SCD Type 2 cho bảng DIM áp dụng đúng kỹ thuật đã thống nhất</t>
        </is>
      </c>
      <c r="F884" s="48" t="inlineStr">
        <is>
          <t>N-A</t>
        </is>
      </c>
      <c r="G884" s="48" t="inlineStr">
        <is>
          <t>Pass</t>
        </is>
      </c>
      <c r="H884" s="50" t="inlineStr">
        <is>
          <t>object không phải bảng DIM nên không áp dụng SCD Type 2</t>
        </is>
      </c>
      <c r="I8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84" s="48" t="inlineStr">
        <is>
          <t>044. OCB_GOLD_TCKH_T24_CUSTOMER_PHAT.xlsx [Script: T24_CUSTOMER]</t>
        </is>
      </c>
    </row>
    <row r="885">
      <c r="A885" s="48" t="inlineStr">
        <is>
          <t>TCKH.T24_CUSTOMER</t>
        </is>
      </c>
      <c r="B885" s="48" t="inlineStr">
        <is>
          <t>SILVER_CONSUMER</t>
        </is>
      </c>
      <c r="C885" s="48" t="inlineStr">
        <is>
          <t>2.7</t>
        </is>
      </c>
      <c r="D885" s="48" t="inlineStr">
        <is>
          <t>Nhom 2 - Logic</t>
        </is>
      </c>
      <c r="E885" s="48" t="inlineStr">
        <is>
          <t>CASE WHEN cover đủ nhánh như job on-prem</t>
        </is>
      </c>
      <c r="F885" s="48" t="inlineStr">
        <is>
          <t>N-A</t>
        </is>
      </c>
      <c r="G885" s="48" t="inlineStr">
        <is>
          <t>Pass</t>
        </is>
      </c>
      <c r="H885" s="50" t="inlineStr">
        <is>
          <t>script không có CASE WHEN nào</t>
        </is>
      </c>
      <c r="I885" s="50" t="inlineStr">
        <is>
          <t>Mở job on-prem tương ứng (DataStage DSX hoặc SQL cũ), đối chiếu từng nhánh WHEN và cả nhánh ELSE. CASE không có ELSE sẽ trả NULL âm thầm — xác nhận đó là ý muốn hay thiếu nhánh.</t>
        </is>
      </c>
      <c r="J885" s="48" t="inlineStr">
        <is>
          <t>044. OCB_GOLD_TCKH_T24_CUSTOMER_PHAT.xlsx [Script: T24_CUSTOMER]</t>
        </is>
      </c>
    </row>
    <row r="886">
      <c r="A886" s="48" t="inlineStr">
        <is>
          <t>TCKH.T24_CUSTOMER</t>
        </is>
      </c>
      <c r="B886" s="48" t="inlineStr">
        <is>
          <t>SILVER_CONSUMER</t>
        </is>
      </c>
      <c r="C886" s="48" t="inlineStr">
        <is>
          <t>2.8</t>
        </is>
      </c>
      <c r="D886" s="48" t="inlineStr">
        <is>
          <t>Nhom 2 - Logic</t>
        </is>
      </c>
      <c r="E886" s="48" t="inlineStr">
        <is>
          <t>Cột SUM/COUNT được COALESCE/NVL hợp lý</t>
        </is>
      </c>
      <c r="F886" s="49" t="inlineStr">
        <is>
          <t>PASS</t>
        </is>
      </c>
      <c r="G886" s="48" t="inlineStr">
        <is>
          <t>Pass</t>
        </is>
      </c>
      <c r="H886" s="50" t="inlineStr">
        <is>
          <t>mọi SUM/COUNT đều đã coalesce (trực tiếp hoặc ở lớp ngoài)</t>
        </is>
      </c>
      <c r="I8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86" s="48" t="inlineStr">
        <is>
          <t>044. OCB_GOLD_TCKH_T24_CUSTOMER_PHAT.xlsx [Script: T24_CUSTOMER]</t>
        </is>
      </c>
    </row>
    <row r="887">
      <c r="A887" s="48" t="inlineStr">
        <is>
          <t>TCKH.T24_CUSTOMER</t>
        </is>
      </c>
      <c r="B887" s="48" t="inlineStr">
        <is>
          <t>SILVER_CONSUMER</t>
        </is>
      </c>
      <c r="C887" s="48" t="inlineStr">
        <is>
          <t>2.9</t>
        </is>
      </c>
      <c r="D887" s="48" t="inlineStr">
        <is>
          <t>Nhom 2 - Logic</t>
        </is>
      </c>
      <c r="E887" s="48" t="inlineStr">
        <is>
          <t>Subquery / custom function / điều kiện LIKE đúng ý nghĩa nghiệp vụ</t>
        </is>
      </c>
      <c r="F887" s="48" t="inlineStr">
        <is>
          <t>N-A</t>
        </is>
      </c>
      <c r="G887" s="48" t="inlineStr">
        <is>
          <t>Pass</t>
        </is>
      </c>
      <c r="H887" s="50" t="inlineStr">
        <is>
          <t>script không có điều kiện LIKE hay scalar subquery nào</t>
        </is>
      </c>
      <c r="I887" s="50" t="inlineStr">
        <is>
          <t>Đọc lại từng điều kiện LIKE và từng subquery, đối chiếu ý nghĩa nghiệp vụ với on-prem — đúng cú pháp không đủ. Chú ý pattern LIKE có ký tự % ở đầu/cuối và phân biệt chữ hoa/thường.</t>
        </is>
      </c>
      <c r="J887" s="48" t="inlineStr">
        <is>
          <t>044. OCB_GOLD_TCKH_T24_CUSTOMER_PHAT.xlsx [Script: T24_CUSTOMER]</t>
        </is>
      </c>
    </row>
    <row r="888">
      <c r="A888" s="48" t="inlineStr">
        <is>
          <t>TCKH.T24_CUSTOMER</t>
        </is>
      </c>
      <c r="B888" s="48" t="inlineStr">
        <is>
          <t>SILVER_CONSUMER</t>
        </is>
      </c>
      <c r="C888" s="48" t="inlineStr">
        <is>
          <t>2.10</t>
        </is>
      </c>
      <c r="D888" s="48" t="inlineStr">
        <is>
          <t>Nhom 2 - Logic</t>
        </is>
      </c>
      <c r="E888" s="48" t="inlineStr">
        <is>
          <t>Aggregation kèm filter date range chính xác</t>
        </is>
      </c>
      <c r="F888" s="49" t="inlineStr">
        <is>
          <t>PASS</t>
        </is>
      </c>
      <c r="G888" s="48" t="inlineStr">
        <is>
          <t>Pass</t>
        </is>
      </c>
      <c r="H888" s="50" t="inlineStr">
        <is>
          <t>mọi khối tổng hợp đều có điều kiện theo kỳ dữ liệu</t>
        </is>
      </c>
      <c r="I888" s="50" t="inlineStr">
        <is>
          <t>Mỗi khối SUM/COUNT/AVG phải có điều kiện lọc theo kỳ dữ liệu (CDR_DT_ID, DATA_DATE, :DATADT…). Nếu điều kiện nằm ở CTE nguồn thì ghi rõ trong comment để người review không phải truy ngược.</t>
        </is>
      </c>
      <c r="J888" s="48" t="inlineStr">
        <is>
          <t>044. OCB_GOLD_TCKH_T24_CUSTOMER_PHAT.xlsx [Script: T24_CUSTOMER]</t>
        </is>
      </c>
    </row>
    <row r="889">
      <c r="A889" s="48" t="inlineStr">
        <is>
          <t>TCKH.T24_CUSTOMER</t>
        </is>
      </c>
      <c r="B889" s="48" t="inlineStr">
        <is>
          <t>SILVER_CONSUMER</t>
        </is>
      </c>
      <c r="C889" s="48" t="inlineStr">
        <is>
          <t>2.11</t>
        </is>
      </c>
      <c r="D889" s="48" t="inlineStr">
        <is>
          <t>Nhom 2 - Logic</t>
        </is>
      </c>
      <c r="E889" s="48" t="inlineStr">
        <is>
          <t>Join dùng key hợp lý, không lạm dụng UNION ALL + EXISTS/NOT EXISTS</t>
        </is>
      </c>
      <c r="F889" s="49" t="inlineStr">
        <is>
          <t>PASS</t>
        </is>
      </c>
      <c r="G889" s="48" t="inlineStr">
        <is>
          <t>Pass</t>
        </is>
      </c>
      <c r="H889" s="50" t="inlineStr">
        <is>
          <t>join đều theo điều kiện bằng, không lạm dụng UNION ALL + EXISTS</t>
        </is>
      </c>
      <c r="I889" s="50" t="inlineStr">
        <is>
          <t>Ưu tiên LEFT JOIN theo business key hoặc hashkey. Xem lại các chỗ dùng UNION ALL kết hợp EXISTS/NOT EXISTS — thường thay được bằng một LEFT JOIN. Join không có điều kiện bằng (=) dễ tạo tích Descartes.</t>
        </is>
      </c>
      <c r="J889" s="48" t="inlineStr">
        <is>
          <t>044. OCB_GOLD_TCKH_T24_CUSTOMER_PHAT.xlsx [Script: T24_CUSTOMER]</t>
        </is>
      </c>
    </row>
    <row r="890">
      <c r="A890" s="48" t="inlineStr">
        <is>
          <t>TCKH.T24_CUSTOMER</t>
        </is>
      </c>
      <c r="B890" s="48" t="inlineStr">
        <is>
          <t>SILVER_CONSUMER</t>
        </is>
      </c>
      <c r="C890" s="48" t="inlineStr">
        <is>
          <t>2.12</t>
        </is>
      </c>
      <c r="D890" s="48" t="inlineStr">
        <is>
          <t>Nhom 2 - Logic</t>
        </is>
      </c>
      <c r="E890" s="48" t="inlineStr">
        <is>
          <t>Build Gold từ CTE snapshot Silver, không build nhiều tầng chồng chéo</t>
        </is>
      </c>
      <c r="F890" s="49" t="inlineStr">
        <is>
          <t>PASS</t>
        </is>
      </c>
      <c r="G890" s="48" t="inlineStr">
        <is>
          <t>Pass</t>
        </is>
      </c>
      <c r="H890" s="50" t="inlineStr">
        <is>
          <t>mỗi bảng nguồn chỉ đọc trong 1 khối SELECT</t>
        </is>
      </c>
      <c r="I8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90" s="48" t="inlineStr">
        <is>
          <t>044. OCB_GOLD_TCKH_T24_CUSTOMER_PHAT.xlsx [Script: T24_CUSTOMER]</t>
        </is>
      </c>
    </row>
    <row r="891">
      <c r="A891" s="48" t="inlineStr">
        <is>
          <t>TCKH.T24_CUSTOMER</t>
        </is>
      </c>
      <c r="B891" s="48" t="inlineStr">
        <is>
          <t>SILVER_CONSUMER</t>
        </is>
      </c>
      <c r="C891" s="48" t="inlineStr">
        <is>
          <t>3.1</t>
        </is>
      </c>
      <c r="D891" s="48" t="inlineStr">
        <is>
          <t>Nhom 3 - Optimization</t>
        </is>
      </c>
      <c r="E891" s="48" t="inlineStr">
        <is>
          <t>Không SELECT *</t>
        </is>
      </c>
      <c r="F891" s="49" t="inlineStr">
        <is>
          <t>PASS</t>
        </is>
      </c>
      <c r="G891" s="48" t="inlineStr">
        <is>
          <t>Pass</t>
        </is>
      </c>
      <c r="H891" s="50" t="inlineStr">
        <is>
          <t>không dùng SELECT * ở đâu</t>
        </is>
      </c>
      <c r="I891" s="50" t="inlineStr">
        <is>
          <t>Liệt kê tường minh các cột cần dùng, kể cả trong CTE trung gian. SELECT * làm tăng IO/memory và vỡ script khi bảng nguồn thêm cột.</t>
        </is>
      </c>
      <c r="J891" s="48" t="inlineStr">
        <is>
          <t>044. OCB_GOLD_TCKH_T24_CUSTOMER_PHAT.xlsx [Script: T24_CUSTOMER]</t>
        </is>
      </c>
    </row>
    <row r="892">
      <c r="A892" s="48" t="inlineStr">
        <is>
          <t>TCKH.T24_CUSTOMER</t>
        </is>
      </c>
      <c r="B892" s="48" t="inlineStr">
        <is>
          <t>SILVER_CONSUMER</t>
        </is>
      </c>
      <c r="C892" s="48" t="inlineStr">
        <is>
          <t>3.2</t>
        </is>
      </c>
      <c r="D892" s="48" t="inlineStr">
        <is>
          <t>Nhom 3 - Optimization</t>
        </is>
      </c>
      <c r="E892" s="48" t="inlineStr">
        <is>
          <t>CTE không bị scan lại nhiều lần</t>
        </is>
      </c>
      <c r="F892" s="49" t="inlineStr">
        <is>
          <t>PASS</t>
        </is>
      </c>
      <c r="G892" s="48" t="inlineStr">
        <is>
          <t>Pass</t>
        </is>
      </c>
      <c r="H892" s="50" t="inlineStr">
        <is>
          <t>không có CTE nào bị gọi lại</t>
        </is>
      </c>
      <c r="I892" s="50" t="inlineStr">
        <is>
          <t>Với CTE nặng (đọc nhiều bảng Silver) bị tham chiếu từ 2 chỗ trở lên: gom lại còn một lần dùng, hoặc vật chất hóa (CACHE / bảng tạm). CTE nhẹ chỉ chứa tham số thì bỏ qua được — tự tick Pass.</t>
        </is>
      </c>
      <c r="J892" s="48" t="inlineStr">
        <is>
          <t>044. OCB_GOLD_TCKH_T24_CUSTOMER_PHAT.xlsx [Script: T24_CUSTOMER]</t>
        </is>
      </c>
    </row>
    <row r="893">
      <c r="A893" s="48" t="inlineStr">
        <is>
          <t>TCKH.T24_CUSTOMER</t>
        </is>
      </c>
      <c r="B893" s="48" t="inlineStr">
        <is>
          <t>SILVER_CONSUMER</t>
        </is>
      </c>
      <c r="C893" s="48" t="inlineStr">
        <is>
          <t>3.3</t>
        </is>
      </c>
      <c r="D893" s="48" t="inlineStr">
        <is>
          <t>Nhom 3 - Optimization</t>
        </is>
      </c>
      <c r="E893" s="48" t="inlineStr">
        <is>
          <t>Filter trước khi join, tận dụng partition pruning</t>
        </is>
      </c>
      <c r="F893" s="51" t="inlineStr">
        <is>
          <t>WARN</t>
        </is>
      </c>
      <c r="G893" s="48" t="inlineStr">
        <is>
          <t>WARN</t>
        </is>
      </c>
      <c r="H893" s="50" t="inlineStr">
        <is>
          <t>7 bảng join trực tiếp mà không có filter riêng: hub_acct_officer (ha), hub_branch (hb), sat_customer_classification (scl), sat_customer_contact (sc), sat_customer_financial_statement (sf), sat_customer_information (si), sat_customer_kyc (sk)</t>
        </is>
      </c>
      <c r="I893" s="50" t="inlineStr">
        <is>
          <t>Đưa điều kiện lọc (ngày dữ liệu, trạng thái) vào subquery của từng bảng TRƯỚC khi join, để tận dụng partition pruning. Bảng dim nhỏ không partition thì không cần — tự tick Pass.</t>
        </is>
      </c>
      <c r="J893" s="48" t="inlineStr">
        <is>
          <t>044. OCB_GOLD_TCKH_T24_CUSTOMER_PHAT.xlsx [Script: T24_CUSTOMER]</t>
        </is>
      </c>
    </row>
    <row r="894">
      <c r="A894" s="48" t="inlineStr">
        <is>
          <t>TCKH.T24_CUSTOMER</t>
        </is>
      </c>
      <c r="B894" s="48" t="inlineStr">
        <is>
          <t>SILVER_CONSUMER</t>
        </is>
      </c>
      <c r="C894" s="48" t="inlineStr">
        <is>
          <t>3.4</t>
        </is>
      </c>
      <c r="D894" s="48" t="inlineStr">
        <is>
          <t>Nhom 3 - Optimization</t>
        </is>
      </c>
      <c r="E894" s="48" t="inlineStr">
        <is>
          <t>Sử dụng CACHE cho query lặp lại trong cùng luồng</t>
        </is>
      </c>
      <c r="F894" s="48" t="inlineStr">
        <is>
          <t>N-A</t>
        </is>
      </c>
      <c r="G894" s="48" t="inlineStr">
        <is>
          <t>Pass</t>
        </is>
      </c>
      <c r="H894" s="50" t="inlineStr">
        <is>
          <t>không có kết quả nào được dùng lại nhiều lần nên chưa cần CACHE</t>
        </is>
      </c>
      <c r="I894" s="50" t="inlineStr">
        <is>
          <t>Nếu một kết quả nặng được dùng lại nhiều bước trong cùng luồng, thêm CACHE TABLE / CACHE SELECT. Kết quả nhỏ thì cache còn chậm hơn — tự tick Pass.</t>
        </is>
      </c>
      <c r="J894" s="48" t="inlineStr">
        <is>
          <t>044. OCB_GOLD_TCKH_T24_CUSTOMER_PHAT.xlsx [Script: T24_CUSTOMER]</t>
        </is>
      </c>
    </row>
    <row r="895">
      <c r="A895" s="48" t="inlineStr">
        <is>
          <t>TCKH.T24_CUSTOMER</t>
        </is>
      </c>
      <c r="B895" s="48" t="inlineStr">
        <is>
          <t>SILVER_CONSUMER</t>
        </is>
      </c>
      <c r="C895" s="48" t="inlineStr">
        <is>
          <t>3.5</t>
        </is>
      </c>
      <c r="D895" s="48" t="inlineStr">
        <is>
          <t>Nhom 3 - Optimization</t>
        </is>
      </c>
      <c r="E895" s="48" t="inlineStr">
        <is>
          <t>Ưu tiên MAX_BY + QUALIFY thay ROW_NUMBER() + WHERE rn = 1</t>
        </is>
      </c>
      <c r="F895" s="48" t="inlineStr">
        <is>
          <t>N-A</t>
        </is>
      </c>
      <c r="G895" s="48" t="inlineStr">
        <is>
          <t>Pass</t>
        </is>
      </c>
      <c r="H895" s="50" t="inlineStr">
        <is>
          <t>script không dùng ROW_NUMBER, và MAX_BY (nếu có) không vượt quá 5 cột/khối</t>
        </is>
      </c>
      <c r="I8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95" s="48" t="inlineStr">
        <is>
          <t>044. OCB_GOLD_TCKH_T24_CUSTOMER_PHAT.xlsx [Script: T24_CUSTOMER]</t>
        </is>
      </c>
    </row>
    <row r="896">
      <c r="A896" s="48" t="inlineStr">
        <is>
          <t>TCKH.T24_CUSTOMER</t>
        </is>
      </c>
      <c r="B896" s="48" t="inlineStr">
        <is>
          <t>SILVER_CONSUMER</t>
        </is>
      </c>
      <c r="C896" s="48" t="inlineStr">
        <is>
          <t>3.6</t>
        </is>
      </c>
      <c r="D896" s="48" t="inlineStr">
        <is>
          <t>Nhom 3 - Optimization</t>
        </is>
      </c>
      <c r="E896" s="48" t="inlineStr">
        <is>
          <t>Không lạm dụng window function; có comment khi dùng</t>
        </is>
      </c>
      <c r="F896" s="48" t="inlineStr">
        <is>
          <t>N-A</t>
        </is>
      </c>
      <c r="G896" s="48" t="inlineStr">
        <is>
          <t>Pass</t>
        </is>
      </c>
      <c r="H896" s="50" t="inlineStr">
        <is>
          <t>script không dùng window function</t>
        </is>
      </c>
      <c r="I896" s="50" t="inlineStr">
        <is>
          <t>Mỗi window function cần một comment ngay trên khối CTE chứa nó, nói rõ vì sao không dùng được max_by/QUALIFY đơn giản hơn.</t>
        </is>
      </c>
      <c r="J896" s="48" t="inlineStr">
        <is>
          <t>044. OCB_GOLD_TCKH_T24_CUSTOMER_PHAT.xlsx [Script: T24_CUSTOMER]</t>
        </is>
      </c>
    </row>
    <row r="897">
      <c r="A897" s="48" t="inlineStr">
        <is>
          <t>TCKH.T24_CUSTOMER</t>
        </is>
      </c>
      <c r="B897" s="48" t="inlineStr">
        <is>
          <t>SILVER_CONSUMER</t>
        </is>
      </c>
      <c r="C897" s="48" t="inlineStr">
        <is>
          <t>X.1</t>
        </is>
      </c>
      <c r="D897" s="48" t="inlineStr">
        <is>
          <t>Nhom X - Bo sung Raffles</t>
        </is>
      </c>
      <c r="E897" s="48" t="inlineStr">
        <is>
          <t>[Bổ sung] Link phải rút về current trước khi join (chống fan-out)</t>
        </is>
      </c>
      <c r="F897" s="49" t="inlineStr">
        <is>
          <t>PASS</t>
        </is>
      </c>
      <c r="G897" s="48" t="inlineStr">
        <is>
          <t>Pass</t>
        </is>
      </c>
      <c r="H897" s="50" t="inlineStr">
        <is>
          <t>các bảng link_* đều được rút về current trước khi join</t>
        </is>
      </c>
      <c r="I8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97" s="48" t="inlineStr">
        <is>
          <t>044. OCB_GOLD_TCKH_T24_CUSTOMER_PHAT.xlsx [Script: T24_CUSTOMER]</t>
        </is>
      </c>
    </row>
    <row r="898">
      <c r="A898" s="48" t="inlineStr">
        <is>
          <t>TCKH.T24_CUSTOMER</t>
        </is>
      </c>
      <c r="B898" s="48" t="inlineStr">
        <is>
          <t>SILVER_CONSUMER</t>
        </is>
      </c>
      <c r="C898" s="48" t="inlineStr">
        <is>
          <t>X.6</t>
        </is>
      </c>
      <c r="D898" s="48" t="inlineStr">
        <is>
          <t>Nhom X - Bo sung Raffles</t>
        </is>
      </c>
      <c r="E898" s="48" t="inlineStr">
        <is>
          <t>[Bổ sung] Satellite phải LEFT JOIN, không INNER JOIN</t>
        </is>
      </c>
      <c r="F898" s="49" t="inlineStr">
        <is>
          <t>PASS</t>
        </is>
      </c>
      <c r="G898" s="48" t="inlineStr">
        <is>
          <t>Pass</t>
        </is>
      </c>
      <c r="H898" s="50" t="inlineStr">
        <is>
          <t>các satellite đều LEFT JOIN</t>
        </is>
      </c>
      <c r="I898" s="50" t="inlineStr">
        <is>
          <t>Technical Document III.4.2.2 nguyên tắc 1: làm giàu thuộc tính luôn dùng LEFT JOIN. INNER JOIN satellite sẽ loại mất bản ghi Hub đang còn hiệu lực nhưng chưa có dòng satellite.</t>
        </is>
      </c>
      <c r="J898" s="48" t="inlineStr">
        <is>
          <t>044. OCB_GOLD_TCKH_T24_CUSTOMER_PHAT.xlsx [Script: T24_CUSTOMER]</t>
        </is>
      </c>
    </row>
    <row r="899">
      <c r="A899" s="48" t="inlineStr">
        <is>
          <t>TCKH.T24_CUSTOMER</t>
        </is>
      </c>
      <c r="B899" s="48" t="inlineStr">
        <is>
          <t>SILVER_CONSUMER</t>
        </is>
      </c>
      <c r="C899" s="48" t="inlineStr">
        <is>
          <t>X.7</t>
        </is>
      </c>
      <c r="D899" s="48" t="inlineStr">
        <is>
          <t>Nhom X - Bo sung Raffles</t>
        </is>
      </c>
      <c r="E899" s="48" t="inlineStr">
        <is>
          <t>[Bổ sung] Không hard-code catalog, dùng biến môi trường</t>
        </is>
      </c>
      <c r="F899" s="49" t="inlineStr">
        <is>
          <t>PASS</t>
        </is>
      </c>
      <c r="G899" s="48" t="inlineStr">
        <is>
          <t>Pass</t>
        </is>
      </c>
      <c r="H899" s="50" t="inlineStr">
        <is>
          <t>dùng biến môi trường cho catalog</t>
        </is>
      </c>
      <c r="I8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99" s="48" t="inlineStr">
        <is>
          <t>044. OCB_GOLD_TCKH_T24_CUSTOMER_PHAT.xlsx [Script: T24_CUSTOMER]</t>
        </is>
      </c>
    </row>
    <row r="900">
      <c r="A900" s="48" t="inlineStr">
        <is>
          <t>TCKH.T24_CUSTOMER</t>
        </is>
      </c>
      <c r="B900" s="48" t="inlineStr">
        <is>
          <t>SILVER_CONSUMER</t>
        </is>
      </c>
      <c r="C900" s="48" t="inlineStr">
        <is>
          <t>X.10</t>
        </is>
      </c>
      <c r="D900" s="48" t="inlineStr">
        <is>
          <t>Nhom X - Bo sung Raffles</t>
        </is>
      </c>
      <c r="E900" s="48" t="inlineStr">
        <is>
          <t>Bang raw_vault/business_vault duoc doc phai TON TAI THAT trong Data Vault model</t>
        </is>
      </c>
      <c r="F900" s="49" t="inlineStr">
        <is>
          <t>PASS</t>
        </is>
      </c>
      <c r="G900" s="48" t="inlineStr">
        <is>
          <t>Pass</t>
        </is>
      </c>
      <c r="H900" s="50" t="inlineStr">
        <is>
          <t>13 bảng Silver đều có thật trong Data Vault model</t>
        </is>
      </c>
      <c r="I900" s="50" t="inlineStr"/>
      <c r="J900" s="48" t="inlineStr">
        <is>
          <t>044. OCB_GOLD_TCKH_T24_CUSTOMER_PHAT.xlsx [Script: T24_CUSTOMER]</t>
        </is>
      </c>
    </row>
    <row r="901">
      <c r="A901" s="48" t="inlineStr">
        <is>
          <t>TCKH.T24_CUSTOMER</t>
        </is>
      </c>
      <c r="B901" s="48" t="inlineStr">
        <is>
          <t>SILVER_CONSUMER</t>
        </is>
      </c>
      <c r="C901" s="48" t="inlineStr">
        <is>
          <t>X.11</t>
        </is>
      </c>
      <c r="D901" s="48" t="inlineStr">
        <is>
          <t>Nhom X - Bo sung Raffles</t>
        </is>
      </c>
      <c r="E901" s="48" t="inlineStr">
        <is>
          <t>Cot doc tu satellite (sat_*) phai TON TAI THAT trong model</t>
        </is>
      </c>
      <c r="F901" s="49" t="inlineStr">
        <is>
          <t>PASS</t>
        </is>
      </c>
      <c r="G901" s="48" t="inlineStr">
        <is>
          <t>Pass</t>
        </is>
      </c>
      <c r="H901" s="50" t="inlineStr">
        <is>
          <t>mọi cột đọc từ sat_* đều tồn tại trong model thật</t>
        </is>
      </c>
      <c r="I901" s="50" t="inlineStr"/>
      <c r="J901" s="48" t="inlineStr">
        <is>
          <t>044. OCB_GOLD_TCKH_T24_CUSTOMER_PHAT.xlsx [Script: T24_CUSTOMER]</t>
        </is>
      </c>
    </row>
    <row r="902">
      <c r="A902" s="48" t="inlineStr">
        <is>
          <t>TCKH.TB_AR_BCN_DTL</t>
        </is>
      </c>
      <c r="B902" s="48" t="inlineStr">
        <is>
          <t>SILVER_CONSUMER</t>
        </is>
      </c>
      <c r="C902" s="48" t="inlineStr">
        <is>
          <t>1.1</t>
        </is>
      </c>
      <c r="D902" s="48" t="inlineStr">
        <is>
          <t>Nhom 1 - Mapping</t>
        </is>
      </c>
      <c r="E902" s="48" t="inlineStr">
        <is>
          <t>Đầy đủ mapping từ Silver/manual sang Gold</t>
        </is>
      </c>
      <c r="F902" s="49" t="inlineStr">
        <is>
          <t>PASS</t>
        </is>
      </c>
      <c r="G902" s="48" t="inlineStr">
        <is>
          <t>Pass</t>
        </is>
      </c>
      <c r="H902" s="50" t="inlineStr">
        <is>
          <t>workbook 045. OCB_GOLD_TCKH_TB_AR_BCN_DTL_QUANG.xlsx: thiết kế 10 field, SQL có 10 cột</t>
        </is>
      </c>
      <c r="I9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02" s="48" t="inlineStr">
        <is>
          <t>045. OCB_GOLD_TCKH_TB_AR_BCN_DTL_QUANG.xlsx [Script: TB_AR_BCN_DLT]</t>
        </is>
      </c>
    </row>
    <row r="903">
      <c r="A903" s="48" t="inlineStr">
        <is>
          <t>TCKH.TB_AR_BCN_DTL</t>
        </is>
      </c>
      <c r="B903" s="48" t="inlineStr">
        <is>
          <t>SILVER_CONSUMER</t>
        </is>
      </c>
      <c r="C903" s="48" t="inlineStr">
        <is>
          <t>1.2</t>
        </is>
      </c>
      <c r="D903" s="48" t="inlineStr">
        <is>
          <t>Nhom 1 - Mapping</t>
        </is>
      </c>
      <c r="E903" s="48" t="inlineStr">
        <is>
          <t>Danh sách bảng/view Gold khớp tài liệu thiết kế đã duyệt</t>
        </is>
      </c>
      <c r="F903" s="49" t="inlineStr">
        <is>
          <t>PASS</t>
        </is>
      </c>
      <c r="G903" s="48" t="inlineStr">
        <is>
          <t>Pass</t>
        </is>
      </c>
      <c r="H903" s="50" t="inlineStr">
        <is>
          <t>TB_AR_BCN_DTL có workbook thiết kế: 045. OCB_GOLD_TCKH_TB_AR_BCN_DTL_QUANG.xlsx</t>
        </is>
      </c>
      <c r="I903" s="50" t="inlineStr">
        <is>
          <t>Đảm bảo object có workbook thiết kế tương ứng trong thư mục --mapping-dir. Muốn đối chiếu với danh sách đã duyệt thì chạy thêm tham số --gold-list "&lt;file danh sách Gold&gt;.xlsx".</t>
        </is>
      </c>
      <c r="J903" s="48" t="inlineStr">
        <is>
          <t>045. OCB_GOLD_TCKH_TB_AR_BCN_DTL_QUANG.xlsx [Script: TB_AR_BCN_DLT]</t>
        </is>
      </c>
    </row>
    <row r="904">
      <c r="A904" s="48" t="inlineStr">
        <is>
          <t>TCKH.TB_AR_BCN_DTL</t>
        </is>
      </c>
      <c r="B904" s="48" t="inlineStr">
        <is>
          <t>SILVER_CONSUMER</t>
        </is>
      </c>
      <c r="C904" s="48" t="inlineStr">
        <is>
          <t>2.1</t>
        </is>
      </c>
      <c r="D904" s="48" t="inlineStr">
        <is>
          <t>Nhom 2 - Logic</t>
        </is>
      </c>
      <c r="E904" s="48" t="inlineStr">
        <is>
          <t>Chỉ lấy bản ghi active, loại bản ghi đã xóa (qua sts_hub)</t>
        </is>
      </c>
      <c r="F904" s="49" t="inlineStr">
        <is>
          <t>PASS</t>
        </is>
      </c>
      <c r="G904" s="48" t="inlineStr">
        <is>
          <t>Pass</t>
        </is>
      </c>
      <c r="H904" s="50" t="inlineStr">
        <is>
          <t>2 sts_hub_* đọc đúng format</t>
        </is>
      </c>
      <c r="I9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04" s="48" t="inlineStr">
        <is>
          <t>045. OCB_GOLD_TCKH_TB_AR_BCN_DTL_QUANG.xlsx [Script: TB_AR_BCN_DLT]</t>
        </is>
      </c>
    </row>
    <row r="905">
      <c r="A905" s="48" t="inlineStr">
        <is>
          <t>TCKH.TB_AR_BCN_DTL</t>
        </is>
      </c>
      <c r="B905" s="48" t="inlineStr">
        <is>
          <t>SILVER_CONSUMER</t>
        </is>
      </c>
      <c r="C905" s="48" t="inlineStr">
        <is>
          <t>2.2</t>
        </is>
      </c>
      <c r="D905" s="48" t="inlineStr">
        <is>
          <t>Nhom 2 - Logic</t>
        </is>
      </c>
      <c r="E905" s="48" t="inlineStr">
        <is>
          <t>Thống nhất MỘT pattern duy nhất xác định bản ghi active mới nhất</t>
        </is>
      </c>
      <c r="F905" s="49" t="inlineStr">
        <is>
          <t>PASS</t>
        </is>
      </c>
      <c r="G905" s="48" t="inlineStr">
        <is>
          <t>Pass</t>
        </is>
      </c>
      <c r="H905" s="50" t="inlineStr">
        <is>
          <t>file này dùng: ['MAX_BY']; toàn batch dùng: ['MAX_BY']</t>
        </is>
      </c>
      <c r="I9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05" s="48" t="inlineStr">
        <is>
          <t>045. OCB_GOLD_TCKH_TB_AR_BCN_DTL_QUANG.xlsx [Script: TB_AR_BCN_DLT]</t>
        </is>
      </c>
    </row>
    <row r="906">
      <c r="A906" s="48" t="inlineStr">
        <is>
          <t>TCKH.TB_AR_BCN_DTL</t>
        </is>
      </c>
      <c r="B906" s="48" t="inlineStr">
        <is>
          <t>SILVER_CONSUMER</t>
        </is>
      </c>
      <c r="C906" s="48" t="inlineStr">
        <is>
          <t>2.3</t>
        </is>
      </c>
      <c r="D906" s="48" t="inlineStr">
        <is>
          <t>Nhom 2 - Logic</t>
        </is>
      </c>
      <c r="E906" s="48" t="inlineStr">
        <is>
          <t>Điều kiện lọc trạng thái đặt SAU khi xác định bản ghi mới nhất</t>
        </is>
      </c>
      <c r="F906" s="49" t="inlineStr">
        <is>
          <t>PASS</t>
        </is>
      </c>
      <c r="G906" s="48" t="inlineStr">
        <is>
          <t>Pass</t>
        </is>
      </c>
      <c r="H906" s="50" t="inlineStr">
        <is>
          <t>không có điều kiện trạng thái nào lồng trong JOIN ON</t>
        </is>
      </c>
      <c r="I9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06" s="48" t="inlineStr">
        <is>
          <t>045. OCB_GOLD_TCKH_TB_AR_BCN_DTL_QUANG.xlsx [Script: TB_AR_BCN_DLT]</t>
        </is>
      </c>
    </row>
    <row r="907">
      <c r="A907" s="48" t="inlineStr">
        <is>
          <t>TCKH.TB_AR_BCN_DTL</t>
        </is>
      </c>
      <c r="B907" s="48" t="inlineStr">
        <is>
          <t>SILVER_CONSUMER</t>
        </is>
      </c>
      <c r="C907" s="48" t="inlineStr">
        <is>
          <t>2.4</t>
        </is>
      </c>
      <c r="D907" s="48" t="inlineStr">
        <is>
          <t>Nhom 2 - Logic</t>
        </is>
      </c>
      <c r="E907" s="48" t="inlineStr">
        <is>
          <t>source_event_date áp dụng đúng dạng theo loại bảng</t>
        </is>
      </c>
      <c r="F907" s="49" t="inlineStr">
        <is>
          <t>PASS</t>
        </is>
      </c>
      <c r="G907" s="48" t="inlineStr">
        <is>
          <t>Pass</t>
        </is>
      </c>
      <c r="H907" s="50" t="inlineStr">
        <is>
          <t>1 satellite đều đúng dạng điều kiện source_event_date</t>
        </is>
      </c>
      <c r="I9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07" s="48" t="inlineStr">
        <is>
          <t>045. OCB_GOLD_TCKH_TB_AR_BCN_DTL_QUANG.xlsx [Script: TB_AR_BCN_DLT]</t>
        </is>
      </c>
    </row>
    <row r="908">
      <c r="A908" s="48" t="inlineStr">
        <is>
          <t>TCKH.TB_AR_BCN_DTL</t>
        </is>
      </c>
      <c r="B908" s="48" t="inlineStr">
        <is>
          <t>SILVER_CONSUMER</t>
        </is>
      </c>
      <c r="C908" s="48" t="inlineStr">
        <is>
          <t>2.5</t>
        </is>
      </c>
      <c r="D908" s="48" t="inlineStr">
        <is>
          <t>Nhom 2 - Logic</t>
        </is>
      </c>
      <c r="E908" s="48" t="inlineStr">
        <is>
          <t>Không lặp lại lỗi logic cũ đã được DA Data Vault fix</t>
        </is>
      </c>
      <c r="F908" s="49" t="inlineStr">
        <is>
          <t>PASS</t>
        </is>
      </c>
      <c r="G908" s="48" t="inlineStr">
        <is>
          <t>Pass</t>
        </is>
      </c>
      <c r="H908" s="50" t="inlineStr">
        <is>
          <t>không trùng lỗi nào trong Issue log của DA Data Vault</t>
        </is>
      </c>
      <c r="I9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08" s="48" t="inlineStr">
        <is>
          <t>045. OCB_GOLD_TCKH_TB_AR_BCN_DTL_QUANG.xlsx [Script: TB_AR_BCN_DLT]</t>
        </is>
      </c>
    </row>
    <row r="909">
      <c r="A909" s="48" t="inlineStr">
        <is>
          <t>TCKH.TB_AR_BCN_DTL</t>
        </is>
      </c>
      <c r="B909" s="48" t="inlineStr">
        <is>
          <t>SILVER_CONSUMER</t>
        </is>
      </c>
      <c r="C909" s="48" t="inlineStr">
        <is>
          <t>2.6</t>
        </is>
      </c>
      <c r="D909" s="48" t="inlineStr">
        <is>
          <t>Nhom 2 - Logic</t>
        </is>
      </c>
      <c r="E909" s="48" t="inlineStr">
        <is>
          <t>SCD Type 2 cho bảng DIM áp dụng đúng kỹ thuật đã thống nhất</t>
        </is>
      </c>
      <c r="F909" s="48" t="inlineStr">
        <is>
          <t>N-A</t>
        </is>
      </c>
      <c r="G909" s="48" t="inlineStr">
        <is>
          <t>Pass</t>
        </is>
      </c>
      <c r="H909" s="50" t="inlineStr">
        <is>
          <t>object không phải bảng DIM nên không áp dụng SCD Type 2</t>
        </is>
      </c>
      <c r="I9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09" s="48" t="inlineStr">
        <is>
          <t>045. OCB_GOLD_TCKH_TB_AR_BCN_DTL_QUANG.xlsx [Script: TB_AR_BCN_DLT]</t>
        </is>
      </c>
    </row>
    <row r="910">
      <c r="A910" s="48" t="inlineStr">
        <is>
          <t>TCKH.TB_AR_BCN_DTL</t>
        </is>
      </c>
      <c r="B910" s="48" t="inlineStr">
        <is>
          <t>SILVER_CONSUMER</t>
        </is>
      </c>
      <c r="C910" s="48" t="inlineStr">
        <is>
          <t>2.7</t>
        </is>
      </c>
      <c r="D910" s="48" t="inlineStr">
        <is>
          <t>Nhom 2 - Logic</t>
        </is>
      </c>
      <c r="E910" s="48" t="inlineStr">
        <is>
          <t>CASE WHEN cover đủ nhánh như job on-prem</t>
        </is>
      </c>
      <c r="F910" s="49" t="inlineStr">
        <is>
          <t>PASS</t>
        </is>
      </c>
      <c r="G910" s="48" t="inlineStr">
        <is>
          <t>Pass</t>
        </is>
      </c>
      <c r="H910" s="50" t="inlineStr">
        <is>
          <t>cả 2 CASE đều có nhánh ELSE</t>
        </is>
      </c>
      <c r="I910" s="50" t="inlineStr">
        <is>
          <t>Mở job on-prem tương ứng (DataStage DSX hoặc SQL cũ), đối chiếu từng nhánh WHEN và cả nhánh ELSE. CASE không có ELSE sẽ trả NULL âm thầm — xác nhận đó là ý muốn hay thiếu nhánh.</t>
        </is>
      </c>
      <c r="J910" s="48" t="inlineStr">
        <is>
          <t>045. OCB_GOLD_TCKH_TB_AR_BCN_DTL_QUANG.xlsx [Script: TB_AR_BCN_DLT]</t>
        </is>
      </c>
    </row>
    <row r="911">
      <c r="A911" s="48" t="inlineStr">
        <is>
          <t>TCKH.TB_AR_BCN_DTL</t>
        </is>
      </c>
      <c r="B911" s="48" t="inlineStr">
        <is>
          <t>SILVER_CONSUMER</t>
        </is>
      </c>
      <c r="C911" s="48" t="inlineStr">
        <is>
          <t>2.8</t>
        </is>
      </c>
      <c r="D911" s="48" t="inlineStr">
        <is>
          <t>Nhom 2 - Logic</t>
        </is>
      </c>
      <c r="E911" s="48" t="inlineStr">
        <is>
          <t>Cột SUM/COUNT được COALESCE/NVL hợp lý</t>
        </is>
      </c>
      <c r="F911" s="49" t="inlineStr">
        <is>
          <t>PASS</t>
        </is>
      </c>
      <c r="G911" s="48" t="inlineStr">
        <is>
          <t>Pass</t>
        </is>
      </c>
      <c r="H911" s="50" t="inlineStr">
        <is>
          <t>mọi SUM/COUNT đều đã coalesce (trực tiếp hoặc ở lớp ngoài)</t>
        </is>
      </c>
      <c r="I9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11" s="48" t="inlineStr">
        <is>
          <t>045. OCB_GOLD_TCKH_TB_AR_BCN_DTL_QUANG.xlsx [Script: TB_AR_BCN_DLT]</t>
        </is>
      </c>
    </row>
    <row r="912">
      <c r="A912" s="48" t="inlineStr">
        <is>
          <t>TCKH.TB_AR_BCN_DTL</t>
        </is>
      </c>
      <c r="B912" s="48" t="inlineStr">
        <is>
          <t>SILVER_CONSUMER</t>
        </is>
      </c>
      <c r="C912" s="48" t="inlineStr">
        <is>
          <t>2.9</t>
        </is>
      </c>
      <c r="D912" s="48" t="inlineStr">
        <is>
          <t>Nhom 2 - Logic</t>
        </is>
      </c>
      <c r="E912" s="48" t="inlineStr">
        <is>
          <t>Subquery / custom function / điều kiện LIKE đúng ý nghĩa nghiệp vụ</t>
        </is>
      </c>
      <c r="F912" s="49" t="inlineStr">
        <is>
          <t>PASS</t>
        </is>
      </c>
      <c r="G912" s="48" t="inlineStr">
        <is>
          <t>Pass</t>
        </is>
      </c>
      <c r="H912" s="50" t="inlineStr">
        <is>
          <t>2 điều kiện LIKE: business_key LIKE 'LD%' | business_key LIKE 'PDLD%'; cú pháp hợp lệ; ý nghĩa nghiệp vụ cần người review đối chiếu job on-prem</t>
        </is>
      </c>
      <c r="I912" s="50" t="inlineStr">
        <is>
          <t>Đọc lại từng điều kiện LIKE và từng subquery, đối chiếu ý nghĩa nghiệp vụ với on-prem — đúng cú pháp không đủ. Chú ý pattern LIKE có ký tự % ở đầu/cuối và phân biệt chữ hoa/thường.</t>
        </is>
      </c>
      <c r="J912" s="48" t="inlineStr">
        <is>
          <t>045. OCB_GOLD_TCKH_TB_AR_BCN_DTL_QUANG.xlsx [Script: TB_AR_BCN_DLT]</t>
        </is>
      </c>
    </row>
    <row r="913">
      <c r="A913" s="48" t="inlineStr">
        <is>
          <t>TCKH.TB_AR_BCN_DTL</t>
        </is>
      </c>
      <c r="B913" s="48" t="inlineStr">
        <is>
          <t>SILVER_CONSUMER</t>
        </is>
      </c>
      <c r="C913" s="48" t="inlineStr">
        <is>
          <t>2.10</t>
        </is>
      </c>
      <c r="D913" s="48" t="inlineStr">
        <is>
          <t>Nhom 2 - Logic</t>
        </is>
      </c>
      <c r="E913" s="48" t="inlineStr">
        <is>
          <t>Aggregation kèm filter date range chính xác</t>
        </is>
      </c>
      <c r="F913" s="49" t="inlineStr">
        <is>
          <t>PASS</t>
        </is>
      </c>
      <c r="G913" s="48" t="inlineStr">
        <is>
          <t>Pass</t>
        </is>
      </c>
      <c r="H913" s="50" t="inlineStr">
        <is>
          <t>mọi khối tổng hợp đều có điều kiện theo kỳ dữ liệu</t>
        </is>
      </c>
      <c r="I913" s="50" t="inlineStr">
        <is>
          <t>Mỗi khối SUM/COUNT/AVG phải có điều kiện lọc theo kỳ dữ liệu (CDR_DT_ID, DATA_DATE, :DATADT…). Nếu điều kiện nằm ở CTE nguồn thì ghi rõ trong comment để người review không phải truy ngược.</t>
        </is>
      </c>
      <c r="J913" s="48" t="inlineStr">
        <is>
          <t>045. OCB_GOLD_TCKH_TB_AR_BCN_DTL_QUANG.xlsx [Script: TB_AR_BCN_DLT]</t>
        </is>
      </c>
    </row>
    <row r="914">
      <c r="A914" s="48" t="inlineStr">
        <is>
          <t>TCKH.TB_AR_BCN_DTL</t>
        </is>
      </c>
      <c r="B914" s="48" t="inlineStr">
        <is>
          <t>SILVER_CONSUMER</t>
        </is>
      </c>
      <c r="C914" s="48" t="inlineStr">
        <is>
          <t>2.11</t>
        </is>
      </c>
      <c r="D914" s="48" t="inlineStr">
        <is>
          <t>Nhom 2 - Logic</t>
        </is>
      </c>
      <c r="E914" s="48" t="inlineStr">
        <is>
          <t>Join dùng key hợp lý, không lạm dụng UNION ALL + EXISTS/NOT EXISTS</t>
        </is>
      </c>
      <c r="F914" s="49" t="inlineStr">
        <is>
          <t>PASS</t>
        </is>
      </c>
      <c r="G914" s="48" t="inlineStr">
        <is>
          <t>Pass</t>
        </is>
      </c>
      <c r="H914" s="50" t="inlineStr">
        <is>
          <t>join đều theo điều kiện bằng, không lạm dụng UNION ALL + EXISTS</t>
        </is>
      </c>
      <c r="I914" s="50" t="inlineStr">
        <is>
          <t>Ưu tiên LEFT JOIN theo business key hoặc hashkey. Xem lại các chỗ dùng UNION ALL kết hợp EXISTS/NOT EXISTS — thường thay được bằng một LEFT JOIN. Join không có điều kiện bằng (=) dễ tạo tích Descartes.</t>
        </is>
      </c>
      <c r="J914" s="48" t="inlineStr">
        <is>
          <t>045. OCB_GOLD_TCKH_TB_AR_BCN_DTL_QUANG.xlsx [Script: TB_AR_BCN_DLT]</t>
        </is>
      </c>
    </row>
    <row r="915">
      <c r="A915" s="48" t="inlineStr">
        <is>
          <t>TCKH.TB_AR_BCN_DTL</t>
        </is>
      </c>
      <c r="B915" s="48" t="inlineStr">
        <is>
          <t>SILVER_CONSUMER</t>
        </is>
      </c>
      <c r="C915" s="48" t="inlineStr">
        <is>
          <t>2.12</t>
        </is>
      </c>
      <c r="D915" s="48" t="inlineStr">
        <is>
          <t>Nhom 2 - Logic</t>
        </is>
      </c>
      <c r="E915" s="48" t="inlineStr">
        <is>
          <t>Build Gold từ CTE snapshot Silver, không build nhiều tầng chồng chéo</t>
        </is>
      </c>
      <c r="F915" s="49" t="inlineStr">
        <is>
          <t>PASS</t>
        </is>
      </c>
      <c r="G915" s="48" t="inlineStr">
        <is>
          <t>Pass</t>
        </is>
      </c>
      <c r="H915" s="50" t="inlineStr">
        <is>
          <t>mỗi bảng nguồn chỉ đọc trong 1 khối SELECT</t>
        </is>
      </c>
      <c r="I9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15" s="48" t="inlineStr">
        <is>
          <t>045. OCB_GOLD_TCKH_TB_AR_BCN_DTL_QUANG.xlsx [Script: TB_AR_BCN_DLT]</t>
        </is>
      </c>
    </row>
    <row r="916">
      <c r="A916" s="48" t="inlineStr">
        <is>
          <t>TCKH.TB_AR_BCN_DTL</t>
        </is>
      </c>
      <c r="B916" s="48" t="inlineStr">
        <is>
          <t>SILVER_CONSUMER</t>
        </is>
      </c>
      <c r="C916" s="48" t="inlineStr">
        <is>
          <t>3.1</t>
        </is>
      </c>
      <c r="D916" s="48" t="inlineStr">
        <is>
          <t>Nhom 3 - Optimization</t>
        </is>
      </c>
      <c r="E916" s="48" t="inlineStr">
        <is>
          <t>Không SELECT *</t>
        </is>
      </c>
      <c r="F916" s="49" t="inlineStr">
        <is>
          <t>PASS</t>
        </is>
      </c>
      <c r="G916" s="48" t="inlineStr">
        <is>
          <t>Pass</t>
        </is>
      </c>
      <c r="H916" s="50" t="inlineStr">
        <is>
          <t>không dùng SELECT * ở đâu</t>
        </is>
      </c>
      <c r="I916" s="50" t="inlineStr">
        <is>
          <t>Liệt kê tường minh các cột cần dùng, kể cả trong CTE trung gian. SELECT * làm tăng IO/memory và vỡ script khi bảng nguồn thêm cột.</t>
        </is>
      </c>
      <c r="J916" s="48" t="inlineStr">
        <is>
          <t>045. OCB_GOLD_TCKH_TB_AR_BCN_DTL_QUANG.xlsx [Script: TB_AR_BCN_DLT]</t>
        </is>
      </c>
    </row>
    <row r="917">
      <c r="A917" s="48" t="inlineStr">
        <is>
          <t>TCKH.TB_AR_BCN_DTL</t>
        </is>
      </c>
      <c r="B917" s="48" t="inlineStr">
        <is>
          <t>SILVER_CONSUMER</t>
        </is>
      </c>
      <c r="C917" s="48" t="inlineStr">
        <is>
          <t>3.2</t>
        </is>
      </c>
      <c r="D917" s="48" t="inlineStr">
        <is>
          <t>Nhom 3 - Optimization</t>
        </is>
      </c>
      <c r="E917" s="48" t="inlineStr">
        <is>
          <t>CTE không bị scan lại nhiều lần</t>
        </is>
      </c>
      <c r="F917" s="49" t="inlineStr">
        <is>
          <t>PASS</t>
        </is>
      </c>
      <c r="G917" s="48" t="inlineStr">
        <is>
          <t>Pass</t>
        </is>
      </c>
      <c r="H917" s="50" t="inlineStr">
        <is>
          <t>không có CTE nào bị gọi lại</t>
        </is>
      </c>
      <c r="I917" s="50" t="inlineStr">
        <is>
          <t>Với CTE nặng (đọc nhiều bảng Silver) bị tham chiếu từ 2 chỗ trở lên: gom lại còn một lần dùng, hoặc vật chất hóa (CACHE / bảng tạm). CTE nhẹ chỉ chứa tham số thì bỏ qua được — tự tick Pass.</t>
        </is>
      </c>
      <c r="J917" s="48" t="inlineStr">
        <is>
          <t>045. OCB_GOLD_TCKH_TB_AR_BCN_DTL_QUANG.xlsx [Script: TB_AR_BCN_DLT]</t>
        </is>
      </c>
    </row>
    <row r="918">
      <c r="A918" s="48" t="inlineStr">
        <is>
          <t>TCKH.TB_AR_BCN_DTL</t>
        </is>
      </c>
      <c r="B918" s="48" t="inlineStr">
        <is>
          <t>SILVER_CONSUMER</t>
        </is>
      </c>
      <c r="C918" s="48" t="inlineStr">
        <is>
          <t>3.3</t>
        </is>
      </c>
      <c r="D918" s="48" t="inlineStr">
        <is>
          <t>Nhom 3 - Optimization</t>
        </is>
      </c>
      <c r="E918" s="48" t="inlineStr">
        <is>
          <t>Filter trước khi join, tận dụng partition pruning</t>
        </is>
      </c>
      <c r="F918" s="51" t="inlineStr">
        <is>
          <t>WARN</t>
        </is>
      </c>
      <c r="G918" s="48" t="inlineStr">
        <is>
          <t>WARN</t>
        </is>
      </c>
      <c r="H918" s="50" t="inlineStr">
        <is>
          <t>2 bảng join trực tiếp mà không có filter riêng: ref_t24_ld_economic_sector (r4), ref_t24_ld_economic_sector (r5)</t>
        </is>
      </c>
      <c r="I918" s="50" t="inlineStr">
        <is>
          <t>Đưa điều kiện lọc (ngày dữ liệu, trạng thái) vào subquery của từng bảng TRƯỚC khi join, để tận dụng partition pruning. Bảng dim nhỏ không partition thì không cần — tự tick Pass.</t>
        </is>
      </c>
      <c r="J918" s="48" t="inlineStr">
        <is>
          <t>045. OCB_GOLD_TCKH_TB_AR_BCN_DTL_QUANG.xlsx [Script: TB_AR_BCN_DLT]</t>
        </is>
      </c>
    </row>
    <row r="919">
      <c r="A919" s="48" t="inlineStr">
        <is>
          <t>TCKH.TB_AR_BCN_DTL</t>
        </is>
      </c>
      <c r="B919" s="48" t="inlineStr">
        <is>
          <t>SILVER_CONSUMER</t>
        </is>
      </c>
      <c r="C919" s="48" t="inlineStr">
        <is>
          <t>3.4</t>
        </is>
      </c>
      <c r="D919" s="48" t="inlineStr">
        <is>
          <t>Nhom 3 - Optimization</t>
        </is>
      </c>
      <c r="E919" s="48" t="inlineStr">
        <is>
          <t>Sử dụng CACHE cho query lặp lại trong cùng luồng</t>
        </is>
      </c>
      <c r="F919" s="48" t="inlineStr">
        <is>
          <t>N-A</t>
        </is>
      </c>
      <c r="G919" s="48" t="inlineStr">
        <is>
          <t>Pass</t>
        </is>
      </c>
      <c r="H919" s="50" t="inlineStr">
        <is>
          <t>không có kết quả nào được dùng lại nhiều lần nên chưa cần CACHE</t>
        </is>
      </c>
      <c r="I919" s="50" t="inlineStr">
        <is>
          <t>Nếu một kết quả nặng được dùng lại nhiều bước trong cùng luồng, thêm CACHE TABLE / CACHE SELECT. Kết quả nhỏ thì cache còn chậm hơn — tự tick Pass.</t>
        </is>
      </c>
      <c r="J919" s="48" t="inlineStr">
        <is>
          <t>045. OCB_GOLD_TCKH_TB_AR_BCN_DTL_QUANG.xlsx [Script: TB_AR_BCN_DLT]</t>
        </is>
      </c>
    </row>
    <row r="920">
      <c r="A920" s="48" t="inlineStr">
        <is>
          <t>TCKH.TB_AR_BCN_DTL</t>
        </is>
      </c>
      <c r="B920" s="48" t="inlineStr">
        <is>
          <t>SILVER_CONSUMER</t>
        </is>
      </c>
      <c r="C920" s="48" t="inlineStr">
        <is>
          <t>3.5</t>
        </is>
      </c>
      <c r="D920" s="48" t="inlineStr">
        <is>
          <t>Nhom 3 - Optimization</t>
        </is>
      </c>
      <c r="E920" s="48" t="inlineStr">
        <is>
          <t>Ưu tiên MAX_BY + QUALIFY thay ROW_NUMBER() + WHERE rn = 1</t>
        </is>
      </c>
      <c r="F920" s="48" t="inlineStr">
        <is>
          <t>N-A</t>
        </is>
      </c>
      <c r="G920" s="48" t="inlineStr">
        <is>
          <t>Pass</t>
        </is>
      </c>
      <c r="H920" s="50" t="inlineStr">
        <is>
          <t>script không dùng ROW_NUMBER, và MAX_BY (nếu có) không vượt quá 5 cột/khối</t>
        </is>
      </c>
      <c r="I9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20" s="48" t="inlineStr">
        <is>
          <t>045. OCB_GOLD_TCKH_TB_AR_BCN_DTL_QUANG.xlsx [Script: TB_AR_BCN_DLT]</t>
        </is>
      </c>
    </row>
    <row r="921">
      <c r="A921" s="48" t="inlineStr">
        <is>
          <t>TCKH.TB_AR_BCN_DTL</t>
        </is>
      </c>
      <c r="B921" s="48" t="inlineStr">
        <is>
          <t>SILVER_CONSUMER</t>
        </is>
      </c>
      <c r="C921" s="48" t="inlineStr">
        <is>
          <t>3.6</t>
        </is>
      </c>
      <c r="D921" s="48" t="inlineStr">
        <is>
          <t>Nhom 3 - Optimization</t>
        </is>
      </c>
      <c r="E921" s="48" t="inlineStr">
        <is>
          <t>Không lạm dụng window function; có comment khi dùng</t>
        </is>
      </c>
      <c r="F921" s="48" t="inlineStr">
        <is>
          <t>N-A</t>
        </is>
      </c>
      <c r="G921" s="48" t="inlineStr">
        <is>
          <t>Pass</t>
        </is>
      </c>
      <c r="H921" s="50" t="inlineStr">
        <is>
          <t>script không dùng window function</t>
        </is>
      </c>
      <c r="I921" s="50" t="inlineStr">
        <is>
          <t>Mỗi window function cần một comment ngay trên khối CTE chứa nó, nói rõ vì sao không dùng được max_by/QUALIFY đơn giản hơn.</t>
        </is>
      </c>
      <c r="J921" s="48" t="inlineStr">
        <is>
          <t>045. OCB_GOLD_TCKH_TB_AR_BCN_DTL_QUANG.xlsx [Script: TB_AR_BCN_DLT]</t>
        </is>
      </c>
    </row>
    <row r="922">
      <c r="A922" s="48" t="inlineStr">
        <is>
          <t>TCKH.TB_AR_BCN_DTL</t>
        </is>
      </c>
      <c r="B922" s="48" t="inlineStr">
        <is>
          <t>SILVER_CONSUMER</t>
        </is>
      </c>
      <c r="C922" s="48" t="inlineStr">
        <is>
          <t>X.1</t>
        </is>
      </c>
      <c r="D922" s="48" t="inlineStr">
        <is>
          <t>Nhom X - Bo sung Raffles</t>
        </is>
      </c>
      <c r="E922" s="48" t="inlineStr">
        <is>
          <t>[Bổ sung] Link phải rút về current trước khi join (chống fan-out)</t>
        </is>
      </c>
      <c r="F922" s="49" t="inlineStr">
        <is>
          <t>PASS</t>
        </is>
      </c>
      <c r="G922" s="48" t="inlineStr">
        <is>
          <t>Pass</t>
        </is>
      </c>
      <c r="H922" s="50" t="inlineStr">
        <is>
          <t>các bảng link_* đều được rút về current trước khi join</t>
        </is>
      </c>
      <c r="I9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22" s="48" t="inlineStr">
        <is>
          <t>045. OCB_GOLD_TCKH_TB_AR_BCN_DTL_QUANG.xlsx [Script: TB_AR_BCN_DLT]</t>
        </is>
      </c>
    </row>
    <row r="923">
      <c r="A923" s="48" t="inlineStr">
        <is>
          <t>TCKH.TB_AR_BCN_DTL</t>
        </is>
      </c>
      <c r="B923" s="48" t="inlineStr">
        <is>
          <t>SILVER_CONSUMER</t>
        </is>
      </c>
      <c r="C923" s="48" t="inlineStr">
        <is>
          <t>X.6</t>
        </is>
      </c>
      <c r="D923" s="48" t="inlineStr">
        <is>
          <t>Nhom X - Bo sung Raffles</t>
        </is>
      </c>
      <c r="E923" s="48" t="inlineStr">
        <is>
          <t>[Bổ sung] Satellite phải LEFT JOIN, không INNER JOIN</t>
        </is>
      </c>
      <c r="F923" s="49" t="inlineStr">
        <is>
          <t>PASS</t>
        </is>
      </c>
      <c r="G923" s="48" t="inlineStr">
        <is>
          <t>Pass</t>
        </is>
      </c>
      <c r="H923" s="50" t="inlineStr">
        <is>
          <t>các satellite đều LEFT JOIN</t>
        </is>
      </c>
      <c r="I923" s="50" t="inlineStr">
        <is>
          <t>Technical Document III.4.2.2 nguyên tắc 1: làm giàu thuộc tính luôn dùng LEFT JOIN. INNER JOIN satellite sẽ loại mất bản ghi Hub đang còn hiệu lực nhưng chưa có dòng satellite.</t>
        </is>
      </c>
      <c r="J923" s="48" t="inlineStr">
        <is>
          <t>045. OCB_GOLD_TCKH_TB_AR_BCN_DTL_QUANG.xlsx [Script: TB_AR_BCN_DLT]</t>
        </is>
      </c>
    </row>
    <row r="924">
      <c r="A924" s="48" t="inlineStr">
        <is>
          <t>TCKH.TB_AR_BCN_DTL</t>
        </is>
      </c>
      <c r="B924" s="48" t="inlineStr">
        <is>
          <t>SILVER_CONSUMER</t>
        </is>
      </c>
      <c r="C924" s="48" t="inlineStr">
        <is>
          <t>X.7</t>
        </is>
      </c>
      <c r="D924" s="48" t="inlineStr">
        <is>
          <t>Nhom X - Bo sung Raffles</t>
        </is>
      </c>
      <c r="E924" s="48" t="inlineStr">
        <is>
          <t>[Bổ sung] Không hard-code catalog, dùng biến môi trường</t>
        </is>
      </c>
      <c r="F924" s="49" t="inlineStr">
        <is>
          <t>PASS</t>
        </is>
      </c>
      <c r="G924" s="48" t="inlineStr">
        <is>
          <t>Pass</t>
        </is>
      </c>
      <c r="H924" s="50" t="inlineStr">
        <is>
          <t>dùng biến môi trường cho catalog</t>
        </is>
      </c>
      <c r="I9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24" s="48" t="inlineStr">
        <is>
          <t>045. OCB_GOLD_TCKH_TB_AR_BCN_DTL_QUANG.xlsx [Script: TB_AR_BCN_DLT]</t>
        </is>
      </c>
    </row>
    <row r="925">
      <c r="A925" s="48" t="inlineStr">
        <is>
          <t>TCKH.TB_AR_BCN_DTL</t>
        </is>
      </c>
      <c r="B925" s="48" t="inlineStr">
        <is>
          <t>SILVER_CONSUMER</t>
        </is>
      </c>
      <c r="C925" s="48" t="inlineStr">
        <is>
          <t>X.10</t>
        </is>
      </c>
      <c r="D925" s="48" t="inlineStr">
        <is>
          <t>Nhom X - Bo sung Raffles</t>
        </is>
      </c>
      <c r="E925" s="48" t="inlineStr">
        <is>
          <t>Bang raw_vault/business_vault duoc doc phai TON TAI THAT trong Data Vault model</t>
        </is>
      </c>
      <c r="F925" s="49" t="inlineStr">
        <is>
          <t>PASS</t>
        </is>
      </c>
      <c r="G925" s="48" t="inlineStr">
        <is>
          <t>Pass</t>
        </is>
      </c>
      <c r="H925" s="50" t="inlineStr">
        <is>
          <t>7 bảng Silver đều có thật trong Data Vault model</t>
        </is>
      </c>
      <c r="I925" s="50" t="inlineStr"/>
      <c r="J925" s="48" t="inlineStr">
        <is>
          <t>045. OCB_GOLD_TCKH_TB_AR_BCN_DTL_QUANG.xlsx [Script: TB_AR_BCN_DLT]</t>
        </is>
      </c>
    </row>
    <row r="926">
      <c r="A926" s="48" t="inlineStr">
        <is>
          <t>TCKH.TB_AR_BCN_DTL</t>
        </is>
      </c>
      <c r="B926" s="48" t="inlineStr">
        <is>
          <t>SILVER_CONSUMER</t>
        </is>
      </c>
      <c r="C926" s="48" t="inlineStr">
        <is>
          <t>X.11</t>
        </is>
      </c>
      <c r="D926" s="48" t="inlineStr">
        <is>
          <t>Nhom X - Bo sung Raffles</t>
        </is>
      </c>
      <c r="E926" s="48" t="inlineStr">
        <is>
          <t>Cot doc tu satellite (sat_*) phai TON TAI THAT trong model</t>
        </is>
      </c>
      <c r="F926" s="49" t="inlineStr">
        <is>
          <t>PASS</t>
        </is>
      </c>
      <c r="G926" s="48" t="inlineStr">
        <is>
          <t>Pass</t>
        </is>
      </c>
      <c r="H926" s="50" t="inlineStr">
        <is>
          <t>mọi cột đọc từ sat_* đều tồn tại trong model thật</t>
        </is>
      </c>
      <c r="I926" s="50" t="inlineStr"/>
      <c r="J926" s="48" t="inlineStr">
        <is>
          <t>045. OCB_GOLD_TCKH_TB_AR_BCN_DTL_QUANG.xlsx [Script: TB_AR_BCN_DLT]</t>
        </is>
      </c>
    </row>
    <row r="927">
      <c r="A927" s="48" t="inlineStr">
        <is>
          <t>TCKH.TB_AR_DTL</t>
        </is>
      </c>
      <c r="B927" s="48" t="inlineStr">
        <is>
          <t>SILVER_CONSUMER</t>
        </is>
      </c>
      <c r="C927" s="48" t="inlineStr">
        <is>
          <t>1.1</t>
        </is>
      </c>
      <c r="D927" s="48" t="inlineStr">
        <is>
          <t>Nhom 1 - Mapping</t>
        </is>
      </c>
      <c r="E927" s="48" t="inlineStr">
        <is>
          <t>Đầy đủ mapping từ Silver/manual sang Gold</t>
        </is>
      </c>
      <c r="F927" s="49" t="inlineStr">
        <is>
          <t>PASS</t>
        </is>
      </c>
      <c r="G927" s="48" t="inlineStr">
        <is>
          <t>Pass</t>
        </is>
      </c>
      <c r="H927" s="50" t="inlineStr">
        <is>
          <t>workbook 046. OCB_GOLD_TCKH_TB_AR_DTL_HOP.xlsx: thiết kế 180 field, SQL có 180 cột</t>
        </is>
      </c>
      <c r="I9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27" s="48" t="inlineStr">
        <is>
          <t>046. OCB_GOLD_TCKH_TB_AR_DTL_HOP.xlsx [SCRIPT: TB_AR_DTL]</t>
        </is>
      </c>
    </row>
    <row r="928">
      <c r="A928" s="48" t="inlineStr">
        <is>
          <t>TCKH.TB_AR_DTL</t>
        </is>
      </c>
      <c r="B928" s="48" t="inlineStr">
        <is>
          <t>SILVER_CONSUMER</t>
        </is>
      </c>
      <c r="C928" s="48" t="inlineStr">
        <is>
          <t>1.2</t>
        </is>
      </c>
      <c r="D928" s="48" t="inlineStr">
        <is>
          <t>Nhom 1 - Mapping</t>
        </is>
      </c>
      <c r="E928" s="48" t="inlineStr">
        <is>
          <t>Danh sách bảng/view Gold khớp tài liệu thiết kế đã duyệt</t>
        </is>
      </c>
      <c r="F928" s="49" t="inlineStr">
        <is>
          <t>PASS</t>
        </is>
      </c>
      <c r="G928" s="48" t="inlineStr">
        <is>
          <t>Pass</t>
        </is>
      </c>
      <c r="H928" s="50" t="inlineStr">
        <is>
          <t>TB_AR_DTL có workbook thiết kế: 046. OCB_GOLD_TCKH_TB_AR_DTL_HOP.xlsx</t>
        </is>
      </c>
      <c r="I928" s="50" t="inlineStr">
        <is>
          <t>Đảm bảo object có workbook thiết kế tương ứng trong thư mục --mapping-dir. Muốn đối chiếu với danh sách đã duyệt thì chạy thêm tham số --gold-list "&lt;file danh sách Gold&gt;.xlsx".</t>
        </is>
      </c>
      <c r="J928" s="48" t="inlineStr">
        <is>
          <t>046. OCB_GOLD_TCKH_TB_AR_DTL_HOP.xlsx [SCRIPT: TB_AR_DTL]</t>
        </is>
      </c>
    </row>
    <row r="929">
      <c r="A929" s="48" t="inlineStr">
        <is>
          <t>TCKH.TB_AR_DTL</t>
        </is>
      </c>
      <c r="B929" s="48" t="inlineStr">
        <is>
          <t>SILVER_CONSUMER</t>
        </is>
      </c>
      <c r="C929" s="48" t="inlineStr">
        <is>
          <t>2.1</t>
        </is>
      </c>
      <c r="D929" s="48" t="inlineStr">
        <is>
          <t>Nhom 2 - Logic</t>
        </is>
      </c>
      <c r="E929" s="48" t="inlineStr">
        <is>
          <t>Chỉ lấy bản ghi active, loại bản ghi đã xóa (qua sts_hub)</t>
        </is>
      </c>
      <c r="F929" s="49" t="inlineStr">
        <is>
          <t>PASS</t>
        </is>
      </c>
      <c r="G929" s="48" t="inlineStr">
        <is>
          <t>Pass</t>
        </is>
      </c>
      <c r="H929" s="50" t="inlineStr">
        <is>
          <t>không dùng sts_hub_* (không có yêu cầu nghiệp vụ giữ bản ghi đã xóa)</t>
        </is>
      </c>
      <c r="I9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29" s="48" t="inlineStr">
        <is>
          <t>046. OCB_GOLD_TCKH_TB_AR_DTL_HOP.xlsx [SCRIPT: TB_AR_DTL]</t>
        </is>
      </c>
    </row>
    <row r="930">
      <c r="A930" s="48" t="inlineStr">
        <is>
          <t>TCKH.TB_AR_DTL</t>
        </is>
      </c>
      <c r="B930" s="48" t="inlineStr">
        <is>
          <t>SILVER_CONSUMER</t>
        </is>
      </c>
      <c r="C930" s="48" t="inlineStr">
        <is>
          <t>2.2</t>
        </is>
      </c>
      <c r="D930" s="48" t="inlineStr">
        <is>
          <t>Nhom 2 - Logic</t>
        </is>
      </c>
      <c r="E930" s="48" t="inlineStr">
        <is>
          <t>Thống nhất MỘT pattern duy nhất xác định bản ghi active mới nhất</t>
        </is>
      </c>
      <c r="F930" s="49" t="inlineStr">
        <is>
          <t>PASS</t>
        </is>
      </c>
      <c r="G930" s="48" t="inlineStr">
        <is>
          <t>Pass</t>
        </is>
      </c>
      <c r="H930" s="50" t="inlineStr">
        <is>
          <t>file này dùng: ['MAX_BY']; toàn batch dùng: ['MAX_BY']</t>
        </is>
      </c>
      <c r="I9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30" s="48" t="inlineStr">
        <is>
          <t>046. OCB_GOLD_TCKH_TB_AR_DTL_HOP.xlsx [SCRIPT: TB_AR_DTL]</t>
        </is>
      </c>
    </row>
    <row r="931">
      <c r="A931" s="48" t="inlineStr">
        <is>
          <t>TCKH.TB_AR_DTL</t>
        </is>
      </c>
      <c r="B931" s="48" t="inlineStr">
        <is>
          <t>SILVER_CONSUMER</t>
        </is>
      </c>
      <c r="C931" s="48" t="inlineStr">
        <is>
          <t>2.3</t>
        </is>
      </c>
      <c r="D931" s="48" t="inlineStr">
        <is>
          <t>Nhom 2 - Logic</t>
        </is>
      </c>
      <c r="E931" s="48" t="inlineStr">
        <is>
          <t>Điều kiện lọc trạng thái đặt SAU khi xác định bản ghi mới nhất</t>
        </is>
      </c>
      <c r="F931" s="49" t="inlineStr">
        <is>
          <t>PASS</t>
        </is>
      </c>
      <c r="G931" s="48" t="inlineStr">
        <is>
          <t>Pass</t>
        </is>
      </c>
      <c r="H931" s="50" t="inlineStr">
        <is>
          <t>không có điều kiện trạng thái nào lồng trong JOIN ON</t>
        </is>
      </c>
      <c r="I9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31" s="48" t="inlineStr">
        <is>
          <t>046. OCB_GOLD_TCKH_TB_AR_DTL_HOP.xlsx [SCRIPT: TB_AR_DTL]</t>
        </is>
      </c>
    </row>
    <row r="932">
      <c r="A932" s="48" t="inlineStr">
        <is>
          <t>TCKH.TB_AR_DTL</t>
        </is>
      </c>
      <c r="B932" s="48" t="inlineStr">
        <is>
          <t>SILVER_CONSUMER</t>
        </is>
      </c>
      <c r="C932" s="48" t="inlineStr">
        <is>
          <t>2.4</t>
        </is>
      </c>
      <c r="D932" s="48" t="inlineStr">
        <is>
          <t>Nhom 2 - Logic</t>
        </is>
      </c>
      <c r="E932" s="48" t="inlineStr">
        <is>
          <t>source_event_date áp dụng đúng dạng theo loại bảng</t>
        </is>
      </c>
      <c r="F932" s="49" t="inlineStr">
        <is>
          <t>PASS</t>
        </is>
      </c>
      <c r="G932" s="48" t="inlineStr">
        <is>
          <t>Pass</t>
        </is>
      </c>
      <c r="H932" s="50" t="inlineStr">
        <is>
          <t>8 satellite đều đúng dạng điều kiện source_event_date</t>
        </is>
      </c>
      <c r="I9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32" s="48" t="inlineStr">
        <is>
          <t>046. OCB_GOLD_TCKH_TB_AR_DTL_HOP.xlsx [SCRIPT: TB_AR_DTL]</t>
        </is>
      </c>
    </row>
    <row r="933">
      <c r="A933" s="48" t="inlineStr">
        <is>
          <t>TCKH.TB_AR_DTL</t>
        </is>
      </c>
      <c r="B933" s="48" t="inlineStr">
        <is>
          <t>SILVER_CONSUMER</t>
        </is>
      </c>
      <c r="C933" s="48" t="inlineStr">
        <is>
          <t>2.5</t>
        </is>
      </c>
      <c r="D933" s="48" t="inlineStr">
        <is>
          <t>Nhom 2 - Logic</t>
        </is>
      </c>
      <c r="E933" s="48" t="inlineStr">
        <is>
          <t>Không lặp lại lỗi logic cũ đã được DA Data Vault fix</t>
        </is>
      </c>
      <c r="F933" s="49" t="inlineStr">
        <is>
          <t>PASS</t>
        </is>
      </c>
      <c r="G933" s="48" t="inlineStr">
        <is>
          <t>Pass</t>
        </is>
      </c>
      <c r="H933" s="50" t="inlineStr">
        <is>
          <t>không trùng lỗi nào trong Issue log của DA Data Vault</t>
        </is>
      </c>
      <c r="I9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33" s="48" t="inlineStr">
        <is>
          <t>046. OCB_GOLD_TCKH_TB_AR_DTL_HOP.xlsx [SCRIPT: TB_AR_DTL]</t>
        </is>
      </c>
    </row>
    <row r="934">
      <c r="A934" s="48" t="inlineStr">
        <is>
          <t>TCKH.TB_AR_DTL</t>
        </is>
      </c>
      <c r="B934" s="48" t="inlineStr">
        <is>
          <t>SILVER_CONSUMER</t>
        </is>
      </c>
      <c r="C934" s="48" t="inlineStr">
        <is>
          <t>2.6</t>
        </is>
      </c>
      <c r="D934" s="48" t="inlineStr">
        <is>
          <t>Nhom 2 - Logic</t>
        </is>
      </c>
      <c r="E934" s="48" t="inlineStr">
        <is>
          <t>SCD Type 2 cho bảng DIM áp dụng đúng kỹ thuật đã thống nhất</t>
        </is>
      </c>
      <c r="F934" s="48" t="inlineStr">
        <is>
          <t>N-A</t>
        </is>
      </c>
      <c r="G934" s="48" t="inlineStr">
        <is>
          <t>Pass</t>
        </is>
      </c>
      <c r="H934" s="50" t="inlineStr">
        <is>
          <t>object không phải bảng DIM nên không áp dụng SCD Type 2</t>
        </is>
      </c>
      <c r="I9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34" s="48" t="inlineStr">
        <is>
          <t>046. OCB_GOLD_TCKH_TB_AR_DTL_HOP.xlsx [SCRIPT: TB_AR_DTL]</t>
        </is>
      </c>
    </row>
    <row r="935">
      <c r="A935" s="48" t="inlineStr">
        <is>
          <t>TCKH.TB_AR_DTL</t>
        </is>
      </c>
      <c r="B935" s="48" t="inlineStr">
        <is>
          <t>SILVER_CONSUMER</t>
        </is>
      </c>
      <c r="C935" s="48" t="inlineStr">
        <is>
          <t>2.7</t>
        </is>
      </c>
      <c r="D935" s="48" t="inlineStr">
        <is>
          <t>Nhom 2 - Logic</t>
        </is>
      </c>
      <c r="E935" s="48" t="inlineStr">
        <is>
          <t>CASE WHEN cover đủ nhánh như job on-prem</t>
        </is>
      </c>
      <c r="F935" s="49" t="inlineStr">
        <is>
          <t>PASS</t>
        </is>
      </c>
      <c r="G935" s="48" t="inlineStr">
        <is>
          <t>Pass</t>
        </is>
      </c>
      <c r="H935" s="50" t="inlineStr">
        <is>
          <t>cả 2 CASE đều có nhánh ELSE</t>
        </is>
      </c>
      <c r="I935" s="50" t="inlineStr">
        <is>
          <t>Mở job on-prem tương ứng (DataStage DSX hoặc SQL cũ), đối chiếu từng nhánh WHEN và cả nhánh ELSE. CASE không có ELSE sẽ trả NULL âm thầm — xác nhận đó là ý muốn hay thiếu nhánh.</t>
        </is>
      </c>
      <c r="J935" s="48" t="inlineStr">
        <is>
          <t>046. OCB_GOLD_TCKH_TB_AR_DTL_HOP.xlsx [SCRIPT: TB_AR_DTL]</t>
        </is>
      </c>
    </row>
    <row r="936">
      <c r="A936" s="48" t="inlineStr">
        <is>
          <t>TCKH.TB_AR_DTL</t>
        </is>
      </c>
      <c r="B936" s="48" t="inlineStr">
        <is>
          <t>SILVER_CONSUMER</t>
        </is>
      </c>
      <c r="C936" s="48" t="inlineStr">
        <is>
          <t>2.8</t>
        </is>
      </c>
      <c r="D936" s="48" t="inlineStr">
        <is>
          <t>Nhom 2 - Logic</t>
        </is>
      </c>
      <c r="E936" s="48" t="inlineStr">
        <is>
          <t>Cột SUM/COUNT được COALESCE/NVL hợp lý</t>
        </is>
      </c>
      <c r="F936" s="49" t="inlineStr">
        <is>
          <t>PASS</t>
        </is>
      </c>
      <c r="G936" s="48" t="inlineStr">
        <is>
          <t>Pass</t>
        </is>
      </c>
      <c r="H936" s="50" t="inlineStr">
        <is>
          <t>mọi SUM/COUNT đều đã coalesce (trực tiếp hoặc ở lớp ngoài)</t>
        </is>
      </c>
      <c r="I9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36" s="48" t="inlineStr">
        <is>
          <t>046. OCB_GOLD_TCKH_TB_AR_DTL_HOP.xlsx [SCRIPT: TB_AR_DTL]</t>
        </is>
      </c>
    </row>
    <row r="937">
      <c r="A937" s="48" t="inlineStr">
        <is>
          <t>TCKH.TB_AR_DTL</t>
        </is>
      </c>
      <c r="B937" s="48" t="inlineStr">
        <is>
          <t>SILVER_CONSUMER</t>
        </is>
      </c>
      <c r="C937" s="48" t="inlineStr">
        <is>
          <t>2.9</t>
        </is>
      </c>
      <c r="D937" s="48" t="inlineStr">
        <is>
          <t>Nhom 2 - Logic</t>
        </is>
      </c>
      <c r="E937" s="48" t="inlineStr">
        <is>
          <t>Subquery / custom function / điều kiện LIKE đúng ý nghĩa nghiệp vụ</t>
        </is>
      </c>
      <c r="F937" s="49" t="inlineStr">
        <is>
          <t>PASS</t>
        </is>
      </c>
      <c r="G937" s="48" t="inlineStr">
        <is>
          <t>Pass</t>
        </is>
      </c>
      <c r="H937" s="50" t="inlineStr">
        <is>
          <t>1 subquery nằm trong điều kiện; cú pháp hợp lệ; ý nghĩa nghiệp vụ cần người review đối chiếu job on-prem</t>
        </is>
      </c>
      <c r="I937" s="50" t="inlineStr">
        <is>
          <t>Đọc lại từng điều kiện LIKE và từng subquery, đối chiếu ý nghĩa nghiệp vụ với on-prem — đúng cú pháp không đủ. Chú ý pattern LIKE có ký tự % ở đầu/cuối và phân biệt chữ hoa/thường.</t>
        </is>
      </c>
      <c r="J937" s="48" t="inlineStr">
        <is>
          <t>046. OCB_GOLD_TCKH_TB_AR_DTL_HOP.xlsx [SCRIPT: TB_AR_DTL]</t>
        </is>
      </c>
    </row>
    <row r="938">
      <c r="A938" s="48" t="inlineStr">
        <is>
          <t>TCKH.TB_AR_DTL</t>
        </is>
      </c>
      <c r="B938" s="48" t="inlineStr">
        <is>
          <t>SILVER_CONSUMER</t>
        </is>
      </c>
      <c r="C938" s="48" t="inlineStr">
        <is>
          <t>2.10</t>
        </is>
      </c>
      <c r="D938" s="48" t="inlineStr">
        <is>
          <t>Nhom 2 - Logic</t>
        </is>
      </c>
      <c r="E938" s="48" t="inlineStr">
        <is>
          <t>Aggregation kèm filter date range chính xác</t>
        </is>
      </c>
      <c r="F938" s="49" t="inlineStr">
        <is>
          <t>PASS</t>
        </is>
      </c>
      <c r="G938" s="48" t="inlineStr">
        <is>
          <t>Pass</t>
        </is>
      </c>
      <c r="H938" s="50" t="inlineStr">
        <is>
          <t>mọi khối tổng hợp đều có điều kiện theo kỳ dữ liệu</t>
        </is>
      </c>
      <c r="I938" s="50" t="inlineStr">
        <is>
          <t>Mỗi khối SUM/COUNT/AVG phải có điều kiện lọc theo kỳ dữ liệu (CDR_DT_ID, DATA_DATE, :DATADT…). Nếu điều kiện nằm ở CTE nguồn thì ghi rõ trong comment để người review không phải truy ngược.</t>
        </is>
      </c>
      <c r="J938" s="48" t="inlineStr">
        <is>
          <t>046. OCB_GOLD_TCKH_TB_AR_DTL_HOP.xlsx [SCRIPT: TB_AR_DTL]</t>
        </is>
      </c>
    </row>
    <row r="939">
      <c r="A939" s="48" t="inlineStr">
        <is>
          <t>TCKH.TB_AR_DTL</t>
        </is>
      </c>
      <c r="B939" s="48" t="inlineStr">
        <is>
          <t>SILVER_CONSUMER</t>
        </is>
      </c>
      <c r="C939" s="48" t="inlineStr">
        <is>
          <t>2.11</t>
        </is>
      </c>
      <c r="D939" s="48" t="inlineStr">
        <is>
          <t>Nhom 2 - Logic</t>
        </is>
      </c>
      <c r="E939" s="48" t="inlineStr">
        <is>
          <t>Join dùng key hợp lý, không lạm dụng UNION ALL + EXISTS/NOT EXISTS</t>
        </is>
      </c>
      <c r="F939" s="49" t="inlineStr">
        <is>
          <t>PASS</t>
        </is>
      </c>
      <c r="G939" s="48" t="inlineStr">
        <is>
          <t>Pass</t>
        </is>
      </c>
      <c r="H939" s="50" t="inlineStr">
        <is>
          <t>join đều theo điều kiện bằng, không lạm dụng UNION ALL + EXISTS</t>
        </is>
      </c>
      <c r="I939" s="50" t="inlineStr">
        <is>
          <t>Ưu tiên LEFT JOIN theo business key hoặc hashkey. Xem lại các chỗ dùng UNION ALL kết hợp EXISTS/NOT EXISTS — thường thay được bằng một LEFT JOIN. Join không có điều kiện bằng (=) dễ tạo tích Descartes.</t>
        </is>
      </c>
      <c r="J939" s="48" t="inlineStr">
        <is>
          <t>046. OCB_GOLD_TCKH_TB_AR_DTL_HOP.xlsx [SCRIPT: TB_AR_DTL]</t>
        </is>
      </c>
    </row>
    <row r="940">
      <c r="A940" s="48" t="inlineStr">
        <is>
          <t>TCKH.TB_AR_DTL</t>
        </is>
      </c>
      <c r="B940" s="48" t="inlineStr">
        <is>
          <t>SILVER_CONSUMER</t>
        </is>
      </c>
      <c r="C940" s="48" t="inlineStr">
        <is>
          <t>2.12</t>
        </is>
      </c>
      <c r="D940" s="48" t="inlineStr">
        <is>
          <t>Nhom 2 - Logic</t>
        </is>
      </c>
      <c r="E940" s="48" t="inlineStr">
        <is>
          <t>Build Gold từ CTE snapshot Silver, không build nhiều tầng chồng chéo</t>
        </is>
      </c>
      <c r="F940" s="49" t="inlineStr">
        <is>
          <t>PASS</t>
        </is>
      </c>
      <c r="G940" s="48" t="inlineStr">
        <is>
          <t>Pass</t>
        </is>
      </c>
      <c r="H940" s="50" t="inlineStr">
        <is>
          <t>mỗi bảng nguồn chỉ đọc trong 1 khối SELECT</t>
        </is>
      </c>
      <c r="I9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40" s="48" t="inlineStr">
        <is>
          <t>046. OCB_GOLD_TCKH_TB_AR_DTL_HOP.xlsx [SCRIPT: TB_AR_DTL]</t>
        </is>
      </c>
    </row>
    <row r="941">
      <c r="A941" s="48" t="inlineStr">
        <is>
          <t>TCKH.TB_AR_DTL</t>
        </is>
      </c>
      <c r="B941" s="48" t="inlineStr">
        <is>
          <t>SILVER_CONSUMER</t>
        </is>
      </c>
      <c r="C941" s="48" t="inlineStr">
        <is>
          <t>3.1</t>
        </is>
      </c>
      <c r="D941" s="48" t="inlineStr">
        <is>
          <t>Nhom 3 - Optimization</t>
        </is>
      </c>
      <c r="E941" s="48" t="inlineStr">
        <is>
          <t>Không SELECT *</t>
        </is>
      </c>
      <c r="F941" s="49" t="inlineStr">
        <is>
          <t>PASS</t>
        </is>
      </c>
      <c r="G941" s="48" t="inlineStr">
        <is>
          <t>Pass</t>
        </is>
      </c>
      <c r="H941" s="50" t="inlineStr">
        <is>
          <t>không dùng SELECT * ở đâu</t>
        </is>
      </c>
      <c r="I941" s="50" t="inlineStr">
        <is>
          <t>Liệt kê tường minh các cột cần dùng, kể cả trong CTE trung gian. SELECT * làm tăng IO/memory và vỡ script khi bảng nguồn thêm cột.</t>
        </is>
      </c>
      <c r="J941" s="48" t="inlineStr">
        <is>
          <t>046. OCB_GOLD_TCKH_TB_AR_DTL_HOP.xlsx [SCRIPT: TB_AR_DTL]</t>
        </is>
      </c>
    </row>
    <row r="942">
      <c r="A942" s="48" t="inlineStr">
        <is>
          <t>TCKH.TB_AR_DTL</t>
        </is>
      </c>
      <c r="B942" s="48" t="inlineStr">
        <is>
          <t>SILVER_CONSUMER</t>
        </is>
      </c>
      <c r="C942" s="48" t="inlineStr">
        <is>
          <t>3.2</t>
        </is>
      </c>
      <c r="D942" s="48" t="inlineStr">
        <is>
          <t>Nhom 3 - Optimization</t>
        </is>
      </c>
      <c r="E942" s="48" t="inlineStr">
        <is>
          <t>CTE không bị scan lại nhiều lần</t>
        </is>
      </c>
      <c r="F942" s="51" t="inlineStr">
        <is>
          <t>WARN</t>
        </is>
      </c>
      <c r="G942" s="48" t="inlineStr">
        <is>
          <t>WARN</t>
        </is>
      </c>
      <c r="H942" s="50" t="inlineStr">
        <is>
          <t>CTE bị tham chiếu lại nhiều lần: snap_hub_customer x3, snap_hub_account x2, snap_sat_loans_insurance x2, ld_ins_ref x2, ld x25, cca_base x2, cca_b2 x2, cat x4, lsp x4, ind x4, cg x4, sec x4</t>
        </is>
      </c>
      <c r="I942" s="50" t="inlineStr">
        <is>
          <t>Với CTE nặng (đọc nhiều bảng Silver) bị tham chiếu từ 2 chỗ trở lên: gom lại còn một lần dùng, hoặc vật chất hóa (CACHE / bảng tạm). CTE nhẹ chỉ chứa tham số thì bỏ qua được — tự tick Pass.</t>
        </is>
      </c>
      <c r="J942" s="48" t="inlineStr">
        <is>
          <t>046. OCB_GOLD_TCKH_TB_AR_DTL_HOP.xlsx [SCRIPT: TB_AR_DTL]</t>
        </is>
      </c>
    </row>
    <row r="943">
      <c r="A943" s="48" t="inlineStr">
        <is>
          <t>TCKH.TB_AR_DTL</t>
        </is>
      </c>
      <c r="B943" s="48" t="inlineStr">
        <is>
          <t>SILVER_CONSUMER</t>
        </is>
      </c>
      <c r="C943" s="48" t="inlineStr">
        <is>
          <t>3.3</t>
        </is>
      </c>
      <c r="D943" s="48" t="inlineStr">
        <is>
          <t>Nhom 3 - Optimization</t>
        </is>
      </c>
      <c r="E943" s="48" t="inlineStr">
        <is>
          <t>Filter trước khi join, tận dụng partition pruning</t>
        </is>
      </c>
      <c r="F943" s="51" t="inlineStr">
        <is>
          <t>WARN</t>
        </is>
      </c>
      <c r="G943" s="48" t="inlineStr">
        <is>
          <t>WARN</t>
        </is>
      </c>
      <c r="H943" s="50" t="inlineStr">
        <is>
          <t>3 bảng join trực tiếp mà không có filter riêng: branch_list (br), hub_acct_officer (ho), ref_t24_acct_group_condition (mini)</t>
        </is>
      </c>
      <c r="I943" s="50" t="inlineStr">
        <is>
          <t>Đưa điều kiện lọc (ngày dữ liệu, trạng thái) vào subquery của từng bảng TRƯỚC khi join, để tận dụng partition pruning. Bảng dim nhỏ không partition thì không cần — tự tick Pass.</t>
        </is>
      </c>
      <c r="J943" s="48" t="inlineStr">
        <is>
          <t>046. OCB_GOLD_TCKH_TB_AR_DTL_HOP.xlsx [SCRIPT: TB_AR_DTL]</t>
        </is>
      </c>
    </row>
    <row r="944">
      <c r="A944" s="48" t="inlineStr">
        <is>
          <t>TCKH.TB_AR_DTL</t>
        </is>
      </c>
      <c r="B944" s="48" t="inlineStr">
        <is>
          <t>SILVER_CONSUMER</t>
        </is>
      </c>
      <c r="C944" s="48" t="inlineStr">
        <is>
          <t>3.4</t>
        </is>
      </c>
      <c r="D944" s="48" t="inlineStr">
        <is>
          <t>Nhom 3 - Optimization</t>
        </is>
      </c>
      <c r="E944" s="48" t="inlineStr">
        <is>
          <t>Sử dụng CACHE cho query lặp lại trong cùng luồng</t>
        </is>
      </c>
      <c r="F944" s="51" t="inlineStr">
        <is>
          <t>WARN</t>
        </is>
      </c>
      <c r="G944" s="48" t="inlineStr">
        <is>
          <t>WARN</t>
        </is>
      </c>
      <c r="H944" s="50" t="inlineStr">
        <is>
          <t>12 CTE nặng dùng lại &gt;= 2 lần mà không có CACHE: cat, cca_b2, cca_base, cg, ind, ld, ld_ins_ref, lsp, sec, snap_hub_account, snap_hub_customer, snap_sat_loans_insurance</t>
        </is>
      </c>
      <c r="I944" s="50" t="inlineStr">
        <is>
          <t>Nếu một kết quả nặng được dùng lại nhiều bước trong cùng luồng, thêm CACHE TABLE / CACHE SELECT. Kết quả nhỏ thì cache còn chậm hơn — tự tick Pass.</t>
        </is>
      </c>
      <c r="J944" s="48" t="inlineStr">
        <is>
          <t>046. OCB_GOLD_TCKH_TB_AR_DTL_HOP.xlsx [SCRIPT: TB_AR_DTL]</t>
        </is>
      </c>
    </row>
    <row r="945">
      <c r="A945" s="48" t="inlineStr">
        <is>
          <t>TCKH.TB_AR_DTL</t>
        </is>
      </c>
      <c r="B945" s="48" t="inlineStr">
        <is>
          <t>SILVER_CONSUMER</t>
        </is>
      </c>
      <c r="C945" s="48" t="inlineStr">
        <is>
          <t>3.5</t>
        </is>
      </c>
      <c r="D945" s="48" t="inlineStr">
        <is>
          <t>Nhom 3 - Optimization</t>
        </is>
      </c>
      <c r="E945" s="48" t="inlineStr">
        <is>
          <t>Ưu tiên MAX_BY + QUALIFY thay ROW_NUMBER() + WHERE rn = 1</t>
        </is>
      </c>
      <c r="F945" s="48" t="inlineStr">
        <is>
          <t>N-A</t>
        </is>
      </c>
      <c r="G945" s="48" t="inlineStr">
        <is>
          <t>Pass</t>
        </is>
      </c>
      <c r="H945" s="50" t="inlineStr">
        <is>
          <t>script không dùng ROW_NUMBER, và MAX_BY (nếu có) không vượt quá 5 cột/khối</t>
        </is>
      </c>
      <c r="I9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45" s="48" t="inlineStr">
        <is>
          <t>046. OCB_GOLD_TCKH_TB_AR_DTL_HOP.xlsx [SCRIPT: TB_AR_DTL]</t>
        </is>
      </c>
    </row>
    <row r="946">
      <c r="A946" s="48" t="inlineStr">
        <is>
          <t>TCKH.TB_AR_DTL</t>
        </is>
      </c>
      <c r="B946" s="48" t="inlineStr">
        <is>
          <t>SILVER_CONSUMER</t>
        </is>
      </c>
      <c r="C946" s="48" t="inlineStr">
        <is>
          <t>3.6</t>
        </is>
      </c>
      <c r="D946" s="48" t="inlineStr">
        <is>
          <t>Nhom 3 - Optimization</t>
        </is>
      </c>
      <c r="E946" s="48" t="inlineStr">
        <is>
          <t>Không lạm dụng window function; có comment khi dùng</t>
        </is>
      </c>
      <c r="F946" s="48" t="inlineStr">
        <is>
          <t>N-A</t>
        </is>
      </c>
      <c r="G946" s="48" t="inlineStr">
        <is>
          <t>Pass</t>
        </is>
      </c>
      <c r="H946" s="50" t="inlineStr">
        <is>
          <t>script không dùng window function</t>
        </is>
      </c>
      <c r="I946" s="50" t="inlineStr">
        <is>
          <t>Mỗi window function cần một comment ngay trên khối CTE chứa nó, nói rõ vì sao không dùng được max_by/QUALIFY đơn giản hơn.</t>
        </is>
      </c>
      <c r="J946" s="48" t="inlineStr">
        <is>
          <t>046. OCB_GOLD_TCKH_TB_AR_DTL_HOP.xlsx [SCRIPT: TB_AR_DTL]</t>
        </is>
      </c>
    </row>
    <row r="947">
      <c r="A947" s="48" t="inlineStr">
        <is>
          <t>TCKH.TB_AR_DTL</t>
        </is>
      </c>
      <c r="B947" s="48" t="inlineStr">
        <is>
          <t>SILVER_CONSUMER</t>
        </is>
      </c>
      <c r="C947" s="48" t="inlineStr">
        <is>
          <t>X.1</t>
        </is>
      </c>
      <c r="D947" s="48" t="inlineStr">
        <is>
          <t>Nhom X - Bo sung Raffles</t>
        </is>
      </c>
      <c r="E947" s="48" t="inlineStr">
        <is>
          <t>[Bổ sung] Link phải rút về current trước khi join (chống fan-out)</t>
        </is>
      </c>
      <c r="F947" s="49" t="inlineStr">
        <is>
          <t>PASS</t>
        </is>
      </c>
      <c r="G947" s="48" t="inlineStr">
        <is>
          <t>Pass</t>
        </is>
      </c>
      <c r="H947" s="50" t="inlineStr">
        <is>
          <t>các bảng link_* đều được rút về current trước khi join</t>
        </is>
      </c>
      <c r="I9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47" s="48" t="inlineStr">
        <is>
          <t>046. OCB_GOLD_TCKH_TB_AR_DTL_HOP.xlsx [SCRIPT: TB_AR_DTL]</t>
        </is>
      </c>
    </row>
    <row r="948">
      <c r="A948" s="48" t="inlineStr">
        <is>
          <t>TCKH.TB_AR_DTL</t>
        </is>
      </c>
      <c r="B948" s="48" t="inlineStr">
        <is>
          <t>SILVER_CONSUMER</t>
        </is>
      </c>
      <c r="C948" s="48" t="inlineStr">
        <is>
          <t>X.6</t>
        </is>
      </c>
      <c r="D948" s="48" t="inlineStr">
        <is>
          <t>Nhom X - Bo sung Raffles</t>
        </is>
      </c>
      <c r="E948" s="48" t="inlineStr">
        <is>
          <t>[Bổ sung] Satellite phải LEFT JOIN, không INNER JOIN</t>
        </is>
      </c>
      <c r="F948" s="49" t="inlineStr">
        <is>
          <t>PASS</t>
        </is>
      </c>
      <c r="G948" s="48" t="inlineStr">
        <is>
          <t>Pass</t>
        </is>
      </c>
      <c r="H948" s="50" t="inlineStr">
        <is>
          <t>các satellite đều LEFT JOIN</t>
        </is>
      </c>
      <c r="I948" s="50" t="inlineStr">
        <is>
          <t>Technical Document III.4.2.2 nguyên tắc 1: làm giàu thuộc tính luôn dùng LEFT JOIN. INNER JOIN satellite sẽ loại mất bản ghi Hub đang còn hiệu lực nhưng chưa có dòng satellite.</t>
        </is>
      </c>
      <c r="J948" s="48" t="inlineStr">
        <is>
          <t>046. OCB_GOLD_TCKH_TB_AR_DTL_HOP.xlsx [SCRIPT: TB_AR_DTL]</t>
        </is>
      </c>
    </row>
    <row r="949">
      <c r="A949" s="48" t="inlineStr">
        <is>
          <t>TCKH.TB_AR_DTL</t>
        </is>
      </c>
      <c r="B949" s="48" t="inlineStr">
        <is>
          <t>SILVER_CONSUMER</t>
        </is>
      </c>
      <c r="C949" s="48" t="inlineStr">
        <is>
          <t>X.7</t>
        </is>
      </c>
      <c r="D949" s="48" t="inlineStr">
        <is>
          <t>Nhom X - Bo sung Raffles</t>
        </is>
      </c>
      <c r="E949" s="48" t="inlineStr">
        <is>
          <t>[Bổ sung] Không hard-code catalog, dùng biến môi trường</t>
        </is>
      </c>
      <c r="F949" s="49" t="inlineStr">
        <is>
          <t>PASS</t>
        </is>
      </c>
      <c r="G949" s="48" t="inlineStr">
        <is>
          <t>Pass</t>
        </is>
      </c>
      <c r="H949" s="50" t="inlineStr">
        <is>
          <t>dùng biến môi trường cho catalog</t>
        </is>
      </c>
      <c r="I9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49" s="48" t="inlineStr">
        <is>
          <t>046. OCB_GOLD_TCKH_TB_AR_DTL_HOP.xlsx [SCRIPT: TB_AR_DTL]</t>
        </is>
      </c>
    </row>
    <row r="950">
      <c r="A950" s="48" t="inlineStr">
        <is>
          <t>TCKH.TB_AR_DTL</t>
        </is>
      </c>
      <c r="B950" s="48" t="inlineStr">
        <is>
          <t>SILVER_CONSUMER</t>
        </is>
      </c>
      <c r="C950" s="48" t="inlineStr">
        <is>
          <t>X.10</t>
        </is>
      </c>
      <c r="D950" s="48" t="inlineStr">
        <is>
          <t>Nhom X - Bo sung Raffles</t>
        </is>
      </c>
      <c r="E950" s="48" t="inlineStr">
        <is>
          <t>Bang raw_vault/business_vault duoc doc phai TON TAI THAT trong Data Vault model</t>
        </is>
      </c>
      <c r="F950" s="49" t="inlineStr">
        <is>
          <t>PASS</t>
        </is>
      </c>
      <c r="G950" s="48" t="inlineStr">
        <is>
          <t>Pass</t>
        </is>
      </c>
      <c r="H950" s="50" t="inlineStr">
        <is>
          <t>26 bảng Silver đều có thật trong Data Vault model</t>
        </is>
      </c>
      <c r="I950" s="50" t="inlineStr"/>
      <c r="J950" s="48" t="inlineStr">
        <is>
          <t>046. OCB_GOLD_TCKH_TB_AR_DTL_HOP.xlsx [SCRIPT: TB_AR_DTL]</t>
        </is>
      </c>
    </row>
    <row r="951">
      <c r="A951" s="48" t="inlineStr">
        <is>
          <t>TCKH.TB_AR_DTL</t>
        </is>
      </c>
      <c r="B951" s="48" t="inlineStr">
        <is>
          <t>SILVER_CONSUMER</t>
        </is>
      </c>
      <c r="C951" s="48" t="inlineStr">
        <is>
          <t>X.11</t>
        </is>
      </c>
      <c r="D951" s="48" t="inlineStr">
        <is>
          <t>Nhom X - Bo sung Raffles</t>
        </is>
      </c>
      <c r="E951" s="48" t="inlineStr">
        <is>
          <t>Cot doc tu satellite (sat_*) phai TON TAI THAT trong model</t>
        </is>
      </c>
      <c r="F951" s="49" t="inlineStr">
        <is>
          <t>PASS</t>
        </is>
      </c>
      <c r="G951" s="48" t="inlineStr">
        <is>
          <t>Pass</t>
        </is>
      </c>
      <c r="H951" s="50" t="inlineStr">
        <is>
          <t>mọi cột đọc từ sat_* đều tồn tại trong model thật</t>
        </is>
      </c>
      <c r="I951" s="50" t="inlineStr"/>
      <c r="J951" s="48" t="inlineStr">
        <is>
          <t>046. OCB_GOLD_TCKH_TB_AR_DTL_HOP.xlsx [SCRIPT: TB_AR_DTL]</t>
        </is>
      </c>
    </row>
    <row r="952">
      <c r="A952" s="48" t="inlineStr">
        <is>
          <t>TCKH.V_BCN_THUNO_1</t>
        </is>
      </c>
      <c r="B952" s="48" t="inlineStr">
        <is>
          <t>GOLD_DERIVED</t>
        </is>
      </c>
      <c r="C952" s="48" t="inlineStr">
        <is>
          <t>1.1</t>
        </is>
      </c>
      <c r="D952" s="48" t="inlineStr">
        <is>
          <t>Nhom 1 - Mapping</t>
        </is>
      </c>
      <c r="E952" s="48" t="inlineStr">
        <is>
          <t>Đầy đủ mapping từ Silver/manual sang Gold</t>
        </is>
      </c>
      <c r="F952" s="49" t="inlineStr">
        <is>
          <t>PASS</t>
        </is>
      </c>
      <c r="G952" s="48" t="inlineStr">
        <is>
          <t>Pass</t>
        </is>
      </c>
      <c r="H952" s="50" t="inlineStr">
        <is>
          <t>workbook 047. OCB_GOLD_TCKH_V_BCN_THUNO_1_QUANG.xlsx: thiết kế 35 field, SQL có 35 cột</t>
        </is>
      </c>
      <c r="I9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52" s="48" t="inlineStr">
        <is>
          <t>047. OCB_GOLD_TCKH_V_BCN_THUNO_1_QUANG.xlsx [Script SQL: V_BCN_THUNO_1]</t>
        </is>
      </c>
    </row>
    <row r="953">
      <c r="A953" s="48" t="inlineStr">
        <is>
          <t>TCKH.V_BCN_THUNO_1</t>
        </is>
      </c>
      <c r="B953" s="48" t="inlineStr">
        <is>
          <t>GOLD_DERIVED</t>
        </is>
      </c>
      <c r="C953" s="48" t="inlineStr">
        <is>
          <t>1.2</t>
        </is>
      </c>
      <c r="D953" s="48" t="inlineStr">
        <is>
          <t>Nhom 1 - Mapping</t>
        </is>
      </c>
      <c r="E953" s="48" t="inlineStr">
        <is>
          <t>Danh sách bảng/view Gold khớp tài liệu thiết kế đã duyệt</t>
        </is>
      </c>
      <c r="F953" s="49" t="inlineStr">
        <is>
          <t>PASS</t>
        </is>
      </c>
      <c r="G953" s="48" t="inlineStr">
        <is>
          <t>Pass</t>
        </is>
      </c>
      <c r="H953" s="50" t="inlineStr">
        <is>
          <t>V_BCN_THUNO_1 có workbook thiết kế: 047. OCB_GOLD_TCKH_V_BCN_THUNO_1_QUANG.xlsx</t>
        </is>
      </c>
      <c r="I953" s="50" t="inlineStr">
        <is>
          <t>Đảm bảo object có workbook thiết kế tương ứng trong thư mục --mapping-dir. Muốn đối chiếu với danh sách đã duyệt thì chạy thêm tham số --gold-list "&lt;file danh sách Gold&gt;.xlsx".</t>
        </is>
      </c>
      <c r="J953" s="48" t="inlineStr">
        <is>
          <t>047. OCB_GOLD_TCKH_V_BCN_THUNO_1_QUANG.xlsx [Script SQL: V_BCN_THUNO_1]</t>
        </is>
      </c>
    </row>
    <row r="954">
      <c r="A954" s="48" t="inlineStr">
        <is>
          <t>TCKH.V_BCN_THUNO_1</t>
        </is>
      </c>
      <c r="B954" s="48" t="inlineStr">
        <is>
          <t>GOLD_DERIVED</t>
        </is>
      </c>
      <c r="C954" s="48" t="inlineStr">
        <is>
          <t>2.1</t>
        </is>
      </c>
      <c r="D954" s="48" t="inlineStr">
        <is>
          <t>Nhom 2 - Logic</t>
        </is>
      </c>
      <c r="E954" s="48" t="inlineStr">
        <is>
          <t>Chỉ lấy bản ghi active, loại bản ghi đã xóa (qua sts_hub)</t>
        </is>
      </c>
      <c r="F954" s="48" t="inlineStr">
        <is>
          <t>N-A</t>
        </is>
      </c>
      <c r="G954" s="48" t="inlineStr">
        <is>
          <t>Pass</t>
        </is>
      </c>
      <c r="H954" s="50" t="inlineStr">
        <is>
          <t>khong ap dung cho profile GOLD_DERIVED</t>
        </is>
      </c>
      <c r="I9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54" s="48" t="inlineStr">
        <is>
          <t>047. OCB_GOLD_TCKH_V_BCN_THUNO_1_QUANG.xlsx [Script SQL: V_BCN_THUNO_1]</t>
        </is>
      </c>
    </row>
    <row r="955">
      <c r="A955" s="48" t="inlineStr">
        <is>
          <t>TCKH.V_BCN_THUNO_1</t>
        </is>
      </c>
      <c r="B955" s="48" t="inlineStr">
        <is>
          <t>GOLD_DERIVED</t>
        </is>
      </c>
      <c r="C955" s="48" t="inlineStr">
        <is>
          <t>2.2</t>
        </is>
      </c>
      <c r="D955" s="48" t="inlineStr">
        <is>
          <t>Nhom 2 - Logic</t>
        </is>
      </c>
      <c r="E955" s="48" t="inlineStr">
        <is>
          <t>Thống nhất MỘT pattern duy nhất xác định bản ghi active mới nhất</t>
        </is>
      </c>
      <c r="F955" s="48" t="inlineStr">
        <is>
          <t>N-A</t>
        </is>
      </c>
      <c r="G955" s="48" t="inlineStr">
        <is>
          <t>Pass</t>
        </is>
      </c>
      <c r="H955" s="50" t="inlineStr">
        <is>
          <t>khong ap dung cho profile GOLD_DERIVED</t>
        </is>
      </c>
      <c r="I9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55" s="48" t="inlineStr">
        <is>
          <t>047. OCB_GOLD_TCKH_V_BCN_THUNO_1_QUANG.xlsx [Script SQL: V_BCN_THUNO_1]</t>
        </is>
      </c>
    </row>
    <row r="956">
      <c r="A956" s="48" t="inlineStr">
        <is>
          <t>TCKH.V_BCN_THUNO_1</t>
        </is>
      </c>
      <c r="B956" s="48" t="inlineStr">
        <is>
          <t>GOLD_DERIVED</t>
        </is>
      </c>
      <c r="C956" s="48" t="inlineStr">
        <is>
          <t>2.3</t>
        </is>
      </c>
      <c r="D956" s="48" t="inlineStr">
        <is>
          <t>Nhom 2 - Logic</t>
        </is>
      </c>
      <c r="E956" s="48" t="inlineStr">
        <is>
          <t>Điều kiện lọc trạng thái đặt SAU khi xác định bản ghi mới nhất</t>
        </is>
      </c>
      <c r="F956" s="49" t="inlineStr">
        <is>
          <t>PASS</t>
        </is>
      </c>
      <c r="G956" s="48" t="inlineStr">
        <is>
          <t>Pass</t>
        </is>
      </c>
      <c r="H956" s="50" t="inlineStr">
        <is>
          <t>không có điều kiện trạng thái nào lồng trong JOIN ON</t>
        </is>
      </c>
      <c r="I9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56" s="48" t="inlineStr">
        <is>
          <t>047. OCB_GOLD_TCKH_V_BCN_THUNO_1_QUANG.xlsx [Script SQL: V_BCN_THUNO_1]</t>
        </is>
      </c>
    </row>
    <row r="957">
      <c r="A957" s="48" t="inlineStr">
        <is>
          <t>TCKH.V_BCN_THUNO_1</t>
        </is>
      </c>
      <c r="B957" s="48" t="inlineStr">
        <is>
          <t>GOLD_DERIVED</t>
        </is>
      </c>
      <c r="C957" s="48" t="inlineStr">
        <is>
          <t>2.4</t>
        </is>
      </c>
      <c r="D957" s="48" t="inlineStr">
        <is>
          <t>Nhom 2 - Logic</t>
        </is>
      </c>
      <c r="E957" s="48" t="inlineStr">
        <is>
          <t>source_event_date áp dụng đúng dạng theo loại bảng</t>
        </is>
      </c>
      <c r="F957" s="48" t="inlineStr">
        <is>
          <t>N-A</t>
        </is>
      </c>
      <c r="G957" s="48" t="inlineStr">
        <is>
          <t>Pass</t>
        </is>
      </c>
      <c r="H957" s="50" t="inlineStr">
        <is>
          <t>khong ap dung cho profile GOLD_DERIVED</t>
        </is>
      </c>
      <c r="I9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57" s="48" t="inlineStr">
        <is>
          <t>047. OCB_GOLD_TCKH_V_BCN_THUNO_1_QUANG.xlsx [Script SQL: V_BCN_THUNO_1]</t>
        </is>
      </c>
    </row>
    <row r="958">
      <c r="A958" s="48" t="inlineStr">
        <is>
          <t>TCKH.V_BCN_THUNO_1</t>
        </is>
      </c>
      <c r="B958" s="48" t="inlineStr">
        <is>
          <t>GOLD_DERIVED</t>
        </is>
      </c>
      <c r="C958" s="48" t="inlineStr">
        <is>
          <t>2.5</t>
        </is>
      </c>
      <c r="D958" s="48" t="inlineStr">
        <is>
          <t>Nhom 2 - Logic</t>
        </is>
      </c>
      <c r="E958" s="48" t="inlineStr">
        <is>
          <t>Không lặp lại lỗi logic cũ đã được DA Data Vault fix</t>
        </is>
      </c>
      <c r="F958" s="49" t="inlineStr">
        <is>
          <t>PASS</t>
        </is>
      </c>
      <c r="G958" s="48" t="inlineStr">
        <is>
          <t>Pass</t>
        </is>
      </c>
      <c r="H958" s="50" t="inlineStr">
        <is>
          <t>không trùng lỗi nào trong Issue log của DA Data Vault</t>
        </is>
      </c>
      <c r="I9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58" s="48" t="inlineStr">
        <is>
          <t>047. OCB_GOLD_TCKH_V_BCN_THUNO_1_QUANG.xlsx [Script SQL: V_BCN_THUNO_1]</t>
        </is>
      </c>
    </row>
    <row r="959">
      <c r="A959" s="48" t="inlineStr">
        <is>
          <t>TCKH.V_BCN_THUNO_1</t>
        </is>
      </c>
      <c r="B959" s="48" t="inlineStr">
        <is>
          <t>GOLD_DERIVED</t>
        </is>
      </c>
      <c r="C959" s="48" t="inlineStr">
        <is>
          <t>2.6</t>
        </is>
      </c>
      <c r="D959" s="48" t="inlineStr">
        <is>
          <t>Nhom 2 - Logic</t>
        </is>
      </c>
      <c r="E959" s="48" t="inlineStr">
        <is>
          <t>SCD Type 2 cho bảng DIM áp dụng đúng kỹ thuật đã thống nhất</t>
        </is>
      </c>
      <c r="F959" s="48" t="inlineStr">
        <is>
          <t>N-A</t>
        </is>
      </c>
      <c r="G959" s="48" t="inlineStr">
        <is>
          <t>Pass</t>
        </is>
      </c>
      <c r="H959" s="50" t="inlineStr">
        <is>
          <t>object không phải bảng DIM nên không áp dụng SCD Type 2</t>
        </is>
      </c>
      <c r="I9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59" s="48" t="inlineStr">
        <is>
          <t>047. OCB_GOLD_TCKH_V_BCN_THUNO_1_QUANG.xlsx [Script SQL: V_BCN_THUNO_1]</t>
        </is>
      </c>
    </row>
    <row r="960">
      <c r="A960" s="48" t="inlineStr">
        <is>
          <t>TCKH.V_BCN_THUNO_1</t>
        </is>
      </c>
      <c r="B960" s="48" t="inlineStr">
        <is>
          <t>GOLD_DERIVED</t>
        </is>
      </c>
      <c r="C960" s="48" t="inlineStr">
        <is>
          <t>2.7</t>
        </is>
      </c>
      <c r="D960" s="48" t="inlineStr">
        <is>
          <t>Nhom 2 - Logic</t>
        </is>
      </c>
      <c r="E960" s="48" t="inlineStr">
        <is>
          <t>CASE WHEN cover đủ nhánh như job on-prem</t>
        </is>
      </c>
      <c r="F960" s="48" t="inlineStr">
        <is>
          <t>N-A</t>
        </is>
      </c>
      <c r="G960" s="48" t="inlineStr">
        <is>
          <t>Pass</t>
        </is>
      </c>
      <c r="H960" s="50" t="inlineStr">
        <is>
          <t>script không có CASE WHEN nào</t>
        </is>
      </c>
      <c r="I960" s="50" t="inlineStr">
        <is>
          <t>Mở job on-prem tương ứng (DataStage DSX hoặc SQL cũ), đối chiếu từng nhánh WHEN và cả nhánh ELSE. CASE không có ELSE sẽ trả NULL âm thầm — xác nhận đó là ý muốn hay thiếu nhánh.</t>
        </is>
      </c>
      <c r="J960" s="48" t="inlineStr">
        <is>
          <t>047. OCB_GOLD_TCKH_V_BCN_THUNO_1_QUANG.xlsx [Script SQL: V_BCN_THUNO_1]</t>
        </is>
      </c>
    </row>
    <row r="961">
      <c r="A961" s="48" t="inlineStr">
        <is>
          <t>TCKH.V_BCN_THUNO_1</t>
        </is>
      </c>
      <c r="B961" s="48" t="inlineStr">
        <is>
          <t>GOLD_DERIVED</t>
        </is>
      </c>
      <c r="C961" s="48" t="inlineStr">
        <is>
          <t>2.8</t>
        </is>
      </c>
      <c r="D961" s="48" t="inlineStr">
        <is>
          <t>Nhom 2 - Logic</t>
        </is>
      </c>
      <c r="E961" s="48" t="inlineStr">
        <is>
          <t>Cột SUM/COUNT được COALESCE/NVL hợp lý</t>
        </is>
      </c>
      <c r="F961" s="49" t="inlineStr">
        <is>
          <t>PASS</t>
        </is>
      </c>
      <c r="G961" s="48" t="inlineStr">
        <is>
          <t>Pass</t>
        </is>
      </c>
      <c r="H961" s="50" t="inlineStr">
        <is>
          <t>mọi SUM/COUNT đều đã coalesce (trực tiếp hoặc ở lớp ngoài)</t>
        </is>
      </c>
      <c r="I9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61" s="48" t="inlineStr">
        <is>
          <t>047. OCB_GOLD_TCKH_V_BCN_THUNO_1_QUANG.xlsx [Script SQL: V_BCN_THUNO_1]</t>
        </is>
      </c>
    </row>
    <row r="962">
      <c r="A962" s="48" t="inlineStr">
        <is>
          <t>TCKH.V_BCN_THUNO_1</t>
        </is>
      </c>
      <c r="B962" s="48" t="inlineStr">
        <is>
          <t>GOLD_DERIVED</t>
        </is>
      </c>
      <c r="C962" s="48" t="inlineStr">
        <is>
          <t>2.9</t>
        </is>
      </c>
      <c r="D962" s="48" t="inlineStr">
        <is>
          <t>Nhom 2 - Logic</t>
        </is>
      </c>
      <c r="E962" s="48" t="inlineStr">
        <is>
          <t>Subquery / custom function / điều kiện LIKE đúng ý nghĩa nghiệp vụ</t>
        </is>
      </c>
      <c r="F962" s="48" t="inlineStr">
        <is>
          <t>N-A</t>
        </is>
      </c>
      <c r="G962" s="48" t="inlineStr">
        <is>
          <t>Pass</t>
        </is>
      </c>
      <c r="H962" s="50" t="inlineStr">
        <is>
          <t>script không có điều kiện LIKE hay scalar subquery nào</t>
        </is>
      </c>
      <c r="I962" s="50" t="inlineStr">
        <is>
          <t>Đọc lại từng điều kiện LIKE và từng subquery, đối chiếu ý nghĩa nghiệp vụ với on-prem — đúng cú pháp không đủ. Chú ý pattern LIKE có ký tự % ở đầu/cuối và phân biệt chữ hoa/thường.</t>
        </is>
      </c>
      <c r="J962" s="48" t="inlineStr">
        <is>
          <t>047. OCB_GOLD_TCKH_V_BCN_THUNO_1_QUANG.xlsx [Script SQL: V_BCN_THUNO_1]</t>
        </is>
      </c>
    </row>
    <row r="963">
      <c r="A963" s="48" t="inlineStr">
        <is>
          <t>TCKH.V_BCN_THUNO_1</t>
        </is>
      </c>
      <c r="B963" s="48" t="inlineStr">
        <is>
          <t>GOLD_DERIVED</t>
        </is>
      </c>
      <c r="C963" s="48" t="inlineStr">
        <is>
          <t>2.10</t>
        </is>
      </c>
      <c r="D963" s="48" t="inlineStr">
        <is>
          <t>Nhom 2 - Logic</t>
        </is>
      </c>
      <c r="E963" s="48" t="inlineStr">
        <is>
          <t>Aggregation kèm filter date range chính xác</t>
        </is>
      </c>
      <c r="F963" s="49" t="inlineStr">
        <is>
          <t>PASS</t>
        </is>
      </c>
      <c r="G963" s="48" t="inlineStr">
        <is>
          <t>Pass</t>
        </is>
      </c>
      <c r="H963" s="50" t="inlineStr">
        <is>
          <t>mọi khối tổng hợp đều có điều kiện theo kỳ dữ liệu</t>
        </is>
      </c>
      <c r="I963" s="50" t="inlineStr">
        <is>
          <t>Mỗi khối SUM/COUNT/AVG phải có điều kiện lọc theo kỳ dữ liệu (CDR_DT_ID, DATA_DATE, :DATADT…). Nếu điều kiện nằm ở CTE nguồn thì ghi rõ trong comment để người review không phải truy ngược.</t>
        </is>
      </c>
      <c r="J963" s="48" t="inlineStr">
        <is>
          <t>047. OCB_GOLD_TCKH_V_BCN_THUNO_1_QUANG.xlsx [Script SQL: V_BCN_THUNO_1]</t>
        </is>
      </c>
    </row>
    <row r="964">
      <c r="A964" s="48" t="inlineStr">
        <is>
          <t>TCKH.V_BCN_THUNO_1</t>
        </is>
      </c>
      <c r="B964" s="48" t="inlineStr">
        <is>
          <t>GOLD_DERIVED</t>
        </is>
      </c>
      <c r="C964" s="48" t="inlineStr">
        <is>
          <t>2.11</t>
        </is>
      </c>
      <c r="D964" s="48" t="inlineStr">
        <is>
          <t>Nhom 2 - Logic</t>
        </is>
      </c>
      <c r="E964" s="48" t="inlineStr">
        <is>
          <t>Join dùng key hợp lý, không lạm dụng UNION ALL + EXISTS/NOT EXISTS</t>
        </is>
      </c>
      <c r="F964" s="49" t="inlineStr">
        <is>
          <t>PASS</t>
        </is>
      </c>
      <c r="G964" s="48" t="inlineStr">
        <is>
          <t>Pass</t>
        </is>
      </c>
      <c r="H964" s="50" t="inlineStr">
        <is>
          <t>join đều theo điều kiện bằng, không lạm dụng UNION ALL + EXISTS</t>
        </is>
      </c>
      <c r="I964" s="50" t="inlineStr">
        <is>
          <t>Ưu tiên LEFT JOIN theo business key hoặc hashkey. Xem lại các chỗ dùng UNION ALL kết hợp EXISTS/NOT EXISTS — thường thay được bằng một LEFT JOIN. Join không có điều kiện bằng (=) dễ tạo tích Descartes.</t>
        </is>
      </c>
      <c r="J964" s="48" t="inlineStr">
        <is>
          <t>047. OCB_GOLD_TCKH_V_BCN_THUNO_1_QUANG.xlsx [Script SQL: V_BCN_THUNO_1]</t>
        </is>
      </c>
    </row>
    <row r="965">
      <c r="A965" s="48" t="inlineStr">
        <is>
          <t>TCKH.V_BCN_THUNO_1</t>
        </is>
      </c>
      <c r="B965" s="48" t="inlineStr">
        <is>
          <t>GOLD_DERIVED</t>
        </is>
      </c>
      <c r="C965" s="48" t="inlineStr">
        <is>
          <t>2.12</t>
        </is>
      </c>
      <c r="D965" s="48" t="inlineStr">
        <is>
          <t>Nhom 2 - Logic</t>
        </is>
      </c>
      <c r="E965" s="48" t="inlineStr">
        <is>
          <t>Build Gold từ CTE snapshot Silver, không build nhiều tầng chồng chéo</t>
        </is>
      </c>
      <c r="F965" s="51" t="inlineStr">
        <is>
          <t>WARN</t>
        </is>
      </c>
      <c r="G965" s="48" t="inlineStr">
        <is>
          <t>WARN</t>
        </is>
      </c>
      <c r="H965" s="50" t="inlineStr">
        <is>
          <t>bảng bị đọc lại ở nhiều khối SELECT, xét gom thành 1 CTE: tb_saoke_bcn085 ở 3 khối, d_cic_dungky_final ở 2 khối</t>
        </is>
      </c>
      <c r="I9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65" s="48" t="inlineStr">
        <is>
          <t>047. OCB_GOLD_TCKH_V_BCN_THUNO_1_QUANG.xlsx [Script SQL: V_BCN_THUNO_1]</t>
        </is>
      </c>
    </row>
    <row r="966">
      <c r="A966" s="48" t="inlineStr">
        <is>
          <t>TCKH.V_BCN_THUNO_1</t>
        </is>
      </c>
      <c r="B966" s="48" t="inlineStr">
        <is>
          <t>GOLD_DERIVED</t>
        </is>
      </c>
      <c r="C966" s="48" t="inlineStr">
        <is>
          <t>3.1</t>
        </is>
      </c>
      <c r="D966" s="48" t="inlineStr">
        <is>
          <t>Nhom 3 - Optimization</t>
        </is>
      </c>
      <c r="E966" s="48" t="inlineStr">
        <is>
          <t>Không SELECT *</t>
        </is>
      </c>
      <c r="F966" s="49" t="inlineStr">
        <is>
          <t>PASS</t>
        </is>
      </c>
      <c r="G966" s="48" t="inlineStr">
        <is>
          <t>Pass</t>
        </is>
      </c>
      <c r="H966" s="50" t="inlineStr">
        <is>
          <t>không dùng SELECT * ở đâu</t>
        </is>
      </c>
      <c r="I966" s="50" t="inlineStr">
        <is>
          <t>Liệt kê tường minh các cột cần dùng, kể cả trong CTE trung gian. SELECT * làm tăng IO/memory và vỡ script khi bảng nguồn thêm cột.</t>
        </is>
      </c>
      <c r="J966" s="48" t="inlineStr">
        <is>
          <t>047. OCB_GOLD_TCKH_V_BCN_THUNO_1_QUANG.xlsx [Script SQL: V_BCN_THUNO_1]</t>
        </is>
      </c>
    </row>
    <row r="967">
      <c r="A967" s="48" t="inlineStr">
        <is>
          <t>TCKH.V_BCN_THUNO_1</t>
        </is>
      </c>
      <c r="B967" s="48" t="inlineStr">
        <is>
          <t>GOLD_DERIVED</t>
        </is>
      </c>
      <c r="C967" s="48" t="inlineStr">
        <is>
          <t>3.2</t>
        </is>
      </c>
      <c r="D967" s="48" t="inlineStr">
        <is>
          <t>Nhom 3 - Optimization</t>
        </is>
      </c>
      <c r="E967" s="48" t="inlineStr">
        <is>
          <t>CTE không bị scan lại nhiều lần</t>
        </is>
      </c>
      <c r="F967" s="49" t="inlineStr">
        <is>
          <t>PASS</t>
        </is>
      </c>
      <c r="G967" s="48" t="inlineStr">
        <is>
          <t>Pass</t>
        </is>
      </c>
      <c r="H967" s="50" t="inlineStr">
        <is>
          <t>không có CTE nào bị gọi lại</t>
        </is>
      </c>
      <c r="I967" s="50" t="inlineStr">
        <is>
          <t>Với CTE nặng (đọc nhiều bảng Silver) bị tham chiếu từ 2 chỗ trở lên: gom lại còn một lần dùng, hoặc vật chất hóa (CACHE / bảng tạm). CTE nhẹ chỉ chứa tham số thì bỏ qua được — tự tick Pass.</t>
        </is>
      </c>
      <c r="J967" s="48" t="inlineStr">
        <is>
          <t>047. OCB_GOLD_TCKH_V_BCN_THUNO_1_QUANG.xlsx [Script SQL: V_BCN_THUNO_1]</t>
        </is>
      </c>
    </row>
    <row r="968">
      <c r="A968" s="48" t="inlineStr">
        <is>
          <t>TCKH.V_BCN_THUNO_1</t>
        </is>
      </c>
      <c r="B968" s="48" t="inlineStr">
        <is>
          <t>GOLD_DERIVED</t>
        </is>
      </c>
      <c r="C968" s="48" t="inlineStr">
        <is>
          <t>3.3</t>
        </is>
      </c>
      <c r="D968" s="48" t="inlineStr">
        <is>
          <t>Nhom 3 - Optimization</t>
        </is>
      </c>
      <c r="E968" s="48" t="inlineStr">
        <is>
          <t>Filter trước khi join, tận dụng partition pruning</t>
        </is>
      </c>
      <c r="F968" s="51" t="inlineStr">
        <is>
          <t>WARN</t>
        </is>
      </c>
      <c r="G968" s="48" t="inlineStr">
        <is>
          <t>WARN</t>
        </is>
      </c>
      <c r="H968" s="50" t="inlineStr">
        <is>
          <t>3 bảng join trực tiếp mà không có filter riêng: d_cic_dungky_final (cic), t24_customer (b)</t>
        </is>
      </c>
      <c r="I968" s="50" t="inlineStr">
        <is>
          <t>Đưa điều kiện lọc (ngày dữ liệu, trạng thái) vào subquery của từng bảng TRƯỚC khi join, để tận dụng partition pruning. Bảng dim nhỏ không partition thì không cần — tự tick Pass.</t>
        </is>
      </c>
      <c r="J968" s="48" t="inlineStr">
        <is>
          <t>047. OCB_GOLD_TCKH_V_BCN_THUNO_1_QUANG.xlsx [Script SQL: V_BCN_THUNO_1]</t>
        </is>
      </c>
    </row>
    <row r="969">
      <c r="A969" s="48" t="inlineStr">
        <is>
          <t>TCKH.V_BCN_THUNO_1</t>
        </is>
      </c>
      <c r="B969" s="48" t="inlineStr">
        <is>
          <t>GOLD_DERIVED</t>
        </is>
      </c>
      <c r="C969" s="48" t="inlineStr">
        <is>
          <t>3.4</t>
        </is>
      </c>
      <c r="D969" s="48" t="inlineStr">
        <is>
          <t>Nhom 3 - Optimization</t>
        </is>
      </c>
      <c r="E969" s="48" t="inlineStr">
        <is>
          <t>Sử dụng CACHE cho query lặp lại trong cùng luồng</t>
        </is>
      </c>
      <c r="F969" s="48" t="inlineStr">
        <is>
          <t>N-A</t>
        </is>
      </c>
      <c r="G969" s="48" t="inlineStr">
        <is>
          <t>Pass</t>
        </is>
      </c>
      <c r="H969" s="50" t="inlineStr">
        <is>
          <t>không có kết quả nào được dùng lại nhiều lần nên chưa cần CACHE</t>
        </is>
      </c>
      <c r="I969" s="50" t="inlineStr">
        <is>
          <t>Nếu một kết quả nặng được dùng lại nhiều bước trong cùng luồng, thêm CACHE TABLE / CACHE SELECT. Kết quả nhỏ thì cache còn chậm hơn — tự tick Pass.</t>
        </is>
      </c>
      <c r="J969" s="48" t="inlineStr">
        <is>
          <t>047. OCB_GOLD_TCKH_V_BCN_THUNO_1_QUANG.xlsx [Script SQL: V_BCN_THUNO_1]</t>
        </is>
      </c>
    </row>
    <row r="970">
      <c r="A970" s="48" t="inlineStr">
        <is>
          <t>TCKH.V_BCN_THUNO_1</t>
        </is>
      </c>
      <c r="B970" s="48" t="inlineStr">
        <is>
          <t>GOLD_DERIVED</t>
        </is>
      </c>
      <c r="C970" s="48" t="inlineStr">
        <is>
          <t>3.5</t>
        </is>
      </c>
      <c r="D970" s="48" t="inlineStr">
        <is>
          <t>Nhom 3 - Optimization</t>
        </is>
      </c>
      <c r="E970" s="48" t="inlineStr">
        <is>
          <t>Ưu tiên MAX_BY + QUALIFY thay ROW_NUMBER() + WHERE rn = 1</t>
        </is>
      </c>
      <c r="F970" s="48" t="inlineStr">
        <is>
          <t>N-A</t>
        </is>
      </c>
      <c r="G970" s="48" t="inlineStr">
        <is>
          <t>Pass</t>
        </is>
      </c>
      <c r="H970" s="50" t="inlineStr">
        <is>
          <t>script không dùng ROW_NUMBER, và MAX_BY (nếu có) không vượt quá 5 cột/khối</t>
        </is>
      </c>
      <c r="I9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70" s="48" t="inlineStr">
        <is>
          <t>047. OCB_GOLD_TCKH_V_BCN_THUNO_1_QUANG.xlsx [Script SQL: V_BCN_THUNO_1]</t>
        </is>
      </c>
    </row>
    <row r="971">
      <c r="A971" s="48" t="inlineStr">
        <is>
          <t>TCKH.V_BCN_THUNO_1</t>
        </is>
      </c>
      <c r="B971" s="48" t="inlineStr">
        <is>
          <t>GOLD_DERIVED</t>
        </is>
      </c>
      <c r="C971" s="48" t="inlineStr">
        <is>
          <t>3.6</t>
        </is>
      </c>
      <c r="D971" s="48" t="inlineStr">
        <is>
          <t>Nhom 3 - Optimization</t>
        </is>
      </c>
      <c r="E971" s="48" t="inlineStr">
        <is>
          <t>Không lạm dụng window function; có comment khi dùng</t>
        </is>
      </c>
      <c r="F971" s="48" t="inlineStr">
        <is>
          <t>N-A</t>
        </is>
      </c>
      <c r="G971" s="48" t="inlineStr">
        <is>
          <t>Pass</t>
        </is>
      </c>
      <c r="H971" s="50" t="inlineStr">
        <is>
          <t>script không dùng window function</t>
        </is>
      </c>
      <c r="I971" s="50" t="inlineStr">
        <is>
          <t>Mỗi window function cần một comment ngay trên khối CTE chứa nó, nói rõ vì sao không dùng được max_by/QUALIFY đơn giản hơn.</t>
        </is>
      </c>
      <c r="J971" s="48" t="inlineStr">
        <is>
          <t>047. OCB_GOLD_TCKH_V_BCN_THUNO_1_QUANG.xlsx [Script SQL: V_BCN_THUNO_1]</t>
        </is>
      </c>
    </row>
    <row r="972">
      <c r="A972" s="48" t="inlineStr">
        <is>
          <t>TCKH.V_BCN_THUNO_1</t>
        </is>
      </c>
      <c r="B972" s="48" t="inlineStr">
        <is>
          <t>GOLD_DERIVED</t>
        </is>
      </c>
      <c r="C972" s="48" t="inlineStr">
        <is>
          <t>X.1</t>
        </is>
      </c>
      <c r="D972" s="48" t="inlineStr">
        <is>
          <t>Nhom X - Bo sung Raffles</t>
        </is>
      </c>
      <c r="E972" s="48" t="inlineStr">
        <is>
          <t>[Bổ sung] Link phải rút về current trước khi join (chống fan-out)</t>
        </is>
      </c>
      <c r="F972" s="48" t="inlineStr">
        <is>
          <t>N-A</t>
        </is>
      </c>
      <c r="G972" s="48" t="inlineStr">
        <is>
          <t>Pass</t>
        </is>
      </c>
      <c r="H972" s="50" t="inlineStr">
        <is>
          <t>khong ap dung cho profile GOLD_DERIVED</t>
        </is>
      </c>
      <c r="I9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72" s="48" t="inlineStr">
        <is>
          <t>047. OCB_GOLD_TCKH_V_BCN_THUNO_1_QUANG.xlsx [Script SQL: V_BCN_THUNO_1]</t>
        </is>
      </c>
    </row>
    <row r="973">
      <c r="A973" s="48" t="inlineStr">
        <is>
          <t>TCKH.V_BCN_THUNO_1</t>
        </is>
      </c>
      <c r="B973" s="48" t="inlineStr">
        <is>
          <t>GOLD_DERIVED</t>
        </is>
      </c>
      <c r="C973" s="48" t="inlineStr">
        <is>
          <t>X.6</t>
        </is>
      </c>
      <c r="D973" s="48" t="inlineStr">
        <is>
          <t>Nhom X - Bo sung Raffles</t>
        </is>
      </c>
      <c r="E973" s="48" t="inlineStr">
        <is>
          <t>[Bổ sung] Satellite phải LEFT JOIN, không INNER JOIN</t>
        </is>
      </c>
      <c r="F973" s="48" t="inlineStr">
        <is>
          <t>N-A</t>
        </is>
      </c>
      <c r="G973" s="48" t="inlineStr">
        <is>
          <t>Pass</t>
        </is>
      </c>
      <c r="H973" s="50" t="inlineStr">
        <is>
          <t>khong ap dung cho profile GOLD_DERIVED</t>
        </is>
      </c>
      <c r="I973" s="50" t="inlineStr">
        <is>
          <t>Technical Document III.4.2.2 nguyên tắc 1: làm giàu thuộc tính luôn dùng LEFT JOIN. INNER JOIN satellite sẽ loại mất bản ghi Hub đang còn hiệu lực nhưng chưa có dòng satellite.</t>
        </is>
      </c>
      <c r="J973" s="48" t="inlineStr">
        <is>
          <t>047. OCB_GOLD_TCKH_V_BCN_THUNO_1_QUANG.xlsx [Script SQL: V_BCN_THUNO_1]</t>
        </is>
      </c>
    </row>
    <row r="974">
      <c r="A974" s="48" t="inlineStr">
        <is>
          <t>TCKH.V_BCN_THUNO_1</t>
        </is>
      </c>
      <c r="B974" s="48" t="inlineStr">
        <is>
          <t>GOLD_DERIVED</t>
        </is>
      </c>
      <c r="C974" s="48" t="inlineStr">
        <is>
          <t>X.7</t>
        </is>
      </c>
      <c r="D974" s="48" t="inlineStr">
        <is>
          <t>Nhom X - Bo sung Raffles</t>
        </is>
      </c>
      <c r="E974" s="48" t="inlineStr">
        <is>
          <t>[Bổ sung] Không hard-code catalog, dùng biến môi trường</t>
        </is>
      </c>
      <c r="F974" s="49" t="inlineStr">
        <is>
          <t>PASS</t>
        </is>
      </c>
      <c r="G974" s="48" t="inlineStr">
        <is>
          <t>Pass</t>
        </is>
      </c>
      <c r="H974" s="50" t="inlineStr">
        <is>
          <t>dùng biến môi trường cho catalog</t>
        </is>
      </c>
      <c r="I9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74" s="48" t="inlineStr">
        <is>
          <t>047. OCB_GOLD_TCKH_V_BCN_THUNO_1_QUANG.xlsx [Script SQL: V_BCN_THUNO_1]</t>
        </is>
      </c>
    </row>
    <row r="975">
      <c r="A975" s="48" t="inlineStr">
        <is>
          <t>TCKH.V_BCN_THUNO_1</t>
        </is>
      </c>
      <c r="B975" s="48" t="inlineStr">
        <is>
          <t>GOLD_DERIVED</t>
        </is>
      </c>
      <c r="C975" s="48" t="inlineStr">
        <is>
          <t>X.10</t>
        </is>
      </c>
      <c r="D975" s="48" t="inlineStr">
        <is>
          <t>Nhom X - Bo sung Raffles</t>
        </is>
      </c>
      <c r="E975" s="48" t="inlineStr">
        <is>
          <t>Bang raw_vault/business_vault duoc doc phai TON TAI THAT trong Data Vault model</t>
        </is>
      </c>
      <c r="F975" s="48" t="inlineStr">
        <is>
          <t>N-A</t>
        </is>
      </c>
      <c r="G975" s="48" t="inlineStr">
        <is>
          <t>Pass</t>
        </is>
      </c>
      <c r="H975" s="50" t="inlineStr">
        <is>
          <t>script không đọc bảng raw_vault/business_vault nào</t>
        </is>
      </c>
      <c r="I975" s="50" t="inlineStr"/>
      <c r="J975" s="48" t="inlineStr">
        <is>
          <t>047. OCB_GOLD_TCKH_V_BCN_THUNO_1_QUANG.xlsx [Script SQL: V_BCN_THUNO_1]</t>
        </is>
      </c>
    </row>
    <row r="976">
      <c r="A976" s="48" t="inlineStr">
        <is>
          <t>TCKH.V_BCN_THUNO_1</t>
        </is>
      </c>
      <c r="B976" s="48" t="inlineStr">
        <is>
          <t>GOLD_DERIVED</t>
        </is>
      </c>
      <c r="C976" s="48" t="inlineStr">
        <is>
          <t>X.11</t>
        </is>
      </c>
      <c r="D976" s="48" t="inlineStr">
        <is>
          <t>Nhom X - Bo sung Raffles</t>
        </is>
      </c>
      <c r="E976" s="48" t="inlineStr">
        <is>
          <t>Cot doc tu satellite (sat_*) phai TON TAI THAT trong model</t>
        </is>
      </c>
      <c r="F976" s="48" t="inlineStr">
        <is>
          <t>N-A</t>
        </is>
      </c>
      <c r="G976" s="48" t="inlineStr">
        <is>
          <t>Pass</t>
        </is>
      </c>
      <c r="H976" s="50" t="inlineStr">
        <is>
          <t>không có bảng sat_* nào đủ điều kiện đối chiếu (Select chỉ đọc 1 bảng)</t>
        </is>
      </c>
      <c r="I976" s="50" t="inlineStr"/>
      <c r="J976" s="48" t="inlineStr">
        <is>
          <t>047. OCB_GOLD_TCKH_V_BCN_THUNO_1_QUANG.xlsx [Script SQL: V_BCN_THUNO_1]</t>
        </is>
      </c>
    </row>
    <row r="977">
      <c r="A977" s="48" t="inlineStr">
        <is>
          <t>TCKH.V_CDTK_DAILY_1</t>
        </is>
      </c>
      <c r="B977" s="48" t="inlineStr">
        <is>
          <t>GOLD_DERIVED</t>
        </is>
      </c>
      <c r="C977" s="48" t="inlineStr">
        <is>
          <t>1.1</t>
        </is>
      </c>
      <c r="D977" s="48" t="inlineStr">
        <is>
          <t>Nhom 1 - Mapping</t>
        </is>
      </c>
      <c r="E977" s="48" t="inlineStr">
        <is>
          <t>Đầy đủ mapping từ Silver/manual sang Gold</t>
        </is>
      </c>
      <c r="F977" s="49" t="inlineStr">
        <is>
          <t>PASS</t>
        </is>
      </c>
      <c r="G977" s="48" t="inlineStr">
        <is>
          <t>Pass</t>
        </is>
      </c>
      <c r="H977" s="50" t="inlineStr">
        <is>
          <t>workbook 048. OCB_GOLD_TCKH_V_CDTK_DAILY_1_QUANG.xlsx: thiết kế 16 field, SQL có 16 cột</t>
        </is>
      </c>
      <c r="I9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77" s="48" t="inlineStr">
        <is>
          <t>048. OCB_GOLD_TCKH_V_CDTK_DAILY_1_QUANG.xlsx [Script SQL: V_CDTK_DAILY_1]</t>
        </is>
      </c>
    </row>
    <row r="978">
      <c r="A978" s="48" t="inlineStr">
        <is>
          <t>TCKH.V_CDTK_DAILY_1</t>
        </is>
      </c>
      <c r="B978" s="48" t="inlineStr">
        <is>
          <t>GOLD_DERIVED</t>
        </is>
      </c>
      <c r="C978" s="48" t="inlineStr">
        <is>
          <t>1.2</t>
        </is>
      </c>
      <c r="D978" s="48" t="inlineStr">
        <is>
          <t>Nhom 1 - Mapping</t>
        </is>
      </c>
      <c r="E978" s="48" t="inlineStr">
        <is>
          <t>Danh sách bảng/view Gold khớp tài liệu thiết kế đã duyệt</t>
        </is>
      </c>
      <c r="F978" s="49" t="inlineStr">
        <is>
          <t>PASS</t>
        </is>
      </c>
      <c r="G978" s="48" t="inlineStr">
        <is>
          <t>Pass</t>
        </is>
      </c>
      <c r="H978" s="50" t="inlineStr">
        <is>
          <t>V_CDTK_DAILY_1 có workbook thiết kế: 048. OCB_GOLD_TCKH_V_CDTK_DAILY_1_QUANG.xlsx</t>
        </is>
      </c>
      <c r="I978" s="50" t="inlineStr">
        <is>
          <t>Đảm bảo object có workbook thiết kế tương ứng trong thư mục --mapping-dir. Muốn đối chiếu với danh sách đã duyệt thì chạy thêm tham số --gold-list "&lt;file danh sách Gold&gt;.xlsx".</t>
        </is>
      </c>
      <c r="J978" s="48" t="inlineStr">
        <is>
          <t>048. OCB_GOLD_TCKH_V_CDTK_DAILY_1_QUANG.xlsx [Script SQL: V_CDTK_DAILY_1]</t>
        </is>
      </c>
    </row>
    <row r="979">
      <c r="A979" s="48" t="inlineStr">
        <is>
          <t>TCKH.V_CDTK_DAILY_1</t>
        </is>
      </c>
      <c r="B979" s="48" t="inlineStr">
        <is>
          <t>GOLD_DERIVED</t>
        </is>
      </c>
      <c r="C979" s="48" t="inlineStr">
        <is>
          <t>2.1</t>
        </is>
      </c>
      <c r="D979" s="48" t="inlineStr">
        <is>
          <t>Nhom 2 - Logic</t>
        </is>
      </c>
      <c r="E979" s="48" t="inlineStr">
        <is>
          <t>Chỉ lấy bản ghi active, loại bản ghi đã xóa (qua sts_hub)</t>
        </is>
      </c>
      <c r="F979" s="48" t="inlineStr">
        <is>
          <t>N-A</t>
        </is>
      </c>
      <c r="G979" s="48" t="inlineStr">
        <is>
          <t>Pass</t>
        </is>
      </c>
      <c r="H979" s="50" t="inlineStr">
        <is>
          <t>khong ap dung cho profile GOLD_DERIVED</t>
        </is>
      </c>
      <c r="I9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79" s="48" t="inlineStr">
        <is>
          <t>048. OCB_GOLD_TCKH_V_CDTK_DAILY_1_QUANG.xlsx [Script SQL: V_CDTK_DAILY_1]</t>
        </is>
      </c>
    </row>
    <row r="980">
      <c r="A980" s="48" t="inlineStr">
        <is>
          <t>TCKH.V_CDTK_DAILY_1</t>
        </is>
      </c>
      <c r="B980" s="48" t="inlineStr">
        <is>
          <t>GOLD_DERIVED</t>
        </is>
      </c>
      <c r="C980" s="48" t="inlineStr">
        <is>
          <t>2.2</t>
        </is>
      </c>
      <c r="D980" s="48" t="inlineStr">
        <is>
          <t>Nhom 2 - Logic</t>
        </is>
      </c>
      <c r="E980" s="48" t="inlineStr">
        <is>
          <t>Thống nhất MỘT pattern duy nhất xác định bản ghi active mới nhất</t>
        </is>
      </c>
      <c r="F980" s="48" t="inlineStr">
        <is>
          <t>N-A</t>
        </is>
      </c>
      <c r="G980" s="48" t="inlineStr">
        <is>
          <t>Pass</t>
        </is>
      </c>
      <c r="H980" s="50" t="inlineStr">
        <is>
          <t>khong ap dung cho profile GOLD_DERIVED</t>
        </is>
      </c>
      <c r="I9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80" s="48" t="inlineStr">
        <is>
          <t>048. OCB_GOLD_TCKH_V_CDTK_DAILY_1_QUANG.xlsx [Script SQL: V_CDTK_DAILY_1]</t>
        </is>
      </c>
    </row>
    <row r="981">
      <c r="A981" s="48" t="inlineStr">
        <is>
          <t>TCKH.V_CDTK_DAILY_1</t>
        </is>
      </c>
      <c r="B981" s="48" t="inlineStr">
        <is>
          <t>GOLD_DERIVED</t>
        </is>
      </c>
      <c r="C981" s="48" t="inlineStr">
        <is>
          <t>2.3</t>
        </is>
      </c>
      <c r="D981" s="48" t="inlineStr">
        <is>
          <t>Nhom 2 - Logic</t>
        </is>
      </c>
      <c r="E981" s="48" t="inlineStr">
        <is>
          <t>Điều kiện lọc trạng thái đặt SAU khi xác định bản ghi mới nhất</t>
        </is>
      </c>
      <c r="F981" s="49" t="inlineStr">
        <is>
          <t>PASS</t>
        </is>
      </c>
      <c r="G981" s="48" t="inlineStr">
        <is>
          <t>Pass</t>
        </is>
      </c>
      <c r="H981" s="50" t="inlineStr">
        <is>
          <t>không có điều kiện trạng thái nào lồng trong JOIN ON</t>
        </is>
      </c>
      <c r="I9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81" s="48" t="inlineStr">
        <is>
          <t>048. OCB_GOLD_TCKH_V_CDTK_DAILY_1_QUANG.xlsx [Script SQL: V_CDTK_DAILY_1]</t>
        </is>
      </c>
    </row>
    <row r="982">
      <c r="A982" s="48" t="inlineStr">
        <is>
          <t>TCKH.V_CDTK_DAILY_1</t>
        </is>
      </c>
      <c r="B982" s="48" t="inlineStr">
        <is>
          <t>GOLD_DERIVED</t>
        </is>
      </c>
      <c r="C982" s="48" t="inlineStr">
        <is>
          <t>2.4</t>
        </is>
      </c>
      <c r="D982" s="48" t="inlineStr">
        <is>
          <t>Nhom 2 - Logic</t>
        </is>
      </c>
      <c r="E982" s="48" t="inlineStr">
        <is>
          <t>source_event_date áp dụng đúng dạng theo loại bảng</t>
        </is>
      </c>
      <c r="F982" s="48" t="inlineStr">
        <is>
          <t>N-A</t>
        </is>
      </c>
      <c r="G982" s="48" t="inlineStr">
        <is>
          <t>Pass</t>
        </is>
      </c>
      <c r="H982" s="50" t="inlineStr">
        <is>
          <t>khong ap dung cho profile GOLD_DERIVED</t>
        </is>
      </c>
      <c r="I9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82" s="48" t="inlineStr">
        <is>
          <t>048. OCB_GOLD_TCKH_V_CDTK_DAILY_1_QUANG.xlsx [Script SQL: V_CDTK_DAILY_1]</t>
        </is>
      </c>
    </row>
    <row r="983">
      <c r="A983" s="48" t="inlineStr">
        <is>
          <t>TCKH.V_CDTK_DAILY_1</t>
        </is>
      </c>
      <c r="B983" s="48" t="inlineStr">
        <is>
          <t>GOLD_DERIVED</t>
        </is>
      </c>
      <c r="C983" s="48" t="inlineStr">
        <is>
          <t>2.5</t>
        </is>
      </c>
      <c r="D983" s="48" t="inlineStr">
        <is>
          <t>Nhom 2 - Logic</t>
        </is>
      </c>
      <c r="E983" s="48" t="inlineStr">
        <is>
          <t>Không lặp lại lỗi logic cũ đã được DA Data Vault fix</t>
        </is>
      </c>
      <c r="F983" s="49" t="inlineStr">
        <is>
          <t>PASS</t>
        </is>
      </c>
      <c r="G983" s="48" t="inlineStr">
        <is>
          <t>Pass</t>
        </is>
      </c>
      <c r="H983" s="50" t="inlineStr">
        <is>
          <t>không trùng lỗi nào trong Issue log của DA Data Vault</t>
        </is>
      </c>
      <c r="I9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83" s="48" t="inlineStr">
        <is>
          <t>048. OCB_GOLD_TCKH_V_CDTK_DAILY_1_QUANG.xlsx [Script SQL: V_CDTK_DAILY_1]</t>
        </is>
      </c>
    </row>
    <row r="984">
      <c r="A984" s="48" t="inlineStr">
        <is>
          <t>TCKH.V_CDTK_DAILY_1</t>
        </is>
      </c>
      <c r="B984" s="48" t="inlineStr">
        <is>
          <t>GOLD_DERIVED</t>
        </is>
      </c>
      <c r="C984" s="48" t="inlineStr">
        <is>
          <t>2.6</t>
        </is>
      </c>
      <c r="D984" s="48" t="inlineStr">
        <is>
          <t>Nhom 2 - Logic</t>
        </is>
      </c>
      <c r="E984" s="48" t="inlineStr">
        <is>
          <t>SCD Type 2 cho bảng DIM áp dụng đúng kỹ thuật đã thống nhất</t>
        </is>
      </c>
      <c r="F984" s="48" t="inlineStr">
        <is>
          <t>N-A</t>
        </is>
      </c>
      <c r="G984" s="48" t="inlineStr">
        <is>
          <t>Pass</t>
        </is>
      </c>
      <c r="H984" s="50" t="inlineStr">
        <is>
          <t>object không phải bảng DIM nên không áp dụng SCD Type 2</t>
        </is>
      </c>
      <c r="I9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84" s="48" t="inlineStr">
        <is>
          <t>048. OCB_GOLD_TCKH_V_CDTK_DAILY_1_QUANG.xlsx [Script SQL: V_CDTK_DAILY_1]</t>
        </is>
      </c>
    </row>
    <row r="985">
      <c r="A985" s="48" t="inlineStr">
        <is>
          <t>TCKH.V_CDTK_DAILY_1</t>
        </is>
      </c>
      <c r="B985" s="48" t="inlineStr">
        <is>
          <t>GOLD_DERIVED</t>
        </is>
      </c>
      <c r="C985" s="48" t="inlineStr">
        <is>
          <t>2.7</t>
        </is>
      </c>
      <c r="D985" s="48" t="inlineStr">
        <is>
          <t>Nhom 2 - Logic</t>
        </is>
      </c>
      <c r="E985" s="48" t="inlineStr">
        <is>
          <t>CASE WHEN cover đủ nhánh như job on-prem</t>
        </is>
      </c>
      <c r="F985" s="48" t="inlineStr">
        <is>
          <t>N-A</t>
        </is>
      </c>
      <c r="G985" s="48" t="inlineStr">
        <is>
          <t>Pass</t>
        </is>
      </c>
      <c r="H985" s="50" t="inlineStr">
        <is>
          <t>script không có CASE WHEN nào</t>
        </is>
      </c>
      <c r="I985" s="50" t="inlineStr">
        <is>
          <t>Mở job on-prem tương ứng (DataStage DSX hoặc SQL cũ), đối chiếu từng nhánh WHEN và cả nhánh ELSE. CASE không có ELSE sẽ trả NULL âm thầm — xác nhận đó là ý muốn hay thiếu nhánh.</t>
        </is>
      </c>
      <c r="J985" s="48" t="inlineStr">
        <is>
          <t>048. OCB_GOLD_TCKH_V_CDTK_DAILY_1_QUANG.xlsx [Script SQL: V_CDTK_DAILY_1]</t>
        </is>
      </c>
    </row>
    <row r="986">
      <c r="A986" s="48" t="inlineStr">
        <is>
          <t>TCKH.V_CDTK_DAILY_1</t>
        </is>
      </c>
      <c r="B986" s="48" t="inlineStr">
        <is>
          <t>GOLD_DERIVED</t>
        </is>
      </c>
      <c r="C986" s="48" t="inlineStr">
        <is>
          <t>2.8</t>
        </is>
      </c>
      <c r="D986" s="48" t="inlineStr">
        <is>
          <t>Nhom 2 - Logic</t>
        </is>
      </c>
      <c r="E986" s="48" t="inlineStr">
        <is>
          <t>Cột SUM/COUNT được COALESCE/NVL hợp lý</t>
        </is>
      </c>
      <c r="F986" s="49" t="inlineStr">
        <is>
          <t>PASS</t>
        </is>
      </c>
      <c r="G986" s="48" t="inlineStr">
        <is>
          <t>Pass</t>
        </is>
      </c>
      <c r="H986" s="50" t="inlineStr">
        <is>
          <t>mọi SUM/COUNT đều đã coalesce (trực tiếp hoặc ở lớp ngoài)</t>
        </is>
      </c>
      <c r="I9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86" s="48" t="inlineStr">
        <is>
          <t>048. OCB_GOLD_TCKH_V_CDTK_DAILY_1_QUANG.xlsx [Script SQL: V_CDTK_DAILY_1]</t>
        </is>
      </c>
    </row>
    <row r="987">
      <c r="A987" s="48" t="inlineStr">
        <is>
          <t>TCKH.V_CDTK_DAILY_1</t>
        </is>
      </c>
      <c r="B987" s="48" t="inlineStr">
        <is>
          <t>GOLD_DERIVED</t>
        </is>
      </c>
      <c r="C987" s="48" t="inlineStr">
        <is>
          <t>2.9</t>
        </is>
      </c>
      <c r="D987" s="48" t="inlineStr">
        <is>
          <t>Nhom 2 - Logic</t>
        </is>
      </c>
      <c r="E987" s="48" t="inlineStr">
        <is>
          <t>Subquery / custom function / điều kiện LIKE đúng ý nghĩa nghiệp vụ</t>
        </is>
      </c>
      <c r="F987" s="48" t="inlineStr">
        <is>
          <t>N-A</t>
        </is>
      </c>
      <c r="G987" s="48" t="inlineStr">
        <is>
          <t>Pass</t>
        </is>
      </c>
      <c r="H987" s="50" t="inlineStr">
        <is>
          <t>script không có điều kiện LIKE hay scalar subquery nào</t>
        </is>
      </c>
      <c r="I987" s="50" t="inlineStr">
        <is>
          <t>Đọc lại từng điều kiện LIKE và từng subquery, đối chiếu ý nghĩa nghiệp vụ với on-prem — đúng cú pháp không đủ. Chú ý pattern LIKE có ký tự % ở đầu/cuối và phân biệt chữ hoa/thường.</t>
        </is>
      </c>
      <c r="J987" s="48" t="inlineStr">
        <is>
          <t>048. OCB_GOLD_TCKH_V_CDTK_DAILY_1_QUANG.xlsx [Script SQL: V_CDTK_DAILY_1]</t>
        </is>
      </c>
    </row>
    <row r="988">
      <c r="A988" s="48" t="inlineStr">
        <is>
          <t>TCKH.V_CDTK_DAILY_1</t>
        </is>
      </c>
      <c r="B988" s="48" t="inlineStr">
        <is>
          <t>GOLD_DERIVED</t>
        </is>
      </c>
      <c r="C988" s="48" t="inlineStr">
        <is>
          <t>2.10</t>
        </is>
      </c>
      <c r="D988" s="48" t="inlineStr">
        <is>
          <t>Nhom 2 - Logic</t>
        </is>
      </c>
      <c r="E988" s="48" t="inlineStr">
        <is>
          <t>Aggregation kèm filter date range chính xác</t>
        </is>
      </c>
      <c r="F988" s="49" t="inlineStr">
        <is>
          <t>PASS</t>
        </is>
      </c>
      <c r="G988" s="48" t="inlineStr">
        <is>
          <t>Pass</t>
        </is>
      </c>
      <c r="H988" s="50" t="inlineStr">
        <is>
          <t>mọi khối tổng hợp đều có điều kiện theo kỳ dữ liệu</t>
        </is>
      </c>
      <c r="I988" s="50" t="inlineStr">
        <is>
          <t>Mỗi khối SUM/COUNT/AVG phải có điều kiện lọc theo kỳ dữ liệu (CDR_DT_ID, DATA_DATE, :DATADT…). Nếu điều kiện nằm ở CTE nguồn thì ghi rõ trong comment để người review không phải truy ngược.</t>
        </is>
      </c>
      <c r="J988" s="48" t="inlineStr">
        <is>
          <t>048. OCB_GOLD_TCKH_V_CDTK_DAILY_1_QUANG.xlsx [Script SQL: V_CDTK_DAILY_1]</t>
        </is>
      </c>
    </row>
    <row r="989">
      <c r="A989" s="48" t="inlineStr">
        <is>
          <t>TCKH.V_CDTK_DAILY_1</t>
        </is>
      </c>
      <c r="B989" s="48" t="inlineStr">
        <is>
          <t>GOLD_DERIVED</t>
        </is>
      </c>
      <c r="C989" s="48" t="inlineStr">
        <is>
          <t>2.11</t>
        </is>
      </c>
      <c r="D989" s="48" t="inlineStr">
        <is>
          <t>Nhom 2 - Logic</t>
        </is>
      </c>
      <c r="E989" s="48" t="inlineStr">
        <is>
          <t>Join dùng key hợp lý, không lạm dụng UNION ALL + EXISTS/NOT EXISTS</t>
        </is>
      </c>
      <c r="F989" s="49" t="inlineStr">
        <is>
          <t>PASS</t>
        </is>
      </c>
      <c r="G989" s="48" t="inlineStr">
        <is>
          <t>Pass</t>
        </is>
      </c>
      <c r="H989" s="50" t="inlineStr">
        <is>
          <t>join đều theo điều kiện bằng, không lạm dụng UNION ALL + EXISTS</t>
        </is>
      </c>
      <c r="I989" s="50" t="inlineStr">
        <is>
          <t>Ưu tiên LEFT JOIN theo business key hoặc hashkey. Xem lại các chỗ dùng UNION ALL kết hợp EXISTS/NOT EXISTS — thường thay được bằng một LEFT JOIN. Join không có điều kiện bằng (=) dễ tạo tích Descartes.</t>
        </is>
      </c>
      <c r="J989" s="48" t="inlineStr">
        <is>
          <t>048. OCB_GOLD_TCKH_V_CDTK_DAILY_1_QUANG.xlsx [Script SQL: V_CDTK_DAILY_1]</t>
        </is>
      </c>
    </row>
    <row r="990">
      <c r="A990" s="48" t="inlineStr">
        <is>
          <t>TCKH.V_CDTK_DAILY_1</t>
        </is>
      </c>
      <c r="B990" s="48" t="inlineStr">
        <is>
          <t>GOLD_DERIVED</t>
        </is>
      </c>
      <c r="C990" s="48" t="inlineStr">
        <is>
          <t>2.12</t>
        </is>
      </c>
      <c r="D990" s="48" t="inlineStr">
        <is>
          <t>Nhom 2 - Logic</t>
        </is>
      </c>
      <c r="E990" s="48" t="inlineStr">
        <is>
          <t>Build Gold từ CTE snapshot Silver, không build nhiều tầng chồng chéo</t>
        </is>
      </c>
      <c r="F990" s="49" t="inlineStr">
        <is>
          <t>PASS</t>
        </is>
      </c>
      <c r="G990" s="48" t="inlineStr">
        <is>
          <t>Pass</t>
        </is>
      </c>
      <c r="H990" s="50" t="inlineStr">
        <is>
          <t>mỗi bảng nguồn chỉ đọc trong 1 khối SELECT</t>
        </is>
      </c>
      <c r="I9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90" s="48" t="inlineStr">
        <is>
          <t>048. OCB_GOLD_TCKH_V_CDTK_DAILY_1_QUANG.xlsx [Script SQL: V_CDTK_DAILY_1]</t>
        </is>
      </c>
    </row>
    <row r="991">
      <c r="A991" s="48" t="inlineStr">
        <is>
          <t>TCKH.V_CDTK_DAILY_1</t>
        </is>
      </c>
      <c r="B991" s="48" t="inlineStr">
        <is>
          <t>GOLD_DERIVED</t>
        </is>
      </c>
      <c r="C991" s="48" t="inlineStr">
        <is>
          <t>3.1</t>
        </is>
      </c>
      <c r="D991" s="48" t="inlineStr">
        <is>
          <t>Nhom 3 - Optimization</t>
        </is>
      </c>
      <c r="E991" s="48" t="inlineStr">
        <is>
          <t>Không SELECT *</t>
        </is>
      </c>
      <c r="F991" s="49" t="inlineStr">
        <is>
          <t>PASS</t>
        </is>
      </c>
      <c r="G991" s="48" t="inlineStr">
        <is>
          <t>Pass</t>
        </is>
      </c>
      <c r="H991" s="50" t="inlineStr">
        <is>
          <t>không dùng SELECT * ở đâu</t>
        </is>
      </c>
      <c r="I991" s="50" t="inlineStr">
        <is>
          <t>Liệt kê tường minh các cột cần dùng, kể cả trong CTE trung gian. SELECT * làm tăng IO/memory và vỡ script khi bảng nguồn thêm cột.</t>
        </is>
      </c>
      <c r="J991" s="48" t="inlineStr">
        <is>
          <t>048. OCB_GOLD_TCKH_V_CDTK_DAILY_1_QUANG.xlsx [Script SQL: V_CDTK_DAILY_1]</t>
        </is>
      </c>
    </row>
    <row r="992">
      <c r="A992" s="48" t="inlineStr">
        <is>
          <t>TCKH.V_CDTK_DAILY_1</t>
        </is>
      </c>
      <c r="B992" s="48" t="inlineStr">
        <is>
          <t>GOLD_DERIVED</t>
        </is>
      </c>
      <c r="C992" s="48" t="inlineStr">
        <is>
          <t>3.2</t>
        </is>
      </c>
      <c r="D992" s="48" t="inlineStr">
        <is>
          <t>Nhom 3 - Optimization</t>
        </is>
      </c>
      <c r="E992" s="48" t="inlineStr">
        <is>
          <t>CTE không bị scan lại nhiều lần</t>
        </is>
      </c>
      <c r="F992" s="49" t="inlineStr">
        <is>
          <t>PASS</t>
        </is>
      </c>
      <c r="G992" s="48" t="inlineStr">
        <is>
          <t>Pass</t>
        </is>
      </c>
      <c r="H992" s="50" t="inlineStr">
        <is>
          <t>không có CTE nào bị gọi lại</t>
        </is>
      </c>
      <c r="I992" s="50" t="inlineStr">
        <is>
          <t>Với CTE nặng (đọc nhiều bảng Silver) bị tham chiếu từ 2 chỗ trở lên: gom lại còn một lần dùng, hoặc vật chất hóa (CACHE / bảng tạm). CTE nhẹ chỉ chứa tham số thì bỏ qua được — tự tick Pass.</t>
        </is>
      </c>
      <c r="J992" s="48" t="inlineStr">
        <is>
          <t>048. OCB_GOLD_TCKH_V_CDTK_DAILY_1_QUANG.xlsx [Script SQL: V_CDTK_DAILY_1]</t>
        </is>
      </c>
    </row>
    <row r="993">
      <c r="A993" s="48" t="inlineStr">
        <is>
          <t>TCKH.V_CDTK_DAILY_1</t>
        </is>
      </c>
      <c r="B993" s="48" t="inlineStr">
        <is>
          <t>GOLD_DERIVED</t>
        </is>
      </c>
      <c r="C993" s="48" t="inlineStr">
        <is>
          <t>3.3</t>
        </is>
      </c>
      <c r="D993" s="48" t="inlineStr">
        <is>
          <t>Nhom 3 - Optimization</t>
        </is>
      </c>
      <c r="E993" s="48" t="inlineStr">
        <is>
          <t>Filter trước khi join, tận dụng partition pruning</t>
        </is>
      </c>
      <c r="F993" s="49" t="inlineStr">
        <is>
          <t>PASS</t>
        </is>
      </c>
      <c r="G993" s="48" t="inlineStr">
        <is>
          <t>Pass</t>
        </is>
      </c>
      <c r="H993" s="50" t="inlineStr">
        <is>
          <t>các bảng join đều được filter trước</t>
        </is>
      </c>
      <c r="I993" s="50" t="inlineStr">
        <is>
          <t>Đưa điều kiện lọc (ngày dữ liệu, trạng thái) vào subquery của từng bảng TRƯỚC khi join, để tận dụng partition pruning. Bảng dim nhỏ không partition thì không cần — tự tick Pass.</t>
        </is>
      </c>
      <c r="J993" s="48" t="inlineStr">
        <is>
          <t>048. OCB_GOLD_TCKH_V_CDTK_DAILY_1_QUANG.xlsx [Script SQL: V_CDTK_DAILY_1]</t>
        </is>
      </c>
    </row>
    <row r="994">
      <c r="A994" s="48" t="inlineStr">
        <is>
          <t>TCKH.V_CDTK_DAILY_1</t>
        </is>
      </c>
      <c r="B994" s="48" t="inlineStr">
        <is>
          <t>GOLD_DERIVED</t>
        </is>
      </c>
      <c r="C994" s="48" t="inlineStr">
        <is>
          <t>3.4</t>
        </is>
      </c>
      <c r="D994" s="48" t="inlineStr">
        <is>
          <t>Nhom 3 - Optimization</t>
        </is>
      </c>
      <c r="E994" s="48" t="inlineStr">
        <is>
          <t>Sử dụng CACHE cho query lặp lại trong cùng luồng</t>
        </is>
      </c>
      <c r="F994" s="48" t="inlineStr">
        <is>
          <t>N-A</t>
        </is>
      </c>
      <c r="G994" s="48" t="inlineStr">
        <is>
          <t>Pass</t>
        </is>
      </c>
      <c r="H994" s="50" t="inlineStr">
        <is>
          <t>không có kết quả nào được dùng lại nhiều lần nên chưa cần CACHE</t>
        </is>
      </c>
      <c r="I994" s="50" t="inlineStr">
        <is>
          <t>Nếu một kết quả nặng được dùng lại nhiều bước trong cùng luồng, thêm CACHE TABLE / CACHE SELECT. Kết quả nhỏ thì cache còn chậm hơn — tự tick Pass.</t>
        </is>
      </c>
      <c r="J994" s="48" t="inlineStr">
        <is>
          <t>048. OCB_GOLD_TCKH_V_CDTK_DAILY_1_QUANG.xlsx [Script SQL: V_CDTK_DAILY_1]</t>
        </is>
      </c>
    </row>
    <row r="995">
      <c r="A995" s="48" t="inlineStr">
        <is>
          <t>TCKH.V_CDTK_DAILY_1</t>
        </is>
      </c>
      <c r="B995" s="48" t="inlineStr">
        <is>
          <t>GOLD_DERIVED</t>
        </is>
      </c>
      <c r="C995" s="48" t="inlineStr">
        <is>
          <t>3.5</t>
        </is>
      </c>
      <c r="D995" s="48" t="inlineStr">
        <is>
          <t>Nhom 3 - Optimization</t>
        </is>
      </c>
      <c r="E995" s="48" t="inlineStr">
        <is>
          <t>Ưu tiên MAX_BY + QUALIFY thay ROW_NUMBER() + WHERE rn = 1</t>
        </is>
      </c>
      <c r="F995" s="48" t="inlineStr">
        <is>
          <t>N-A</t>
        </is>
      </c>
      <c r="G995" s="48" t="inlineStr">
        <is>
          <t>Pass</t>
        </is>
      </c>
      <c r="H995" s="50" t="inlineStr">
        <is>
          <t>script không dùng ROW_NUMBER, và MAX_BY (nếu có) không vượt quá 5 cột/khối</t>
        </is>
      </c>
      <c r="I9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95" s="48" t="inlineStr">
        <is>
          <t>048. OCB_GOLD_TCKH_V_CDTK_DAILY_1_QUANG.xlsx [Script SQL: V_CDTK_DAILY_1]</t>
        </is>
      </c>
    </row>
    <row r="996">
      <c r="A996" s="48" t="inlineStr">
        <is>
          <t>TCKH.V_CDTK_DAILY_1</t>
        </is>
      </c>
      <c r="B996" s="48" t="inlineStr">
        <is>
          <t>GOLD_DERIVED</t>
        </is>
      </c>
      <c r="C996" s="48" t="inlineStr">
        <is>
          <t>3.6</t>
        </is>
      </c>
      <c r="D996" s="48" t="inlineStr">
        <is>
          <t>Nhom 3 - Optimization</t>
        </is>
      </c>
      <c r="E996" s="48" t="inlineStr">
        <is>
          <t>Không lạm dụng window function; có comment khi dùng</t>
        </is>
      </c>
      <c r="F996" s="48" t="inlineStr">
        <is>
          <t>N-A</t>
        </is>
      </c>
      <c r="G996" s="48" t="inlineStr">
        <is>
          <t>Pass</t>
        </is>
      </c>
      <c r="H996" s="50" t="inlineStr">
        <is>
          <t>script không dùng window function</t>
        </is>
      </c>
      <c r="I996" s="50" t="inlineStr">
        <is>
          <t>Mỗi window function cần một comment ngay trên khối CTE chứa nó, nói rõ vì sao không dùng được max_by/QUALIFY đơn giản hơn.</t>
        </is>
      </c>
      <c r="J996" s="48" t="inlineStr">
        <is>
          <t>048. OCB_GOLD_TCKH_V_CDTK_DAILY_1_QUANG.xlsx [Script SQL: V_CDTK_DAILY_1]</t>
        </is>
      </c>
    </row>
    <row r="997">
      <c r="A997" s="48" t="inlineStr">
        <is>
          <t>TCKH.V_CDTK_DAILY_1</t>
        </is>
      </c>
      <c r="B997" s="48" t="inlineStr">
        <is>
          <t>GOLD_DERIVED</t>
        </is>
      </c>
      <c r="C997" s="48" t="inlineStr">
        <is>
          <t>X.1</t>
        </is>
      </c>
      <c r="D997" s="48" t="inlineStr">
        <is>
          <t>Nhom X - Bo sung Raffles</t>
        </is>
      </c>
      <c r="E997" s="48" t="inlineStr">
        <is>
          <t>[Bổ sung] Link phải rút về current trước khi join (chống fan-out)</t>
        </is>
      </c>
      <c r="F997" s="48" t="inlineStr">
        <is>
          <t>N-A</t>
        </is>
      </c>
      <c r="G997" s="48" t="inlineStr">
        <is>
          <t>Pass</t>
        </is>
      </c>
      <c r="H997" s="50" t="inlineStr">
        <is>
          <t>khong ap dung cho profile GOLD_DERIVED</t>
        </is>
      </c>
      <c r="I9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97" s="48" t="inlineStr">
        <is>
          <t>048. OCB_GOLD_TCKH_V_CDTK_DAILY_1_QUANG.xlsx [Script SQL: V_CDTK_DAILY_1]</t>
        </is>
      </c>
    </row>
    <row r="998">
      <c r="A998" s="48" t="inlineStr">
        <is>
          <t>TCKH.V_CDTK_DAILY_1</t>
        </is>
      </c>
      <c r="B998" s="48" t="inlineStr">
        <is>
          <t>GOLD_DERIVED</t>
        </is>
      </c>
      <c r="C998" s="48" t="inlineStr">
        <is>
          <t>X.6</t>
        </is>
      </c>
      <c r="D998" s="48" t="inlineStr">
        <is>
          <t>Nhom X - Bo sung Raffles</t>
        </is>
      </c>
      <c r="E998" s="48" t="inlineStr">
        <is>
          <t>[Bổ sung] Satellite phải LEFT JOIN, không INNER JOIN</t>
        </is>
      </c>
      <c r="F998" s="48" t="inlineStr">
        <is>
          <t>N-A</t>
        </is>
      </c>
      <c r="G998" s="48" t="inlineStr">
        <is>
          <t>Pass</t>
        </is>
      </c>
      <c r="H998" s="50" t="inlineStr">
        <is>
          <t>khong ap dung cho profile GOLD_DERIVED</t>
        </is>
      </c>
      <c r="I998" s="50" t="inlineStr">
        <is>
          <t>Technical Document III.4.2.2 nguyên tắc 1: làm giàu thuộc tính luôn dùng LEFT JOIN. INNER JOIN satellite sẽ loại mất bản ghi Hub đang còn hiệu lực nhưng chưa có dòng satellite.</t>
        </is>
      </c>
      <c r="J998" s="48" t="inlineStr">
        <is>
          <t>048. OCB_GOLD_TCKH_V_CDTK_DAILY_1_QUANG.xlsx [Script SQL: V_CDTK_DAILY_1]</t>
        </is>
      </c>
    </row>
    <row r="999">
      <c r="A999" s="48" t="inlineStr">
        <is>
          <t>TCKH.V_CDTK_DAILY_1</t>
        </is>
      </c>
      <c r="B999" s="48" t="inlineStr">
        <is>
          <t>GOLD_DERIVED</t>
        </is>
      </c>
      <c r="C999" s="48" t="inlineStr">
        <is>
          <t>X.7</t>
        </is>
      </c>
      <c r="D999" s="48" t="inlineStr">
        <is>
          <t>Nhom X - Bo sung Raffles</t>
        </is>
      </c>
      <c r="E999" s="48" t="inlineStr">
        <is>
          <t>[Bổ sung] Không hard-code catalog, dùng biến môi trường</t>
        </is>
      </c>
      <c r="F999" s="49" t="inlineStr">
        <is>
          <t>PASS</t>
        </is>
      </c>
      <c r="G999" s="48" t="inlineStr">
        <is>
          <t>Pass</t>
        </is>
      </c>
      <c r="H999" s="50" t="inlineStr">
        <is>
          <t>dùng biến môi trường cho catalog</t>
        </is>
      </c>
      <c r="I9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99" s="48" t="inlineStr">
        <is>
          <t>048. OCB_GOLD_TCKH_V_CDTK_DAILY_1_QUANG.xlsx [Script SQL: V_CDTK_DAILY_1]</t>
        </is>
      </c>
    </row>
    <row r="1000">
      <c r="A1000" s="48" t="inlineStr">
        <is>
          <t>TCKH.V_CDTK_DAILY_1</t>
        </is>
      </c>
      <c r="B1000" s="48" t="inlineStr">
        <is>
          <t>GOLD_DERIVED</t>
        </is>
      </c>
      <c r="C1000" s="48" t="inlineStr">
        <is>
          <t>X.10</t>
        </is>
      </c>
      <c r="D1000" s="48" t="inlineStr">
        <is>
          <t>Nhom X - Bo sung Raffles</t>
        </is>
      </c>
      <c r="E1000" s="48" t="inlineStr">
        <is>
          <t>Bang raw_vault/business_vault duoc doc phai TON TAI THAT trong Data Vault model</t>
        </is>
      </c>
      <c r="F1000" s="48" t="inlineStr">
        <is>
          <t>N-A</t>
        </is>
      </c>
      <c r="G1000" s="48" t="inlineStr">
        <is>
          <t>Pass</t>
        </is>
      </c>
      <c r="H1000" s="50" t="inlineStr">
        <is>
          <t>script không đọc bảng raw_vault/business_vault nào</t>
        </is>
      </c>
      <c r="I1000" s="50" t="inlineStr"/>
      <c r="J1000" s="48" t="inlineStr">
        <is>
          <t>048. OCB_GOLD_TCKH_V_CDTK_DAILY_1_QUANG.xlsx [Script SQL: V_CDTK_DAILY_1]</t>
        </is>
      </c>
    </row>
    <row r="1001">
      <c r="A1001" s="48" t="inlineStr">
        <is>
          <t>TCKH.V_CDTK_DAILY_1</t>
        </is>
      </c>
      <c r="B1001" s="48" t="inlineStr">
        <is>
          <t>GOLD_DERIVED</t>
        </is>
      </c>
      <c r="C1001" s="48" t="inlineStr">
        <is>
          <t>X.11</t>
        </is>
      </c>
      <c r="D1001" s="48" t="inlineStr">
        <is>
          <t>Nhom X - Bo sung Raffles</t>
        </is>
      </c>
      <c r="E1001" s="48" t="inlineStr">
        <is>
          <t>Cot doc tu satellite (sat_*) phai TON TAI THAT trong model</t>
        </is>
      </c>
      <c r="F1001" s="48" t="inlineStr">
        <is>
          <t>N-A</t>
        </is>
      </c>
      <c r="G1001" s="48" t="inlineStr">
        <is>
          <t>Pass</t>
        </is>
      </c>
      <c r="H1001" s="50" t="inlineStr">
        <is>
          <t>không có bảng sat_* nào đủ điều kiện đối chiếu (Select chỉ đọc 1 bảng)</t>
        </is>
      </c>
      <c r="I1001" s="50" t="inlineStr"/>
      <c r="J1001" s="48" t="inlineStr">
        <is>
          <t>048. OCB_GOLD_TCKH_V_CDTK_DAILY_1_QUANG.xlsx [Script SQL: V_CDTK_DAILY_1]</t>
        </is>
      </c>
    </row>
    <row r="1002">
      <c r="A1002" s="48" t="inlineStr">
        <is>
          <t>TCKH.V_ENTRY_STMT_QUYMO</t>
        </is>
      </c>
      <c r="B1002" s="48" t="inlineStr">
        <is>
          <t>GOLD_DERIVED</t>
        </is>
      </c>
      <c r="C1002" s="48" t="inlineStr">
        <is>
          <t>1.1</t>
        </is>
      </c>
      <c r="D1002" s="48" t="inlineStr">
        <is>
          <t>Nhom 1 - Mapping</t>
        </is>
      </c>
      <c r="E1002" s="48" t="inlineStr">
        <is>
          <t>Đầy đủ mapping từ Silver/manual sang Gold</t>
        </is>
      </c>
      <c r="F1002" s="49" t="inlineStr">
        <is>
          <t>PASS</t>
        </is>
      </c>
      <c r="G1002" s="48" t="inlineStr">
        <is>
          <t>Pass</t>
        </is>
      </c>
      <c r="H1002" s="50" t="inlineStr">
        <is>
          <t>workbook 050. OCB_GOLD_TCKH_V_ENTRY_STMT_QUYMO_QUANG.xlsx: thiết kế 5 field, SQL có 5 cột</t>
        </is>
      </c>
      <c r="I10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02" s="48" t="inlineStr">
        <is>
          <t>050. OCB_GOLD_TCKH_V_ENTRY_STMT_QUYMO_QUANG.xlsx [Script SQL: V_ENTRY_STMT_QUYMO]</t>
        </is>
      </c>
    </row>
    <row r="1003">
      <c r="A1003" s="48" t="inlineStr">
        <is>
          <t>TCKH.V_ENTRY_STMT_QUYMO</t>
        </is>
      </c>
      <c r="B1003" s="48" t="inlineStr">
        <is>
          <t>GOLD_DERIVED</t>
        </is>
      </c>
      <c r="C1003" s="48" t="inlineStr">
        <is>
          <t>1.2</t>
        </is>
      </c>
      <c r="D1003" s="48" t="inlineStr">
        <is>
          <t>Nhom 1 - Mapping</t>
        </is>
      </c>
      <c r="E1003" s="48" t="inlineStr">
        <is>
          <t>Danh sách bảng/view Gold khớp tài liệu thiết kế đã duyệt</t>
        </is>
      </c>
      <c r="F1003" s="49" t="inlineStr">
        <is>
          <t>PASS</t>
        </is>
      </c>
      <c r="G1003" s="48" t="inlineStr">
        <is>
          <t>Pass</t>
        </is>
      </c>
      <c r="H1003" s="50" t="inlineStr">
        <is>
          <t>V_ENTRY_STMT_QUYMO có workbook thiết kế: 050. OCB_GOLD_TCKH_V_ENTRY_STMT_QUYMO_QUANG.xlsx</t>
        </is>
      </c>
      <c r="I1003" s="50" t="inlineStr">
        <is>
          <t>Đảm bảo object có workbook thiết kế tương ứng trong thư mục --mapping-dir. Muốn đối chiếu với danh sách đã duyệt thì chạy thêm tham số --gold-list "&lt;file danh sách Gold&gt;.xlsx".</t>
        </is>
      </c>
      <c r="J1003" s="48" t="inlineStr">
        <is>
          <t>050. OCB_GOLD_TCKH_V_ENTRY_STMT_QUYMO_QUANG.xlsx [Script SQL: V_ENTRY_STMT_QUYMO]</t>
        </is>
      </c>
    </row>
    <row r="1004">
      <c r="A1004" s="48" t="inlineStr">
        <is>
          <t>TCKH.V_ENTRY_STMT_QUYMO</t>
        </is>
      </c>
      <c r="B1004" s="48" t="inlineStr">
        <is>
          <t>GOLD_DERIVED</t>
        </is>
      </c>
      <c r="C1004" s="48" t="inlineStr">
        <is>
          <t>2.1</t>
        </is>
      </c>
      <c r="D1004" s="48" t="inlineStr">
        <is>
          <t>Nhom 2 - Logic</t>
        </is>
      </c>
      <c r="E1004" s="48" t="inlineStr">
        <is>
          <t>Chỉ lấy bản ghi active, loại bản ghi đã xóa (qua sts_hub)</t>
        </is>
      </c>
      <c r="F1004" s="48" t="inlineStr">
        <is>
          <t>N-A</t>
        </is>
      </c>
      <c r="G1004" s="48" t="inlineStr">
        <is>
          <t>Pass</t>
        </is>
      </c>
      <c r="H1004" s="50" t="inlineStr">
        <is>
          <t>khong ap dung cho profile GOLD_DERIVED</t>
        </is>
      </c>
      <c r="I10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04" s="48" t="inlineStr">
        <is>
          <t>050. OCB_GOLD_TCKH_V_ENTRY_STMT_QUYMO_QUANG.xlsx [Script SQL: V_ENTRY_STMT_QUYMO]</t>
        </is>
      </c>
    </row>
    <row r="1005">
      <c r="A1005" s="48" t="inlineStr">
        <is>
          <t>TCKH.V_ENTRY_STMT_QUYMO</t>
        </is>
      </c>
      <c r="B1005" s="48" t="inlineStr">
        <is>
          <t>GOLD_DERIVED</t>
        </is>
      </c>
      <c r="C1005" s="48" t="inlineStr">
        <is>
          <t>2.2</t>
        </is>
      </c>
      <c r="D1005" s="48" t="inlineStr">
        <is>
          <t>Nhom 2 - Logic</t>
        </is>
      </c>
      <c r="E1005" s="48" t="inlineStr">
        <is>
          <t>Thống nhất MỘT pattern duy nhất xác định bản ghi active mới nhất</t>
        </is>
      </c>
      <c r="F1005" s="48" t="inlineStr">
        <is>
          <t>N-A</t>
        </is>
      </c>
      <c r="G1005" s="48" t="inlineStr">
        <is>
          <t>Pass</t>
        </is>
      </c>
      <c r="H1005" s="50" t="inlineStr">
        <is>
          <t>khong ap dung cho profile GOLD_DERIVED</t>
        </is>
      </c>
      <c r="I10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05" s="48" t="inlineStr">
        <is>
          <t>050. OCB_GOLD_TCKH_V_ENTRY_STMT_QUYMO_QUANG.xlsx [Script SQL: V_ENTRY_STMT_QUYMO]</t>
        </is>
      </c>
    </row>
    <row r="1006">
      <c r="A1006" s="48" t="inlineStr">
        <is>
          <t>TCKH.V_ENTRY_STMT_QUYMO</t>
        </is>
      </c>
      <c r="B1006" s="48" t="inlineStr">
        <is>
          <t>GOLD_DERIVED</t>
        </is>
      </c>
      <c r="C1006" s="48" t="inlineStr">
        <is>
          <t>2.3</t>
        </is>
      </c>
      <c r="D1006" s="48" t="inlineStr">
        <is>
          <t>Nhom 2 - Logic</t>
        </is>
      </c>
      <c r="E1006" s="48" t="inlineStr">
        <is>
          <t>Điều kiện lọc trạng thái đặt SAU khi xác định bản ghi mới nhất</t>
        </is>
      </c>
      <c r="F1006" s="49" t="inlineStr">
        <is>
          <t>PASS</t>
        </is>
      </c>
      <c r="G1006" s="48" t="inlineStr">
        <is>
          <t>Pass</t>
        </is>
      </c>
      <c r="H1006" s="50" t="inlineStr">
        <is>
          <t>không có điều kiện trạng thái nào lồng trong JOIN ON</t>
        </is>
      </c>
      <c r="I10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06" s="48" t="inlineStr">
        <is>
          <t>050. OCB_GOLD_TCKH_V_ENTRY_STMT_QUYMO_QUANG.xlsx [Script SQL: V_ENTRY_STMT_QUYMO]</t>
        </is>
      </c>
    </row>
    <row r="1007">
      <c r="A1007" s="48" t="inlineStr">
        <is>
          <t>TCKH.V_ENTRY_STMT_QUYMO</t>
        </is>
      </c>
      <c r="B1007" s="48" t="inlineStr">
        <is>
          <t>GOLD_DERIVED</t>
        </is>
      </c>
      <c r="C1007" s="48" t="inlineStr">
        <is>
          <t>2.4</t>
        </is>
      </c>
      <c r="D1007" s="48" t="inlineStr">
        <is>
          <t>Nhom 2 - Logic</t>
        </is>
      </c>
      <c r="E1007" s="48" t="inlineStr">
        <is>
          <t>source_event_date áp dụng đúng dạng theo loại bảng</t>
        </is>
      </c>
      <c r="F1007" s="48" t="inlineStr">
        <is>
          <t>N-A</t>
        </is>
      </c>
      <c r="G1007" s="48" t="inlineStr">
        <is>
          <t>Pass</t>
        </is>
      </c>
      <c r="H1007" s="50" t="inlineStr">
        <is>
          <t>khong ap dung cho profile GOLD_DERIVED</t>
        </is>
      </c>
      <c r="I10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07" s="48" t="inlineStr">
        <is>
          <t>050. OCB_GOLD_TCKH_V_ENTRY_STMT_QUYMO_QUANG.xlsx [Script SQL: V_ENTRY_STMT_QUYMO]</t>
        </is>
      </c>
    </row>
    <row r="1008">
      <c r="A1008" s="48" t="inlineStr">
        <is>
          <t>TCKH.V_ENTRY_STMT_QUYMO</t>
        </is>
      </c>
      <c r="B1008" s="48" t="inlineStr">
        <is>
          <t>GOLD_DERIVED</t>
        </is>
      </c>
      <c r="C1008" s="48" t="inlineStr">
        <is>
          <t>2.5</t>
        </is>
      </c>
      <c r="D1008" s="48" t="inlineStr">
        <is>
          <t>Nhom 2 - Logic</t>
        </is>
      </c>
      <c r="E1008" s="48" t="inlineStr">
        <is>
          <t>Không lặp lại lỗi logic cũ đã được DA Data Vault fix</t>
        </is>
      </c>
      <c r="F1008" s="49" t="inlineStr">
        <is>
          <t>PASS</t>
        </is>
      </c>
      <c r="G1008" s="48" t="inlineStr">
        <is>
          <t>Pass</t>
        </is>
      </c>
      <c r="H1008" s="50" t="inlineStr">
        <is>
          <t>không trùng lỗi nào trong Issue log của DA Data Vault</t>
        </is>
      </c>
      <c r="I10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08" s="48" t="inlineStr">
        <is>
          <t>050. OCB_GOLD_TCKH_V_ENTRY_STMT_QUYMO_QUANG.xlsx [Script SQL: V_ENTRY_STMT_QUYMO]</t>
        </is>
      </c>
    </row>
    <row r="1009">
      <c r="A1009" s="48" t="inlineStr">
        <is>
          <t>TCKH.V_ENTRY_STMT_QUYMO</t>
        </is>
      </c>
      <c r="B1009" s="48" t="inlineStr">
        <is>
          <t>GOLD_DERIVED</t>
        </is>
      </c>
      <c r="C1009" s="48" t="inlineStr">
        <is>
          <t>2.6</t>
        </is>
      </c>
      <c r="D1009" s="48" t="inlineStr">
        <is>
          <t>Nhom 2 - Logic</t>
        </is>
      </c>
      <c r="E1009" s="48" t="inlineStr">
        <is>
          <t>SCD Type 2 cho bảng DIM áp dụng đúng kỹ thuật đã thống nhất</t>
        </is>
      </c>
      <c r="F1009" s="48" t="inlineStr">
        <is>
          <t>N-A</t>
        </is>
      </c>
      <c r="G1009" s="48" t="inlineStr">
        <is>
          <t>Pass</t>
        </is>
      </c>
      <c r="H1009" s="50" t="inlineStr">
        <is>
          <t>object không phải bảng DIM nên không áp dụng SCD Type 2</t>
        </is>
      </c>
      <c r="I10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09" s="48" t="inlineStr">
        <is>
          <t>050. OCB_GOLD_TCKH_V_ENTRY_STMT_QUYMO_QUANG.xlsx [Script SQL: V_ENTRY_STMT_QUYMO]</t>
        </is>
      </c>
    </row>
    <row r="1010">
      <c r="A1010" s="48" t="inlineStr">
        <is>
          <t>TCKH.V_ENTRY_STMT_QUYMO</t>
        </is>
      </c>
      <c r="B1010" s="48" t="inlineStr">
        <is>
          <t>GOLD_DERIVED</t>
        </is>
      </c>
      <c r="C1010" s="48" t="inlineStr">
        <is>
          <t>2.7</t>
        </is>
      </c>
      <c r="D1010" s="48" t="inlineStr">
        <is>
          <t>Nhom 2 - Logic</t>
        </is>
      </c>
      <c r="E1010" s="48" t="inlineStr">
        <is>
          <t>CASE WHEN cover đủ nhánh như job on-prem</t>
        </is>
      </c>
      <c r="F1010" s="48" t="inlineStr">
        <is>
          <t>N-A</t>
        </is>
      </c>
      <c r="G1010" s="48" t="inlineStr">
        <is>
          <t>Pass</t>
        </is>
      </c>
      <c r="H1010" s="50" t="inlineStr">
        <is>
          <t>script không có CASE WHEN nào</t>
        </is>
      </c>
      <c r="I1010" s="50" t="inlineStr">
        <is>
          <t>Mở job on-prem tương ứng (DataStage DSX hoặc SQL cũ), đối chiếu từng nhánh WHEN và cả nhánh ELSE. CASE không có ELSE sẽ trả NULL âm thầm — xác nhận đó là ý muốn hay thiếu nhánh.</t>
        </is>
      </c>
      <c r="J1010" s="48" t="inlineStr">
        <is>
          <t>050. OCB_GOLD_TCKH_V_ENTRY_STMT_QUYMO_QUANG.xlsx [Script SQL: V_ENTRY_STMT_QUYMO]</t>
        </is>
      </c>
    </row>
    <row r="1011">
      <c r="A1011" s="48" t="inlineStr">
        <is>
          <t>TCKH.V_ENTRY_STMT_QUYMO</t>
        </is>
      </c>
      <c r="B1011" s="48" t="inlineStr">
        <is>
          <t>GOLD_DERIVED</t>
        </is>
      </c>
      <c r="C1011" s="48" t="inlineStr">
        <is>
          <t>2.8</t>
        </is>
      </c>
      <c r="D1011" s="48" t="inlineStr">
        <is>
          <t>Nhom 2 - Logic</t>
        </is>
      </c>
      <c r="E1011" s="48" t="inlineStr">
        <is>
          <t>Cột SUM/COUNT được COALESCE/NVL hợp lý</t>
        </is>
      </c>
      <c r="F1011" s="49" t="inlineStr">
        <is>
          <t>PASS</t>
        </is>
      </c>
      <c r="G1011" s="48" t="inlineStr">
        <is>
          <t>Pass</t>
        </is>
      </c>
      <c r="H1011" s="50" t="inlineStr">
        <is>
          <t>mọi SUM/COUNT đều đã coalesce (trực tiếp hoặc ở lớp ngoài)</t>
        </is>
      </c>
      <c r="I10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11" s="48" t="inlineStr">
        <is>
          <t>050. OCB_GOLD_TCKH_V_ENTRY_STMT_QUYMO_QUANG.xlsx [Script SQL: V_ENTRY_STMT_QUYMO]</t>
        </is>
      </c>
    </row>
    <row r="1012">
      <c r="A1012" s="48" t="inlineStr">
        <is>
          <t>TCKH.V_ENTRY_STMT_QUYMO</t>
        </is>
      </c>
      <c r="B1012" s="48" t="inlineStr">
        <is>
          <t>GOLD_DERIVED</t>
        </is>
      </c>
      <c r="C1012" s="48" t="inlineStr">
        <is>
          <t>2.9</t>
        </is>
      </c>
      <c r="D1012" s="48" t="inlineStr">
        <is>
          <t>Nhom 2 - Logic</t>
        </is>
      </c>
      <c r="E1012" s="48" t="inlineStr">
        <is>
          <t>Subquery / custom function / điều kiện LIKE đúng ý nghĩa nghiệp vụ</t>
        </is>
      </c>
      <c r="F1012" s="48" t="inlineStr">
        <is>
          <t>N-A</t>
        </is>
      </c>
      <c r="G1012" s="48" t="inlineStr">
        <is>
          <t>Pass</t>
        </is>
      </c>
      <c r="H1012" s="50" t="inlineStr">
        <is>
          <t>script không có điều kiện LIKE hay scalar subquery nào</t>
        </is>
      </c>
      <c r="I1012" s="50" t="inlineStr">
        <is>
          <t>Đọc lại từng điều kiện LIKE và từng subquery, đối chiếu ý nghĩa nghiệp vụ với on-prem — đúng cú pháp không đủ. Chú ý pattern LIKE có ký tự % ở đầu/cuối và phân biệt chữ hoa/thường.</t>
        </is>
      </c>
      <c r="J1012" s="48" t="inlineStr">
        <is>
          <t>050. OCB_GOLD_TCKH_V_ENTRY_STMT_QUYMO_QUANG.xlsx [Script SQL: V_ENTRY_STMT_QUYMO]</t>
        </is>
      </c>
    </row>
    <row r="1013">
      <c r="A1013" s="48" t="inlineStr">
        <is>
          <t>TCKH.V_ENTRY_STMT_QUYMO</t>
        </is>
      </c>
      <c r="B1013" s="48" t="inlineStr">
        <is>
          <t>GOLD_DERIVED</t>
        </is>
      </c>
      <c r="C1013" s="48" t="inlineStr">
        <is>
          <t>2.10</t>
        </is>
      </c>
      <c r="D1013" s="48" t="inlineStr">
        <is>
          <t>Nhom 2 - Logic</t>
        </is>
      </c>
      <c r="E1013" s="48" t="inlineStr">
        <is>
          <t>Aggregation kèm filter date range chính xác</t>
        </is>
      </c>
      <c r="F1013" s="49" t="inlineStr">
        <is>
          <t>PASS</t>
        </is>
      </c>
      <c r="G1013" s="48" t="inlineStr">
        <is>
          <t>Pass</t>
        </is>
      </c>
      <c r="H1013" s="50" t="inlineStr">
        <is>
          <t>mọi khối tổng hợp đều có điều kiện theo kỳ dữ liệu</t>
        </is>
      </c>
      <c r="I1013" s="50" t="inlineStr">
        <is>
          <t>Mỗi khối SUM/COUNT/AVG phải có điều kiện lọc theo kỳ dữ liệu (CDR_DT_ID, DATA_DATE, :DATADT…). Nếu điều kiện nằm ở CTE nguồn thì ghi rõ trong comment để người review không phải truy ngược.</t>
        </is>
      </c>
      <c r="J1013" s="48" t="inlineStr">
        <is>
          <t>050. OCB_GOLD_TCKH_V_ENTRY_STMT_QUYMO_QUANG.xlsx [Script SQL: V_ENTRY_STMT_QUYMO]</t>
        </is>
      </c>
    </row>
    <row r="1014">
      <c r="A1014" s="48" t="inlineStr">
        <is>
          <t>TCKH.V_ENTRY_STMT_QUYMO</t>
        </is>
      </c>
      <c r="B1014" s="48" t="inlineStr">
        <is>
          <t>GOLD_DERIVED</t>
        </is>
      </c>
      <c r="C1014" s="48" t="inlineStr">
        <is>
          <t>2.11</t>
        </is>
      </c>
      <c r="D1014" s="48" t="inlineStr">
        <is>
          <t>Nhom 2 - Logic</t>
        </is>
      </c>
      <c r="E1014" s="48" t="inlineStr">
        <is>
          <t>Join dùng key hợp lý, không lạm dụng UNION ALL + EXISTS/NOT EXISTS</t>
        </is>
      </c>
      <c r="F1014" s="49" t="inlineStr">
        <is>
          <t>PASS</t>
        </is>
      </c>
      <c r="G1014" s="48" t="inlineStr">
        <is>
          <t>Pass</t>
        </is>
      </c>
      <c r="H1014" s="50" t="inlineStr">
        <is>
          <t>join đều theo điều kiện bằng, không lạm dụng UNION ALL + EXISTS</t>
        </is>
      </c>
      <c r="I1014" s="50" t="inlineStr">
        <is>
          <t>Ưu tiên LEFT JOIN theo business key hoặc hashkey. Xem lại các chỗ dùng UNION ALL kết hợp EXISTS/NOT EXISTS — thường thay được bằng một LEFT JOIN. Join không có điều kiện bằng (=) dễ tạo tích Descartes.</t>
        </is>
      </c>
      <c r="J1014" s="48" t="inlineStr">
        <is>
          <t>050. OCB_GOLD_TCKH_V_ENTRY_STMT_QUYMO_QUANG.xlsx [Script SQL: V_ENTRY_STMT_QUYMO]</t>
        </is>
      </c>
    </row>
    <row r="1015">
      <c r="A1015" s="48" t="inlineStr">
        <is>
          <t>TCKH.V_ENTRY_STMT_QUYMO</t>
        </is>
      </c>
      <c r="B1015" s="48" t="inlineStr">
        <is>
          <t>GOLD_DERIVED</t>
        </is>
      </c>
      <c r="C1015" s="48" t="inlineStr">
        <is>
          <t>2.12</t>
        </is>
      </c>
      <c r="D1015" s="48" t="inlineStr">
        <is>
          <t>Nhom 2 - Logic</t>
        </is>
      </c>
      <c r="E1015" s="48" t="inlineStr">
        <is>
          <t>Build Gold từ CTE snapshot Silver, không build nhiều tầng chồng chéo</t>
        </is>
      </c>
      <c r="F1015" s="49" t="inlineStr">
        <is>
          <t>PASS</t>
        </is>
      </c>
      <c r="G1015" s="48" t="inlineStr">
        <is>
          <t>Pass</t>
        </is>
      </c>
      <c r="H1015" s="50" t="inlineStr">
        <is>
          <t>mỗi bảng nguồn chỉ đọc trong 1 khối SELECT</t>
        </is>
      </c>
      <c r="I10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15" s="48" t="inlineStr">
        <is>
          <t>050. OCB_GOLD_TCKH_V_ENTRY_STMT_QUYMO_QUANG.xlsx [Script SQL: V_ENTRY_STMT_QUYMO]</t>
        </is>
      </c>
    </row>
    <row r="1016">
      <c r="A1016" s="48" t="inlineStr">
        <is>
          <t>TCKH.V_ENTRY_STMT_QUYMO</t>
        </is>
      </c>
      <c r="B1016" s="48" t="inlineStr">
        <is>
          <t>GOLD_DERIVED</t>
        </is>
      </c>
      <c r="C1016" s="48" t="inlineStr">
        <is>
          <t>3.1</t>
        </is>
      </c>
      <c r="D1016" s="48" t="inlineStr">
        <is>
          <t>Nhom 3 - Optimization</t>
        </is>
      </c>
      <c r="E1016" s="48" t="inlineStr">
        <is>
          <t>Không SELECT *</t>
        </is>
      </c>
      <c r="F1016" s="49" t="inlineStr">
        <is>
          <t>PASS</t>
        </is>
      </c>
      <c r="G1016" s="48" t="inlineStr">
        <is>
          <t>Pass</t>
        </is>
      </c>
      <c r="H1016" s="50" t="inlineStr">
        <is>
          <t>không dùng SELECT * ở đâu</t>
        </is>
      </c>
      <c r="I1016" s="50" t="inlineStr">
        <is>
          <t>Liệt kê tường minh các cột cần dùng, kể cả trong CTE trung gian. SELECT * làm tăng IO/memory và vỡ script khi bảng nguồn thêm cột.</t>
        </is>
      </c>
      <c r="J1016" s="48" t="inlineStr">
        <is>
          <t>050. OCB_GOLD_TCKH_V_ENTRY_STMT_QUYMO_QUANG.xlsx [Script SQL: V_ENTRY_STMT_QUYMO]</t>
        </is>
      </c>
    </row>
    <row r="1017">
      <c r="A1017" s="48" t="inlineStr">
        <is>
          <t>TCKH.V_ENTRY_STMT_QUYMO</t>
        </is>
      </c>
      <c r="B1017" s="48" t="inlineStr">
        <is>
          <t>GOLD_DERIVED</t>
        </is>
      </c>
      <c r="C1017" s="48" t="inlineStr">
        <is>
          <t>3.2</t>
        </is>
      </c>
      <c r="D1017" s="48" t="inlineStr">
        <is>
          <t>Nhom 3 - Optimization</t>
        </is>
      </c>
      <c r="E1017" s="48" t="inlineStr">
        <is>
          <t>CTE không bị scan lại nhiều lần</t>
        </is>
      </c>
      <c r="F1017" s="49" t="inlineStr">
        <is>
          <t>PASS</t>
        </is>
      </c>
      <c r="G1017" s="48" t="inlineStr">
        <is>
          <t>Pass</t>
        </is>
      </c>
      <c r="H1017" s="50" t="inlineStr">
        <is>
          <t>không có CTE nào bị gọi lại</t>
        </is>
      </c>
      <c r="I1017" s="50" t="inlineStr">
        <is>
          <t>Với CTE nặng (đọc nhiều bảng Silver) bị tham chiếu từ 2 chỗ trở lên: gom lại còn một lần dùng, hoặc vật chất hóa (CACHE / bảng tạm). CTE nhẹ chỉ chứa tham số thì bỏ qua được — tự tick Pass.</t>
        </is>
      </c>
      <c r="J1017" s="48" t="inlineStr">
        <is>
          <t>050. OCB_GOLD_TCKH_V_ENTRY_STMT_QUYMO_QUANG.xlsx [Script SQL: V_ENTRY_STMT_QUYMO]</t>
        </is>
      </c>
    </row>
    <row r="1018">
      <c r="A1018" s="48" t="inlineStr">
        <is>
          <t>TCKH.V_ENTRY_STMT_QUYMO</t>
        </is>
      </c>
      <c r="B1018" s="48" t="inlineStr">
        <is>
          <t>GOLD_DERIVED</t>
        </is>
      </c>
      <c r="C1018" s="48" t="inlineStr">
        <is>
          <t>3.3</t>
        </is>
      </c>
      <c r="D1018" s="48" t="inlineStr">
        <is>
          <t>Nhom 3 - Optimization</t>
        </is>
      </c>
      <c r="E1018" s="48" t="inlineStr">
        <is>
          <t>Filter trước khi join, tận dụng partition pruning</t>
        </is>
      </c>
      <c r="F1018" s="49" t="inlineStr">
        <is>
          <t>PASS</t>
        </is>
      </c>
      <c r="G1018" s="48" t="inlineStr">
        <is>
          <t>Pass</t>
        </is>
      </c>
      <c r="H1018" s="50" t="inlineStr">
        <is>
          <t>các bảng join đều được filter trước</t>
        </is>
      </c>
      <c r="I1018" s="50" t="inlineStr">
        <is>
          <t>Đưa điều kiện lọc (ngày dữ liệu, trạng thái) vào subquery của từng bảng TRƯỚC khi join, để tận dụng partition pruning. Bảng dim nhỏ không partition thì không cần — tự tick Pass.</t>
        </is>
      </c>
      <c r="J1018" s="48" t="inlineStr">
        <is>
          <t>050. OCB_GOLD_TCKH_V_ENTRY_STMT_QUYMO_QUANG.xlsx [Script SQL: V_ENTRY_STMT_QUYMO]</t>
        </is>
      </c>
    </row>
    <row r="1019">
      <c r="A1019" s="48" t="inlineStr">
        <is>
          <t>TCKH.V_ENTRY_STMT_QUYMO</t>
        </is>
      </c>
      <c r="B1019" s="48" t="inlineStr">
        <is>
          <t>GOLD_DERIVED</t>
        </is>
      </c>
      <c r="C1019" s="48" t="inlineStr">
        <is>
          <t>3.4</t>
        </is>
      </c>
      <c r="D1019" s="48" t="inlineStr">
        <is>
          <t>Nhom 3 - Optimization</t>
        </is>
      </c>
      <c r="E1019" s="48" t="inlineStr">
        <is>
          <t>Sử dụng CACHE cho query lặp lại trong cùng luồng</t>
        </is>
      </c>
      <c r="F1019" s="48" t="inlineStr">
        <is>
          <t>N-A</t>
        </is>
      </c>
      <c r="G1019" s="48" t="inlineStr">
        <is>
          <t>Pass</t>
        </is>
      </c>
      <c r="H1019" s="50" t="inlineStr">
        <is>
          <t>không có kết quả nào được dùng lại nhiều lần nên chưa cần CACHE</t>
        </is>
      </c>
      <c r="I1019" s="50" t="inlineStr">
        <is>
          <t>Nếu một kết quả nặng được dùng lại nhiều bước trong cùng luồng, thêm CACHE TABLE / CACHE SELECT. Kết quả nhỏ thì cache còn chậm hơn — tự tick Pass.</t>
        </is>
      </c>
      <c r="J1019" s="48" t="inlineStr">
        <is>
          <t>050. OCB_GOLD_TCKH_V_ENTRY_STMT_QUYMO_QUANG.xlsx [Script SQL: V_ENTRY_STMT_QUYMO]</t>
        </is>
      </c>
    </row>
    <row r="1020">
      <c r="A1020" s="48" t="inlineStr">
        <is>
          <t>TCKH.V_ENTRY_STMT_QUYMO</t>
        </is>
      </c>
      <c r="B1020" s="48" t="inlineStr">
        <is>
          <t>GOLD_DERIVED</t>
        </is>
      </c>
      <c r="C1020" s="48" t="inlineStr">
        <is>
          <t>3.5</t>
        </is>
      </c>
      <c r="D1020" s="48" t="inlineStr">
        <is>
          <t>Nhom 3 - Optimization</t>
        </is>
      </c>
      <c r="E1020" s="48" t="inlineStr">
        <is>
          <t>Ưu tiên MAX_BY + QUALIFY thay ROW_NUMBER() + WHERE rn = 1</t>
        </is>
      </c>
      <c r="F1020" s="48" t="inlineStr">
        <is>
          <t>N-A</t>
        </is>
      </c>
      <c r="G1020" s="48" t="inlineStr">
        <is>
          <t>Pass</t>
        </is>
      </c>
      <c r="H1020" s="50" t="inlineStr">
        <is>
          <t>script không dùng ROW_NUMBER, và MAX_BY (nếu có) không vượt quá 5 cột/khối</t>
        </is>
      </c>
      <c r="I10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20" s="48" t="inlineStr">
        <is>
          <t>050. OCB_GOLD_TCKH_V_ENTRY_STMT_QUYMO_QUANG.xlsx [Script SQL: V_ENTRY_STMT_QUYMO]</t>
        </is>
      </c>
    </row>
    <row r="1021">
      <c r="A1021" s="48" t="inlineStr">
        <is>
          <t>TCKH.V_ENTRY_STMT_QUYMO</t>
        </is>
      </c>
      <c r="B1021" s="48" t="inlineStr">
        <is>
          <t>GOLD_DERIVED</t>
        </is>
      </c>
      <c r="C1021" s="48" t="inlineStr">
        <is>
          <t>3.6</t>
        </is>
      </c>
      <c r="D1021" s="48" t="inlineStr">
        <is>
          <t>Nhom 3 - Optimization</t>
        </is>
      </c>
      <c r="E1021" s="48" t="inlineStr">
        <is>
          <t>Không lạm dụng window function; có comment khi dùng</t>
        </is>
      </c>
      <c r="F1021" s="48" t="inlineStr">
        <is>
          <t>N-A</t>
        </is>
      </c>
      <c r="G1021" s="48" t="inlineStr">
        <is>
          <t>Pass</t>
        </is>
      </c>
      <c r="H1021" s="50" t="inlineStr">
        <is>
          <t>script không dùng window function</t>
        </is>
      </c>
      <c r="I1021" s="50" t="inlineStr">
        <is>
          <t>Mỗi window function cần một comment ngay trên khối CTE chứa nó, nói rõ vì sao không dùng được max_by/QUALIFY đơn giản hơn.</t>
        </is>
      </c>
      <c r="J1021" s="48" t="inlineStr">
        <is>
          <t>050. OCB_GOLD_TCKH_V_ENTRY_STMT_QUYMO_QUANG.xlsx [Script SQL: V_ENTRY_STMT_QUYMO]</t>
        </is>
      </c>
    </row>
    <row r="1022">
      <c r="A1022" s="48" t="inlineStr">
        <is>
          <t>TCKH.V_ENTRY_STMT_QUYMO</t>
        </is>
      </c>
      <c r="B1022" s="48" t="inlineStr">
        <is>
          <t>GOLD_DERIVED</t>
        </is>
      </c>
      <c r="C1022" s="48" t="inlineStr">
        <is>
          <t>X.1</t>
        </is>
      </c>
      <c r="D1022" s="48" t="inlineStr">
        <is>
          <t>Nhom X - Bo sung Raffles</t>
        </is>
      </c>
      <c r="E1022" s="48" t="inlineStr">
        <is>
          <t>[Bổ sung] Link phải rút về current trước khi join (chống fan-out)</t>
        </is>
      </c>
      <c r="F1022" s="48" t="inlineStr">
        <is>
          <t>N-A</t>
        </is>
      </c>
      <c r="G1022" s="48" t="inlineStr">
        <is>
          <t>Pass</t>
        </is>
      </c>
      <c r="H1022" s="50" t="inlineStr">
        <is>
          <t>khong ap dung cho profile GOLD_DERIVED</t>
        </is>
      </c>
      <c r="I10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22" s="48" t="inlineStr">
        <is>
          <t>050. OCB_GOLD_TCKH_V_ENTRY_STMT_QUYMO_QUANG.xlsx [Script SQL: V_ENTRY_STMT_QUYMO]</t>
        </is>
      </c>
    </row>
    <row r="1023">
      <c r="A1023" s="48" t="inlineStr">
        <is>
          <t>TCKH.V_ENTRY_STMT_QUYMO</t>
        </is>
      </c>
      <c r="B1023" s="48" t="inlineStr">
        <is>
          <t>GOLD_DERIVED</t>
        </is>
      </c>
      <c r="C1023" s="48" t="inlineStr">
        <is>
          <t>X.6</t>
        </is>
      </c>
      <c r="D1023" s="48" t="inlineStr">
        <is>
          <t>Nhom X - Bo sung Raffles</t>
        </is>
      </c>
      <c r="E1023" s="48" t="inlineStr">
        <is>
          <t>[Bổ sung] Satellite phải LEFT JOIN, không INNER JOIN</t>
        </is>
      </c>
      <c r="F1023" s="48" t="inlineStr">
        <is>
          <t>N-A</t>
        </is>
      </c>
      <c r="G1023" s="48" t="inlineStr">
        <is>
          <t>Pass</t>
        </is>
      </c>
      <c r="H1023" s="50" t="inlineStr">
        <is>
          <t>khong ap dung cho profile GOLD_DERIVED</t>
        </is>
      </c>
      <c r="I1023" s="50" t="inlineStr">
        <is>
          <t>Technical Document III.4.2.2 nguyên tắc 1: làm giàu thuộc tính luôn dùng LEFT JOIN. INNER JOIN satellite sẽ loại mất bản ghi Hub đang còn hiệu lực nhưng chưa có dòng satellite.</t>
        </is>
      </c>
      <c r="J1023" s="48" t="inlineStr">
        <is>
          <t>050. OCB_GOLD_TCKH_V_ENTRY_STMT_QUYMO_QUANG.xlsx [Script SQL: V_ENTRY_STMT_QUYMO]</t>
        </is>
      </c>
    </row>
    <row r="1024">
      <c r="A1024" s="48" t="inlineStr">
        <is>
          <t>TCKH.V_ENTRY_STMT_QUYMO</t>
        </is>
      </c>
      <c r="B1024" s="48" t="inlineStr">
        <is>
          <t>GOLD_DERIVED</t>
        </is>
      </c>
      <c r="C1024" s="48" t="inlineStr">
        <is>
          <t>X.7</t>
        </is>
      </c>
      <c r="D1024" s="48" t="inlineStr">
        <is>
          <t>Nhom X - Bo sung Raffles</t>
        </is>
      </c>
      <c r="E1024" s="48" t="inlineStr">
        <is>
          <t>[Bổ sung] Không hard-code catalog, dùng biến môi trường</t>
        </is>
      </c>
      <c r="F1024" s="49" t="inlineStr">
        <is>
          <t>PASS</t>
        </is>
      </c>
      <c r="G1024" s="48" t="inlineStr">
        <is>
          <t>Pass</t>
        </is>
      </c>
      <c r="H1024" s="50" t="inlineStr">
        <is>
          <t>dùng biến môi trường cho catalog</t>
        </is>
      </c>
      <c r="I10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24" s="48" t="inlineStr">
        <is>
          <t>050. OCB_GOLD_TCKH_V_ENTRY_STMT_QUYMO_QUANG.xlsx [Script SQL: V_ENTRY_STMT_QUYMO]</t>
        </is>
      </c>
    </row>
    <row r="1025">
      <c r="A1025" s="48" t="inlineStr">
        <is>
          <t>TCKH.V_ENTRY_STMT_QUYMO</t>
        </is>
      </c>
      <c r="B1025" s="48" t="inlineStr">
        <is>
          <t>GOLD_DERIVED</t>
        </is>
      </c>
      <c r="C1025" s="48" t="inlineStr">
        <is>
          <t>X.10</t>
        </is>
      </c>
      <c r="D1025" s="48" t="inlineStr">
        <is>
          <t>Nhom X - Bo sung Raffles</t>
        </is>
      </c>
      <c r="E1025" s="48" t="inlineStr">
        <is>
          <t>Bang raw_vault/business_vault duoc doc phai TON TAI THAT trong Data Vault model</t>
        </is>
      </c>
      <c r="F1025" s="48" t="inlineStr">
        <is>
          <t>N-A</t>
        </is>
      </c>
      <c r="G1025" s="48" t="inlineStr">
        <is>
          <t>Pass</t>
        </is>
      </c>
      <c r="H1025" s="50" t="inlineStr">
        <is>
          <t>script không đọc bảng raw_vault/business_vault nào</t>
        </is>
      </c>
      <c r="I1025" s="50" t="inlineStr"/>
      <c r="J1025" s="48" t="inlineStr">
        <is>
          <t>050. OCB_GOLD_TCKH_V_ENTRY_STMT_QUYMO_QUANG.xlsx [Script SQL: V_ENTRY_STMT_QUYMO]</t>
        </is>
      </c>
    </row>
    <row r="1026">
      <c r="A1026" s="48" t="inlineStr">
        <is>
          <t>TCKH.V_ENTRY_STMT_QUYMO</t>
        </is>
      </c>
      <c r="B1026" s="48" t="inlineStr">
        <is>
          <t>GOLD_DERIVED</t>
        </is>
      </c>
      <c r="C1026" s="48" t="inlineStr">
        <is>
          <t>X.11</t>
        </is>
      </c>
      <c r="D1026" s="48" t="inlineStr">
        <is>
          <t>Nhom X - Bo sung Raffles</t>
        </is>
      </c>
      <c r="E1026" s="48" t="inlineStr">
        <is>
          <t>Cot doc tu satellite (sat_*) phai TON TAI THAT trong model</t>
        </is>
      </c>
      <c r="F1026" s="48" t="inlineStr">
        <is>
          <t>N-A</t>
        </is>
      </c>
      <c r="G1026" s="48" t="inlineStr">
        <is>
          <t>Pass</t>
        </is>
      </c>
      <c r="H1026" s="50" t="inlineStr">
        <is>
          <t>không có bảng sat_* nào đủ điều kiện đối chiếu (Select chỉ đọc 1 bảng)</t>
        </is>
      </c>
      <c r="I1026" s="50" t="inlineStr"/>
      <c r="J1026" s="48" t="inlineStr">
        <is>
          <t>050. OCB_GOLD_TCKH_V_ENTRY_STMT_QUYMO_QUANG.xlsx [Script SQL: V_ENTRY_STMT_QUYMO]</t>
        </is>
      </c>
    </row>
    <row r="1027">
      <c r="A1027" s="48" t="inlineStr">
        <is>
          <t>TCKH.V_FTP_INTEREST_RATE_NIM_ON</t>
        </is>
      </c>
      <c r="B1027" s="48" t="inlineStr">
        <is>
          <t>GOLD_DERIVED</t>
        </is>
      </c>
      <c r="C1027" s="48" t="inlineStr">
        <is>
          <t>1.1</t>
        </is>
      </c>
      <c r="D1027" s="48" t="inlineStr">
        <is>
          <t>Nhom 1 - Mapping</t>
        </is>
      </c>
      <c r="E1027" s="48" t="inlineStr">
        <is>
          <t>Đầy đủ mapping từ Silver/manual sang Gold</t>
        </is>
      </c>
      <c r="F1027" s="49" t="inlineStr">
        <is>
          <t>PASS</t>
        </is>
      </c>
      <c r="G1027" s="48" t="inlineStr">
        <is>
          <t>Pass</t>
        </is>
      </c>
      <c r="H1027" s="50" t="inlineStr">
        <is>
          <t>workbook 051. OCB_GOLD_TCKH_V_FTP_INTEREST_RATE_NIM_ON_PHAT.xlsx: thiết kế 5 field, SQL có 5 cột</t>
        </is>
      </c>
      <c r="I10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27" s="48" t="inlineStr">
        <is>
          <t>051. OCB_GOLD_TCKH_V_FTP_INTEREST_RATE_NIM_ON_PHAT.xlsx [Script: V_FTP_INTEREST_RATE_NIM_ON]</t>
        </is>
      </c>
    </row>
    <row r="1028">
      <c r="A1028" s="48" t="inlineStr">
        <is>
          <t>TCKH.V_FTP_INTEREST_RATE_NIM_ON</t>
        </is>
      </c>
      <c r="B1028" s="48" t="inlineStr">
        <is>
          <t>GOLD_DERIVED</t>
        </is>
      </c>
      <c r="C1028" s="48" t="inlineStr">
        <is>
          <t>1.2</t>
        </is>
      </c>
      <c r="D1028" s="48" t="inlineStr">
        <is>
          <t>Nhom 1 - Mapping</t>
        </is>
      </c>
      <c r="E1028" s="48" t="inlineStr">
        <is>
          <t>Danh sách bảng/view Gold khớp tài liệu thiết kế đã duyệt</t>
        </is>
      </c>
      <c r="F1028" s="49" t="inlineStr">
        <is>
          <t>PASS</t>
        </is>
      </c>
      <c r="G1028" s="48" t="inlineStr">
        <is>
          <t>Pass</t>
        </is>
      </c>
      <c r="H1028" s="50" t="inlineStr">
        <is>
          <t>V_FTP_INTEREST_RATE_NIM_ON có workbook thiết kế: 051. OCB_GOLD_TCKH_V_FTP_INTEREST_RATE_NIM_ON_PHAT.xlsx</t>
        </is>
      </c>
      <c r="I1028" s="50" t="inlineStr">
        <is>
          <t>Đảm bảo object có workbook thiết kế tương ứng trong thư mục --mapping-dir. Muốn đối chiếu với danh sách đã duyệt thì chạy thêm tham số --gold-list "&lt;file danh sách Gold&gt;.xlsx".</t>
        </is>
      </c>
      <c r="J1028" s="48" t="inlineStr">
        <is>
          <t>051. OCB_GOLD_TCKH_V_FTP_INTEREST_RATE_NIM_ON_PHAT.xlsx [Script: V_FTP_INTEREST_RATE_NIM_ON]</t>
        </is>
      </c>
    </row>
    <row r="1029">
      <c r="A1029" s="48" t="inlineStr">
        <is>
          <t>TCKH.V_FTP_INTEREST_RATE_NIM_ON</t>
        </is>
      </c>
      <c r="B1029" s="48" t="inlineStr">
        <is>
          <t>GOLD_DERIVED</t>
        </is>
      </c>
      <c r="C1029" s="48" t="inlineStr">
        <is>
          <t>2.1</t>
        </is>
      </c>
      <c r="D1029" s="48" t="inlineStr">
        <is>
          <t>Nhom 2 - Logic</t>
        </is>
      </c>
      <c r="E1029" s="48" t="inlineStr">
        <is>
          <t>Chỉ lấy bản ghi active, loại bản ghi đã xóa (qua sts_hub)</t>
        </is>
      </c>
      <c r="F1029" s="48" t="inlineStr">
        <is>
          <t>N-A</t>
        </is>
      </c>
      <c r="G1029" s="48" t="inlineStr">
        <is>
          <t>Pass</t>
        </is>
      </c>
      <c r="H1029" s="50" t="inlineStr">
        <is>
          <t>khong ap dung cho profile GOLD_DERIVED</t>
        </is>
      </c>
      <c r="I10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29" s="48" t="inlineStr">
        <is>
          <t>051. OCB_GOLD_TCKH_V_FTP_INTEREST_RATE_NIM_ON_PHAT.xlsx [Script: V_FTP_INTEREST_RATE_NIM_ON]</t>
        </is>
      </c>
    </row>
    <row r="1030">
      <c r="A1030" s="48" t="inlineStr">
        <is>
          <t>TCKH.V_FTP_INTEREST_RATE_NIM_ON</t>
        </is>
      </c>
      <c r="B1030" s="48" t="inlineStr">
        <is>
          <t>GOLD_DERIVED</t>
        </is>
      </c>
      <c r="C1030" s="48" t="inlineStr">
        <is>
          <t>2.2</t>
        </is>
      </c>
      <c r="D1030" s="48" t="inlineStr">
        <is>
          <t>Nhom 2 - Logic</t>
        </is>
      </c>
      <c r="E1030" s="48" t="inlineStr">
        <is>
          <t>Thống nhất MỘT pattern duy nhất xác định bản ghi active mới nhất</t>
        </is>
      </c>
      <c r="F1030" s="48" t="inlineStr">
        <is>
          <t>N-A</t>
        </is>
      </c>
      <c r="G1030" s="48" t="inlineStr">
        <is>
          <t>Pass</t>
        </is>
      </c>
      <c r="H1030" s="50" t="inlineStr">
        <is>
          <t>khong ap dung cho profile GOLD_DERIVED</t>
        </is>
      </c>
      <c r="I10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30" s="48" t="inlineStr">
        <is>
          <t>051. OCB_GOLD_TCKH_V_FTP_INTEREST_RATE_NIM_ON_PHAT.xlsx [Script: V_FTP_INTEREST_RATE_NIM_ON]</t>
        </is>
      </c>
    </row>
    <row r="1031">
      <c r="A1031" s="48" t="inlineStr">
        <is>
          <t>TCKH.V_FTP_INTEREST_RATE_NIM_ON</t>
        </is>
      </c>
      <c r="B1031" s="48" t="inlineStr">
        <is>
          <t>GOLD_DERIVED</t>
        </is>
      </c>
      <c r="C1031" s="48" t="inlineStr">
        <is>
          <t>2.3</t>
        </is>
      </c>
      <c r="D1031" s="48" t="inlineStr">
        <is>
          <t>Nhom 2 - Logic</t>
        </is>
      </c>
      <c r="E1031" s="48" t="inlineStr">
        <is>
          <t>Điều kiện lọc trạng thái đặt SAU khi xác định bản ghi mới nhất</t>
        </is>
      </c>
      <c r="F1031" s="49" t="inlineStr">
        <is>
          <t>PASS</t>
        </is>
      </c>
      <c r="G1031" s="48" t="inlineStr">
        <is>
          <t>Pass</t>
        </is>
      </c>
      <c r="H1031" s="50" t="inlineStr">
        <is>
          <t>không có điều kiện trạng thái nào lồng trong JOIN ON</t>
        </is>
      </c>
      <c r="I10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31" s="48" t="inlineStr">
        <is>
          <t>051. OCB_GOLD_TCKH_V_FTP_INTEREST_RATE_NIM_ON_PHAT.xlsx [Script: V_FTP_INTEREST_RATE_NIM_ON]</t>
        </is>
      </c>
    </row>
    <row r="1032">
      <c r="A1032" s="48" t="inlineStr">
        <is>
          <t>TCKH.V_FTP_INTEREST_RATE_NIM_ON</t>
        </is>
      </c>
      <c r="B1032" s="48" t="inlineStr">
        <is>
          <t>GOLD_DERIVED</t>
        </is>
      </c>
      <c r="C1032" s="48" t="inlineStr">
        <is>
          <t>2.4</t>
        </is>
      </c>
      <c r="D1032" s="48" t="inlineStr">
        <is>
          <t>Nhom 2 - Logic</t>
        </is>
      </c>
      <c r="E1032" s="48" t="inlineStr">
        <is>
          <t>source_event_date áp dụng đúng dạng theo loại bảng</t>
        </is>
      </c>
      <c r="F1032" s="48" t="inlineStr">
        <is>
          <t>N-A</t>
        </is>
      </c>
      <c r="G1032" s="48" t="inlineStr">
        <is>
          <t>Pass</t>
        </is>
      </c>
      <c r="H1032" s="50" t="inlineStr">
        <is>
          <t>khong ap dung cho profile GOLD_DERIVED</t>
        </is>
      </c>
      <c r="I10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32" s="48" t="inlineStr">
        <is>
          <t>051. OCB_GOLD_TCKH_V_FTP_INTEREST_RATE_NIM_ON_PHAT.xlsx [Script: V_FTP_INTEREST_RATE_NIM_ON]</t>
        </is>
      </c>
    </row>
    <row r="1033">
      <c r="A1033" s="48" t="inlineStr">
        <is>
          <t>TCKH.V_FTP_INTEREST_RATE_NIM_ON</t>
        </is>
      </c>
      <c r="B1033" s="48" t="inlineStr">
        <is>
          <t>GOLD_DERIVED</t>
        </is>
      </c>
      <c r="C1033" s="48" t="inlineStr">
        <is>
          <t>2.5</t>
        </is>
      </c>
      <c r="D1033" s="48" t="inlineStr">
        <is>
          <t>Nhom 2 - Logic</t>
        </is>
      </c>
      <c r="E1033" s="48" t="inlineStr">
        <is>
          <t>Không lặp lại lỗi logic cũ đã được DA Data Vault fix</t>
        </is>
      </c>
      <c r="F1033" s="49" t="inlineStr">
        <is>
          <t>PASS</t>
        </is>
      </c>
      <c r="G1033" s="48" t="inlineStr">
        <is>
          <t>Pass</t>
        </is>
      </c>
      <c r="H1033" s="50" t="inlineStr">
        <is>
          <t>không trùng lỗi nào trong Issue log của DA Data Vault</t>
        </is>
      </c>
      <c r="I10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33" s="48" t="inlineStr">
        <is>
          <t>051. OCB_GOLD_TCKH_V_FTP_INTEREST_RATE_NIM_ON_PHAT.xlsx [Script: V_FTP_INTEREST_RATE_NIM_ON]</t>
        </is>
      </c>
    </row>
    <row r="1034">
      <c r="A1034" s="48" t="inlineStr">
        <is>
          <t>TCKH.V_FTP_INTEREST_RATE_NIM_ON</t>
        </is>
      </c>
      <c r="B1034" s="48" t="inlineStr">
        <is>
          <t>GOLD_DERIVED</t>
        </is>
      </c>
      <c r="C1034" s="48" t="inlineStr">
        <is>
          <t>2.6</t>
        </is>
      </c>
      <c r="D1034" s="48" t="inlineStr">
        <is>
          <t>Nhom 2 - Logic</t>
        </is>
      </c>
      <c r="E1034" s="48" t="inlineStr">
        <is>
          <t>SCD Type 2 cho bảng DIM áp dụng đúng kỹ thuật đã thống nhất</t>
        </is>
      </c>
      <c r="F1034" s="48" t="inlineStr">
        <is>
          <t>N-A</t>
        </is>
      </c>
      <c r="G1034" s="48" t="inlineStr">
        <is>
          <t>Pass</t>
        </is>
      </c>
      <c r="H1034" s="50" t="inlineStr">
        <is>
          <t>object không phải bảng DIM nên không áp dụng SCD Type 2</t>
        </is>
      </c>
      <c r="I10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34" s="48" t="inlineStr">
        <is>
          <t>051. OCB_GOLD_TCKH_V_FTP_INTEREST_RATE_NIM_ON_PHAT.xlsx [Script: V_FTP_INTEREST_RATE_NIM_ON]</t>
        </is>
      </c>
    </row>
    <row r="1035">
      <c r="A1035" s="48" t="inlineStr">
        <is>
          <t>TCKH.V_FTP_INTEREST_RATE_NIM_ON</t>
        </is>
      </c>
      <c r="B1035" s="48" t="inlineStr">
        <is>
          <t>GOLD_DERIVED</t>
        </is>
      </c>
      <c r="C1035" s="48" t="inlineStr">
        <is>
          <t>2.7</t>
        </is>
      </c>
      <c r="D1035" s="48" t="inlineStr">
        <is>
          <t>Nhom 2 - Logic</t>
        </is>
      </c>
      <c r="E1035" s="48" t="inlineStr">
        <is>
          <t>CASE WHEN cover đủ nhánh như job on-prem</t>
        </is>
      </c>
      <c r="F1035" s="48" t="inlineStr">
        <is>
          <t>N-A</t>
        </is>
      </c>
      <c r="G1035" s="48" t="inlineStr">
        <is>
          <t>Pass</t>
        </is>
      </c>
      <c r="H1035" s="50" t="inlineStr">
        <is>
          <t>script không có CASE WHEN nào</t>
        </is>
      </c>
      <c r="I1035" s="50" t="inlineStr">
        <is>
          <t>Mở job on-prem tương ứng (DataStage DSX hoặc SQL cũ), đối chiếu từng nhánh WHEN và cả nhánh ELSE. CASE không có ELSE sẽ trả NULL âm thầm — xác nhận đó là ý muốn hay thiếu nhánh.</t>
        </is>
      </c>
      <c r="J1035" s="48" t="inlineStr">
        <is>
          <t>051. OCB_GOLD_TCKH_V_FTP_INTEREST_RATE_NIM_ON_PHAT.xlsx [Script: V_FTP_INTEREST_RATE_NIM_ON]</t>
        </is>
      </c>
    </row>
    <row r="1036">
      <c r="A1036" s="48" t="inlineStr">
        <is>
          <t>TCKH.V_FTP_INTEREST_RATE_NIM_ON</t>
        </is>
      </c>
      <c r="B1036" s="48" t="inlineStr">
        <is>
          <t>GOLD_DERIVED</t>
        </is>
      </c>
      <c r="C1036" s="48" t="inlineStr">
        <is>
          <t>2.8</t>
        </is>
      </c>
      <c r="D1036" s="48" t="inlineStr">
        <is>
          <t>Nhom 2 - Logic</t>
        </is>
      </c>
      <c r="E1036" s="48" t="inlineStr">
        <is>
          <t>Cột SUM/COUNT được COALESCE/NVL hợp lý</t>
        </is>
      </c>
      <c r="F1036" s="49" t="inlineStr">
        <is>
          <t>PASS</t>
        </is>
      </c>
      <c r="G1036" s="48" t="inlineStr">
        <is>
          <t>Pass</t>
        </is>
      </c>
      <c r="H1036" s="50" t="inlineStr">
        <is>
          <t>mọi SUM/COUNT đều đã coalesce (trực tiếp hoặc ở lớp ngoài)</t>
        </is>
      </c>
      <c r="I10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36" s="48" t="inlineStr">
        <is>
          <t>051. OCB_GOLD_TCKH_V_FTP_INTEREST_RATE_NIM_ON_PHAT.xlsx [Script: V_FTP_INTEREST_RATE_NIM_ON]</t>
        </is>
      </c>
    </row>
    <row r="1037">
      <c r="A1037" s="48" t="inlineStr">
        <is>
          <t>TCKH.V_FTP_INTEREST_RATE_NIM_ON</t>
        </is>
      </c>
      <c r="B1037" s="48" t="inlineStr">
        <is>
          <t>GOLD_DERIVED</t>
        </is>
      </c>
      <c r="C1037" s="48" t="inlineStr">
        <is>
          <t>2.9</t>
        </is>
      </c>
      <c r="D1037" s="48" t="inlineStr">
        <is>
          <t>Nhom 2 - Logic</t>
        </is>
      </c>
      <c r="E1037" s="48" t="inlineStr">
        <is>
          <t>Subquery / custom function / điều kiện LIKE đúng ý nghĩa nghiệp vụ</t>
        </is>
      </c>
      <c r="F1037" s="48" t="inlineStr">
        <is>
          <t>N-A</t>
        </is>
      </c>
      <c r="G1037" s="48" t="inlineStr">
        <is>
          <t>Pass</t>
        </is>
      </c>
      <c r="H1037" s="50" t="inlineStr">
        <is>
          <t>script không có điều kiện LIKE hay scalar subquery nào</t>
        </is>
      </c>
      <c r="I1037" s="50" t="inlineStr">
        <is>
          <t>Đọc lại từng điều kiện LIKE và từng subquery, đối chiếu ý nghĩa nghiệp vụ với on-prem — đúng cú pháp không đủ. Chú ý pattern LIKE có ký tự % ở đầu/cuối và phân biệt chữ hoa/thường.</t>
        </is>
      </c>
      <c r="J1037" s="48" t="inlineStr">
        <is>
          <t>051. OCB_GOLD_TCKH_V_FTP_INTEREST_RATE_NIM_ON_PHAT.xlsx [Script: V_FTP_INTEREST_RATE_NIM_ON]</t>
        </is>
      </c>
    </row>
    <row r="1038">
      <c r="A1038" s="48" t="inlineStr">
        <is>
          <t>TCKH.V_FTP_INTEREST_RATE_NIM_ON</t>
        </is>
      </c>
      <c r="B1038" s="48" t="inlineStr">
        <is>
          <t>GOLD_DERIVED</t>
        </is>
      </c>
      <c r="C1038" s="48" t="inlineStr">
        <is>
          <t>2.10</t>
        </is>
      </c>
      <c r="D1038" s="48" t="inlineStr">
        <is>
          <t>Nhom 2 - Logic</t>
        </is>
      </c>
      <c r="E1038" s="48" t="inlineStr">
        <is>
          <t>Aggregation kèm filter date range chính xác</t>
        </is>
      </c>
      <c r="F1038" s="49" t="inlineStr">
        <is>
          <t>PASS</t>
        </is>
      </c>
      <c r="G1038" s="48" t="inlineStr">
        <is>
          <t>Pass</t>
        </is>
      </c>
      <c r="H1038" s="50" t="inlineStr">
        <is>
          <t>mọi khối tổng hợp đều có điều kiện theo kỳ dữ liệu</t>
        </is>
      </c>
      <c r="I1038" s="50" t="inlineStr">
        <is>
          <t>Mỗi khối SUM/COUNT/AVG phải có điều kiện lọc theo kỳ dữ liệu (CDR_DT_ID, DATA_DATE, :DATADT…). Nếu điều kiện nằm ở CTE nguồn thì ghi rõ trong comment để người review không phải truy ngược.</t>
        </is>
      </c>
      <c r="J1038" s="48" t="inlineStr">
        <is>
          <t>051. OCB_GOLD_TCKH_V_FTP_INTEREST_RATE_NIM_ON_PHAT.xlsx [Script: V_FTP_INTEREST_RATE_NIM_ON]</t>
        </is>
      </c>
    </row>
    <row r="1039">
      <c r="A1039" s="48" t="inlineStr">
        <is>
          <t>TCKH.V_FTP_INTEREST_RATE_NIM_ON</t>
        </is>
      </c>
      <c r="B1039" s="48" t="inlineStr">
        <is>
          <t>GOLD_DERIVED</t>
        </is>
      </c>
      <c r="C1039" s="48" t="inlineStr">
        <is>
          <t>2.11</t>
        </is>
      </c>
      <c r="D1039" s="48" t="inlineStr">
        <is>
          <t>Nhom 2 - Logic</t>
        </is>
      </c>
      <c r="E1039" s="48" t="inlineStr">
        <is>
          <t>Join dùng key hợp lý, không lạm dụng UNION ALL + EXISTS/NOT EXISTS</t>
        </is>
      </c>
      <c r="F1039" s="49" t="inlineStr">
        <is>
          <t>PASS</t>
        </is>
      </c>
      <c r="G1039" s="48" t="inlineStr">
        <is>
          <t>Pass</t>
        </is>
      </c>
      <c r="H1039" s="50" t="inlineStr">
        <is>
          <t>join đều theo điều kiện bằng, không lạm dụng UNION ALL + EXISTS</t>
        </is>
      </c>
      <c r="I1039" s="50" t="inlineStr">
        <is>
          <t>Ưu tiên LEFT JOIN theo business key hoặc hashkey. Xem lại các chỗ dùng UNION ALL kết hợp EXISTS/NOT EXISTS — thường thay được bằng một LEFT JOIN. Join không có điều kiện bằng (=) dễ tạo tích Descartes.</t>
        </is>
      </c>
      <c r="J1039" s="48" t="inlineStr">
        <is>
          <t>051. OCB_GOLD_TCKH_V_FTP_INTEREST_RATE_NIM_ON_PHAT.xlsx [Script: V_FTP_INTEREST_RATE_NIM_ON]</t>
        </is>
      </c>
    </row>
    <row r="1040">
      <c r="A1040" s="48" t="inlineStr">
        <is>
          <t>TCKH.V_FTP_INTEREST_RATE_NIM_ON</t>
        </is>
      </c>
      <c r="B1040" s="48" t="inlineStr">
        <is>
          <t>GOLD_DERIVED</t>
        </is>
      </c>
      <c r="C1040" s="48" t="inlineStr">
        <is>
          <t>2.12</t>
        </is>
      </c>
      <c r="D1040" s="48" t="inlineStr">
        <is>
          <t>Nhom 2 - Logic</t>
        </is>
      </c>
      <c r="E1040" s="48" t="inlineStr">
        <is>
          <t>Build Gold từ CTE snapshot Silver, không build nhiều tầng chồng chéo</t>
        </is>
      </c>
      <c r="F1040" s="49" t="inlineStr">
        <is>
          <t>PASS</t>
        </is>
      </c>
      <c r="G1040" s="48" t="inlineStr">
        <is>
          <t>Pass</t>
        </is>
      </c>
      <c r="H1040" s="50" t="inlineStr">
        <is>
          <t>mỗi bảng nguồn chỉ đọc trong 1 khối SELECT</t>
        </is>
      </c>
      <c r="I10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40" s="48" t="inlineStr">
        <is>
          <t>051. OCB_GOLD_TCKH_V_FTP_INTEREST_RATE_NIM_ON_PHAT.xlsx [Script: V_FTP_INTEREST_RATE_NIM_ON]</t>
        </is>
      </c>
    </row>
    <row r="1041">
      <c r="A1041" s="48" t="inlineStr">
        <is>
          <t>TCKH.V_FTP_INTEREST_RATE_NIM_ON</t>
        </is>
      </c>
      <c r="B1041" s="48" t="inlineStr">
        <is>
          <t>GOLD_DERIVED</t>
        </is>
      </c>
      <c r="C1041" s="48" t="inlineStr">
        <is>
          <t>3.1</t>
        </is>
      </c>
      <c r="D1041" s="48" t="inlineStr">
        <is>
          <t>Nhom 3 - Optimization</t>
        </is>
      </c>
      <c r="E1041" s="48" t="inlineStr">
        <is>
          <t>Không SELECT *</t>
        </is>
      </c>
      <c r="F1041" s="49" t="inlineStr">
        <is>
          <t>PASS</t>
        </is>
      </c>
      <c r="G1041" s="48" t="inlineStr">
        <is>
          <t>Pass</t>
        </is>
      </c>
      <c r="H1041" s="50" t="inlineStr">
        <is>
          <t>không dùng SELECT * ở đâu</t>
        </is>
      </c>
      <c r="I1041" s="50" t="inlineStr">
        <is>
          <t>Liệt kê tường minh các cột cần dùng, kể cả trong CTE trung gian. SELECT * làm tăng IO/memory và vỡ script khi bảng nguồn thêm cột.</t>
        </is>
      </c>
      <c r="J1041" s="48" t="inlineStr">
        <is>
          <t>051. OCB_GOLD_TCKH_V_FTP_INTEREST_RATE_NIM_ON_PHAT.xlsx [Script: V_FTP_INTEREST_RATE_NIM_ON]</t>
        </is>
      </c>
    </row>
    <row r="1042">
      <c r="A1042" s="48" t="inlineStr">
        <is>
          <t>TCKH.V_FTP_INTEREST_RATE_NIM_ON</t>
        </is>
      </c>
      <c r="B1042" s="48" t="inlineStr">
        <is>
          <t>GOLD_DERIVED</t>
        </is>
      </c>
      <c r="C1042" s="48" t="inlineStr">
        <is>
          <t>3.2</t>
        </is>
      </c>
      <c r="D1042" s="48" t="inlineStr">
        <is>
          <t>Nhom 3 - Optimization</t>
        </is>
      </c>
      <c r="E1042" s="48" t="inlineStr">
        <is>
          <t>CTE không bị scan lại nhiều lần</t>
        </is>
      </c>
      <c r="F1042" s="49" t="inlineStr">
        <is>
          <t>PASS</t>
        </is>
      </c>
      <c r="G1042" s="48" t="inlineStr">
        <is>
          <t>Pass</t>
        </is>
      </c>
      <c r="H1042" s="50" t="inlineStr">
        <is>
          <t>không có CTE nào bị gọi lại</t>
        </is>
      </c>
      <c r="I1042" s="50" t="inlineStr">
        <is>
          <t>Với CTE nặng (đọc nhiều bảng Silver) bị tham chiếu từ 2 chỗ trở lên: gom lại còn một lần dùng, hoặc vật chất hóa (CACHE / bảng tạm). CTE nhẹ chỉ chứa tham số thì bỏ qua được — tự tick Pass.</t>
        </is>
      </c>
      <c r="J1042" s="48" t="inlineStr">
        <is>
          <t>051. OCB_GOLD_TCKH_V_FTP_INTEREST_RATE_NIM_ON_PHAT.xlsx [Script: V_FTP_INTEREST_RATE_NIM_ON]</t>
        </is>
      </c>
    </row>
    <row r="1043">
      <c r="A1043" s="48" t="inlineStr">
        <is>
          <t>TCKH.V_FTP_INTEREST_RATE_NIM_ON</t>
        </is>
      </c>
      <c r="B1043" s="48" t="inlineStr">
        <is>
          <t>GOLD_DERIVED</t>
        </is>
      </c>
      <c r="C1043" s="48" t="inlineStr">
        <is>
          <t>3.3</t>
        </is>
      </c>
      <c r="D1043" s="48" t="inlineStr">
        <is>
          <t>Nhom 3 - Optimization</t>
        </is>
      </c>
      <c r="E1043" s="48" t="inlineStr">
        <is>
          <t>Filter trước khi join, tận dụng partition pruning</t>
        </is>
      </c>
      <c r="F1043" s="49" t="inlineStr">
        <is>
          <t>PASS</t>
        </is>
      </c>
      <c r="G1043" s="48" t="inlineStr">
        <is>
          <t>Pass</t>
        </is>
      </c>
      <c r="H1043" s="50" t="inlineStr">
        <is>
          <t>các bảng join đều được filter trước</t>
        </is>
      </c>
      <c r="I1043" s="50" t="inlineStr">
        <is>
          <t>Đưa điều kiện lọc (ngày dữ liệu, trạng thái) vào subquery của từng bảng TRƯỚC khi join, để tận dụng partition pruning. Bảng dim nhỏ không partition thì không cần — tự tick Pass.</t>
        </is>
      </c>
      <c r="J1043" s="48" t="inlineStr">
        <is>
          <t>051. OCB_GOLD_TCKH_V_FTP_INTEREST_RATE_NIM_ON_PHAT.xlsx [Script: V_FTP_INTEREST_RATE_NIM_ON]</t>
        </is>
      </c>
    </row>
    <row r="1044">
      <c r="A1044" s="48" t="inlineStr">
        <is>
          <t>TCKH.V_FTP_INTEREST_RATE_NIM_ON</t>
        </is>
      </c>
      <c r="B1044" s="48" t="inlineStr">
        <is>
          <t>GOLD_DERIVED</t>
        </is>
      </c>
      <c r="C1044" s="48" t="inlineStr">
        <is>
          <t>3.4</t>
        </is>
      </c>
      <c r="D1044" s="48" t="inlineStr">
        <is>
          <t>Nhom 3 - Optimization</t>
        </is>
      </c>
      <c r="E1044" s="48" t="inlineStr">
        <is>
          <t>Sử dụng CACHE cho query lặp lại trong cùng luồng</t>
        </is>
      </c>
      <c r="F1044" s="48" t="inlineStr">
        <is>
          <t>N-A</t>
        </is>
      </c>
      <c r="G1044" s="48" t="inlineStr">
        <is>
          <t>Pass</t>
        </is>
      </c>
      <c r="H1044" s="50" t="inlineStr">
        <is>
          <t>không có kết quả nào được dùng lại nhiều lần nên chưa cần CACHE</t>
        </is>
      </c>
      <c r="I1044" s="50" t="inlineStr">
        <is>
          <t>Nếu một kết quả nặng được dùng lại nhiều bước trong cùng luồng, thêm CACHE TABLE / CACHE SELECT. Kết quả nhỏ thì cache còn chậm hơn — tự tick Pass.</t>
        </is>
      </c>
      <c r="J1044" s="48" t="inlineStr">
        <is>
          <t>051. OCB_GOLD_TCKH_V_FTP_INTEREST_RATE_NIM_ON_PHAT.xlsx [Script: V_FTP_INTEREST_RATE_NIM_ON]</t>
        </is>
      </c>
    </row>
    <row r="1045">
      <c r="A1045" s="48" t="inlineStr">
        <is>
          <t>TCKH.V_FTP_INTEREST_RATE_NIM_ON</t>
        </is>
      </c>
      <c r="B1045" s="48" t="inlineStr">
        <is>
          <t>GOLD_DERIVED</t>
        </is>
      </c>
      <c r="C1045" s="48" t="inlineStr">
        <is>
          <t>3.5</t>
        </is>
      </c>
      <c r="D1045" s="48" t="inlineStr">
        <is>
          <t>Nhom 3 - Optimization</t>
        </is>
      </c>
      <c r="E1045" s="48" t="inlineStr">
        <is>
          <t>Ưu tiên MAX_BY + QUALIFY thay ROW_NUMBER() + WHERE rn = 1</t>
        </is>
      </c>
      <c r="F1045" s="48" t="inlineStr">
        <is>
          <t>N-A</t>
        </is>
      </c>
      <c r="G1045" s="48" t="inlineStr">
        <is>
          <t>Pass</t>
        </is>
      </c>
      <c r="H1045" s="50" t="inlineStr">
        <is>
          <t>script không dùng ROW_NUMBER, và MAX_BY (nếu có) không vượt quá 5 cột/khối</t>
        </is>
      </c>
      <c r="I10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45" s="48" t="inlineStr">
        <is>
          <t>051. OCB_GOLD_TCKH_V_FTP_INTEREST_RATE_NIM_ON_PHAT.xlsx [Script: V_FTP_INTEREST_RATE_NIM_ON]</t>
        </is>
      </c>
    </row>
    <row r="1046">
      <c r="A1046" s="48" t="inlineStr">
        <is>
          <t>TCKH.V_FTP_INTEREST_RATE_NIM_ON</t>
        </is>
      </c>
      <c r="B1046" s="48" t="inlineStr">
        <is>
          <t>GOLD_DERIVED</t>
        </is>
      </c>
      <c r="C1046" s="48" t="inlineStr">
        <is>
          <t>3.6</t>
        </is>
      </c>
      <c r="D1046" s="48" t="inlineStr">
        <is>
          <t>Nhom 3 - Optimization</t>
        </is>
      </c>
      <c r="E1046" s="48" t="inlineStr">
        <is>
          <t>Không lạm dụng window function; có comment khi dùng</t>
        </is>
      </c>
      <c r="F1046" s="48" t="inlineStr">
        <is>
          <t>N-A</t>
        </is>
      </c>
      <c r="G1046" s="48" t="inlineStr">
        <is>
          <t>Pass</t>
        </is>
      </c>
      <c r="H1046" s="50" t="inlineStr">
        <is>
          <t>script không dùng window function</t>
        </is>
      </c>
      <c r="I1046" s="50" t="inlineStr">
        <is>
          <t>Mỗi window function cần một comment ngay trên khối CTE chứa nó, nói rõ vì sao không dùng được max_by/QUALIFY đơn giản hơn.</t>
        </is>
      </c>
      <c r="J1046" s="48" t="inlineStr">
        <is>
          <t>051. OCB_GOLD_TCKH_V_FTP_INTEREST_RATE_NIM_ON_PHAT.xlsx [Script: V_FTP_INTEREST_RATE_NIM_ON]</t>
        </is>
      </c>
    </row>
    <row r="1047">
      <c r="A1047" s="48" t="inlineStr">
        <is>
          <t>TCKH.V_FTP_INTEREST_RATE_NIM_ON</t>
        </is>
      </c>
      <c r="B1047" s="48" t="inlineStr">
        <is>
          <t>GOLD_DERIVED</t>
        </is>
      </c>
      <c r="C1047" s="48" t="inlineStr">
        <is>
          <t>X.1</t>
        </is>
      </c>
      <c r="D1047" s="48" t="inlineStr">
        <is>
          <t>Nhom X - Bo sung Raffles</t>
        </is>
      </c>
      <c r="E1047" s="48" t="inlineStr">
        <is>
          <t>[Bổ sung] Link phải rút về current trước khi join (chống fan-out)</t>
        </is>
      </c>
      <c r="F1047" s="48" t="inlineStr">
        <is>
          <t>N-A</t>
        </is>
      </c>
      <c r="G1047" s="48" t="inlineStr">
        <is>
          <t>Pass</t>
        </is>
      </c>
      <c r="H1047" s="50" t="inlineStr">
        <is>
          <t>khong ap dung cho profile GOLD_DERIVED</t>
        </is>
      </c>
      <c r="I10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47" s="48" t="inlineStr">
        <is>
          <t>051. OCB_GOLD_TCKH_V_FTP_INTEREST_RATE_NIM_ON_PHAT.xlsx [Script: V_FTP_INTEREST_RATE_NIM_ON]</t>
        </is>
      </c>
    </row>
    <row r="1048">
      <c r="A1048" s="48" t="inlineStr">
        <is>
          <t>TCKH.V_FTP_INTEREST_RATE_NIM_ON</t>
        </is>
      </c>
      <c r="B1048" s="48" t="inlineStr">
        <is>
          <t>GOLD_DERIVED</t>
        </is>
      </c>
      <c r="C1048" s="48" t="inlineStr">
        <is>
          <t>X.6</t>
        </is>
      </c>
      <c r="D1048" s="48" t="inlineStr">
        <is>
          <t>Nhom X - Bo sung Raffles</t>
        </is>
      </c>
      <c r="E1048" s="48" t="inlineStr">
        <is>
          <t>[Bổ sung] Satellite phải LEFT JOIN, không INNER JOIN</t>
        </is>
      </c>
      <c r="F1048" s="48" t="inlineStr">
        <is>
          <t>N-A</t>
        </is>
      </c>
      <c r="G1048" s="48" t="inlineStr">
        <is>
          <t>Pass</t>
        </is>
      </c>
      <c r="H1048" s="50" t="inlineStr">
        <is>
          <t>khong ap dung cho profile GOLD_DERIVED</t>
        </is>
      </c>
      <c r="I1048" s="50" t="inlineStr">
        <is>
          <t>Technical Document III.4.2.2 nguyên tắc 1: làm giàu thuộc tính luôn dùng LEFT JOIN. INNER JOIN satellite sẽ loại mất bản ghi Hub đang còn hiệu lực nhưng chưa có dòng satellite.</t>
        </is>
      </c>
      <c r="J1048" s="48" t="inlineStr">
        <is>
          <t>051. OCB_GOLD_TCKH_V_FTP_INTEREST_RATE_NIM_ON_PHAT.xlsx [Script: V_FTP_INTEREST_RATE_NIM_ON]</t>
        </is>
      </c>
    </row>
    <row r="1049">
      <c r="A1049" s="48" t="inlineStr">
        <is>
          <t>TCKH.V_FTP_INTEREST_RATE_NIM_ON</t>
        </is>
      </c>
      <c r="B1049" s="48" t="inlineStr">
        <is>
          <t>GOLD_DERIVED</t>
        </is>
      </c>
      <c r="C1049" s="48" t="inlineStr">
        <is>
          <t>X.7</t>
        </is>
      </c>
      <c r="D1049" s="48" t="inlineStr">
        <is>
          <t>Nhom X - Bo sung Raffles</t>
        </is>
      </c>
      <c r="E1049" s="48" t="inlineStr">
        <is>
          <t>[Bổ sung] Không hard-code catalog, dùng biến môi trường</t>
        </is>
      </c>
      <c r="F1049" s="49" t="inlineStr">
        <is>
          <t>PASS</t>
        </is>
      </c>
      <c r="G1049" s="48" t="inlineStr">
        <is>
          <t>Pass</t>
        </is>
      </c>
      <c r="H1049" s="50" t="inlineStr">
        <is>
          <t>dùng biến môi trường cho catalog</t>
        </is>
      </c>
      <c r="I10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49" s="48" t="inlineStr">
        <is>
          <t>051. OCB_GOLD_TCKH_V_FTP_INTEREST_RATE_NIM_ON_PHAT.xlsx [Script: V_FTP_INTEREST_RATE_NIM_ON]</t>
        </is>
      </c>
    </row>
    <row r="1050">
      <c r="A1050" s="48" t="inlineStr">
        <is>
          <t>TCKH.V_FTP_INTEREST_RATE_NIM_ON</t>
        </is>
      </c>
      <c r="B1050" s="48" t="inlineStr">
        <is>
          <t>GOLD_DERIVED</t>
        </is>
      </c>
      <c r="C1050" s="48" t="inlineStr">
        <is>
          <t>X.10</t>
        </is>
      </c>
      <c r="D1050" s="48" t="inlineStr">
        <is>
          <t>Nhom X - Bo sung Raffles</t>
        </is>
      </c>
      <c r="E1050" s="48" t="inlineStr">
        <is>
          <t>Bang raw_vault/business_vault duoc doc phai TON TAI THAT trong Data Vault model</t>
        </is>
      </c>
      <c r="F1050" s="48" t="inlineStr">
        <is>
          <t>N-A</t>
        </is>
      </c>
      <c r="G1050" s="48" t="inlineStr">
        <is>
          <t>Pass</t>
        </is>
      </c>
      <c r="H1050" s="50" t="inlineStr">
        <is>
          <t>script không đọc bảng raw_vault/business_vault nào</t>
        </is>
      </c>
      <c r="I1050" s="50" t="inlineStr"/>
      <c r="J1050" s="48" t="inlineStr">
        <is>
          <t>051. OCB_GOLD_TCKH_V_FTP_INTEREST_RATE_NIM_ON_PHAT.xlsx [Script: V_FTP_INTEREST_RATE_NIM_ON]</t>
        </is>
      </c>
    </row>
    <row r="1051">
      <c r="A1051" s="48" t="inlineStr">
        <is>
          <t>TCKH.V_FTP_INTEREST_RATE_NIM_ON</t>
        </is>
      </c>
      <c r="B1051" s="48" t="inlineStr">
        <is>
          <t>GOLD_DERIVED</t>
        </is>
      </c>
      <c r="C1051" s="48" t="inlineStr">
        <is>
          <t>X.11</t>
        </is>
      </c>
      <c r="D1051" s="48" t="inlineStr">
        <is>
          <t>Nhom X - Bo sung Raffles</t>
        </is>
      </c>
      <c r="E1051" s="48" t="inlineStr">
        <is>
          <t>Cot doc tu satellite (sat_*) phai TON TAI THAT trong model</t>
        </is>
      </c>
      <c r="F1051" s="48" t="inlineStr">
        <is>
          <t>N-A</t>
        </is>
      </c>
      <c r="G1051" s="48" t="inlineStr">
        <is>
          <t>Pass</t>
        </is>
      </c>
      <c r="H1051" s="50" t="inlineStr">
        <is>
          <t>không có bảng sat_* nào đủ điều kiện đối chiếu (Select chỉ đọc 1 bảng)</t>
        </is>
      </c>
      <c r="I1051" s="50" t="inlineStr"/>
      <c r="J1051" s="48" t="inlineStr">
        <is>
          <t>051. OCB_GOLD_TCKH_V_FTP_INTEREST_RATE_NIM_ON_PHAT.xlsx [Script: V_FTP_INTEREST_RATE_NIM_ON]</t>
        </is>
      </c>
    </row>
    <row r="1052">
      <c r="A1052" s="48" t="inlineStr">
        <is>
          <t>TCKH.V_FTP_RATE</t>
        </is>
      </c>
      <c r="B1052" s="48" t="inlineStr">
        <is>
          <t>GOLD_DERIVED</t>
        </is>
      </c>
      <c r="C1052" s="48" t="inlineStr">
        <is>
          <t>1.1</t>
        </is>
      </c>
      <c r="D1052" s="48" t="inlineStr">
        <is>
          <t>Nhom 1 - Mapping</t>
        </is>
      </c>
      <c r="E1052" s="48" t="inlineStr">
        <is>
          <t>Đầy đủ mapping từ Silver/manual sang Gold</t>
        </is>
      </c>
      <c r="F1052" s="52" t="inlineStr">
        <is>
          <t>FAIL</t>
        </is>
      </c>
      <c r="G1052" s="48" t="inlineStr">
        <is>
          <t>Fail</t>
        </is>
      </c>
      <c r="H1052" s="50" t="inlineStr">
        <is>
          <t>workbook 052. OCB_GOLD_TCKH_V_FTP_RATE_PHAT.xlsx: thiết kế 7 field, SQL có 7 cột; SQL THIẾU 1 cột có trong thiết kế: ['PD_FTP_RATE']; SQL có 1 cột KHÔNG có trong thiết kế: ['FTP_PD_RATE']</t>
        </is>
      </c>
      <c r="I10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52" s="48" t="inlineStr">
        <is>
          <t>052. OCB_GOLD_TCKH_V_FTP_RATE_PHAT.xlsx [Script: V_FTP_RATE]</t>
        </is>
      </c>
    </row>
    <row r="1053">
      <c r="A1053" s="48" t="inlineStr">
        <is>
          <t>TCKH.V_FTP_RATE</t>
        </is>
      </c>
      <c r="B1053" s="48" t="inlineStr">
        <is>
          <t>GOLD_DERIVED</t>
        </is>
      </c>
      <c r="C1053" s="48" t="inlineStr">
        <is>
          <t>1.2</t>
        </is>
      </c>
      <c r="D1053" s="48" t="inlineStr">
        <is>
          <t>Nhom 1 - Mapping</t>
        </is>
      </c>
      <c r="E1053" s="48" t="inlineStr">
        <is>
          <t>Danh sách bảng/view Gold khớp tài liệu thiết kế đã duyệt</t>
        </is>
      </c>
      <c r="F1053" s="49" t="inlineStr">
        <is>
          <t>PASS</t>
        </is>
      </c>
      <c r="G1053" s="48" t="inlineStr">
        <is>
          <t>Pass</t>
        </is>
      </c>
      <c r="H1053" s="50" t="inlineStr">
        <is>
          <t>V_FTP_RATE có workbook thiết kế: 052. OCB_GOLD_TCKH_V_FTP_RATE_PHAT.xlsx</t>
        </is>
      </c>
      <c r="I1053" s="50" t="inlineStr">
        <is>
          <t>Đảm bảo object có workbook thiết kế tương ứng trong thư mục --mapping-dir. Muốn đối chiếu với danh sách đã duyệt thì chạy thêm tham số --gold-list "&lt;file danh sách Gold&gt;.xlsx".</t>
        </is>
      </c>
      <c r="J1053" s="48" t="inlineStr">
        <is>
          <t>052. OCB_GOLD_TCKH_V_FTP_RATE_PHAT.xlsx [Script: V_FTP_RATE]</t>
        </is>
      </c>
    </row>
    <row r="1054">
      <c r="A1054" s="48" t="inlineStr">
        <is>
          <t>TCKH.V_FTP_RATE</t>
        </is>
      </c>
      <c r="B1054" s="48" t="inlineStr">
        <is>
          <t>GOLD_DERIVED</t>
        </is>
      </c>
      <c r="C1054" s="48" t="inlineStr">
        <is>
          <t>2.1</t>
        </is>
      </c>
      <c r="D1054" s="48" t="inlineStr">
        <is>
          <t>Nhom 2 - Logic</t>
        </is>
      </c>
      <c r="E1054" s="48" t="inlineStr">
        <is>
          <t>Chỉ lấy bản ghi active, loại bản ghi đã xóa (qua sts_hub)</t>
        </is>
      </c>
      <c r="F1054" s="48" t="inlineStr">
        <is>
          <t>N-A</t>
        </is>
      </c>
      <c r="G1054" s="48" t="inlineStr">
        <is>
          <t>Pass</t>
        </is>
      </c>
      <c r="H1054" s="50" t="inlineStr">
        <is>
          <t>khong ap dung cho profile GOLD_DERIVED</t>
        </is>
      </c>
      <c r="I10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54" s="48" t="inlineStr">
        <is>
          <t>052. OCB_GOLD_TCKH_V_FTP_RATE_PHAT.xlsx [Script: V_FTP_RATE]</t>
        </is>
      </c>
    </row>
    <row r="1055">
      <c r="A1055" s="48" t="inlineStr">
        <is>
          <t>TCKH.V_FTP_RATE</t>
        </is>
      </c>
      <c r="B1055" s="48" t="inlineStr">
        <is>
          <t>GOLD_DERIVED</t>
        </is>
      </c>
      <c r="C1055" s="48" t="inlineStr">
        <is>
          <t>2.2</t>
        </is>
      </c>
      <c r="D1055" s="48" t="inlineStr">
        <is>
          <t>Nhom 2 - Logic</t>
        </is>
      </c>
      <c r="E1055" s="48" t="inlineStr">
        <is>
          <t>Thống nhất MỘT pattern duy nhất xác định bản ghi active mới nhất</t>
        </is>
      </c>
      <c r="F1055" s="48" t="inlineStr">
        <is>
          <t>N-A</t>
        </is>
      </c>
      <c r="G1055" s="48" t="inlineStr">
        <is>
          <t>Pass</t>
        </is>
      </c>
      <c r="H1055" s="50" t="inlineStr">
        <is>
          <t>khong ap dung cho profile GOLD_DERIVED</t>
        </is>
      </c>
      <c r="I10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55" s="48" t="inlineStr">
        <is>
          <t>052. OCB_GOLD_TCKH_V_FTP_RATE_PHAT.xlsx [Script: V_FTP_RATE]</t>
        </is>
      </c>
    </row>
    <row r="1056">
      <c r="A1056" s="48" t="inlineStr">
        <is>
          <t>TCKH.V_FTP_RATE</t>
        </is>
      </c>
      <c r="B1056" s="48" t="inlineStr">
        <is>
          <t>GOLD_DERIVED</t>
        </is>
      </c>
      <c r="C1056" s="48" t="inlineStr">
        <is>
          <t>2.3</t>
        </is>
      </c>
      <c r="D1056" s="48" t="inlineStr">
        <is>
          <t>Nhom 2 - Logic</t>
        </is>
      </c>
      <c r="E1056" s="48" t="inlineStr">
        <is>
          <t>Điều kiện lọc trạng thái đặt SAU khi xác định bản ghi mới nhất</t>
        </is>
      </c>
      <c r="F1056" s="49" t="inlineStr">
        <is>
          <t>PASS</t>
        </is>
      </c>
      <c r="G1056" s="48" t="inlineStr">
        <is>
          <t>Pass</t>
        </is>
      </c>
      <c r="H1056" s="50" t="inlineStr">
        <is>
          <t>không có điều kiện trạng thái nào lồng trong JOIN ON</t>
        </is>
      </c>
      <c r="I10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56" s="48" t="inlineStr">
        <is>
          <t>052. OCB_GOLD_TCKH_V_FTP_RATE_PHAT.xlsx [Script: V_FTP_RATE]</t>
        </is>
      </c>
    </row>
    <row r="1057">
      <c r="A1057" s="48" t="inlineStr">
        <is>
          <t>TCKH.V_FTP_RATE</t>
        </is>
      </c>
      <c r="B1057" s="48" t="inlineStr">
        <is>
          <t>GOLD_DERIVED</t>
        </is>
      </c>
      <c r="C1057" s="48" t="inlineStr">
        <is>
          <t>2.4</t>
        </is>
      </c>
      <c r="D1057" s="48" t="inlineStr">
        <is>
          <t>Nhom 2 - Logic</t>
        </is>
      </c>
      <c r="E1057" s="48" t="inlineStr">
        <is>
          <t>source_event_date áp dụng đúng dạng theo loại bảng</t>
        </is>
      </c>
      <c r="F1057" s="48" t="inlineStr">
        <is>
          <t>N-A</t>
        </is>
      </c>
      <c r="G1057" s="48" t="inlineStr">
        <is>
          <t>Pass</t>
        </is>
      </c>
      <c r="H1057" s="50" t="inlineStr">
        <is>
          <t>khong ap dung cho profile GOLD_DERIVED</t>
        </is>
      </c>
      <c r="I10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57" s="48" t="inlineStr">
        <is>
          <t>052. OCB_GOLD_TCKH_V_FTP_RATE_PHAT.xlsx [Script: V_FTP_RATE]</t>
        </is>
      </c>
    </row>
    <row r="1058">
      <c r="A1058" s="48" t="inlineStr">
        <is>
          <t>TCKH.V_FTP_RATE</t>
        </is>
      </c>
      <c r="B1058" s="48" t="inlineStr">
        <is>
          <t>GOLD_DERIVED</t>
        </is>
      </c>
      <c r="C1058" s="48" t="inlineStr">
        <is>
          <t>2.5</t>
        </is>
      </c>
      <c r="D1058" s="48" t="inlineStr">
        <is>
          <t>Nhom 2 - Logic</t>
        </is>
      </c>
      <c r="E1058" s="48" t="inlineStr">
        <is>
          <t>Không lặp lại lỗi logic cũ đã được DA Data Vault fix</t>
        </is>
      </c>
      <c r="F1058" s="49" t="inlineStr">
        <is>
          <t>PASS</t>
        </is>
      </c>
      <c r="G1058" s="48" t="inlineStr">
        <is>
          <t>Pass</t>
        </is>
      </c>
      <c r="H1058" s="50" t="inlineStr">
        <is>
          <t>không trùng lỗi nào trong Issue log của DA Data Vault</t>
        </is>
      </c>
      <c r="I10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58" s="48" t="inlineStr">
        <is>
          <t>052. OCB_GOLD_TCKH_V_FTP_RATE_PHAT.xlsx [Script: V_FTP_RATE]</t>
        </is>
      </c>
    </row>
    <row r="1059">
      <c r="A1059" s="48" t="inlineStr">
        <is>
          <t>TCKH.V_FTP_RATE</t>
        </is>
      </c>
      <c r="B1059" s="48" t="inlineStr">
        <is>
          <t>GOLD_DERIVED</t>
        </is>
      </c>
      <c r="C1059" s="48" t="inlineStr">
        <is>
          <t>2.6</t>
        </is>
      </c>
      <c r="D1059" s="48" t="inlineStr">
        <is>
          <t>Nhom 2 - Logic</t>
        </is>
      </c>
      <c r="E1059" s="48" t="inlineStr">
        <is>
          <t>SCD Type 2 cho bảng DIM áp dụng đúng kỹ thuật đã thống nhất</t>
        </is>
      </c>
      <c r="F1059" s="48" t="inlineStr">
        <is>
          <t>N-A</t>
        </is>
      </c>
      <c r="G1059" s="48" t="inlineStr">
        <is>
          <t>Pass</t>
        </is>
      </c>
      <c r="H1059" s="50" t="inlineStr">
        <is>
          <t>object không phải bảng DIM nên không áp dụng SCD Type 2</t>
        </is>
      </c>
      <c r="I10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59" s="48" t="inlineStr">
        <is>
          <t>052. OCB_GOLD_TCKH_V_FTP_RATE_PHAT.xlsx [Script: V_FTP_RATE]</t>
        </is>
      </c>
    </row>
    <row r="1060">
      <c r="A1060" s="48" t="inlineStr">
        <is>
          <t>TCKH.V_FTP_RATE</t>
        </is>
      </c>
      <c r="B1060" s="48" t="inlineStr">
        <is>
          <t>GOLD_DERIVED</t>
        </is>
      </c>
      <c r="C1060" s="48" t="inlineStr">
        <is>
          <t>2.7</t>
        </is>
      </c>
      <c r="D1060" s="48" t="inlineStr">
        <is>
          <t>Nhom 2 - Logic</t>
        </is>
      </c>
      <c r="E1060" s="48" t="inlineStr">
        <is>
          <t>CASE WHEN cover đủ nhánh như job on-prem</t>
        </is>
      </c>
      <c r="F1060" s="49" t="inlineStr">
        <is>
          <t>PASS</t>
        </is>
      </c>
      <c r="G1060" s="48" t="inlineStr">
        <is>
          <t>Pass</t>
        </is>
      </c>
      <c r="H1060" s="50" t="inlineStr">
        <is>
          <t>cả 1 CASE đều có nhánh ELSE</t>
        </is>
      </c>
      <c r="I1060" s="50" t="inlineStr">
        <is>
          <t>Mở job on-prem tương ứng (DataStage DSX hoặc SQL cũ), đối chiếu từng nhánh WHEN và cả nhánh ELSE. CASE không có ELSE sẽ trả NULL âm thầm — xác nhận đó là ý muốn hay thiếu nhánh.</t>
        </is>
      </c>
      <c r="J1060" s="48" t="inlineStr">
        <is>
          <t>052. OCB_GOLD_TCKH_V_FTP_RATE_PHAT.xlsx [Script: V_FTP_RATE]</t>
        </is>
      </c>
    </row>
    <row r="1061">
      <c r="A1061" s="48" t="inlineStr">
        <is>
          <t>TCKH.V_FTP_RATE</t>
        </is>
      </c>
      <c r="B1061" s="48" t="inlineStr">
        <is>
          <t>GOLD_DERIVED</t>
        </is>
      </c>
      <c r="C1061" s="48" t="inlineStr">
        <is>
          <t>2.8</t>
        </is>
      </c>
      <c r="D1061" s="48" t="inlineStr">
        <is>
          <t>Nhom 2 - Logic</t>
        </is>
      </c>
      <c r="E1061" s="48" t="inlineStr">
        <is>
          <t>Cột SUM/COUNT được COALESCE/NVL hợp lý</t>
        </is>
      </c>
      <c r="F1061" s="49" t="inlineStr">
        <is>
          <t>PASS</t>
        </is>
      </c>
      <c r="G1061" s="48" t="inlineStr">
        <is>
          <t>Pass</t>
        </is>
      </c>
      <c r="H1061" s="50" t="inlineStr">
        <is>
          <t>mọi SUM/COUNT đều đã coalesce (trực tiếp hoặc ở lớp ngoài)</t>
        </is>
      </c>
      <c r="I10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61" s="48" t="inlineStr">
        <is>
          <t>052. OCB_GOLD_TCKH_V_FTP_RATE_PHAT.xlsx [Script: V_FTP_RATE]</t>
        </is>
      </c>
    </row>
    <row r="1062">
      <c r="A1062" s="48" t="inlineStr">
        <is>
          <t>TCKH.V_FTP_RATE</t>
        </is>
      </c>
      <c r="B1062" s="48" t="inlineStr">
        <is>
          <t>GOLD_DERIVED</t>
        </is>
      </c>
      <c r="C1062" s="48" t="inlineStr">
        <is>
          <t>2.9</t>
        </is>
      </c>
      <c r="D1062" s="48" t="inlineStr">
        <is>
          <t>Nhom 2 - Logic</t>
        </is>
      </c>
      <c r="E1062" s="48" t="inlineStr">
        <is>
          <t>Subquery / custom function / điều kiện LIKE đúng ý nghĩa nghiệp vụ</t>
        </is>
      </c>
      <c r="F1062" s="49" t="inlineStr">
        <is>
          <t>PASS</t>
        </is>
      </c>
      <c r="G1062" s="48" t="inlineStr">
        <is>
          <t>Pass</t>
        </is>
      </c>
      <c r="H1062" s="50" t="inlineStr">
        <is>
          <t>3 điều kiện LIKE: SYSTEM_ID LIKE '%PHAITHU%' | SYSTEM_ID LIKE '%PHAITRA%' | SYSTEM_ID LIKE '%TSCOKHAC%'; cú pháp hợp lệ; ý nghĩa nghiệp vụ cần người review đối chiếu job on-prem</t>
        </is>
      </c>
      <c r="I1062" s="50" t="inlineStr">
        <is>
          <t>Đọc lại từng điều kiện LIKE và từng subquery, đối chiếu ý nghĩa nghiệp vụ với on-prem — đúng cú pháp không đủ. Chú ý pattern LIKE có ký tự % ở đầu/cuối và phân biệt chữ hoa/thường.</t>
        </is>
      </c>
      <c r="J1062" s="48" t="inlineStr">
        <is>
          <t>052. OCB_GOLD_TCKH_V_FTP_RATE_PHAT.xlsx [Script: V_FTP_RATE]</t>
        </is>
      </c>
    </row>
    <row r="1063">
      <c r="A1063" s="48" t="inlineStr">
        <is>
          <t>TCKH.V_FTP_RATE</t>
        </is>
      </c>
      <c r="B1063" s="48" t="inlineStr">
        <is>
          <t>GOLD_DERIVED</t>
        </is>
      </c>
      <c r="C1063" s="48" t="inlineStr">
        <is>
          <t>2.10</t>
        </is>
      </c>
      <c r="D1063" s="48" t="inlineStr">
        <is>
          <t>Nhom 2 - Logic</t>
        </is>
      </c>
      <c r="E1063" s="48" t="inlineStr">
        <is>
          <t>Aggregation kèm filter date range chính xác</t>
        </is>
      </c>
      <c r="F1063" s="49" t="inlineStr">
        <is>
          <t>PASS</t>
        </is>
      </c>
      <c r="G1063" s="48" t="inlineStr">
        <is>
          <t>Pass</t>
        </is>
      </c>
      <c r="H1063" s="50" t="inlineStr">
        <is>
          <t>mọi khối tổng hợp đều có điều kiện theo kỳ dữ liệu</t>
        </is>
      </c>
      <c r="I1063" s="50" t="inlineStr">
        <is>
          <t>Mỗi khối SUM/COUNT/AVG phải có điều kiện lọc theo kỳ dữ liệu (CDR_DT_ID, DATA_DATE, :DATADT…). Nếu điều kiện nằm ở CTE nguồn thì ghi rõ trong comment để người review không phải truy ngược.</t>
        </is>
      </c>
      <c r="J1063" s="48" t="inlineStr">
        <is>
          <t>052. OCB_GOLD_TCKH_V_FTP_RATE_PHAT.xlsx [Script: V_FTP_RATE]</t>
        </is>
      </c>
    </row>
    <row r="1064">
      <c r="A1064" s="48" t="inlineStr">
        <is>
          <t>TCKH.V_FTP_RATE</t>
        </is>
      </c>
      <c r="B1064" s="48" t="inlineStr">
        <is>
          <t>GOLD_DERIVED</t>
        </is>
      </c>
      <c r="C1064" s="48" t="inlineStr">
        <is>
          <t>2.11</t>
        </is>
      </c>
      <c r="D1064" s="48" t="inlineStr">
        <is>
          <t>Nhom 2 - Logic</t>
        </is>
      </c>
      <c r="E1064" s="48" t="inlineStr">
        <is>
          <t>Join dùng key hợp lý, không lạm dụng UNION ALL + EXISTS/NOT EXISTS</t>
        </is>
      </c>
      <c r="F1064" s="49" t="inlineStr">
        <is>
          <t>PASS</t>
        </is>
      </c>
      <c r="G1064" s="48" t="inlineStr">
        <is>
          <t>Pass</t>
        </is>
      </c>
      <c r="H1064" s="50" t="inlineStr">
        <is>
          <t>join đều theo điều kiện bằng, không lạm dụng UNION ALL + EXISTS</t>
        </is>
      </c>
      <c r="I1064" s="50" t="inlineStr">
        <is>
          <t>Ưu tiên LEFT JOIN theo business key hoặc hashkey. Xem lại các chỗ dùng UNION ALL kết hợp EXISTS/NOT EXISTS — thường thay được bằng một LEFT JOIN. Join không có điều kiện bằng (=) dễ tạo tích Descartes.</t>
        </is>
      </c>
      <c r="J1064" s="48" t="inlineStr">
        <is>
          <t>052. OCB_GOLD_TCKH_V_FTP_RATE_PHAT.xlsx [Script: V_FTP_RATE]</t>
        </is>
      </c>
    </row>
    <row r="1065">
      <c r="A1065" s="48" t="inlineStr">
        <is>
          <t>TCKH.V_FTP_RATE</t>
        </is>
      </c>
      <c r="B1065" s="48" t="inlineStr">
        <is>
          <t>GOLD_DERIVED</t>
        </is>
      </c>
      <c r="C1065" s="48" t="inlineStr">
        <is>
          <t>2.12</t>
        </is>
      </c>
      <c r="D1065" s="48" t="inlineStr">
        <is>
          <t>Nhom 2 - Logic</t>
        </is>
      </c>
      <c r="E1065" s="48" t="inlineStr">
        <is>
          <t>Build Gold từ CTE snapshot Silver, không build nhiều tầng chồng chéo</t>
        </is>
      </c>
      <c r="F1065" s="49" t="inlineStr">
        <is>
          <t>PASS</t>
        </is>
      </c>
      <c r="G1065" s="48" t="inlineStr">
        <is>
          <t>Pass</t>
        </is>
      </c>
      <c r="H1065" s="50" t="inlineStr">
        <is>
          <t>mỗi bảng nguồn chỉ đọc trong 1 khối SELECT</t>
        </is>
      </c>
      <c r="I10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65" s="48" t="inlineStr">
        <is>
          <t>052. OCB_GOLD_TCKH_V_FTP_RATE_PHAT.xlsx [Script: V_FTP_RATE]</t>
        </is>
      </c>
    </row>
    <row r="1066">
      <c r="A1066" s="48" t="inlineStr">
        <is>
          <t>TCKH.V_FTP_RATE</t>
        </is>
      </c>
      <c r="B1066" s="48" t="inlineStr">
        <is>
          <t>GOLD_DERIVED</t>
        </is>
      </c>
      <c r="C1066" s="48" t="inlineStr">
        <is>
          <t>3.1</t>
        </is>
      </c>
      <c r="D1066" s="48" t="inlineStr">
        <is>
          <t>Nhom 3 - Optimization</t>
        </is>
      </c>
      <c r="E1066" s="48" t="inlineStr">
        <is>
          <t>Không SELECT *</t>
        </is>
      </c>
      <c r="F1066" s="49" t="inlineStr">
        <is>
          <t>PASS</t>
        </is>
      </c>
      <c r="G1066" s="48" t="inlineStr">
        <is>
          <t>Pass</t>
        </is>
      </c>
      <c r="H1066" s="50" t="inlineStr">
        <is>
          <t>không dùng SELECT * ở đâu</t>
        </is>
      </c>
      <c r="I1066" s="50" t="inlineStr">
        <is>
          <t>Liệt kê tường minh các cột cần dùng, kể cả trong CTE trung gian. SELECT * làm tăng IO/memory và vỡ script khi bảng nguồn thêm cột.</t>
        </is>
      </c>
      <c r="J1066" s="48" t="inlineStr">
        <is>
          <t>052. OCB_GOLD_TCKH_V_FTP_RATE_PHAT.xlsx [Script: V_FTP_RATE]</t>
        </is>
      </c>
    </row>
    <row r="1067">
      <c r="A1067" s="48" t="inlineStr">
        <is>
          <t>TCKH.V_FTP_RATE</t>
        </is>
      </c>
      <c r="B1067" s="48" t="inlineStr">
        <is>
          <t>GOLD_DERIVED</t>
        </is>
      </c>
      <c r="C1067" s="48" t="inlineStr">
        <is>
          <t>3.2</t>
        </is>
      </c>
      <c r="D1067" s="48" t="inlineStr">
        <is>
          <t>Nhom 3 - Optimization</t>
        </is>
      </c>
      <c r="E1067" s="48" t="inlineStr">
        <is>
          <t>CTE không bị scan lại nhiều lần</t>
        </is>
      </c>
      <c r="F1067" s="49" t="inlineStr">
        <is>
          <t>PASS</t>
        </is>
      </c>
      <c r="G1067" s="48" t="inlineStr">
        <is>
          <t>Pass</t>
        </is>
      </c>
      <c r="H1067" s="50" t="inlineStr">
        <is>
          <t>không có CTE nào bị gọi lại</t>
        </is>
      </c>
      <c r="I1067" s="50" t="inlineStr">
        <is>
          <t>Với CTE nặng (đọc nhiều bảng Silver) bị tham chiếu từ 2 chỗ trở lên: gom lại còn một lần dùng, hoặc vật chất hóa (CACHE / bảng tạm). CTE nhẹ chỉ chứa tham số thì bỏ qua được — tự tick Pass.</t>
        </is>
      </c>
      <c r="J1067" s="48" t="inlineStr">
        <is>
          <t>052. OCB_GOLD_TCKH_V_FTP_RATE_PHAT.xlsx [Script: V_FTP_RATE]</t>
        </is>
      </c>
    </row>
    <row r="1068">
      <c r="A1068" s="48" t="inlineStr">
        <is>
          <t>TCKH.V_FTP_RATE</t>
        </is>
      </c>
      <c r="B1068" s="48" t="inlineStr">
        <is>
          <t>GOLD_DERIVED</t>
        </is>
      </c>
      <c r="C1068" s="48" t="inlineStr">
        <is>
          <t>3.3</t>
        </is>
      </c>
      <c r="D1068" s="48" t="inlineStr">
        <is>
          <t>Nhom 3 - Optimization</t>
        </is>
      </c>
      <c r="E1068" s="48" t="inlineStr">
        <is>
          <t>Filter trước khi join, tận dụng partition pruning</t>
        </is>
      </c>
      <c r="F1068" s="49" t="inlineStr">
        <is>
          <t>PASS</t>
        </is>
      </c>
      <c r="G1068" s="48" t="inlineStr">
        <is>
          <t>Pass</t>
        </is>
      </c>
      <c r="H1068" s="50" t="inlineStr">
        <is>
          <t>các bảng join đều được filter trước</t>
        </is>
      </c>
      <c r="I1068" s="50" t="inlineStr">
        <is>
          <t>Đưa điều kiện lọc (ngày dữ liệu, trạng thái) vào subquery của từng bảng TRƯỚC khi join, để tận dụng partition pruning. Bảng dim nhỏ không partition thì không cần — tự tick Pass.</t>
        </is>
      </c>
      <c r="J1068" s="48" t="inlineStr">
        <is>
          <t>052. OCB_GOLD_TCKH_V_FTP_RATE_PHAT.xlsx [Script: V_FTP_RATE]</t>
        </is>
      </c>
    </row>
    <row r="1069">
      <c r="A1069" s="48" t="inlineStr">
        <is>
          <t>TCKH.V_FTP_RATE</t>
        </is>
      </c>
      <c r="B1069" s="48" t="inlineStr">
        <is>
          <t>GOLD_DERIVED</t>
        </is>
      </c>
      <c r="C1069" s="48" t="inlineStr">
        <is>
          <t>3.4</t>
        </is>
      </c>
      <c r="D1069" s="48" t="inlineStr">
        <is>
          <t>Nhom 3 - Optimization</t>
        </is>
      </c>
      <c r="E1069" s="48" t="inlineStr">
        <is>
          <t>Sử dụng CACHE cho query lặp lại trong cùng luồng</t>
        </is>
      </c>
      <c r="F1069" s="48" t="inlineStr">
        <is>
          <t>N-A</t>
        </is>
      </c>
      <c r="G1069" s="48" t="inlineStr">
        <is>
          <t>Pass</t>
        </is>
      </c>
      <c r="H1069" s="50" t="inlineStr">
        <is>
          <t>không có kết quả nào được dùng lại nhiều lần nên chưa cần CACHE</t>
        </is>
      </c>
      <c r="I1069" s="50" t="inlineStr">
        <is>
          <t>Nếu một kết quả nặng được dùng lại nhiều bước trong cùng luồng, thêm CACHE TABLE / CACHE SELECT. Kết quả nhỏ thì cache còn chậm hơn — tự tick Pass.</t>
        </is>
      </c>
      <c r="J1069" s="48" t="inlineStr">
        <is>
          <t>052. OCB_GOLD_TCKH_V_FTP_RATE_PHAT.xlsx [Script: V_FTP_RATE]</t>
        </is>
      </c>
    </row>
    <row r="1070">
      <c r="A1070" s="48" t="inlineStr">
        <is>
          <t>TCKH.V_FTP_RATE</t>
        </is>
      </c>
      <c r="B1070" s="48" t="inlineStr">
        <is>
          <t>GOLD_DERIVED</t>
        </is>
      </c>
      <c r="C1070" s="48" t="inlineStr">
        <is>
          <t>3.5</t>
        </is>
      </c>
      <c r="D1070" s="48" t="inlineStr">
        <is>
          <t>Nhom 3 - Optimization</t>
        </is>
      </c>
      <c r="E1070" s="48" t="inlineStr">
        <is>
          <t>Ưu tiên MAX_BY + QUALIFY thay ROW_NUMBER() + WHERE rn = 1</t>
        </is>
      </c>
      <c r="F1070" s="48" t="inlineStr">
        <is>
          <t>N-A</t>
        </is>
      </c>
      <c r="G1070" s="48" t="inlineStr">
        <is>
          <t>Pass</t>
        </is>
      </c>
      <c r="H1070" s="50" t="inlineStr">
        <is>
          <t>script không dùng ROW_NUMBER, và MAX_BY (nếu có) không vượt quá 5 cột/khối</t>
        </is>
      </c>
      <c r="I10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70" s="48" t="inlineStr">
        <is>
          <t>052. OCB_GOLD_TCKH_V_FTP_RATE_PHAT.xlsx [Script: V_FTP_RATE]</t>
        </is>
      </c>
    </row>
    <row r="1071">
      <c r="A1071" s="48" t="inlineStr">
        <is>
          <t>TCKH.V_FTP_RATE</t>
        </is>
      </c>
      <c r="B1071" s="48" t="inlineStr">
        <is>
          <t>GOLD_DERIVED</t>
        </is>
      </c>
      <c r="C1071" s="48" t="inlineStr">
        <is>
          <t>3.6</t>
        </is>
      </c>
      <c r="D1071" s="48" t="inlineStr">
        <is>
          <t>Nhom 3 - Optimization</t>
        </is>
      </c>
      <c r="E1071" s="48" t="inlineStr">
        <is>
          <t>Không lạm dụng window function; có comment khi dùng</t>
        </is>
      </c>
      <c r="F1071" s="48" t="inlineStr">
        <is>
          <t>N-A</t>
        </is>
      </c>
      <c r="G1071" s="48" t="inlineStr">
        <is>
          <t>Pass</t>
        </is>
      </c>
      <c r="H1071" s="50" t="inlineStr">
        <is>
          <t>script không dùng window function</t>
        </is>
      </c>
      <c r="I1071" s="50" t="inlineStr">
        <is>
          <t>Mỗi window function cần một comment ngay trên khối CTE chứa nó, nói rõ vì sao không dùng được max_by/QUALIFY đơn giản hơn.</t>
        </is>
      </c>
      <c r="J1071" s="48" t="inlineStr">
        <is>
          <t>052. OCB_GOLD_TCKH_V_FTP_RATE_PHAT.xlsx [Script: V_FTP_RATE]</t>
        </is>
      </c>
    </row>
    <row r="1072">
      <c r="A1072" s="48" t="inlineStr">
        <is>
          <t>TCKH.V_FTP_RATE</t>
        </is>
      </c>
      <c r="B1072" s="48" t="inlineStr">
        <is>
          <t>GOLD_DERIVED</t>
        </is>
      </c>
      <c r="C1072" s="48" t="inlineStr">
        <is>
          <t>X.1</t>
        </is>
      </c>
      <c r="D1072" s="48" t="inlineStr">
        <is>
          <t>Nhom X - Bo sung Raffles</t>
        </is>
      </c>
      <c r="E1072" s="48" t="inlineStr">
        <is>
          <t>[Bổ sung] Link phải rút về current trước khi join (chống fan-out)</t>
        </is>
      </c>
      <c r="F1072" s="48" t="inlineStr">
        <is>
          <t>N-A</t>
        </is>
      </c>
      <c r="G1072" s="48" t="inlineStr">
        <is>
          <t>Pass</t>
        </is>
      </c>
      <c r="H1072" s="50" t="inlineStr">
        <is>
          <t>khong ap dung cho profile GOLD_DERIVED</t>
        </is>
      </c>
      <c r="I10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72" s="48" t="inlineStr">
        <is>
          <t>052. OCB_GOLD_TCKH_V_FTP_RATE_PHAT.xlsx [Script: V_FTP_RATE]</t>
        </is>
      </c>
    </row>
    <row r="1073">
      <c r="A1073" s="48" t="inlineStr">
        <is>
          <t>TCKH.V_FTP_RATE</t>
        </is>
      </c>
      <c r="B1073" s="48" t="inlineStr">
        <is>
          <t>GOLD_DERIVED</t>
        </is>
      </c>
      <c r="C1073" s="48" t="inlineStr">
        <is>
          <t>X.6</t>
        </is>
      </c>
      <c r="D1073" s="48" t="inlineStr">
        <is>
          <t>Nhom X - Bo sung Raffles</t>
        </is>
      </c>
      <c r="E1073" s="48" t="inlineStr">
        <is>
          <t>[Bổ sung] Satellite phải LEFT JOIN, không INNER JOIN</t>
        </is>
      </c>
      <c r="F1073" s="48" t="inlineStr">
        <is>
          <t>N-A</t>
        </is>
      </c>
      <c r="G1073" s="48" t="inlineStr">
        <is>
          <t>Pass</t>
        </is>
      </c>
      <c r="H1073" s="50" t="inlineStr">
        <is>
          <t>khong ap dung cho profile GOLD_DERIVED</t>
        </is>
      </c>
      <c r="I1073" s="50" t="inlineStr">
        <is>
          <t>Technical Document III.4.2.2 nguyên tắc 1: làm giàu thuộc tính luôn dùng LEFT JOIN. INNER JOIN satellite sẽ loại mất bản ghi Hub đang còn hiệu lực nhưng chưa có dòng satellite.</t>
        </is>
      </c>
      <c r="J1073" s="48" t="inlineStr">
        <is>
          <t>052. OCB_GOLD_TCKH_V_FTP_RATE_PHAT.xlsx [Script: V_FTP_RATE]</t>
        </is>
      </c>
    </row>
    <row r="1074">
      <c r="A1074" s="48" t="inlineStr">
        <is>
          <t>TCKH.V_FTP_RATE</t>
        </is>
      </c>
      <c r="B1074" s="48" t="inlineStr">
        <is>
          <t>GOLD_DERIVED</t>
        </is>
      </c>
      <c r="C1074" s="48" t="inlineStr">
        <is>
          <t>X.7</t>
        </is>
      </c>
      <c r="D1074" s="48" t="inlineStr">
        <is>
          <t>Nhom X - Bo sung Raffles</t>
        </is>
      </c>
      <c r="E1074" s="48" t="inlineStr">
        <is>
          <t>[Bổ sung] Không hard-code catalog, dùng biến môi trường</t>
        </is>
      </c>
      <c r="F1074" s="49" t="inlineStr">
        <is>
          <t>PASS</t>
        </is>
      </c>
      <c r="G1074" s="48" t="inlineStr">
        <is>
          <t>Pass</t>
        </is>
      </c>
      <c r="H1074" s="50" t="inlineStr">
        <is>
          <t>dùng biến môi trường cho catalog</t>
        </is>
      </c>
      <c r="I10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74" s="48" t="inlineStr">
        <is>
          <t>052. OCB_GOLD_TCKH_V_FTP_RATE_PHAT.xlsx [Script: V_FTP_RATE]</t>
        </is>
      </c>
    </row>
    <row r="1075">
      <c r="A1075" s="48" t="inlineStr">
        <is>
          <t>TCKH.V_FTP_RATE</t>
        </is>
      </c>
      <c r="B1075" s="48" t="inlineStr">
        <is>
          <t>GOLD_DERIVED</t>
        </is>
      </c>
      <c r="C1075" s="48" t="inlineStr">
        <is>
          <t>X.10</t>
        </is>
      </c>
      <c r="D1075" s="48" t="inlineStr">
        <is>
          <t>Nhom X - Bo sung Raffles</t>
        </is>
      </c>
      <c r="E1075" s="48" t="inlineStr">
        <is>
          <t>Bang raw_vault/business_vault duoc doc phai TON TAI THAT trong Data Vault model</t>
        </is>
      </c>
      <c r="F1075" s="48" t="inlineStr">
        <is>
          <t>N-A</t>
        </is>
      </c>
      <c r="G1075" s="48" t="inlineStr">
        <is>
          <t>Pass</t>
        </is>
      </c>
      <c r="H1075" s="50" t="inlineStr">
        <is>
          <t>script không đọc bảng raw_vault/business_vault nào</t>
        </is>
      </c>
      <c r="I1075" s="50" t="inlineStr"/>
      <c r="J1075" s="48" t="inlineStr">
        <is>
          <t>052. OCB_GOLD_TCKH_V_FTP_RATE_PHAT.xlsx [Script: V_FTP_RATE]</t>
        </is>
      </c>
    </row>
    <row r="1076">
      <c r="A1076" s="48" t="inlineStr">
        <is>
          <t>TCKH.V_FTP_RATE</t>
        </is>
      </c>
      <c r="B1076" s="48" t="inlineStr">
        <is>
          <t>GOLD_DERIVED</t>
        </is>
      </c>
      <c r="C1076" s="48" t="inlineStr">
        <is>
          <t>X.11</t>
        </is>
      </c>
      <c r="D1076" s="48" t="inlineStr">
        <is>
          <t>Nhom X - Bo sung Raffles</t>
        </is>
      </c>
      <c r="E1076" s="48" t="inlineStr">
        <is>
          <t>Cot doc tu satellite (sat_*) phai TON TAI THAT trong model</t>
        </is>
      </c>
      <c r="F1076" s="48" t="inlineStr">
        <is>
          <t>N-A</t>
        </is>
      </c>
      <c r="G1076" s="48" t="inlineStr">
        <is>
          <t>Pass</t>
        </is>
      </c>
      <c r="H1076" s="50" t="inlineStr">
        <is>
          <t>không có bảng sat_* nào đủ điều kiện đối chiếu (Select chỉ đọc 1 bảng)</t>
        </is>
      </c>
      <c r="I1076" s="50" t="inlineStr"/>
      <c r="J1076" s="48" t="inlineStr">
        <is>
          <t>052. OCB_GOLD_TCKH_V_FTP_RATE_PHAT.xlsx [Script: V_FTP_RATE]</t>
        </is>
      </c>
    </row>
    <row r="1077">
      <c r="A1077" s="48" t="inlineStr">
        <is>
          <t>TCKH.V_OPEX_DTL_ADJ_G</t>
        </is>
      </c>
      <c r="B1077" s="48" t="inlineStr">
        <is>
          <t>UPLOAD_VIEW</t>
        </is>
      </c>
      <c r="C1077" s="48" t="inlineStr">
        <is>
          <t>1.1</t>
        </is>
      </c>
      <c r="D1077" s="48" t="inlineStr">
        <is>
          <t>Nhom 1 - Mapping</t>
        </is>
      </c>
      <c r="E1077" s="48" t="inlineStr">
        <is>
          <t>Đầy đủ mapping từ Silver/manual sang Gold</t>
        </is>
      </c>
      <c r="F1077" s="49" t="inlineStr">
        <is>
          <t>PASS</t>
        </is>
      </c>
      <c r="G1077" s="48" t="inlineStr">
        <is>
          <t>Pass</t>
        </is>
      </c>
      <c r="H1077" s="50" t="inlineStr">
        <is>
          <t>workbook 053. OCB_GOLD_TCKH_V_OPEX_DTL_ADJ_G_HOP.xlsx: thiết kế 24 field, SQL có 24 cột</t>
        </is>
      </c>
      <c r="I10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77" s="48" t="inlineStr">
        <is>
          <t>053. OCB_GOLD_TCKH_V_OPEX_DTL_ADJ_G_HOP.xlsx [SCRIPT: V_OPEX_DTL_ADJ_G]</t>
        </is>
      </c>
    </row>
    <row r="1078">
      <c r="A1078" s="48" t="inlineStr">
        <is>
          <t>TCKH.V_OPEX_DTL_ADJ_G</t>
        </is>
      </c>
      <c r="B1078" s="48" t="inlineStr">
        <is>
          <t>UPLOAD_VIEW</t>
        </is>
      </c>
      <c r="C1078" s="48" t="inlineStr">
        <is>
          <t>1.2</t>
        </is>
      </c>
      <c r="D1078" s="48" t="inlineStr">
        <is>
          <t>Nhom 1 - Mapping</t>
        </is>
      </c>
      <c r="E1078" s="48" t="inlineStr">
        <is>
          <t>Danh sách bảng/view Gold khớp tài liệu thiết kế đã duyệt</t>
        </is>
      </c>
      <c r="F1078" s="49" t="inlineStr">
        <is>
          <t>PASS</t>
        </is>
      </c>
      <c r="G1078" s="48" t="inlineStr">
        <is>
          <t>Pass</t>
        </is>
      </c>
      <c r="H1078" s="50" t="inlineStr">
        <is>
          <t>V_OPEX_DTL_ADJ_G có workbook thiết kế: 053. OCB_GOLD_TCKH_V_OPEX_DTL_ADJ_G_HOP.xlsx</t>
        </is>
      </c>
      <c r="I1078" s="50" t="inlineStr">
        <is>
          <t>Đảm bảo object có workbook thiết kế tương ứng trong thư mục --mapping-dir. Muốn đối chiếu với danh sách đã duyệt thì chạy thêm tham số --gold-list "&lt;file danh sách Gold&gt;.xlsx".</t>
        </is>
      </c>
      <c r="J1078" s="48" t="inlineStr">
        <is>
          <t>053. OCB_GOLD_TCKH_V_OPEX_DTL_ADJ_G_HOP.xlsx [SCRIPT: V_OPEX_DTL_ADJ_G]</t>
        </is>
      </c>
    </row>
    <row r="1079">
      <c r="A1079" s="48" t="inlineStr">
        <is>
          <t>TCKH.V_OPEX_DTL_ADJ_G</t>
        </is>
      </c>
      <c r="B1079" s="48" t="inlineStr">
        <is>
          <t>UPLOAD_VIEW</t>
        </is>
      </c>
      <c r="C1079" s="48" t="inlineStr">
        <is>
          <t>2.1</t>
        </is>
      </c>
      <c r="D1079" s="48" t="inlineStr">
        <is>
          <t>Nhom 2 - Logic</t>
        </is>
      </c>
      <c r="E1079" s="48" t="inlineStr">
        <is>
          <t>Chỉ lấy bản ghi active, loại bản ghi đã xóa (qua sts_hub)</t>
        </is>
      </c>
      <c r="F1079" s="48" t="inlineStr">
        <is>
          <t>N-A</t>
        </is>
      </c>
      <c r="G1079" s="48" t="inlineStr">
        <is>
          <t>Pass</t>
        </is>
      </c>
      <c r="H1079" s="50" t="inlineStr">
        <is>
          <t>khong ap dung cho profile UPLOAD_VIEW</t>
        </is>
      </c>
      <c r="I10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79" s="48" t="inlineStr">
        <is>
          <t>053. OCB_GOLD_TCKH_V_OPEX_DTL_ADJ_G_HOP.xlsx [SCRIPT: V_OPEX_DTL_ADJ_G]</t>
        </is>
      </c>
    </row>
    <row r="1080">
      <c r="A1080" s="48" t="inlineStr">
        <is>
          <t>TCKH.V_OPEX_DTL_ADJ_G</t>
        </is>
      </c>
      <c r="B1080" s="48" t="inlineStr">
        <is>
          <t>UPLOAD_VIEW</t>
        </is>
      </c>
      <c r="C1080" s="48" t="inlineStr">
        <is>
          <t>2.2</t>
        </is>
      </c>
      <c r="D1080" s="48" t="inlineStr">
        <is>
          <t>Nhom 2 - Logic</t>
        </is>
      </c>
      <c r="E1080" s="48" t="inlineStr">
        <is>
          <t>Thống nhất MỘT pattern duy nhất xác định bản ghi active mới nhất</t>
        </is>
      </c>
      <c r="F1080" s="48" t="inlineStr">
        <is>
          <t>N-A</t>
        </is>
      </c>
      <c r="G1080" s="48" t="inlineStr">
        <is>
          <t>Pass</t>
        </is>
      </c>
      <c r="H1080" s="50" t="inlineStr">
        <is>
          <t>khong ap dung cho profile UPLOAD_VIEW</t>
        </is>
      </c>
      <c r="I10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80" s="48" t="inlineStr">
        <is>
          <t>053. OCB_GOLD_TCKH_V_OPEX_DTL_ADJ_G_HOP.xlsx [SCRIPT: V_OPEX_DTL_ADJ_G]</t>
        </is>
      </c>
    </row>
    <row r="1081">
      <c r="A1081" s="48" t="inlineStr">
        <is>
          <t>TCKH.V_OPEX_DTL_ADJ_G</t>
        </is>
      </c>
      <c r="B1081" s="48" t="inlineStr">
        <is>
          <t>UPLOAD_VIEW</t>
        </is>
      </c>
      <c r="C1081" s="48" t="inlineStr">
        <is>
          <t>2.3</t>
        </is>
      </c>
      <c r="D1081" s="48" t="inlineStr">
        <is>
          <t>Nhom 2 - Logic</t>
        </is>
      </c>
      <c r="E1081" s="48" t="inlineStr">
        <is>
          <t>Điều kiện lọc trạng thái đặt SAU khi xác định bản ghi mới nhất</t>
        </is>
      </c>
      <c r="F1081" s="48" t="inlineStr">
        <is>
          <t>N-A</t>
        </is>
      </c>
      <c r="G1081" s="48" t="inlineStr">
        <is>
          <t>Pass</t>
        </is>
      </c>
      <c r="H1081" s="50" t="inlineStr">
        <is>
          <t>khong ap dung cho profile UPLOAD_VIEW</t>
        </is>
      </c>
      <c r="I10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81" s="48" t="inlineStr">
        <is>
          <t>053. OCB_GOLD_TCKH_V_OPEX_DTL_ADJ_G_HOP.xlsx [SCRIPT: V_OPEX_DTL_ADJ_G]</t>
        </is>
      </c>
    </row>
    <row r="1082">
      <c r="A1082" s="48" t="inlineStr">
        <is>
          <t>TCKH.V_OPEX_DTL_ADJ_G</t>
        </is>
      </c>
      <c r="B1082" s="48" t="inlineStr">
        <is>
          <t>UPLOAD_VIEW</t>
        </is>
      </c>
      <c r="C1082" s="48" t="inlineStr">
        <is>
          <t>2.4</t>
        </is>
      </c>
      <c r="D1082" s="48" t="inlineStr">
        <is>
          <t>Nhom 2 - Logic</t>
        </is>
      </c>
      <c r="E1082" s="48" t="inlineStr">
        <is>
          <t>source_event_date áp dụng đúng dạng theo loại bảng</t>
        </is>
      </c>
      <c r="F1082" s="48" t="inlineStr">
        <is>
          <t>N-A</t>
        </is>
      </c>
      <c r="G1082" s="48" t="inlineStr">
        <is>
          <t>Pass</t>
        </is>
      </c>
      <c r="H1082" s="50" t="inlineStr">
        <is>
          <t>khong ap dung cho profile UPLOAD_VIEW</t>
        </is>
      </c>
      <c r="I10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82" s="48" t="inlineStr">
        <is>
          <t>053. OCB_GOLD_TCKH_V_OPEX_DTL_ADJ_G_HOP.xlsx [SCRIPT: V_OPEX_DTL_ADJ_G]</t>
        </is>
      </c>
    </row>
    <row r="1083">
      <c r="A1083" s="48" t="inlineStr">
        <is>
          <t>TCKH.V_OPEX_DTL_ADJ_G</t>
        </is>
      </c>
      <c r="B1083" s="48" t="inlineStr">
        <is>
          <t>UPLOAD_VIEW</t>
        </is>
      </c>
      <c r="C1083" s="48" t="inlineStr">
        <is>
          <t>2.5</t>
        </is>
      </c>
      <c r="D1083" s="48" t="inlineStr">
        <is>
          <t>Nhom 2 - Logic</t>
        </is>
      </c>
      <c r="E1083" s="48" t="inlineStr">
        <is>
          <t>Không lặp lại lỗi logic cũ đã được DA Data Vault fix</t>
        </is>
      </c>
      <c r="F1083" s="49" t="inlineStr">
        <is>
          <t>PASS</t>
        </is>
      </c>
      <c r="G1083" s="48" t="inlineStr">
        <is>
          <t>Pass</t>
        </is>
      </c>
      <c r="H1083" s="50" t="inlineStr">
        <is>
          <t>không trùng lỗi nào trong Issue log của DA Data Vault</t>
        </is>
      </c>
      <c r="I10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83" s="48" t="inlineStr">
        <is>
          <t>053. OCB_GOLD_TCKH_V_OPEX_DTL_ADJ_G_HOP.xlsx [SCRIPT: V_OPEX_DTL_ADJ_G]</t>
        </is>
      </c>
    </row>
    <row r="1084">
      <c r="A1084" s="48" t="inlineStr">
        <is>
          <t>TCKH.V_OPEX_DTL_ADJ_G</t>
        </is>
      </c>
      <c r="B1084" s="48" t="inlineStr">
        <is>
          <t>UPLOAD_VIEW</t>
        </is>
      </c>
      <c r="C1084" s="48" t="inlineStr">
        <is>
          <t>2.6</t>
        </is>
      </c>
      <c r="D1084" s="48" t="inlineStr">
        <is>
          <t>Nhom 2 - Logic</t>
        </is>
      </c>
      <c r="E1084" s="48" t="inlineStr">
        <is>
          <t>SCD Type 2 cho bảng DIM áp dụng đúng kỹ thuật đã thống nhất</t>
        </is>
      </c>
      <c r="F1084" s="48" t="inlineStr">
        <is>
          <t>N-A</t>
        </is>
      </c>
      <c r="G1084" s="48" t="inlineStr">
        <is>
          <t>Pass</t>
        </is>
      </c>
      <c r="H1084" s="50" t="inlineStr">
        <is>
          <t>object không phải bảng DIM nên không áp dụng SCD Type 2</t>
        </is>
      </c>
      <c r="I10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84" s="48" t="inlineStr">
        <is>
          <t>053. OCB_GOLD_TCKH_V_OPEX_DTL_ADJ_G_HOP.xlsx [SCRIPT: V_OPEX_DTL_ADJ_G]</t>
        </is>
      </c>
    </row>
    <row r="1085">
      <c r="A1085" s="48" t="inlineStr">
        <is>
          <t>TCKH.V_OPEX_DTL_ADJ_G</t>
        </is>
      </c>
      <c r="B1085" s="48" t="inlineStr">
        <is>
          <t>UPLOAD_VIEW</t>
        </is>
      </c>
      <c r="C1085" s="48" t="inlineStr">
        <is>
          <t>2.7</t>
        </is>
      </c>
      <c r="D1085" s="48" t="inlineStr">
        <is>
          <t>Nhom 2 - Logic</t>
        </is>
      </c>
      <c r="E1085" s="48" t="inlineStr">
        <is>
          <t>CASE WHEN cover đủ nhánh như job on-prem</t>
        </is>
      </c>
      <c r="F1085" s="48" t="inlineStr">
        <is>
          <t>N-A</t>
        </is>
      </c>
      <c r="G1085" s="48" t="inlineStr">
        <is>
          <t>Pass</t>
        </is>
      </c>
      <c r="H1085" s="50" t="inlineStr">
        <is>
          <t>script không có CASE WHEN nào</t>
        </is>
      </c>
      <c r="I1085" s="50" t="inlineStr">
        <is>
          <t>Mở job on-prem tương ứng (DataStage DSX hoặc SQL cũ), đối chiếu từng nhánh WHEN và cả nhánh ELSE. CASE không có ELSE sẽ trả NULL âm thầm — xác nhận đó là ý muốn hay thiếu nhánh.</t>
        </is>
      </c>
      <c r="J1085" s="48" t="inlineStr">
        <is>
          <t>053. OCB_GOLD_TCKH_V_OPEX_DTL_ADJ_G_HOP.xlsx [SCRIPT: V_OPEX_DTL_ADJ_G]</t>
        </is>
      </c>
    </row>
    <row r="1086">
      <c r="A1086" s="48" t="inlineStr">
        <is>
          <t>TCKH.V_OPEX_DTL_ADJ_G</t>
        </is>
      </c>
      <c r="B1086" s="48" t="inlineStr">
        <is>
          <t>UPLOAD_VIEW</t>
        </is>
      </c>
      <c r="C1086" s="48" t="inlineStr">
        <is>
          <t>2.8</t>
        </is>
      </c>
      <c r="D1086" s="48" t="inlineStr">
        <is>
          <t>Nhom 2 - Logic</t>
        </is>
      </c>
      <c r="E1086" s="48" t="inlineStr">
        <is>
          <t>Cột SUM/COUNT được COALESCE/NVL hợp lý</t>
        </is>
      </c>
      <c r="F1086" s="49" t="inlineStr">
        <is>
          <t>PASS</t>
        </is>
      </c>
      <c r="G1086" s="48" t="inlineStr">
        <is>
          <t>Pass</t>
        </is>
      </c>
      <c r="H1086" s="50" t="inlineStr">
        <is>
          <t>mọi SUM/COUNT đều đã coalesce (trực tiếp hoặc ở lớp ngoài)</t>
        </is>
      </c>
      <c r="I10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86" s="48" t="inlineStr">
        <is>
          <t>053. OCB_GOLD_TCKH_V_OPEX_DTL_ADJ_G_HOP.xlsx [SCRIPT: V_OPEX_DTL_ADJ_G]</t>
        </is>
      </c>
    </row>
    <row r="1087">
      <c r="A1087" s="48" t="inlineStr">
        <is>
          <t>TCKH.V_OPEX_DTL_ADJ_G</t>
        </is>
      </c>
      <c r="B1087" s="48" t="inlineStr">
        <is>
          <t>UPLOAD_VIEW</t>
        </is>
      </c>
      <c r="C1087" s="48" t="inlineStr">
        <is>
          <t>2.9</t>
        </is>
      </c>
      <c r="D1087" s="48" t="inlineStr">
        <is>
          <t>Nhom 2 - Logic</t>
        </is>
      </c>
      <c r="E1087" s="48" t="inlineStr">
        <is>
          <t>Subquery / custom function / điều kiện LIKE đúng ý nghĩa nghiệp vụ</t>
        </is>
      </c>
      <c r="F1087" s="48" t="inlineStr">
        <is>
          <t>N-A</t>
        </is>
      </c>
      <c r="G1087" s="48" t="inlineStr">
        <is>
          <t>Pass</t>
        </is>
      </c>
      <c r="H1087" s="50" t="inlineStr">
        <is>
          <t>script không có điều kiện LIKE hay scalar subquery nào</t>
        </is>
      </c>
      <c r="I1087" s="50" t="inlineStr">
        <is>
          <t>Đọc lại từng điều kiện LIKE và từng subquery, đối chiếu ý nghĩa nghiệp vụ với on-prem — đúng cú pháp không đủ. Chú ý pattern LIKE có ký tự % ở đầu/cuối và phân biệt chữ hoa/thường.</t>
        </is>
      </c>
      <c r="J1087" s="48" t="inlineStr">
        <is>
          <t>053. OCB_GOLD_TCKH_V_OPEX_DTL_ADJ_G_HOP.xlsx [SCRIPT: V_OPEX_DTL_ADJ_G]</t>
        </is>
      </c>
    </row>
    <row r="1088">
      <c r="A1088" s="48" t="inlineStr">
        <is>
          <t>TCKH.V_OPEX_DTL_ADJ_G</t>
        </is>
      </c>
      <c r="B1088" s="48" t="inlineStr">
        <is>
          <t>UPLOAD_VIEW</t>
        </is>
      </c>
      <c r="C1088" s="48" t="inlineStr">
        <is>
          <t>2.10</t>
        </is>
      </c>
      <c r="D1088" s="48" t="inlineStr">
        <is>
          <t>Nhom 2 - Logic</t>
        </is>
      </c>
      <c r="E1088" s="48" t="inlineStr">
        <is>
          <t>Aggregation kèm filter date range chính xác</t>
        </is>
      </c>
      <c r="F1088" s="49" t="inlineStr">
        <is>
          <t>PASS</t>
        </is>
      </c>
      <c r="G1088" s="48" t="inlineStr">
        <is>
          <t>Pass</t>
        </is>
      </c>
      <c r="H1088" s="50" t="inlineStr">
        <is>
          <t>mọi khối tổng hợp đều có điều kiện theo kỳ dữ liệu</t>
        </is>
      </c>
      <c r="I1088" s="50" t="inlineStr">
        <is>
          <t>Mỗi khối SUM/COUNT/AVG phải có điều kiện lọc theo kỳ dữ liệu (CDR_DT_ID, DATA_DATE, :DATADT…). Nếu điều kiện nằm ở CTE nguồn thì ghi rõ trong comment để người review không phải truy ngược.</t>
        </is>
      </c>
      <c r="J1088" s="48" t="inlineStr">
        <is>
          <t>053. OCB_GOLD_TCKH_V_OPEX_DTL_ADJ_G_HOP.xlsx [SCRIPT: V_OPEX_DTL_ADJ_G]</t>
        </is>
      </c>
    </row>
    <row r="1089">
      <c r="A1089" s="48" t="inlineStr">
        <is>
          <t>TCKH.V_OPEX_DTL_ADJ_G</t>
        </is>
      </c>
      <c r="B1089" s="48" t="inlineStr">
        <is>
          <t>UPLOAD_VIEW</t>
        </is>
      </c>
      <c r="C1089" s="48" t="inlineStr">
        <is>
          <t>2.11</t>
        </is>
      </c>
      <c r="D1089" s="48" t="inlineStr">
        <is>
          <t>Nhom 2 - Logic</t>
        </is>
      </c>
      <c r="E1089" s="48" t="inlineStr">
        <is>
          <t>Join dùng key hợp lý, không lạm dụng UNION ALL + EXISTS/NOT EXISTS</t>
        </is>
      </c>
      <c r="F1089" s="49" t="inlineStr">
        <is>
          <t>PASS</t>
        </is>
      </c>
      <c r="G1089" s="48" t="inlineStr">
        <is>
          <t>Pass</t>
        </is>
      </c>
      <c r="H1089" s="50" t="inlineStr">
        <is>
          <t>join đều theo điều kiện bằng, không lạm dụng UNION ALL + EXISTS</t>
        </is>
      </c>
      <c r="I1089" s="50" t="inlineStr">
        <is>
          <t>Ưu tiên LEFT JOIN theo business key hoặc hashkey. Xem lại các chỗ dùng UNION ALL kết hợp EXISTS/NOT EXISTS — thường thay được bằng một LEFT JOIN. Join không có điều kiện bằng (=) dễ tạo tích Descartes.</t>
        </is>
      </c>
      <c r="J1089" s="48" t="inlineStr">
        <is>
          <t>053. OCB_GOLD_TCKH_V_OPEX_DTL_ADJ_G_HOP.xlsx [SCRIPT: V_OPEX_DTL_ADJ_G]</t>
        </is>
      </c>
    </row>
    <row r="1090">
      <c r="A1090" s="48" t="inlineStr">
        <is>
          <t>TCKH.V_OPEX_DTL_ADJ_G</t>
        </is>
      </c>
      <c r="B1090" s="48" t="inlineStr">
        <is>
          <t>UPLOAD_VIEW</t>
        </is>
      </c>
      <c r="C1090" s="48" t="inlineStr">
        <is>
          <t>2.12</t>
        </is>
      </c>
      <c r="D1090" s="48" t="inlineStr">
        <is>
          <t>Nhom 2 - Logic</t>
        </is>
      </c>
      <c r="E1090" s="48" t="inlineStr">
        <is>
          <t>Build Gold từ CTE snapshot Silver, không build nhiều tầng chồng chéo</t>
        </is>
      </c>
      <c r="F1090" s="48" t="inlineStr">
        <is>
          <t>N-A</t>
        </is>
      </c>
      <c r="G1090" s="48" t="inlineStr">
        <is>
          <t>Pass</t>
        </is>
      </c>
      <c r="H1090" s="50" t="inlineStr">
        <is>
          <t>khong ap dung cho profile UPLOAD_VIEW</t>
        </is>
      </c>
      <c r="I10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90" s="48" t="inlineStr">
        <is>
          <t>053. OCB_GOLD_TCKH_V_OPEX_DTL_ADJ_G_HOP.xlsx [SCRIPT: V_OPEX_DTL_ADJ_G]</t>
        </is>
      </c>
    </row>
    <row r="1091">
      <c r="A1091" s="48" t="inlineStr">
        <is>
          <t>TCKH.V_OPEX_DTL_ADJ_G</t>
        </is>
      </c>
      <c r="B1091" s="48" t="inlineStr">
        <is>
          <t>UPLOAD_VIEW</t>
        </is>
      </c>
      <c r="C1091" s="48" t="inlineStr">
        <is>
          <t>3.1</t>
        </is>
      </c>
      <c r="D1091" s="48" t="inlineStr">
        <is>
          <t>Nhom 3 - Optimization</t>
        </is>
      </c>
      <c r="E1091" s="48" t="inlineStr">
        <is>
          <t>Không SELECT *</t>
        </is>
      </c>
      <c r="F1091" s="49" t="inlineStr">
        <is>
          <t>PASS</t>
        </is>
      </c>
      <c r="G1091" s="48" t="inlineStr">
        <is>
          <t>Pass</t>
        </is>
      </c>
      <c r="H1091" s="50" t="inlineStr">
        <is>
          <t>không dùng SELECT * ở đâu</t>
        </is>
      </c>
      <c r="I1091" s="50" t="inlineStr">
        <is>
          <t>Liệt kê tường minh các cột cần dùng, kể cả trong CTE trung gian. SELECT * làm tăng IO/memory và vỡ script khi bảng nguồn thêm cột.</t>
        </is>
      </c>
      <c r="J1091" s="48" t="inlineStr">
        <is>
          <t>053. OCB_GOLD_TCKH_V_OPEX_DTL_ADJ_G_HOP.xlsx [SCRIPT: V_OPEX_DTL_ADJ_G]</t>
        </is>
      </c>
    </row>
    <row r="1092">
      <c r="A1092" s="48" t="inlineStr">
        <is>
          <t>TCKH.V_OPEX_DTL_ADJ_G</t>
        </is>
      </c>
      <c r="B1092" s="48" t="inlineStr">
        <is>
          <t>UPLOAD_VIEW</t>
        </is>
      </c>
      <c r="C1092" s="48" t="inlineStr">
        <is>
          <t>3.2</t>
        </is>
      </c>
      <c r="D1092" s="48" t="inlineStr">
        <is>
          <t>Nhom 3 - Optimization</t>
        </is>
      </c>
      <c r="E1092" s="48" t="inlineStr">
        <is>
          <t>CTE không bị scan lại nhiều lần</t>
        </is>
      </c>
      <c r="F1092" s="49" t="inlineStr">
        <is>
          <t>PASS</t>
        </is>
      </c>
      <c r="G1092" s="48" t="inlineStr">
        <is>
          <t>Pass</t>
        </is>
      </c>
      <c r="H1092" s="50" t="inlineStr">
        <is>
          <t>không có CTE nào bị gọi lại</t>
        </is>
      </c>
      <c r="I1092" s="50" t="inlineStr">
        <is>
          <t>Với CTE nặng (đọc nhiều bảng Silver) bị tham chiếu từ 2 chỗ trở lên: gom lại còn một lần dùng, hoặc vật chất hóa (CACHE / bảng tạm). CTE nhẹ chỉ chứa tham số thì bỏ qua được — tự tick Pass.</t>
        </is>
      </c>
      <c r="J1092" s="48" t="inlineStr">
        <is>
          <t>053. OCB_GOLD_TCKH_V_OPEX_DTL_ADJ_G_HOP.xlsx [SCRIPT: V_OPEX_DTL_ADJ_G]</t>
        </is>
      </c>
    </row>
    <row r="1093">
      <c r="A1093" s="48" t="inlineStr">
        <is>
          <t>TCKH.V_OPEX_DTL_ADJ_G</t>
        </is>
      </c>
      <c r="B1093" s="48" t="inlineStr">
        <is>
          <t>UPLOAD_VIEW</t>
        </is>
      </c>
      <c r="C1093" s="48" t="inlineStr">
        <is>
          <t>3.3</t>
        </is>
      </c>
      <c r="D1093" s="48" t="inlineStr">
        <is>
          <t>Nhom 3 - Optimization</t>
        </is>
      </c>
      <c r="E1093" s="48" t="inlineStr">
        <is>
          <t>Filter trước khi join, tận dụng partition pruning</t>
        </is>
      </c>
      <c r="F1093" s="48" t="inlineStr">
        <is>
          <t>N-A</t>
        </is>
      </c>
      <c r="G1093" s="48" t="inlineStr">
        <is>
          <t>Pass</t>
        </is>
      </c>
      <c r="H1093" s="50" t="inlineStr">
        <is>
          <t>khong ap dung cho profile UPLOAD_VIEW</t>
        </is>
      </c>
      <c r="I1093" s="50" t="inlineStr">
        <is>
          <t>Đưa điều kiện lọc (ngày dữ liệu, trạng thái) vào subquery của từng bảng TRƯỚC khi join, để tận dụng partition pruning. Bảng dim nhỏ không partition thì không cần — tự tick Pass.</t>
        </is>
      </c>
      <c r="J1093" s="48" t="inlineStr">
        <is>
          <t>053. OCB_GOLD_TCKH_V_OPEX_DTL_ADJ_G_HOP.xlsx [SCRIPT: V_OPEX_DTL_ADJ_G]</t>
        </is>
      </c>
    </row>
    <row r="1094">
      <c r="A1094" s="48" t="inlineStr">
        <is>
          <t>TCKH.V_OPEX_DTL_ADJ_G</t>
        </is>
      </c>
      <c r="B1094" s="48" t="inlineStr">
        <is>
          <t>UPLOAD_VIEW</t>
        </is>
      </c>
      <c r="C1094" s="48" t="inlineStr">
        <is>
          <t>3.4</t>
        </is>
      </c>
      <c r="D1094" s="48" t="inlineStr">
        <is>
          <t>Nhom 3 - Optimization</t>
        </is>
      </c>
      <c r="E1094" s="48" t="inlineStr">
        <is>
          <t>Sử dụng CACHE cho query lặp lại trong cùng luồng</t>
        </is>
      </c>
      <c r="F1094" s="48" t="inlineStr">
        <is>
          <t>N-A</t>
        </is>
      </c>
      <c r="G1094" s="48" t="inlineStr">
        <is>
          <t>Pass</t>
        </is>
      </c>
      <c r="H1094" s="50" t="inlineStr">
        <is>
          <t>không có kết quả nào được dùng lại nhiều lần nên chưa cần CACHE</t>
        </is>
      </c>
      <c r="I1094" s="50" t="inlineStr">
        <is>
          <t>Nếu một kết quả nặng được dùng lại nhiều bước trong cùng luồng, thêm CACHE TABLE / CACHE SELECT. Kết quả nhỏ thì cache còn chậm hơn — tự tick Pass.</t>
        </is>
      </c>
      <c r="J1094" s="48" t="inlineStr">
        <is>
          <t>053. OCB_GOLD_TCKH_V_OPEX_DTL_ADJ_G_HOP.xlsx [SCRIPT: V_OPEX_DTL_ADJ_G]</t>
        </is>
      </c>
    </row>
    <row r="1095">
      <c r="A1095" s="48" t="inlineStr">
        <is>
          <t>TCKH.V_OPEX_DTL_ADJ_G</t>
        </is>
      </c>
      <c r="B1095" s="48" t="inlineStr">
        <is>
          <t>UPLOAD_VIEW</t>
        </is>
      </c>
      <c r="C1095" s="48" t="inlineStr">
        <is>
          <t>3.5</t>
        </is>
      </c>
      <c r="D1095" s="48" t="inlineStr">
        <is>
          <t>Nhom 3 - Optimization</t>
        </is>
      </c>
      <c r="E1095" s="48" t="inlineStr">
        <is>
          <t>Ưu tiên MAX_BY + QUALIFY thay ROW_NUMBER() + WHERE rn = 1</t>
        </is>
      </c>
      <c r="F1095" s="48" t="inlineStr">
        <is>
          <t>N-A</t>
        </is>
      </c>
      <c r="G1095" s="48" t="inlineStr">
        <is>
          <t>Pass</t>
        </is>
      </c>
      <c r="H1095" s="50" t="inlineStr">
        <is>
          <t>script không dùng ROW_NUMBER, và MAX_BY (nếu có) không vượt quá 5 cột/khối</t>
        </is>
      </c>
      <c r="I10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95" s="48" t="inlineStr">
        <is>
          <t>053. OCB_GOLD_TCKH_V_OPEX_DTL_ADJ_G_HOP.xlsx [SCRIPT: V_OPEX_DTL_ADJ_G]</t>
        </is>
      </c>
    </row>
    <row r="1096">
      <c r="A1096" s="48" t="inlineStr">
        <is>
          <t>TCKH.V_OPEX_DTL_ADJ_G</t>
        </is>
      </c>
      <c r="B1096" s="48" t="inlineStr">
        <is>
          <t>UPLOAD_VIEW</t>
        </is>
      </c>
      <c r="C1096" s="48" t="inlineStr">
        <is>
          <t>3.6</t>
        </is>
      </c>
      <c r="D1096" s="48" t="inlineStr">
        <is>
          <t>Nhom 3 - Optimization</t>
        </is>
      </c>
      <c r="E1096" s="48" t="inlineStr">
        <is>
          <t>Không lạm dụng window function; có comment khi dùng</t>
        </is>
      </c>
      <c r="F1096" s="48" t="inlineStr">
        <is>
          <t>N-A</t>
        </is>
      </c>
      <c r="G1096" s="48" t="inlineStr">
        <is>
          <t>Pass</t>
        </is>
      </c>
      <c r="H1096" s="50" t="inlineStr">
        <is>
          <t>script không dùng window function</t>
        </is>
      </c>
      <c r="I1096" s="50" t="inlineStr">
        <is>
          <t>Mỗi window function cần một comment ngay trên khối CTE chứa nó, nói rõ vì sao không dùng được max_by/QUALIFY đơn giản hơn.</t>
        </is>
      </c>
      <c r="J1096" s="48" t="inlineStr">
        <is>
          <t>053. OCB_GOLD_TCKH_V_OPEX_DTL_ADJ_G_HOP.xlsx [SCRIPT: V_OPEX_DTL_ADJ_G]</t>
        </is>
      </c>
    </row>
    <row r="1097">
      <c r="A1097" s="48" t="inlineStr">
        <is>
          <t>TCKH.V_OPEX_DTL_ADJ_G</t>
        </is>
      </c>
      <c r="B1097" s="48" t="inlineStr">
        <is>
          <t>UPLOAD_VIEW</t>
        </is>
      </c>
      <c r="C1097" s="48" t="inlineStr">
        <is>
          <t>X.1</t>
        </is>
      </c>
      <c r="D1097" s="48" t="inlineStr">
        <is>
          <t>Nhom X - Bo sung Raffles</t>
        </is>
      </c>
      <c r="E1097" s="48" t="inlineStr">
        <is>
          <t>[Bổ sung] Link phải rút về current trước khi join (chống fan-out)</t>
        </is>
      </c>
      <c r="F1097" s="48" t="inlineStr">
        <is>
          <t>N-A</t>
        </is>
      </c>
      <c r="G1097" s="48" t="inlineStr">
        <is>
          <t>Pass</t>
        </is>
      </c>
      <c r="H1097" s="50" t="inlineStr">
        <is>
          <t>khong ap dung cho profile UPLOAD_VIEW</t>
        </is>
      </c>
      <c r="I10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97" s="48" t="inlineStr">
        <is>
          <t>053. OCB_GOLD_TCKH_V_OPEX_DTL_ADJ_G_HOP.xlsx [SCRIPT: V_OPEX_DTL_ADJ_G]</t>
        </is>
      </c>
    </row>
    <row r="1098">
      <c r="A1098" s="48" t="inlineStr">
        <is>
          <t>TCKH.V_OPEX_DTL_ADJ_G</t>
        </is>
      </c>
      <c r="B1098" s="48" t="inlineStr">
        <is>
          <t>UPLOAD_VIEW</t>
        </is>
      </c>
      <c r="C1098" s="48" t="inlineStr">
        <is>
          <t>X.6</t>
        </is>
      </c>
      <c r="D1098" s="48" t="inlineStr">
        <is>
          <t>Nhom X - Bo sung Raffles</t>
        </is>
      </c>
      <c r="E1098" s="48" t="inlineStr">
        <is>
          <t>[Bổ sung] Satellite phải LEFT JOIN, không INNER JOIN</t>
        </is>
      </c>
      <c r="F1098" s="48" t="inlineStr">
        <is>
          <t>N-A</t>
        </is>
      </c>
      <c r="G1098" s="48" t="inlineStr">
        <is>
          <t>Pass</t>
        </is>
      </c>
      <c r="H1098" s="50" t="inlineStr">
        <is>
          <t>khong ap dung cho profile UPLOAD_VIEW</t>
        </is>
      </c>
      <c r="I1098" s="50" t="inlineStr">
        <is>
          <t>Technical Document III.4.2.2 nguyên tắc 1: làm giàu thuộc tính luôn dùng LEFT JOIN. INNER JOIN satellite sẽ loại mất bản ghi Hub đang còn hiệu lực nhưng chưa có dòng satellite.</t>
        </is>
      </c>
      <c r="J1098" s="48" t="inlineStr">
        <is>
          <t>053. OCB_GOLD_TCKH_V_OPEX_DTL_ADJ_G_HOP.xlsx [SCRIPT: V_OPEX_DTL_ADJ_G]</t>
        </is>
      </c>
    </row>
    <row r="1099">
      <c r="A1099" s="48" t="inlineStr">
        <is>
          <t>TCKH.V_OPEX_DTL_ADJ_G</t>
        </is>
      </c>
      <c r="B1099" s="48" t="inlineStr">
        <is>
          <t>UPLOAD_VIEW</t>
        </is>
      </c>
      <c r="C1099" s="48" t="inlineStr">
        <is>
          <t>X.7</t>
        </is>
      </c>
      <c r="D1099" s="48" t="inlineStr">
        <is>
          <t>Nhom X - Bo sung Raffles</t>
        </is>
      </c>
      <c r="E1099" s="48" t="inlineStr">
        <is>
          <t>[Bổ sung] Không hard-code catalog, dùng biến môi trường</t>
        </is>
      </c>
      <c r="F1099" s="48" t="inlineStr">
        <is>
          <t>N-A</t>
        </is>
      </c>
      <c r="G1099" s="48" t="inlineStr">
        <is>
          <t>Pass</t>
        </is>
      </c>
      <c r="H1099" s="50" t="inlineStr">
        <is>
          <t>khong ap dung cho profile UPLOAD_VIEW</t>
        </is>
      </c>
      <c r="I10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99" s="48" t="inlineStr">
        <is>
          <t>053. OCB_GOLD_TCKH_V_OPEX_DTL_ADJ_G_HOP.xlsx [SCRIPT: V_OPEX_DTL_ADJ_G]</t>
        </is>
      </c>
    </row>
    <row r="1100">
      <c r="A1100" s="48" t="inlineStr">
        <is>
          <t>TCKH.V_OPEX_DTL_ADJ_G</t>
        </is>
      </c>
      <c r="B1100" s="48" t="inlineStr">
        <is>
          <t>UPLOAD_VIEW</t>
        </is>
      </c>
      <c r="C1100" s="48" t="inlineStr">
        <is>
          <t>X.10</t>
        </is>
      </c>
      <c r="D1100" s="48" t="inlineStr">
        <is>
          <t>Nhom X - Bo sung Raffles</t>
        </is>
      </c>
      <c r="E1100" s="48" t="inlineStr">
        <is>
          <t>Bang raw_vault/business_vault duoc doc phai TON TAI THAT trong Data Vault model</t>
        </is>
      </c>
      <c r="F1100" s="48" t="inlineStr">
        <is>
          <t>N-A</t>
        </is>
      </c>
      <c r="G1100" s="48" t="inlineStr">
        <is>
          <t>Pass</t>
        </is>
      </c>
      <c r="H1100" s="50" t="inlineStr">
        <is>
          <t>script không đọc bảng raw_vault/business_vault nào</t>
        </is>
      </c>
      <c r="I1100" s="50" t="inlineStr"/>
      <c r="J1100" s="48" t="inlineStr">
        <is>
          <t>053. OCB_GOLD_TCKH_V_OPEX_DTL_ADJ_G_HOP.xlsx [SCRIPT: V_OPEX_DTL_ADJ_G]</t>
        </is>
      </c>
    </row>
    <row r="1101">
      <c r="A1101" s="48" t="inlineStr">
        <is>
          <t>TCKH.V_OPEX_DTL_ADJ_G</t>
        </is>
      </c>
      <c r="B1101" s="48" t="inlineStr">
        <is>
          <t>UPLOAD_VIEW</t>
        </is>
      </c>
      <c r="C1101" s="48" t="inlineStr">
        <is>
          <t>X.11</t>
        </is>
      </c>
      <c r="D1101" s="48" t="inlineStr">
        <is>
          <t>Nhom X - Bo sung Raffles</t>
        </is>
      </c>
      <c r="E1101" s="48" t="inlineStr">
        <is>
          <t>Cot doc tu satellite (sat_*) phai TON TAI THAT trong model</t>
        </is>
      </c>
      <c r="F1101" s="48" t="inlineStr">
        <is>
          <t>N-A</t>
        </is>
      </c>
      <c r="G1101" s="48" t="inlineStr">
        <is>
          <t>Pass</t>
        </is>
      </c>
      <c r="H1101" s="50" t="inlineStr">
        <is>
          <t>không có bảng sat_* nào đủ điều kiện đối chiếu (Select chỉ đọc 1 bảng)</t>
        </is>
      </c>
      <c r="I1101" s="50" t="inlineStr"/>
      <c r="J1101" s="48" t="inlineStr">
        <is>
          <t>053. OCB_GOLD_TCKH_V_OPEX_DTL_ADJ_G_HOP.xlsx [SCRIPT: V_OPEX_DTL_ADJ_G]</t>
        </is>
      </c>
    </row>
    <row r="1102">
      <c r="A1102" s="48" t="inlineStr">
        <is>
          <t>TCKH.V_P_KEYNQ</t>
        </is>
      </c>
      <c r="B1102" s="48" t="inlineStr">
        <is>
          <t>UPLOAD_VIEW</t>
        </is>
      </c>
      <c r="C1102" s="48" t="inlineStr">
        <is>
          <t>1.1</t>
        </is>
      </c>
      <c r="D1102" s="48" t="inlineStr">
        <is>
          <t>Nhom 1 - Mapping</t>
        </is>
      </c>
      <c r="E1102" s="48" t="inlineStr">
        <is>
          <t>Đầy đủ mapping từ Silver/manual sang Gold</t>
        </is>
      </c>
      <c r="F1102" s="49" t="inlineStr">
        <is>
          <t>PASS</t>
        </is>
      </c>
      <c r="G1102" s="48" t="inlineStr">
        <is>
          <t>Pass</t>
        </is>
      </c>
      <c r="H1102" s="50" t="inlineStr">
        <is>
          <t>workbook 057. OCB_GOLD_TCKH_V_P_KEYNQ_BAOANH.xlsx: thiết kế 7 field, SQL có 7 cột</t>
        </is>
      </c>
      <c r="I11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02" s="48" t="inlineStr">
        <is>
          <t>057. OCB_GOLD_TCKH_V_P_KEYNQ_BAOANH.xlsx [SCRIPT: V_P_KEYNQ]</t>
        </is>
      </c>
    </row>
    <row r="1103">
      <c r="A1103" s="48" t="inlineStr">
        <is>
          <t>TCKH.V_P_KEYNQ</t>
        </is>
      </c>
      <c r="B1103" s="48" t="inlineStr">
        <is>
          <t>UPLOAD_VIEW</t>
        </is>
      </c>
      <c r="C1103" s="48" t="inlineStr">
        <is>
          <t>1.2</t>
        </is>
      </c>
      <c r="D1103" s="48" t="inlineStr">
        <is>
          <t>Nhom 1 - Mapping</t>
        </is>
      </c>
      <c r="E1103" s="48" t="inlineStr">
        <is>
          <t>Danh sách bảng/view Gold khớp tài liệu thiết kế đã duyệt</t>
        </is>
      </c>
      <c r="F1103" s="49" t="inlineStr">
        <is>
          <t>PASS</t>
        </is>
      </c>
      <c r="G1103" s="48" t="inlineStr">
        <is>
          <t>Pass</t>
        </is>
      </c>
      <c r="H1103" s="50" t="inlineStr">
        <is>
          <t>V_P_KEYNQ có workbook thiết kế: 057. OCB_GOLD_TCKH_V_P_KEYNQ_BAOANH.xlsx</t>
        </is>
      </c>
      <c r="I1103" s="50" t="inlineStr">
        <is>
          <t>Đảm bảo object có workbook thiết kế tương ứng trong thư mục --mapping-dir. Muốn đối chiếu với danh sách đã duyệt thì chạy thêm tham số --gold-list "&lt;file danh sách Gold&gt;.xlsx".</t>
        </is>
      </c>
      <c r="J1103" s="48" t="inlineStr">
        <is>
          <t>057. OCB_GOLD_TCKH_V_P_KEYNQ_BAOANH.xlsx [SCRIPT: V_P_KEYNQ]</t>
        </is>
      </c>
    </row>
    <row r="1104">
      <c r="A1104" s="48" t="inlineStr">
        <is>
          <t>TCKH.V_P_KEYNQ</t>
        </is>
      </c>
      <c r="B1104" s="48" t="inlineStr">
        <is>
          <t>UPLOAD_VIEW</t>
        </is>
      </c>
      <c r="C1104" s="48" t="inlineStr">
        <is>
          <t>2.1</t>
        </is>
      </c>
      <c r="D1104" s="48" t="inlineStr">
        <is>
          <t>Nhom 2 - Logic</t>
        </is>
      </c>
      <c r="E1104" s="48" t="inlineStr">
        <is>
          <t>Chỉ lấy bản ghi active, loại bản ghi đã xóa (qua sts_hub)</t>
        </is>
      </c>
      <c r="F1104" s="48" t="inlineStr">
        <is>
          <t>N-A</t>
        </is>
      </c>
      <c r="G1104" s="48" t="inlineStr">
        <is>
          <t>Pass</t>
        </is>
      </c>
      <c r="H1104" s="50" t="inlineStr">
        <is>
          <t>khong ap dung cho profile UPLOAD_VIEW</t>
        </is>
      </c>
      <c r="I11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04" s="48" t="inlineStr">
        <is>
          <t>057. OCB_GOLD_TCKH_V_P_KEYNQ_BAOANH.xlsx [SCRIPT: V_P_KEYNQ]</t>
        </is>
      </c>
    </row>
    <row r="1105">
      <c r="A1105" s="48" t="inlineStr">
        <is>
          <t>TCKH.V_P_KEYNQ</t>
        </is>
      </c>
      <c r="B1105" s="48" t="inlineStr">
        <is>
          <t>UPLOAD_VIEW</t>
        </is>
      </c>
      <c r="C1105" s="48" t="inlineStr">
        <is>
          <t>2.2</t>
        </is>
      </c>
      <c r="D1105" s="48" t="inlineStr">
        <is>
          <t>Nhom 2 - Logic</t>
        </is>
      </c>
      <c r="E1105" s="48" t="inlineStr">
        <is>
          <t>Thống nhất MỘT pattern duy nhất xác định bản ghi active mới nhất</t>
        </is>
      </c>
      <c r="F1105" s="48" t="inlineStr">
        <is>
          <t>N-A</t>
        </is>
      </c>
      <c r="G1105" s="48" t="inlineStr">
        <is>
          <t>Pass</t>
        </is>
      </c>
      <c r="H1105" s="50" t="inlineStr">
        <is>
          <t>khong ap dung cho profile UPLOAD_VIEW</t>
        </is>
      </c>
      <c r="I11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05" s="48" t="inlineStr">
        <is>
          <t>057. OCB_GOLD_TCKH_V_P_KEYNQ_BAOANH.xlsx [SCRIPT: V_P_KEYNQ]</t>
        </is>
      </c>
    </row>
    <row r="1106">
      <c r="A1106" s="48" t="inlineStr">
        <is>
          <t>TCKH.V_P_KEYNQ</t>
        </is>
      </c>
      <c r="B1106" s="48" t="inlineStr">
        <is>
          <t>UPLOAD_VIEW</t>
        </is>
      </c>
      <c r="C1106" s="48" t="inlineStr">
        <is>
          <t>2.3</t>
        </is>
      </c>
      <c r="D1106" s="48" t="inlineStr">
        <is>
          <t>Nhom 2 - Logic</t>
        </is>
      </c>
      <c r="E1106" s="48" t="inlineStr">
        <is>
          <t>Điều kiện lọc trạng thái đặt SAU khi xác định bản ghi mới nhất</t>
        </is>
      </c>
      <c r="F1106" s="48" t="inlineStr">
        <is>
          <t>N-A</t>
        </is>
      </c>
      <c r="G1106" s="48" t="inlineStr">
        <is>
          <t>Pass</t>
        </is>
      </c>
      <c r="H1106" s="50" t="inlineStr">
        <is>
          <t>khong ap dung cho profile UPLOAD_VIEW</t>
        </is>
      </c>
      <c r="I11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06" s="48" t="inlineStr">
        <is>
          <t>057. OCB_GOLD_TCKH_V_P_KEYNQ_BAOANH.xlsx [SCRIPT: V_P_KEYNQ]</t>
        </is>
      </c>
    </row>
    <row r="1107">
      <c r="A1107" s="48" t="inlineStr">
        <is>
          <t>TCKH.V_P_KEYNQ</t>
        </is>
      </c>
      <c r="B1107" s="48" t="inlineStr">
        <is>
          <t>UPLOAD_VIEW</t>
        </is>
      </c>
      <c r="C1107" s="48" t="inlineStr">
        <is>
          <t>2.4</t>
        </is>
      </c>
      <c r="D1107" s="48" t="inlineStr">
        <is>
          <t>Nhom 2 - Logic</t>
        </is>
      </c>
      <c r="E1107" s="48" t="inlineStr">
        <is>
          <t>source_event_date áp dụng đúng dạng theo loại bảng</t>
        </is>
      </c>
      <c r="F1107" s="48" t="inlineStr">
        <is>
          <t>N-A</t>
        </is>
      </c>
      <c r="G1107" s="48" t="inlineStr">
        <is>
          <t>Pass</t>
        </is>
      </c>
      <c r="H1107" s="50" t="inlineStr">
        <is>
          <t>khong ap dung cho profile UPLOAD_VIEW</t>
        </is>
      </c>
      <c r="I11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07" s="48" t="inlineStr">
        <is>
          <t>057. OCB_GOLD_TCKH_V_P_KEYNQ_BAOANH.xlsx [SCRIPT: V_P_KEYNQ]</t>
        </is>
      </c>
    </row>
    <row r="1108">
      <c r="A1108" s="48" t="inlineStr">
        <is>
          <t>TCKH.V_P_KEYNQ</t>
        </is>
      </c>
      <c r="B1108" s="48" t="inlineStr">
        <is>
          <t>UPLOAD_VIEW</t>
        </is>
      </c>
      <c r="C1108" s="48" t="inlineStr">
        <is>
          <t>2.5</t>
        </is>
      </c>
      <c r="D1108" s="48" t="inlineStr">
        <is>
          <t>Nhom 2 - Logic</t>
        </is>
      </c>
      <c r="E1108" s="48" t="inlineStr">
        <is>
          <t>Không lặp lại lỗi logic cũ đã được DA Data Vault fix</t>
        </is>
      </c>
      <c r="F1108" s="49" t="inlineStr">
        <is>
          <t>PASS</t>
        </is>
      </c>
      <c r="G1108" s="48" t="inlineStr">
        <is>
          <t>Pass</t>
        </is>
      </c>
      <c r="H1108" s="50" t="inlineStr">
        <is>
          <t>không trùng lỗi nào trong Issue log của DA Data Vault</t>
        </is>
      </c>
      <c r="I11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08" s="48" t="inlineStr">
        <is>
          <t>057. OCB_GOLD_TCKH_V_P_KEYNQ_BAOANH.xlsx [SCRIPT: V_P_KEYNQ]</t>
        </is>
      </c>
    </row>
    <row r="1109">
      <c r="A1109" s="48" t="inlineStr">
        <is>
          <t>TCKH.V_P_KEYNQ</t>
        </is>
      </c>
      <c r="B1109" s="48" t="inlineStr">
        <is>
          <t>UPLOAD_VIEW</t>
        </is>
      </c>
      <c r="C1109" s="48" t="inlineStr">
        <is>
          <t>2.6</t>
        </is>
      </c>
      <c r="D1109" s="48" t="inlineStr">
        <is>
          <t>Nhom 2 - Logic</t>
        </is>
      </c>
      <c r="E1109" s="48" t="inlineStr">
        <is>
          <t>SCD Type 2 cho bảng DIM áp dụng đúng kỹ thuật đã thống nhất</t>
        </is>
      </c>
      <c r="F1109" s="48" t="inlineStr">
        <is>
          <t>N-A</t>
        </is>
      </c>
      <c r="G1109" s="48" t="inlineStr">
        <is>
          <t>Pass</t>
        </is>
      </c>
      <c r="H1109" s="50" t="inlineStr">
        <is>
          <t>object không phải bảng DIM nên không áp dụng SCD Type 2</t>
        </is>
      </c>
      <c r="I11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09" s="48" t="inlineStr">
        <is>
          <t>057. OCB_GOLD_TCKH_V_P_KEYNQ_BAOANH.xlsx [SCRIPT: V_P_KEYNQ]</t>
        </is>
      </c>
    </row>
    <row r="1110">
      <c r="A1110" s="48" t="inlineStr">
        <is>
          <t>TCKH.V_P_KEYNQ</t>
        </is>
      </c>
      <c r="B1110" s="48" t="inlineStr">
        <is>
          <t>UPLOAD_VIEW</t>
        </is>
      </c>
      <c r="C1110" s="48" t="inlineStr">
        <is>
          <t>2.7</t>
        </is>
      </c>
      <c r="D1110" s="48" t="inlineStr">
        <is>
          <t>Nhom 2 - Logic</t>
        </is>
      </c>
      <c r="E1110" s="48" t="inlineStr">
        <is>
          <t>CASE WHEN cover đủ nhánh như job on-prem</t>
        </is>
      </c>
      <c r="F1110" s="48" t="inlineStr">
        <is>
          <t>N-A</t>
        </is>
      </c>
      <c r="G1110" s="48" t="inlineStr">
        <is>
          <t>Pass</t>
        </is>
      </c>
      <c r="H1110" s="50" t="inlineStr">
        <is>
          <t>script không có CASE WHEN nào</t>
        </is>
      </c>
      <c r="I1110" s="50" t="inlineStr">
        <is>
          <t>Mở job on-prem tương ứng (DataStage DSX hoặc SQL cũ), đối chiếu từng nhánh WHEN và cả nhánh ELSE. CASE không có ELSE sẽ trả NULL âm thầm — xác nhận đó là ý muốn hay thiếu nhánh.</t>
        </is>
      </c>
      <c r="J1110" s="48" t="inlineStr">
        <is>
          <t>057. OCB_GOLD_TCKH_V_P_KEYNQ_BAOANH.xlsx [SCRIPT: V_P_KEYNQ]</t>
        </is>
      </c>
    </row>
    <row r="1111">
      <c r="A1111" s="48" t="inlineStr">
        <is>
          <t>TCKH.V_P_KEYNQ</t>
        </is>
      </c>
      <c r="B1111" s="48" t="inlineStr">
        <is>
          <t>UPLOAD_VIEW</t>
        </is>
      </c>
      <c r="C1111" s="48" t="inlineStr">
        <is>
          <t>2.8</t>
        </is>
      </c>
      <c r="D1111" s="48" t="inlineStr">
        <is>
          <t>Nhom 2 - Logic</t>
        </is>
      </c>
      <c r="E1111" s="48" t="inlineStr">
        <is>
          <t>Cột SUM/COUNT được COALESCE/NVL hợp lý</t>
        </is>
      </c>
      <c r="F1111" s="49" t="inlineStr">
        <is>
          <t>PASS</t>
        </is>
      </c>
      <c r="G1111" s="48" t="inlineStr">
        <is>
          <t>Pass</t>
        </is>
      </c>
      <c r="H1111" s="50" t="inlineStr">
        <is>
          <t>mọi SUM/COUNT đều đã coalesce (trực tiếp hoặc ở lớp ngoài)</t>
        </is>
      </c>
      <c r="I11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11" s="48" t="inlineStr">
        <is>
          <t>057. OCB_GOLD_TCKH_V_P_KEYNQ_BAOANH.xlsx [SCRIPT: V_P_KEYNQ]</t>
        </is>
      </c>
    </row>
    <row r="1112">
      <c r="A1112" s="48" t="inlineStr">
        <is>
          <t>TCKH.V_P_KEYNQ</t>
        </is>
      </c>
      <c r="B1112" s="48" t="inlineStr">
        <is>
          <t>UPLOAD_VIEW</t>
        </is>
      </c>
      <c r="C1112" s="48" t="inlineStr">
        <is>
          <t>2.9</t>
        </is>
      </c>
      <c r="D1112" s="48" t="inlineStr">
        <is>
          <t>Nhom 2 - Logic</t>
        </is>
      </c>
      <c r="E1112" s="48" t="inlineStr">
        <is>
          <t>Subquery / custom function / điều kiện LIKE đúng ý nghĩa nghiệp vụ</t>
        </is>
      </c>
      <c r="F1112" s="48" t="inlineStr">
        <is>
          <t>N-A</t>
        </is>
      </c>
      <c r="G1112" s="48" t="inlineStr">
        <is>
          <t>Pass</t>
        </is>
      </c>
      <c r="H1112" s="50" t="inlineStr">
        <is>
          <t>script không có điều kiện LIKE hay scalar subquery nào</t>
        </is>
      </c>
      <c r="I1112" s="50" t="inlineStr">
        <is>
          <t>Đọc lại từng điều kiện LIKE và từng subquery, đối chiếu ý nghĩa nghiệp vụ với on-prem — đúng cú pháp không đủ. Chú ý pattern LIKE có ký tự % ở đầu/cuối và phân biệt chữ hoa/thường.</t>
        </is>
      </c>
      <c r="J1112" s="48" t="inlineStr">
        <is>
          <t>057. OCB_GOLD_TCKH_V_P_KEYNQ_BAOANH.xlsx [SCRIPT: V_P_KEYNQ]</t>
        </is>
      </c>
    </row>
    <row r="1113">
      <c r="A1113" s="48" t="inlineStr">
        <is>
          <t>TCKH.V_P_KEYNQ</t>
        </is>
      </c>
      <c r="B1113" s="48" t="inlineStr">
        <is>
          <t>UPLOAD_VIEW</t>
        </is>
      </c>
      <c r="C1113" s="48" t="inlineStr">
        <is>
          <t>2.10</t>
        </is>
      </c>
      <c r="D1113" s="48" t="inlineStr">
        <is>
          <t>Nhom 2 - Logic</t>
        </is>
      </c>
      <c r="E1113" s="48" t="inlineStr">
        <is>
          <t>Aggregation kèm filter date range chính xác</t>
        </is>
      </c>
      <c r="F1113" s="49" t="inlineStr">
        <is>
          <t>PASS</t>
        </is>
      </c>
      <c r="G1113" s="48" t="inlineStr">
        <is>
          <t>Pass</t>
        </is>
      </c>
      <c r="H1113" s="50" t="inlineStr">
        <is>
          <t>mọi khối tổng hợp đều có điều kiện theo kỳ dữ liệu</t>
        </is>
      </c>
      <c r="I1113" s="50" t="inlineStr">
        <is>
          <t>Mỗi khối SUM/COUNT/AVG phải có điều kiện lọc theo kỳ dữ liệu (CDR_DT_ID, DATA_DATE, :DATADT…). Nếu điều kiện nằm ở CTE nguồn thì ghi rõ trong comment để người review không phải truy ngược.</t>
        </is>
      </c>
      <c r="J1113" s="48" t="inlineStr">
        <is>
          <t>057. OCB_GOLD_TCKH_V_P_KEYNQ_BAOANH.xlsx [SCRIPT: V_P_KEYNQ]</t>
        </is>
      </c>
    </row>
    <row r="1114">
      <c r="A1114" s="48" t="inlineStr">
        <is>
          <t>TCKH.V_P_KEYNQ</t>
        </is>
      </c>
      <c r="B1114" s="48" t="inlineStr">
        <is>
          <t>UPLOAD_VIEW</t>
        </is>
      </c>
      <c r="C1114" s="48" t="inlineStr">
        <is>
          <t>2.11</t>
        </is>
      </c>
      <c r="D1114" s="48" t="inlineStr">
        <is>
          <t>Nhom 2 - Logic</t>
        </is>
      </c>
      <c r="E1114" s="48" t="inlineStr">
        <is>
          <t>Join dùng key hợp lý, không lạm dụng UNION ALL + EXISTS/NOT EXISTS</t>
        </is>
      </c>
      <c r="F1114" s="49" t="inlineStr">
        <is>
          <t>PASS</t>
        </is>
      </c>
      <c r="G1114" s="48" t="inlineStr">
        <is>
          <t>Pass</t>
        </is>
      </c>
      <c r="H1114" s="50" t="inlineStr">
        <is>
          <t>join đều theo điều kiện bằng, không lạm dụng UNION ALL + EXISTS</t>
        </is>
      </c>
      <c r="I1114" s="50" t="inlineStr">
        <is>
          <t>Ưu tiên LEFT JOIN theo business key hoặc hashkey. Xem lại các chỗ dùng UNION ALL kết hợp EXISTS/NOT EXISTS — thường thay được bằng một LEFT JOIN. Join không có điều kiện bằng (=) dễ tạo tích Descartes.</t>
        </is>
      </c>
      <c r="J1114" s="48" t="inlineStr">
        <is>
          <t>057. OCB_GOLD_TCKH_V_P_KEYNQ_BAOANH.xlsx [SCRIPT: V_P_KEYNQ]</t>
        </is>
      </c>
    </row>
    <row r="1115">
      <c r="A1115" s="48" t="inlineStr">
        <is>
          <t>TCKH.V_P_KEYNQ</t>
        </is>
      </c>
      <c r="B1115" s="48" t="inlineStr">
        <is>
          <t>UPLOAD_VIEW</t>
        </is>
      </c>
      <c r="C1115" s="48" t="inlineStr">
        <is>
          <t>2.12</t>
        </is>
      </c>
      <c r="D1115" s="48" t="inlineStr">
        <is>
          <t>Nhom 2 - Logic</t>
        </is>
      </c>
      <c r="E1115" s="48" t="inlineStr">
        <is>
          <t>Build Gold từ CTE snapshot Silver, không build nhiều tầng chồng chéo</t>
        </is>
      </c>
      <c r="F1115" s="48" t="inlineStr">
        <is>
          <t>N-A</t>
        </is>
      </c>
      <c r="G1115" s="48" t="inlineStr">
        <is>
          <t>Pass</t>
        </is>
      </c>
      <c r="H1115" s="50" t="inlineStr">
        <is>
          <t>khong ap dung cho profile UPLOAD_VIEW</t>
        </is>
      </c>
      <c r="I11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15" s="48" t="inlineStr">
        <is>
          <t>057. OCB_GOLD_TCKH_V_P_KEYNQ_BAOANH.xlsx [SCRIPT: V_P_KEYNQ]</t>
        </is>
      </c>
    </row>
    <row r="1116">
      <c r="A1116" s="48" t="inlineStr">
        <is>
          <t>TCKH.V_P_KEYNQ</t>
        </is>
      </c>
      <c r="B1116" s="48" t="inlineStr">
        <is>
          <t>UPLOAD_VIEW</t>
        </is>
      </c>
      <c r="C1116" s="48" t="inlineStr">
        <is>
          <t>3.1</t>
        </is>
      </c>
      <c r="D1116" s="48" t="inlineStr">
        <is>
          <t>Nhom 3 - Optimization</t>
        </is>
      </c>
      <c r="E1116" s="48" t="inlineStr">
        <is>
          <t>Không SELECT *</t>
        </is>
      </c>
      <c r="F1116" s="49" t="inlineStr">
        <is>
          <t>PASS</t>
        </is>
      </c>
      <c r="G1116" s="48" t="inlineStr">
        <is>
          <t>Pass</t>
        </is>
      </c>
      <c r="H1116" s="50" t="inlineStr">
        <is>
          <t>không dùng SELECT * ở đâu</t>
        </is>
      </c>
      <c r="I1116" s="50" t="inlineStr">
        <is>
          <t>Liệt kê tường minh các cột cần dùng, kể cả trong CTE trung gian. SELECT * làm tăng IO/memory và vỡ script khi bảng nguồn thêm cột.</t>
        </is>
      </c>
      <c r="J1116" s="48" t="inlineStr">
        <is>
          <t>057. OCB_GOLD_TCKH_V_P_KEYNQ_BAOANH.xlsx [SCRIPT: V_P_KEYNQ]</t>
        </is>
      </c>
    </row>
    <row r="1117">
      <c r="A1117" s="48" t="inlineStr">
        <is>
          <t>TCKH.V_P_KEYNQ</t>
        </is>
      </c>
      <c r="B1117" s="48" t="inlineStr">
        <is>
          <t>UPLOAD_VIEW</t>
        </is>
      </c>
      <c r="C1117" s="48" t="inlineStr">
        <is>
          <t>3.2</t>
        </is>
      </c>
      <c r="D1117" s="48" t="inlineStr">
        <is>
          <t>Nhom 3 - Optimization</t>
        </is>
      </c>
      <c r="E1117" s="48" t="inlineStr">
        <is>
          <t>CTE không bị scan lại nhiều lần</t>
        </is>
      </c>
      <c r="F1117" s="49" t="inlineStr">
        <is>
          <t>PASS</t>
        </is>
      </c>
      <c r="G1117" s="48" t="inlineStr">
        <is>
          <t>Pass</t>
        </is>
      </c>
      <c r="H1117" s="50" t="inlineStr">
        <is>
          <t>không có CTE nào bị gọi lại</t>
        </is>
      </c>
      <c r="I1117" s="50" t="inlineStr">
        <is>
          <t>Với CTE nặng (đọc nhiều bảng Silver) bị tham chiếu từ 2 chỗ trở lên: gom lại còn một lần dùng, hoặc vật chất hóa (CACHE / bảng tạm). CTE nhẹ chỉ chứa tham số thì bỏ qua được — tự tick Pass.</t>
        </is>
      </c>
      <c r="J1117" s="48" t="inlineStr">
        <is>
          <t>057. OCB_GOLD_TCKH_V_P_KEYNQ_BAOANH.xlsx [SCRIPT: V_P_KEYNQ]</t>
        </is>
      </c>
    </row>
    <row r="1118">
      <c r="A1118" s="48" t="inlineStr">
        <is>
          <t>TCKH.V_P_KEYNQ</t>
        </is>
      </c>
      <c r="B1118" s="48" t="inlineStr">
        <is>
          <t>UPLOAD_VIEW</t>
        </is>
      </c>
      <c r="C1118" s="48" t="inlineStr">
        <is>
          <t>3.3</t>
        </is>
      </c>
      <c r="D1118" s="48" t="inlineStr">
        <is>
          <t>Nhom 3 - Optimization</t>
        </is>
      </c>
      <c r="E1118" s="48" t="inlineStr">
        <is>
          <t>Filter trước khi join, tận dụng partition pruning</t>
        </is>
      </c>
      <c r="F1118" s="48" t="inlineStr">
        <is>
          <t>N-A</t>
        </is>
      </c>
      <c r="G1118" s="48" t="inlineStr">
        <is>
          <t>Pass</t>
        </is>
      </c>
      <c r="H1118" s="50" t="inlineStr">
        <is>
          <t>khong ap dung cho profile UPLOAD_VIEW</t>
        </is>
      </c>
      <c r="I1118" s="50" t="inlineStr">
        <is>
          <t>Đưa điều kiện lọc (ngày dữ liệu, trạng thái) vào subquery của từng bảng TRƯỚC khi join, để tận dụng partition pruning. Bảng dim nhỏ không partition thì không cần — tự tick Pass.</t>
        </is>
      </c>
      <c r="J1118" s="48" t="inlineStr">
        <is>
          <t>057. OCB_GOLD_TCKH_V_P_KEYNQ_BAOANH.xlsx [SCRIPT: V_P_KEYNQ]</t>
        </is>
      </c>
    </row>
    <row r="1119">
      <c r="A1119" s="48" t="inlineStr">
        <is>
          <t>TCKH.V_P_KEYNQ</t>
        </is>
      </c>
      <c r="B1119" s="48" t="inlineStr">
        <is>
          <t>UPLOAD_VIEW</t>
        </is>
      </c>
      <c r="C1119" s="48" t="inlineStr">
        <is>
          <t>3.4</t>
        </is>
      </c>
      <c r="D1119" s="48" t="inlineStr">
        <is>
          <t>Nhom 3 - Optimization</t>
        </is>
      </c>
      <c r="E1119" s="48" t="inlineStr">
        <is>
          <t>Sử dụng CACHE cho query lặp lại trong cùng luồng</t>
        </is>
      </c>
      <c r="F1119" s="48" t="inlineStr">
        <is>
          <t>N-A</t>
        </is>
      </c>
      <c r="G1119" s="48" t="inlineStr">
        <is>
          <t>Pass</t>
        </is>
      </c>
      <c r="H1119" s="50" t="inlineStr">
        <is>
          <t>không có kết quả nào được dùng lại nhiều lần nên chưa cần CACHE</t>
        </is>
      </c>
      <c r="I1119" s="50" t="inlineStr">
        <is>
          <t>Nếu một kết quả nặng được dùng lại nhiều bước trong cùng luồng, thêm CACHE TABLE / CACHE SELECT. Kết quả nhỏ thì cache còn chậm hơn — tự tick Pass.</t>
        </is>
      </c>
      <c r="J1119" s="48" t="inlineStr">
        <is>
          <t>057. OCB_GOLD_TCKH_V_P_KEYNQ_BAOANH.xlsx [SCRIPT: V_P_KEYNQ]</t>
        </is>
      </c>
    </row>
    <row r="1120">
      <c r="A1120" s="48" t="inlineStr">
        <is>
          <t>TCKH.V_P_KEYNQ</t>
        </is>
      </c>
      <c r="B1120" s="48" t="inlineStr">
        <is>
          <t>UPLOAD_VIEW</t>
        </is>
      </c>
      <c r="C1120" s="48" t="inlineStr">
        <is>
          <t>3.5</t>
        </is>
      </c>
      <c r="D1120" s="48" t="inlineStr">
        <is>
          <t>Nhom 3 - Optimization</t>
        </is>
      </c>
      <c r="E1120" s="48" t="inlineStr">
        <is>
          <t>Ưu tiên MAX_BY + QUALIFY thay ROW_NUMBER() + WHERE rn = 1</t>
        </is>
      </c>
      <c r="F1120" s="48" t="inlineStr">
        <is>
          <t>N-A</t>
        </is>
      </c>
      <c r="G1120" s="48" t="inlineStr">
        <is>
          <t>Pass</t>
        </is>
      </c>
      <c r="H1120" s="50" t="inlineStr">
        <is>
          <t>script không dùng ROW_NUMBER, và MAX_BY (nếu có) không vượt quá 5 cột/khối</t>
        </is>
      </c>
      <c r="I11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20" s="48" t="inlineStr">
        <is>
          <t>057. OCB_GOLD_TCKH_V_P_KEYNQ_BAOANH.xlsx [SCRIPT: V_P_KEYNQ]</t>
        </is>
      </c>
    </row>
    <row r="1121">
      <c r="A1121" s="48" t="inlineStr">
        <is>
          <t>TCKH.V_P_KEYNQ</t>
        </is>
      </c>
      <c r="B1121" s="48" t="inlineStr">
        <is>
          <t>UPLOAD_VIEW</t>
        </is>
      </c>
      <c r="C1121" s="48" t="inlineStr">
        <is>
          <t>3.6</t>
        </is>
      </c>
      <c r="D1121" s="48" t="inlineStr">
        <is>
          <t>Nhom 3 - Optimization</t>
        </is>
      </c>
      <c r="E1121" s="48" t="inlineStr">
        <is>
          <t>Không lạm dụng window function; có comment khi dùng</t>
        </is>
      </c>
      <c r="F1121" s="48" t="inlineStr">
        <is>
          <t>N-A</t>
        </is>
      </c>
      <c r="G1121" s="48" t="inlineStr">
        <is>
          <t>Pass</t>
        </is>
      </c>
      <c r="H1121" s="50" t="inlineStr">
        <is>
          <t>script không dùng window function</t>
        </is>
      </c>
      <c r="I1121" s="50" t="inlineStr">
        <is>
          <t>Mỗi window function cần một comment ngay trên khối CTE chứa nó, nói rõ vì sao không dùng được max_by/QUALIFY đơn giản hơn.</t>
        </is>
      </c>
      <c r="J1121" s="48" t="inlineStr">
        <is>
          <t>057. OCB_GOLD_TCKH_V_P_KEYNQ_BAOANH.xlsx [SCRIPT: V_P_KEYNQ]</t>
        </is>
      </c>
    </row>
    <row r="1122">
      <c r="A1122" s="48" t="inlineStr">
        <is>
          <t>TCKH.V_P_KEYNQ</t>
        </is>
      </c>
      <c r="B1122" s="48" t="inlineStr">
        <is>
          <t>UPLOAD_VIEW</t>
        </is>
      </c>
      <c r="C1122" s="48" t="inlineStr">
        <is>
          <t>X.1</t>
        </is>
      </c>
      <c r="D1122" s="48" t="inlineStr">
        <is>
          <t>Nhom X - Bo sung Raffles</t>
        </is>
      </c>
      <c r="E1122" s="48" t="inlineStr">
        <is>
          <t>[Bổ sung] Link phải rút về current trước khi join (chống fan-out)</t>
        </is>
      </c>
      <c r="F1122" s="48" t="inlineStr">
        <is>
          <t>N-A</t>
        </is>
      </c>
      <c r="G1122" s="48" t="inlineStr">
        <is>
          <t>Pass</t>
        </is>
      </c>
      <c r="H1122" s="50" t="inlineStr">
        <is>
          <t>khong ap dung cho profile UPLOAD_VIEW</t>
        </is>
      </c>
      <c r="I11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22" s="48" t="inlineStr">
        <is>
          <t>057. OCB_GOLD_TCKH_V_P_KEYNQ_BAOANH.xlsx [SCRIPT: V_P_KEYNQ]</t>
        </is>
      </c>
    </row>
    <row r="1123">
      <c r="A1123" s="48" t="inlineStr">
        <is>
          <t>TCKH.V_P_KEYNQ</t>
        </is>
      </c>
      <c r="B1123" s="48" t="inlineStr">
        <is>
          <t>UPLOAD_VIEW</t>
        </is>
      </c>
      <c r="C1123" s="48" t="inlineStr">
        <is>
          <t>X.6</t>
        </is>
      </c>
      <c r="D1123" s="48" t="inlineStr">
        <is>
          <t>Nhom X - Bo sung Raffles</t>
        </is>
      </c>
      <c r="E1123" s="48" t="inlineStr">
        <is>
          <t>[Bổ sung] Satellite phải LEFT JOIN, không INNER JOIN</t>
        </is>
      </c>
      <c r="F1123" s="48" t="inlineStr">
        <is>
          <t>N-A</t>
        </is>
      </c>
      <c r="G1123" s="48" t="inlineStr">
        <is>
          <t>Pass</t>
        </is>
      </c>
      <c r="H1123" s="50" t="inlineStr">
        <is>
          <t>khong ap dung cho profile UPLOAD_VIEW</t>
        </is>
      </c>
      <c r="I1123" s="50" t="inlineStr">
        <is>
          <t>Technical Document III.4.2.2 nguyên tắc 1: làm giàu thuộc tính luôn dùng LEFT JOIN. INNER JOIN satellite sẽ loại mất bản ghi Hub đang còn hiệu lực nhưng chưa có dòng satellite.</t>
        </is>
      </c>
      <c r="J1123" s="48" t="inlineStr">
        <is>
          <t>057. OCB_GOLD_TCKH_V_P_KEYNQ_BAOANH.xlsx [SCRIPT: V_P_KEYNQ]</t>
        </is>
      </c>
    </row>
    <row r="1124">
      <c r="A1124" s="48" t="inlineStr">
        <is>
          <t>TCKH.V_P_KEYNQ</t>
        </is>
      </c>
      <c r="B1124" s="48" t="inlineStr">
        <is>
          <t>UPLOAD_VIEW</t>
        </is>
      </c>
      <c r="C1124" s="48" t="inlineStr">
        <is>
          <t>X.7</t>
        </is>
      </c>
      <c r="D1124" s="48" t="inlineStr">
        <is>
          <t>Nhom X - Bo sung Raffles</t>
        </is>
      </c>
      <c r="E1124" s="48" t="inlineStr">
        <is>
          <t>[Bổ sung] Không hard-code catalog, dùng biến môi trường</t>
        </is>
      </c>
      <c r="F1124" s="48" t="inlineStr">
        <is>
          <t>N-A</t>
        </is>
      </c>
      <c r="G1124" s="48" t="inlineStr">
        <is>
          <t>Pass</t>
        </is>
      </c>
      <c r="H1124" s="50" t="inlineStr">
        <is>
          <t>khong ap dung cho profile UPLOAD_VIEW</t>
        </is>
      </c>
      <c r="I11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24" s="48" t="inlineStr">
        <is>
          <t>057. OCB_GOLD_TCKH_V_P_KEYNQ_BAOANH.xlsx [SCRIPT: V_P_KEYNQ]</t>
        </is>
      </c>
    </row>
    <row r="1125">
      <c r="A1125" s="48" t="inlineStr">
        <is>
          <t>TCKH.V_P_KEYNQ</t>
        </is>
      </c>
      <c r="B1125" s="48" t="inlineStr">
        <is>
          <t>UPLOAD_VIEW</t>
        </is>
      </c>
      <c r="C1125" s="48" t="inlineStr">
        <is>
          <t>X.10</t>
        </is>
      </c>
      <c r="D1125" s="48" t="inlineStr">
        <is>
          <t>Nhom X - Bo sung Raffles</t>
        </is>
      </c>
      <c r="E1125" s="48" t="inlineStr">
        <is>
          <t>Bang raw_vault/business_vault duoc doc phai TON TAI THAT trong Data Vault model</t>
        </is>
      </c>
      <c r="F1125" s="48" t="inlineStr">
        <is>
          <t>N-A</t>
        </is>
      </c>
      <c r="G1125" s="48" t="inlineStr">
        <is>
          <t>Pass</t>
        </is>
      </c>
      <c r="H1125" s="50" t="inlineStr">
        <is>
          <t>script không đọc bảng raw_vault/business_vault nào</t>
        </is>
      </c>
      <c r="I1125" s="50" t="inlineStr"/>
      <c r="J1125" s="48" t="inlineStr">
        <is>
          <t>057. OCB_GOLD_TCKH_V_P_KEYNQ_BAOANH.xlsx [SCRIPT: V_P_KEYNQ]</t>
        </is>
      </c>
    </row>
    <row r="1126">
      <c r="A1126" s="48" t="inlineStr">
        <is>
          <t>TCKH.V_P_KEYNQ</t>
        </is>
      </c>
      <c r="B1126" s="48" t="inlineStr">
        <is>
          <t>UPLOAD_VIEW</t>
        </is>
      </c>
      <c r="C1126" s="48" t="inlineStr">
        <is>
          <t>X.11</t>
        </is>
      </c>
      <c r="D1126" s="48" t="inlineStr">
        <is>
          <t>Nhom X - Bo sung Raffles</t>
        </is>
      </c>
      <c r="E1126" s="48" t="inlineStr">
        <is>
          <t>Cot doc tu satellite (sat_*) phai TON TAI THAT trong model</t>
        </is>
      </c>
      <c r="F1126" s="48" t="inlineStr">
        <is>
          <t>N-A</t>
        </is>
      </c>
      <c r="G1126" s="48" t="inlineStr">
        <is>
          <t>Pass</t>
        </is>
      </c>
      <c r="H1126" s="50" t="inlineStr">
        <is>
          <t>không có bảng sat_* nào đủ điều kiện đối chiếu (Select chỉ đọc 1 bảng)</t>
        </is>
      </c>
      <c r="I1126" s="50" t="inlineStr"/>
      <c r="J1126" s="48" t="inlineStr">
        <is>
          <t>057. OCB_GOLD_TCKH_V_P_KEYNQ_BAOANH.xlsx [SCRIPT: V_P_KEYNQ]</t>
        </is>
      </c>
    </row>
    <row r="1127">
      <c r="A1127" s="48" t="inlineStr">
        <is>
          <t>TCKH.V_SBV_1</t>
        </is>
      </c>
      <c r="B1127" s="48" t="inlineStr">
        <is>
          <t>SILVER_CONSUMER</t>
        </is>
      </c>
      <c r="C1127" s="48" t="inlineStr">
        <is>
          <t>1.1</t>
        </is>
      </c>
      <c r="D1127" s="48" t="inlineStr">
        <is>
          <t>Nhom 1 - Mapping</t>
        </is>
      </c>
      <c r="E1127" s="48" t="inlineStr">
        <is>
          <t>Đầy đủ mapping từ Silver/manual sang Gold</t>
        </is>
      </c>
      <c r="F1127" s="49" t="inlineStr">
        <is>
          <t>PASS</t>
        </is>
      </c>
      <c r="G1127" s="48" t="inlineStr">
        <is>
          <t>Pass</t>
        </is>
      </c>
      <c r="H1127" s="50" t="inlineStr">
        <is>
          <t>workbook 058. OCB_GOLD_TCKH_V_SBV_1_BAOANH.xlsx: thiết kế 20 field, SQL có 20 cột</t>
        </is>
      </c>
      <c r="I11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27" s="48" t="inlineStr">
        <is>
          <t>058. OCB_GOLD_TCKH_V_SBV_1_BAOANH.xlsx [Script SQL: V_SBV_1]</t>
        </is>
      </c>
    </row>
    <row r="1128">
      <c r="A1128" s="48" t="inlineStr">
        <is>
          <t>TCKH.V_SBV_1</t>
        </is>
      </c>
      <c r="B1128" s="48" t="inlineStr">
        <is>
          <t>SILVER_CONSUMER</t>
        </is>
      </c>
      <c r="C1128" s="48" t="inlineStr">
        <is>
          <t>1.2</t>
        </is>
      </c>
      <c r="D1128" s="48" t="inlineStr">
        <is>
          <t>Nhom 1 - Mapping</t>
        </is>
      </c>
      <c r="E1128" s="48" t="inlineStr">
        <is>
          <t>Danh sách bảng/view Gold khớp tài liệu thiết kế đã duyệt</t>
        </is>
      </c>
      <c r="F1128" s="49" t="inlineStr">
        <is>
          <t>PASS</t>
        </is>
      </c>
      <c r="G1128" s="48" t="inlineStr">
        <is>
          <t>Pass</t>
        </is>
      </c>
      <c r="H1128" s="50" t="inlineStr">
        <is>
          <t>V_SBV_1 có workbook thiết kế: 058. OCB_GOLD_TCKH_V_SBV_1_BAOANH.xlsx</t>
        </is>
      </c>
      <c r="I1128" s="50" t="inlineStr">
        <is>
          <t>Đảm bảo object có workbook thiết kế tương ứng trong thư mục --mapping-dir. Muốn đối chiếu với danh sách đã duyệt thì chạy thêm tham số --gold-list "&lt;file danh sách Gold&gt;.xlsx".</t>
        </is>
      </c>
      <c r="J1128" s="48" t="inlineStr">
        <is>
          <t>058. OCB_GOLD_TCKH_V_SBV_1_BAOANH.xlsx [Script SQL: V_SBV_1]</t>
        </is>
      </c>
    </row>
    <row r="1129">
      <c r="A1129" s="48" t="inlineStr">
        <is>
          <t>TCKH.V_SBV_1</t>
        </is>
      </c>
      <c r="B1129" s="48" t="inlineStr">
        <is>
          <t>SILVER_CONSUMER</t>
        </is>
      </c>
      <c r="C1129" s="48" t="inlineStr">
        <is>
          <t>2.1</t>
        </is>
      </c>
      <c r="D1129" s="48" t="inlineStr">
        <is>
          <t>Nhom 2 - Logic</t>
        </is>
      </c>
      <c r="E1129" s="48" t="inlineStr">
        <is>
          <t>Chỉ lấy bản ghi active, loại bản ghi đã xóa (qua sts_hub)</t>
        </is>
      </c>
      <c r="F1129" s="49" t="inlineStr">
        <is>
          <t>PASS</t>
        </is>
      </c>
      <c r="G1129" s="48" t="inlineStr">
        <is>
          <t>Pass</t>
        </is>
      </c>
      <c r="H1129" s="50" t="inlineStr">
        <is>
          <t>không dùng sts_hub_* (không có yêu cầu nghiệp vụ giữ bản ghi đã xóa)</t>
        </is>
      </c>
      <c r="I11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29" s="48" t="inlineStr">
        <is>
          <t>058. OCB_GOLD_TCKH_V_SBV_1_BAOANH.xlsx [Script SQL: V_SBV_1]</t>
        </is>
      </c>
    </row>
    <row r="1130">
      <c r="A1130" s="48" t="inlineStr">
        <is>
          <t>TCKH.V_SBV_1</t>
        </is>
      </c>
      <c r="B1130" s="48" t="inlineStr">
        <is>
          <t>SILVER_CONSUMER</t>
        </is>
      </c>
      <c r="C1130" s="48" t="inlineStr">
        <is>
          <t>2.2</t>
        </is>
      </c>
      <c r="D1130" s="48" t="inlineStr">
        <is>
          <t>Nhom 2 - Logic</t>
        </is>
      </c>
      <c r="E1130" s="48" t="inlineStr">
        <is>
          <t>Thống nhất MỘT pattern duy nhất xác định bản ghi active mới nhất</t>
        </is>
      </c>
      <c r="F1130" s="49" t="inlineStr">
        <is>
          <t>PASS</t>
        </is>
      </c>
      <c r="G1130" s="48" t="inlineStr">
        <is>
          <t>Pass</t>
        </is>
      </c>
      <c r="H1130" s="50" t="inlineStr">
        <is>
          <t>file này dùng: ['MAX_BY']; toàn batch dùng: ['MAX_BY']</t>
        </is>
      </c>
      <c r="I11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30" s="48" t="inlineStr">
        <is>
          <t>058. OCB_GOLD_TCKH_V_SBV_1_BAOANH.xlsx [Script SQL: V_SBV_1]</t>
        </is>
      </c>
    </row>
    <row r="1131">
      <c r="A1131" s="48" t="inlineStr">
        <is>
          <t>TCKH.V_SBV_1</t>
        </is>
      </c>
      <c r="B1131" s="48" t="inlineStr">
        <is>
          <t>SILVER_CONSUMER</t>
        </is>
      </c>
      <c r="C1131" s="48" t="inlineStr">
        <is>
          <t>2.3</t>
        </is>
      </c>
      <c r="D1131" s="48" t="inlineStr">
        <is>
          <t>Nhom 2 - Logic</t>
        </is>
      </c>
      <c r="E1131" s="48" t="inlineStr">
        <is>
          <t>Điều kiện lọc trạng thái đặt SAU khi xác định bản ghi mới nhất</t>
        </is>
      </c>
      <c r="F1131" s="49" t="inlineStr">
        <is>
          <t>PASS</t>
        </is>
      </c>
      <c r="G1131" s="48" t="inlineStr">
        <is>
          <t>Pass</t>
        </is>
      </c>
      <c r="H1131" s="50" t="inlineStr">
        <is>
          <t>không có điều kiện trạng thái nào lồng trong JOIN ON</t>
        </is>
      </c>
      <c r="I11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31" s="48" t="inlineStr">
        <is>
          <t>058. OCB_GOLD_TCKH_V_SBV_1_BAOANH.xlsx [Script SQL: V_SBV_1]</t>
        </is>
      </c>
    </row>
    <row r="1132">
      <c r="A1132" s="48" t="inlineStr">
        <is>
          <t>TCKH.V_SBV_1</t>
        </is>
      </c>
      <c r="B1132" s="48" t="inlineStr">
        <is>
          <t>SILVER_CONSUMER</t>
        </is>
      </c>
      <c r="C1132" s="48" t="inlineStr">
        <is>
          <t>2.4</t>
        </is>
      </c>
      <c r="D1132" s="48" t="inlineStr">
        <is>
          <t>Nhom 2 - Logic</t>
        </is>
      </c>
      <c r="E1132" s="48" t="inlineStr">
        <is>
          <t>source_event_date áp dụng đúng dạng theo loại bảng</t>
        </is>
      </c>
      <c r="F1132" s="49" t="inlineStr">
        <is>
          <t>PASS</t>
        </is>
      </c>
      <c r="G1132" s="48" t="inlineStr">
        <is>
          <t>Pass</t>
        </is>
      </c>
      <c r="H1132" s="50" t="inlineStr">
        <is>
          <t>1 satellite đều đúng dạng điều kiện source_event_date</t>
        </is>
      </c>
      <c r="I11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32" s="48" t="inlineStr">
        <is>
          <t>058. OCB_GOLD_TCKH_V_SBV_1_BAOANH.xlsx [Script SQL: V_SBV_1]</t>
        </is>
      </c>
    </row>
    <row r="1133">
      <c r="A1133" s="48" t="inlineStr">
        <is>
          <t>TCKH.V_SBV_1</t>
        </is>
      </c>
      <c r="B1133" s="48" t="inlineStr">
        <is>
          <t>SILVER_CONSUMER</t>
        </is>
      </c>
      <c r="C1133" s="48" t="inlineStr">
        <is>
          <t>2.5</t>
        </is>
      </c>
      <c r="D1133" s="48" t="inlineStr">
        <is>
          <t>Nhom 2 - Logic</t>
        </is>
      </c>
      <c r="E1133" s="48" t="inlineStr">
        <is>
          <t>Không lặp lại lỗi logic cũ đã được DA Data Vault fix</t>
        </is>
      </c>
      <c r="F1133" s="49" t="inlineStr">
        <is>
          <t>PASS</t>
        </is>
      </c>
      <c r="G1133" s="48" t="inlineStr">
        <is>
          <t>Pass</t>
        </is>
      </c>
      <c r="H1133" s="50" t="inlineStr">
        <is>
          <t>không trùng lỗi nào trong Issue log của DA Data Vault</t>
        </is>
      </c>
      <c r="I11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33" s="48" t="inlineStr">
        <is>
          <t>058. OCB_GOLD_TCKH_V_SBV_1_BAOANH.xlsx [Script SQL: V_SBV_1]</t>
        </is>
      </c>
    </row>
    <row r="1134">
      <c r="A1134" s="48" t="inlineStr">
        <is>
          <t>TCKH.V_SBV_1</t>
        </is>
      </c>
      <c r="B1134" s="48" t="inlineStr">
        <is>
          <t>SILVER_CONSUMER</t>
        </is>
      </c>
      <c r="C1134" s="48" t="inlineStr">
        <is>
          <t>2.6</t>
        </is>
      </c>
      <c r="D1134" s="48" t="inlineStr">
        <is>
          <t>Nhom 2 - Logic</t>
        </is>
      </c>
      <c r="E1134" s="48" t="inlineStr">
        <is>
          <t>SCD Type 2 cho bảng DIM áp dụng đúng kỹ thuật đã thống nhất</t>
        </is>
      </c>
      <c r="F1134" s="48" t="inlineStr">
        <is>
          <t>N-A</t>
        </is>
      </c>
      <c r="G1134" s="48" t="inlineStr">
        <is>
          <t>Pass</t>
        </is>
      </c>
      <c r="H1134" s="50" t="inlineStr">
        <is>
          <t>object không phải bảng DIM nên không áp dụng SCD Type 2</t>
        </is>
      </c>
      <c r="I11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34" s="48" t="inlineStr">
        <is>
          <t>058. OCB_GOLD_TCKH_V_SBV_1_BAOANH.xlsx [Script SQL: V_SBV_1]</t>
        </is>
      </c>
    </row>
    <row r="1135">
      <c r="A1135" s="48" t="inlineStr">
        <is>
          <t>TCKH.V_SBV_1</t>
        </is>
      </c>
      <c r="B1135" s="48" t="inlineStr">
        <is>
          <t>SILVER_CONSUMER</t>
        </is>
      </c>
      <c r="C1135" s="48" t="inlineStr">
        <is>
          <t>2.7</t>
        </is>
      </c>
      <c r="D1135" s="48" t="inlineStr">
        <is>
          <t>Nhom 2 - Logic</t>
        </is>
      </c>
      <c r="E1135" s="48" t="inlineStr">
        <is>
          <t>CASE WHEN cover đủ nhánh như job on-prem</t>
        </is>
      </c>
      <c r="F1135" s="48" t="inlineStr">
        <is>
          <t>N-A</t>
        </is>
      </c>
      <c r="G1135" s="48" t="inlineStr">
        <is>
          <t>Pass</t>
        </is>
      </c>
      <c r="H1135" s="50" t="inlineStr">
        <is>
          <t>script không có CASE WHEN nào</t>
        </is>
      </c>
      <c r="I1135" s="50" t="inlineStr">
        <is>
          <t>Mở job on-prem tương ứng (DataStage DSX hoặc SQL cũ), đối chiếu từng nhánh WHEN và cả nhánh ELSE. CASE không có ELSE sẽ trả NULL âm thầm — xác nhận đó là ý muốn hay thiếu nhánh.</t>
        </is>
      </c>
      <c r="J1135" s="48" t="inlineStr">
        <is>
          <t>058. OCB_GOLD_TCKH_V_SBV_1_BAOANH.xlsx [Script SQL: V_SBV_1]</t>
        </is>
      </c>
    </row>
    <row r="1136">
      <c r="A1136" s="48" t="inlineStr">
        <is>
          <t>TCKH.V_SBV_1</t>
        </is>
      </c>
      <c r="B1136" s="48" t="inlineStr">
        <is>
          <t>SILVER_CONSUMER</t>
        </is>
      </c>
      <c r="C1136" s="48" t="inlineStr">
        <is>
          <t>2.8</t>
        </is>
      </c>
      <c r="D1136" s="48" t="inlineStr">
        <is>
          <t>Nhom 2 - Logic</t>
        </is>
      </c>
      <c r="E1136" s="48" t="inlineStr">
        <is>
          <t>Cột SUM/COUNT được COALESCE/NVL hợp lý</t>
        </is>
      </c>
      <c r="F1136" s="49" t="inlineStr">
        <is>
          <t>PASS</t>
        </is>
      </c>
      <c r="G1136" s="48" t="inlineStr">
        <is>
          <t>Pass</t>
        </is>
      </c>
      <c r="H1136" s="50" t="inlineStr">
        <is>
          <t>mọi SUM/COUNT đều đã coalesce (trực tiếp hoặc ở lớp ngoài)</t>
        </is>
      </c>
      <c r="I11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36" s="48" t="inlineStr">
        <is>
          <t>058. OCB_GOLD_TCKH_V_SBV_1_BAOANH.xlsx [Script SQL: V_SBV_1]</t>
        </is>
      </c>
    </row>
    <row r="1137">
      <c r="A1137" s="48" t="inlineStr">
        <is>
          <t>TCKH.V_SBV_1</t>
        </is>
      </c>
      <c r="B1137" s="48" t="inlineStr">
        <is>
          <t>SILVER_CONSUMER</t>
        </is>
      </c>
      <c r="C1137" s="48" t="inlineStr">
        <is>
          <t>2.9</t>
        </is>
      </c>
      <c r="D1137" s="48" t="inlineStr">
        <is>
          <t>Nhom 2 - Logic</t>
        </is>
      </c>
      <c r="E1137" s="48" t="inlineStr">
        <is>
          <t>Subquery / custom function / điều kiện LIKE đúng ý nghĩa nghiệp vụ</t>
        </is>
      </c>
      <c r="F1137" s="49" t="inlineStr">
        <is>
          <t>PASS</t>
        </is>
      </c>
      <c r="G1137" s="48" t="inlineStr">
        <is>
          <t>Pass</t>
        </is>
      </c>
      <c r="H1137" s="50" t="inlineStr">
        <is>
          <t>2 điều kiện LIKE: h.business_key NOT LIKE '%LOCAL%' | h.business_key NOT LIKE '%PROFIT%'; cú pháp hợp lệ; ý nghĩa nghiệp vụ cần người review đối chiếu job on-prem</t>
        </is>
      </c>
      <c r="I1137" s="50" t="inlineStr">
        <is>
          <t>Đọc lại từng điều kiện LIKE và từng subquery, đối chiếu ý nghĩa nghiệp vụ với on-prem — đúng cú pháp không đủ. Chú ý pattern LIKE có ký tự % ở đầu/cuối và phân biệt chữ hoa/thường.</t>
        </is>
      </c>
      <c r="J1137" s="48" t="inlineStr">
        <is>
          <t>058. OCB_GOLD_TCKH_V_SBV_1_BAOANH.xlsx [Script SQL: V_SBV_1]</t>
        </is>
      </c>
    </row>
    <row r="1138">
      <c r="A1138" s="48" t="inlineStr">
        <is>
          <t>TCKH.V_SBV_1</t>
        </is>
      </c>
      <c r="B1138" s="48" t="inlineStr">
        <is>
          <t>SILVER_CONSUMER</t>
        </is>
      </c>
      <c r="C1138" s="48" t="inlineStr">
        <is>
          <t>2.10</t>
        </is>
      </c>
      <c r="D1138" s="48" t="inlineStr">
        <is>
          <t>Nhom 2 - Logic</t>
        </is>
      </c>
      <c r="E1138" s="48" t="inlineStr">
        <is>
          <t>Aggregation kèm filter date range chính xác</t>
        </is>
      </c>
      <c r="F1138" s="49" t="inlineStr">
        <is>
          <t>PASS</t>
        </is>
      </c>
      <c r="G1138" s="48" t="inlineStr">
        <is>
          <t>Pass</t>
        </is>
      </c>
      <c r="H1138" s="50" t="inlineStr">
        <is>
          <t>mọi khối tổng hợp đều có điều kiện theo kỳ dữ liệu</t>
        </is>
      </c>
      <c r="I1138" s="50" t="inlineStr">
        <is>
          <t>Mỗi khối SUM/COUNT/AVG phải có điều kiện lọc theo kỳ dữ liệu (CDR_DT_ID, DATA_DATE, :DATADT…). Nếu điều kiện nằm ở CTE nguồn thì ghi rõ trong comment để người review không phải truy ngược.</t>
        </is>
      </c>
      <c r="J1138" s="48" t="inlineStr">
        <is>
          <t>058. OCB_GOLD_TCKH_V_SBV_1_BAOANH.xlsx [Script SQL: V_SBV_1]</t>
        </is>
      </c>
    </row>
    <row r="1139">
      <c r="A1139" s="48" t="inlineStr">
        <is>
          <t>TCKH.V_SBV_1</t>
        </is>
      </c>
      <c r="B1139" s="48" t="inlineStr">
        <is>
          <t>SILVER_CONSUMER</t>
        </is>
      </c>
      <c r="C1139" s="48" t="inlineStr">
        <is>
          <t>2.11</t>
        </is>
      </c>
      <c r="D1139" s="48" t="inlineStr">
        <is>
          <t>Nhom 2 - Logic</t>
        </is>
      </c>
      <c r="E1139" s="48" t="inlineStr">
        <is>
          <t>Join dùng key hợp lý, không lạm dụng UNION ALL + EXISTS/NOT EXISTS</t>
        </is>
      </c>
      <c r="F1139" s="51" t="inlineStr">
        <is>
          <t>WARN</t>
        </is>
      </c>
      <c r="G1139" s="48" t="inlineStr">
        <is>
          <t>WARN</t>
        </is>
      </c>
      <c r="H1139" s="50" t="inlineStr">
        <is>
          <t>join không có điều kiện bằng (=): ['s']</t>
        </is>
      </c>
      <c r="I1139" s="50" t="inlineStr">
        <is>
          <t>Ưu tiên LEFT JOIN theo business key hoặc hashkey. Xem lại các chỗ dùng UNION ALL kết hợp EXISTS/NOT EXISTS — thường thay được bằng một LEFT JOIN. Join không có điều kiện bằng (=) dễ tạo tích Descartes.</t>
        </is>
      </c>
      <c r="J1139" s="48" t="inlineStr">
        <is>
          <t>058. OCB_GOLD_TCKH_V_SBV_1_BAOANH.xlsx [Script SQL: V_SBV_1]</t>
        </is>
      </c>
    </row>
    <row r="1140">
      <c r="A1140" s="48" t="inlineStr">
        <is>
          <t>TCKH.V_SBV_1</t>
        </is>
      </c>
      <c r="B1140" s="48" t="inlineStr">
        <is>
          <t>SILVER_CONSUMER</t>
        </is>
      </c>
      <c r="C1140" s="48" t="inlineStr">
        <is>
          <t>2.12</t>
        </is>
      </c>
      <c r="D1140" s="48" t="inlineStr">
        <is>
          <t>Nhom 2 - Logic</t>
        </is>
      </c>
      <c r="E1140" s="48" t="inlineStr">
        <is>
          <t>Build Gold từ CTE snapshot Silver, không build nhiều tầng chồng chéo</t>
        </is>
      </c>
      <c r="F1140" s="49" t="inlineStr">
        <is>
          <t>PASS</t>
        </is>
      </c>
      <c r="G1140" s="48" t="inlineStr">
        <is>
          <t>Pass</t>
        </is>
      </c>
      <c r="H1140" s="50" t="inlineStr">
        <is>
          <t>mỗi bảng nguồn chỉ đọc trong 1 khối SELECT</t>
        </is>
      </c>
      <c r="I11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40" s="48" t="inlineStr">
        <is>
          <t>058. OCB_GOLD_TCKH_V_SBV_1_BAOANH.xlsx [Script SQL: V_SBV_1]</t>
        </is>
      </c>
    </row>
    <row r="1141">
      <c r="A1141" s="48" t="inlineStr">
        <is>
          <t>TCKH.V_SBV_1</t>
        </is>
      </c>
      <c r="B1141" s="48" t="inlineStr">
        <is>
          <t>SILVER_CONSUMER</t>
        </is>
      </c>
      <c r="C1141" s="48" t="inlineStr">
        <is>
          <t>3.1</t>
        </is>
      </c>
      <c r="D1141" s="48" t="inlineStr">
        <is>
          <t>Nhom 3 - Optimization</t>
        </is>
      </c>
      <c r="E1141" s="48" t="inlineStr">
        <is>
          <t>Không SELECT *</t>
        </is>
      </c>
      <c r="F1141" s="49" t="inlineStr">
        <is>
          <t>PASS</t>
        </is>
      </c>
      <c r="G1141" s="48" t="inlineStr">
        <is>
          <t>Pass</t>
        </is>
      </c>
      <c r="H1141" s="50" t="inlineStr">
        <is>
          <t>không dùng SELECT * ở đâu</t>
        </is>
      </c>
      <c r="I1141" s="50" t="inlineStr">
        <is>
          <t>Liệt kê tường minh các cột cần dùng, kể cả trong CTE trung gian. SELECT * làm tăng IO/memory và vỡ script khi bảng nguồn thêm cột.</t>
        </is>
      </c>
      <c r="J1141" s="48" t="inlineStr">
        <is>
          <t>058. OCB_GOLD_TCKH_V_SBV_1_BAOANH.xlsx [Script SQL: V_SBV_1]</t>
        </is>
      </c>
    </row>
    <row r="1142">
      <c r="A1142" s="48" t="inlineStr">
        <is>
          <t>TCKH.V_SBV_1</t>
        </is>
      </c>
      <c r="B1142" s="48" t="inlineStr">
        <is>
          <t>SILVER_CONSUMER</t>
        </is>
      </c>
      <c r="C1142" s="48" t="inlineStr">
        <is>
          <t>3.2</t>
        </is>
      </c>
      <c r="D1142" s="48" t="inlineStr">
        <is>
          <t>Nhom 3 - Optimization</t>
        </is>
      </c>
      <c r="E1142" s="48" t="inlineStr">
        <is>
          <t>CTE không bị scan lại nhiều lần</t>
        </is>
      </c>
      <c r="F1142" s="51" t="inlineStr">
        <is>
          <t>WARN</t>
        </is>
      </c>
      <c r="G1142" s="48" t="inlineStr">
        <is>
          <t>WARN</t>
        </is>
      </c>
      <c r="H1142" s="50" t="inlineStr">
        <is>
          <t>CTE bị tham chiếu lại nhiều lần: cte_pc_re_stat_line_bal x4</t>
        </is>
      </c>
      <c r="I1142" s="50" t="inlineStr">
        <is>
          <t>Với CTE nặng (đọc nhiều bảng Silver) bị tham chiếu từ 2 chỗ trở lên: gom lại còn một lần dùng, hoặc vật chất hóa (CACHE / bảng tạm). CTE nhẹ chỉ chứa tham số thì bỏ qua được — tự tick Pass.</t>
        </is>
      </c>
      <c r="J1142" s="48" t="inlineStr">
        <is>
          <t>058. OCB_GOLD_TCKH_V_SBV_1_BAOANH.xlsx [Script SQL: V_SBV_1]</t>
        </is>
      </c>
    </row>
    <row r="1143">
      <c r="A1143" s="48" t="inlineStr">
        <is>
          <t>TCKH.V_SBV_1</t>
        </is>
      </c>
      <c r="B1143" s="48" t="inlineStr">
        <is>
          <t>SILVER_CONSUMER</t>
        </is>
      </c>
      <c r="C1143" s="48" t="inlineStr">
        <is>
          <t>3.3</t>
        </is>
      </c>
      <c r="D1143" s="48" t="inlineStr">
        <is>
          <t>Nhom 3 - Optimization</t>
        </is>
      </c>
      <c r="E1143" s="48" t="inlineStr">
        <is>
          <t>Filter trước khi join, tận dụng partition pruning</t>
        </is>
      </c>
      <c r="F1143" s="51" t="inlineStr">
        <is>
          <t>WARN</t>
        </is>
      </c>
      <c r="G1143" s="48" t="inlineStr">
        <is>
          <t>WARN</t>
        </is>
      </c>
      <c r="H1143" s="50" t="inlineStr">
        <is>
          <t>3 bảng join trực tiếp mà không có filter riêng: gl_acct_dim (g), sat_pc_re_stat_line_bal (s), sbv_accountbc_name (n)</t>
        </is>
      </c>
      <c r="I1143" s="50" t="inlineStr">
        <is>
          <t>Đưa điều kiện lọc (ngày dữ liệu, trạng thái) vào subquery của từng bảng TRƯỚC khi join, để tận dụng partition pruning. Bảng dim nhỏ không partition thì không cần — tự tick Pass.</t>
        </is>
      </c>
      <c r="J1143" s="48" t="inlineStr">
        <is>
          <t>058. OCB_GOLD_TCKH_V_SBV_1_BAOANH.xlsx [Script SQL: V_SBV_1]</t>
        </is>
      </c>
    </row>
    <row r="1144">
      <c r="A1144" s="48" t="inlineStr">
        <is>
          <t>TCKH.V_SBV_1</t>
        </is>
      </c>
      <c r="B1144" s="48" t="inlineStr">
        <is>
          <t>SILVER_CONSUMER</t>
        </is>
      </c>
      <c r="C1144" s="48" t="inlineStr">
        <is>
          <t>3.4</t>
        </is>
      </c>
      <c r="D1144" s="48" t="inlineStr">
        <is>
          <t>Nhom 3 - Optimization</t>
        </is>
      </c>
      <c r="E1144" s="48" t="inlineStr">
        <is>
          <t>Sử dụng CACHE cho query lặp lại trong cùng luồng</t>
        </is>
      </c>
      <c r="F1144" s="51" t="inlineStr">
        <is>
          <t>WARN</t>
        </is>
      </c>
      <c r="G1144" s="48" t="inlineStr">
        <is>
          <t>WARN</t>
        </is>
      </c>
      <c r="H1144" s="50" t="inlineStr">
        <is>
          <t>1 CTE nặng dùng lại &gt;= 2 lần mà không có CACHE: cte_pc_re_stat_line_bal</t>
        </is>
      </c>
      <c r="I1144" s="50" t="inlineStr">
        <is>
          <t>Nếu một kết quả nặng được dùng lại nhiều bước trong cùng luồng, thêm CACHE TABLE / CACHE SELECT. Kết quả nhỏ thì cache còn chậm hơn — tự tick Pass.</t>
        </is>
      </c>
      <c r="J1144" s="48" t="inlineStr">
        <is>
          <t>058. OCB_GOLD_TCKH_V_SBV_1_BAOANH.xlsx [Script SQL: V_SBV_1]</t>
        </is>
      </c>
    </row>
    <row r="1145">
      <c r="A1145" s="48" t="inlineStr">
        <is>
          <t>TCKH.V_SBV_1</t>
        </is>
      </c>
      <c r="B1145" s="48" t="inlineStr">
        <is>
          <t>SILVER_CONSUMER</t>
        </is>
      </c>
      <c r="C1145" s="48" t="inlineStr">
        <is>
          <t>3.5</t>
        </is>
      </c>
      <c r="D1145" s="48" t="inlineStr">
        <is>
          <t>Nhom 3 - Optimization</t>
        </is>
      </c>
      <c r="E1145" s="48" t="inlineStr">
        <is>
          <t>Ưu tiên MAX_BY + QUALIFY thay ROW_NUMBER() + WHERE rn = 1</t>
        </is>
      </c>
      <c r="F1145" s="51" t="inlineStr">
        <is>
          <t>WARN</t>
        </is>
      </c>
      <c r="G1145" s="48" t="inlineStr">
        <is>
          <t>WARN</t>
        </is>
      </c>
      <c r="H1145" s="50" t="inlineStr">
        <is>
          <t>1 khối dùng MAX_BY độc lập cho &gt;5 cột (dòng 33,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1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45" s="48" t="inlineStr">
        <is>
          <t>058. OCB_GOLD_TCKH_V_SBV_1_BAOANH.xlsx [Script SQL: V_SBV_1]</t>
        </is>
      </c>
    </row>
    <row r="1146">
      <c r="A1146" s="48" t="inlineStr">
        <is>
          <t>TCKH.V_SBV_1</t>
        </is>
      </c>
      <c r="B1146" s="48" t="inlineStr">
        <is>
          <t>SILVER_CONSUMER</t>
        </is>
      </c>
      <c r="C1146" s="48" t="inlineStr">
        <is>
          <t>3.6</t>
        </is>
      </c>
      <c r="D1146" s="48" t="inlineStr">
        <is>
          <t>Nhom 3 - Optimization</t>
        </is>
      </c>
      <c r="E1146" s="48" t="inlineStr">
        <is>
          <t>Không lạm dụng window function; có comment khi dùng</t>
        </is>
      </c>
      <c r="F1146" s="48" t="inlineStr">
        <is>
          <t>N-A</t>
        </is>
      </c>
      <c r="G1146" s="48" t="inlineStr">
        <is>
          <t>Pass</t>
        </is>
      </c>
      <c r="H1146" s="50" t="inlineStr">
        <is>
          <t>script không dùng window function</t>
        </is>
      </c>
      <c r="I1146" s="50" t="inlineStr">
        <is>
          <t>Mỗi window function cần một comment ngay trên khối CTE chứa nó, nói rõ vì sao không dùng được max_by/QUALIFY đơn giản hơn.</t>
        </is>
      </c>
      <c r="J1146" s="48" t="inlineStr">
        <is>
          <t>058. OCB_GOLD_TCKH_V_SBV_1_BAOANH.xlsx [Script SQL: V_SBV_1]</t>
        </is>
      </c>
    </row>
    <row r="1147">
      <c r="A1147" s="48" t="inlineStr">
        <is>
          <t>TCKH.V_SBV_1</t>
        </is>
      </c>
      <c r="B1147" s="48" t="inlineStr">
        <is>
          <t>SILVER_CONSUMER</t>
        </is>
      </c>
      <c r="C1147" s="48" t="inlineStr">
        <is>
          <t>X.1</t>
        </is>
      </c>
      <c r="D1147" s="48" t="inlineStr">
        <is>
          <t>Nhom X - Bo sung Raffles</t>
        </is>
      </c>
      <c r="E1147" s="48" t="inlineStr">
        <is>
          <t>[Bổ sung] Link phải rút về current trước khi join (chống fan-out)</t>
        </is>
      </c>
      <c r="F1147" s="49" t="inlineStr">
        <is>
          <t>PASS</t>
        </is>
      </c>
      <c r="G1147" s="48" t="inlineStr">
        <is>
          <t>Pass</t>
        </is>
      </c>
      <c r="H1147" s="50" t="inlineStr">
        <is>
          <t>các bảng link_* đều được rút về current trước khi join</t>
        </is>
      </c>
      <c r="I11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47" s="48" t="inlineStr">
        <is>
          <t>058. OCB_GOLD_TCKH_V_SBV_1_BAOANH.xlsx [Script SQL: V_SBV_1]</t>
        </is>
      </c>
    </row>
    <row r="1148">
      <c r="A1148" s="48" t="inlineStr">
        <is>
          <t>TCKH.V_SBV_1</t>
        </is>
      </c>
      <c r="B1148" s="48" t="inlineStr">
        <is>
          <t>SILVER_CONSUMER</t>
        </is>
      </c>
      <c r="C1148" s="48" t="inlineStr">
        <is>
          <t>X.6</t>
        </is>
      </c>
      <c r="D1148" s="48" t="inlineStr">
        <is>
          <t>Nhom X - Bo sung Raffles</t>
        </is>
      </c>
      <c r="E1148" s="48" t="inlineStr">
        <is>
          <t>[Bổ sung] Satellite phải LEFT JOIN, không INNER JOIN</t>
        </is>
      </c>
      <c r="F1148" s="52" t="inlineStr">
        <is>
          <t>FAIL</t>
        </is>
      </c>
      <c r="G1148" s="48" t="inlineStr">
        <is>
          <t>Fail</t>
        </is>
      </c>
      <c r="H1148" s="50" t="inlineStr">
        <is>
          <t>1 satellite dùng INNER JOIN, sẽ mất bản ghi Hub chưa có dòng satellite: sat_pc_re_stat_line_bal (dong 47)</t>
        </is>
      </c>
      <c r="I1148" s="50" t="inlineStr">
        <is>
          <t>Technical Document III.4.2.2 nguyên tắc 1: làm giàu thuộc tính luôn dùng LEFT JOIN. INNER JOIN satellite sẽ loại mất bản ghi Hub đang còn hiệu lực nhưng chưa có dòng satellite.</t>
        </is>
      </c>
      <c r="J1148" s="48" t="inlineStr">
        <is>
          <t>058. OCB_GOLD_TCKH_V_SBV_1_BAOANH.xlsx [Script SQL: V_SBV_1]</t>
        </is>
      </c>
    </row>
    <row r="1149">
      <c r="A1149" s="48" t="inlineStr">
        <is>
          <t>TCKH.V_SBV_1</t>
        </is>
      </c>
      <c r="B1149" s="48" t="inlineStr">
        <is>
          <t>SILVER_CONSUMER</t>
        </is>
      </c>
      <c r="C1149" s="48" t="inlineStr">
        <is>
          <t>X.7</t>
        </is>
      </c>
      <c r="D1149" s="48" t="inlineStr">
        <is>
          <t>Nhom X - Bo sung Raffles</t>
        </is>
      </c>
      <c r="E1149" s="48" t="inlineStr">
        <is>
          <t>[Bổ sung] Không hard-code catalog, dùng biến môi trường</t>
        </is>
      </c>
      <c r="F1149" s="49" t="inlineStr">
        <is>
          <t>PASS</t>
        </is>
      </c>
      <c r="G1149" s="48" t="inlineStr">
        <is>
          <t>Pass</t>
        </is>
      </c>
      <c r="H1149" s="50" t="inlineStr">
        <is>
          <t>dùng biến môi trường cho catalog</t>
        </is>
      </c>
      <c r="I11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49" s="48" t="inlineStr">
        <is>
          <t>058. OCB_GOLD_TCKH_V_SBV_1_BAOANH.xlsx [Script SQL: V_SBV_1]</t>
        </is>
      </c>
    </row>
    <row r="1150">
      <c r="A1150" s="48" t="inlineStr">
        <is>
          <t>TCKH.V_SBV_1</t>
        </is>
      </c>
      <c r="B1150" s="48" t="inlineStr">
        <is>
          <t>SILVER_CONSUMER</t>
        </is>
      </c>
      <c r="C1150" s="48" t="inlineStr">
        <is>
          <t>X.10</t>
        </is>
      </c>
      <c r="D1150" s="48" t="inlineStr">
        <is>
          <t>Nhom X - Bo sung Raffles</t>
        </is>
      </c>
      <c r="E1150" s="48" t="inlineStr">
        <is>
          <t>Bang raw_vault/business_vault duoc doc phai TON TAI THAT trong Data Vault model</t>
        </is>
      </c>
      <c r="F1150" s="49" t="inlineStr">
        <is>
          <t>PASS</t>
        </is>
      </c>
      <c r="G1150" s="48" t="inlineStr">
        <is>
          <t>Pass</t>
        </is>
      </c>
      <c r="H1150" s="50" t="inlineStr">
        <is>
          <t>3 bảng Silver đều có thật trong Data Vault model</t>
        </is>
      </c>
      <c r="I1150" s="50" t="inlineStr"/>
      <c r="J1150" s="48" t="inlineStr">
        <is>
          <t>058. OCB_GOLD_TCKH_V_SBV_1_BAOANH.xlsx [Script SQL: V_SBV_1]</t>
        </is>
      </c>
    </row>
    <row r="1151">
      <c r="A1151" s="48" t="inlineStr">
        <is>
          <t>TCKH.V_SBV_1</t>
        </is>
      </c>
      <c r="B1151" s="48" t="inlineStr">
        <is>
          <t>SILVER_CONSUMER</t>
        </is>
      </c>
      <c r="C1151" s="48" t="inlineStr">
        <is>
          <t>X.11</t>
        </is>
      </c>
      <c r="D1151" s="48" t="inlineStr">
        <is>
          <t>Nhom X - Bo sung Raffles</t>
        </is>
      </c>
      <c r="E1151" s="48" t="inlineStr">
        <is>
          <t>Cot doc tu satellite (sat_*) phai TON TAI THAT trong model</t>
        </is>
      </c>
      <c r="F1151" s="48" t="inlineStr">
        <is>
          <t>N-A</t>
        </is>
      </c>
      <c r="G1151" s="48" t="inlineStr">
        <is>
          <t>Pass</t>
        </is>
      </c>
      <c r="H1151" s="50" t="inlineStr">
        <is>
          <t>không có bảng sat_* nào đủ điều kiện đối chiếu (Select chỉ đọc 1 bảng)</t>
        </is>
      </c>
      <c r="I1151" s="50" t="inlineStr"/>
      <c r="J1151" s="48" t="inlineStr">
        <is>
          <t>058. OCB_GOLD_TCKH_V_SBV_1_BAOANH.xlsx [Script SQL: V_SBV_1]</t>
        </is>
      </c>
    </row>
    <row r="1152">
      <c r="A1152" s="48" t="inlineStr">
        <is>
          <t>TCKH.V_TB_NIM_1</t>
        </is>
      </c>
      <c r="B1152" s="48" t="inlineStr">
        <is>
          <t>UPLOAD_VIEW</t>
        </is>
      </c>
      <c r="C1152" s="48" t="inlineStr">
        <is>
          <t>1.1</t>
        </is>
      </c>
      <c r="D1152" s="48" t="inlineStr">
        <is>
          <t>Nhom 1 - Mapping</t>
        </is>
      </c>
      <c r="E1152" s="48" t="inlineStr">
        <is>
          <t>Đầy đủ mapping từ Silver/manual sang Gold</t>
        </is>
      </c>
      <c r="F1152" s="49" t="inlineStr">
        <is>
          <t>PASS</t>
        </is>
      </c>
      <c r="G1152" s="48" t="inlineStr">
        <is>
          <t>Pass</t>
        </is>
      </c>
      <c r="H1152" s="50" t="inlineStr">
        <is>
          <t>workbook 061. OCB_GOLD_TCKH_V_TB_NIM_1_HOP.xlsx: thiết kế 57 field, SQL có 57 cột</t>
        </is>
      </c>
      <c r="I11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52" s="48" t="inlineStr">
        <is>
          <t>061. OCB_GOLD_TCKH_V_TB_NIM_1_HOP.xlsx [SCRIPT: V_TB_NIM_1]</t>
        </is>
      </c>
    </row>
    <row r="1153">
      <c r="A1153" s="48" t="inlineStr">
        <is>
          <t>TCKH.V_TB_NIM_1</t>
        </is>
      </c>
      <c r="B1153" s="48" t="inlineStr">
        <is>
          <t>UPLOAD_VIEW</t>
        </is>
      </c>
      <c r="C1153" s="48" t="inlineStr">
        <is>
          <t>1.2</t>
        </is>
      </c>
      <c r="D1153" s="48" t="inlineStr">
        <is>
          <t>Nhom 1 - Mapping</t>
        </is>
      </c>
      <c r="E1153" s="48" t="inlineStr">
        <is>
          <t>Danh sách bảng/view Gold khớp tài liệu thiết kế đã duyệt</t>
        </is>
      </c>
      <c r="F1153" s="49" t="inlineStr">
        <is>
          <t>PASS</t>
        </is>
      </c>
      <c r="G1153" s="48" t="inlineStr">
        <is>
          <t>Pass</t>
        </is>
      </c>
      <c r="H1153" s="50" t="inlineStr">
        <is>
          <t>V_TB_NIM_1 có workbook thiết kế: 061. OCB_GOLD_TCKH_V_TB_NIM_1_HOP.xlsx</t>
        </is>
      </c>
      <c r="I1153" s="50" t="inlineStr">
        <is>
          <t>Đảm bảo object có workbook thiết kế tương ứng trong thư mục --mapping-dir. Muốn đối chiếu với danh sách đã duyệt thì chạy thêm tham số --gold-list "&lt;file danh sách Gold&gt;.xlsx".</t>
        </is>
      </c>
      <c r="J1153" s="48" t="inlineStr">
        <is>
          <t>061. OCB_GOLD_TCKH_V_TB_NIM_1_HOP.xlsx [SCRIPT: V_TB_NIM_1]</t>
        </is>
      </c>
    </row>
    <row r="1154">
      <c r="A1154" s="48" t="inlineStr">
        <is>
          <t>TCKH.V_TB_NIM_1</t>
        </is>
      </c>
      <c r="B1154" s="48" t="inlineStr">
        <is>
          <t>UPLOAD_VIEW</t>
        </is>
      </c>
      <c r="C1154" s="48" t="inlineStr">
        <is>
          <t>2.1</t>
        </is>
      </c>
      <c r="D1154" s="48" t="inlineStr">
        <is>
          <t>Nhom 2 - Logic</t>
        </is>
      </c>
      <c r="E1154" s="48" t="inlineStr">
        <is>
          <t>Chỉ lấy bản ghi active, loại bản ghi đã xóa (qua sts_hub)</t>
        </is>
      </c>
      <c r="F1154" s="48" t="inlineStr">
        <is>
          <t>N-A</t>
        </is>
      </c>
      <c r="G1154" s="48" t="inlineStr">
        <is>
          <t>Pass</t>
        </is>
      </c>
      <c r="H1154" s="50" t="inlineStr">
        <is>
          <t>khong ap dung cho profile UPLOAD_VIEW</t>
        </is>
      </c>
      <c r="I11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54" s="48" t="inlineStr">
        <is>
          <t>061. OCB_GOLD_TCKH_V_TB_NIM_1_HOP.xlsx [SCRIPT: V_TB_NIM_1]</t>
        </is>
      </c>
    </row>
    <row r="1155">
      <c r="A1155" s="48" t="inlineStr">
        <is>
          <t>TCKH.V_TB_NIM_1</t>
        </is>
      </c>
      <c r="B1155" s="48" t="inlineStr">
        <is>
          <t>UPLOAD_VIEW</t>
        </is>
      </c>
      <c r="C1155" s="48" t="inlineStr">
        <is>
          <t>2.2</t>
        </is>
      </c>
      <c r="D1155" s="48" t="inlineStr">
        <is>
          <t>Nhom 2 - Logic</t>
        </is>
      </c>
      <c r="E1155" s="48" t="inlineStr">
        <is>
          <t>Thống nhất MỘT pattern duy nhất xác định bản ghi active mới nhất</t>
        </is>
      </c>
      <c r="F1155" s="48" t="inlineStr">
        <is>
          <t>N-A</t>
        </is>
      </c>
      <c r="G1155" s="48" t="inlineStr">
        <is>
          <t>Pass</t>
        </is>
      </c>
      <c r="H1155" s="50" t="inlineStr">
        <is>
          <t>khong ap dung cho profile UPLOAD_VIEW</t>
        </is>
      </c>
      <c r="I11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55" s="48" t="inlineStr">
        <is>
          <t>061. OCB_GOLD_TCKH_V_TB_NIM_1_HOP.xlsx [SCRIPT: V_TB_NIM_1]</t>
        </is>
      </c>
    </row>
    <row r="1156">
      <c r="A1156" s="48" t="inlineStr">
        <is>
          <t>TCKH.V_TB_NIM_1</t>
        </is>
      </c>
      <c r="B1156" s="48" t="inlineStr">
        <is>
          <t>UPLOAD_VIEW</t>
        </is>
      </c>
      <c r="C1156" s="48" t="inlineStr">
        <is>
          <t>2.3</t>
        </is>
      </c>
      <c r="D1156" s="48" t="inlineStr">
        <is>
          <t>Nhom 2 - Logic</t>
        </is>
      </c>
      <c r="E1156" s="48" t="inlineStr">
        <is>
          <t>Điều kiện lọc trạng thái đặt SAU khi xác định bản ghi mới nhất</t>
        </is>
      </c>
      <c r="F1156" s="48" t="inlineStr">
        <is>
          <t>N-A</t>
        </is>
      </c>
      <c r="G1156" s="48" t="inlineStr">
        <is>
          <t>Pass</t>
        </is>
      </c>
      <c r="H1156" s="50" t="inlineStr">
        <is>
          <t>khong ap dung cho profile UPLOAD_VIEW</t>
        </is>
      </c>
      <c r="I11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56" s="48" t="inlineStr">
        <is>
          <t>061. OCB_GOLD_TCKH_V_TB_NIM_1_HOP.xlsx [SCRIPT: V_TB_NIM_1]</t>
        </is>
      </c>
    </row>
    <row r="1157">
      <c r="A1157" s="48" t="inlineStr">
        <is>
          <t>TCKH.V_TB_NIM_1</t>
        </is>
      </c>
      <c r="B1157" s="48" t="inlineStr">
        <is>
          <t>UPLOAD_VIEW</t>
        </is>
      </c>
      <c r="C1157" s="48" t="inlineStr">
        <is>
          <t>2.4</t>
        </is>
      </c>
      <c r="D1157" s="48" t="inlineStr">
        <is>
          <t>Nhom 2 - Logic</t>
        </is>
      </c>
      <c r="E1157" s="48" t="inlineStr">
        <is>
          <t>source_event_date áp dụng đúng dạng theo loại bảng</t>
        </is>
      </c>
      <c r="F1157" s="48" t="inlineStr">
        <is>
          <t>N-A</t>
        </is>
      </c>
      <c r="G1157" s="48" t="inlineStr">
        <is>
          <t>Pass</t>
        </is>
      </c>
      <c r="H1157" s="50" t="inlineStr">
        <is>
          <t>khong ap dung cho profile UPLOAD_VIEW</t>
        </is>
      </c>
      <c r="I11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57" s="48" t="inlineStr">
        <is>
          <t>061. OCB_GOLD_TCKH_V_TB_NIM_1_HOP.xlsx [SCRIPT: V_TB_NIM_1]</t>
        </is>
      </c>
    </row>
    <row r="1158">
      <c r="A1158" s="48" t="inlineStr">
        <is>
          <t>TCKH.V_TB_NIM_1</t>
        </is>
      </c>
      <c r="B1158" s="48" t="inlineStr">
        <is>
          <t>UPLOAD_VIEW</t>
        </is>
      </c>
      <c r="C1158" s="48" t="inlineStr">
        <is>
          <t>2.5</t>
        </is>
      </c>
      <c r="D1158" s="48" t="inlineStr">
        <is>
          <t>Nhom 2 - Logic</t>
        </is>
      </c>
      <c r="E1158" s="48" t="inlineStr">
        <is>
          <t>Không lặp lại lỗi logic cũ đã được DA Data Vault fix</t>
        </is>
      </c>
      <c r="F1158" s="49" t="inlineStr">
        <is>
          <t>PASS</t>
        </is>
      </c>
      <c r="G1158" s="48" t="inlineStr">
        <is>
          <t>Pass</t>
        </is>
      </c>
      <c r="H1158" s="50" t="inlineStr">
        <is>
          <t>không trùng lỗi nào trong Issue log của DA Data Vault</t>
        </is>
      </c>
      <c r="I11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58" s="48" t="inlineStr">
        <is>
          <t>061. OCB_GOLD_TCKH_V_TB_NIM_1_HOP.xlsx [SCRIPT: V_TB_NIM_1]</t>
        </is>
      </c>
    </row>
    <row r="1159">
      <c r="A1159" s="48" t="inlineStr">
        <is>
          <t>TCKH.V_TB_NIM_1</t>
        </is>
      </c>
      <c r="B1159" s="48" t="inlineStr">
        <is>
          <t>UPLOAD_VIEW</t>
        </is>
      </c>
      <c r="C1159" s="48" t="inlineStr">
        <is>
          <t>2.6</t>
        </is>
      </c>
      <c r="D1159" s="48" t="inlineStr">
        <is>
          <t>Nhom 2 - Logic</t>
        </is>
      </c>
      <c r="E1159" s="48" t="inlineStr">
        <is>
          <t>SCD Type 2 cho bảng DIM áp dụng đúng kỹ thuật đã thống nhất</t>
        </is>
      </c>
      <c r="F1159" s="48" t="inlineStr">
        <is>
          <t>N-A</t>
        </is>
      </c>
      <c r="G1159" s="48" t="inlineStr">
        <is>
          <t>Pass</t>
        </is>
      </c>
      <c r="H1159" s="50" t="inlineStr">
        <is>
          <t>object không phải bảng DIM nên không áp dụng SCD Type 2</t>
        </is>
      </c>
      <c r="I11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59" s="48" t="inlineStr">
        <is>
          <t>061. OCB_GOLD_TCKH_V_TB_NIM_1_HOP.xlsx [SCRIPT: V_TB_NIM_1]</t>
        </is>
      </c>
    </row>
    <row r="1160">
      <c r="A1160" s="48" t="inlineStr">
        <is>
          <t>TCKH.V_TB_NIM_1</t>
        </is>
      </c>
      <c r="B1160" s="48" t="inlineStr">
        <is>
          <t>UPLOAD_VIEW</t>
        </is>
      </c>
      <c r="C1160" s="48" t="inlineStr">
        <is>
          <t>2.7</t>
        </is>
      </c>
      <c r="D1160" s="48" t="inlineStr">
        <is>
          <t>Nhom 2 - Logic</t>
        </is>
      </c>
      <c r="E1160" s="48" t="inlineStr">
        <is>
          <t>CASE WHEN cover đủ nhánh như job on-prem</t>
        </is>
      </c>
      <c r="F1160" s="49" t="inlineStr">
        <is>
          <t>PASS</t>
        </is>
      </c>
      <c r="G1160" s="48" t="inlineStr">
        <is>
          <t>Pass</t>
        </is>
      </c>
      <c r="H1160" s="50" t="inlineStr">
        <is>
          <t>cả 12 CASE đều có nhánh ELSE</t>
        </is>
      </c>
      <c r="I1160" s="50" t="inlineStr">
        <is>
          <t>Mở job on-prem tương ứng (DataStage DSX hoặc SQL cũ), đối chiếu từng nhánh WHEN và cả nhánh ELSE. CASE không có ELSE sẽ trả NULL âm thầm — xác nhận đó là ý muốn hay thiếu nhánh.</t>
        </is>
      </c>
      <c r="J1160" s="48" t="inlineStr">
        <is>
          <t>061. OCB_GOLD_TCKH_V_TB_NIM_1_HOP.xlsx [SCRIPT: V_TB_NIM_1]</t>
        </is>
      </c>
    </row>
    <row r="1161">
      <c r="A1161" s="48" t="inlineStr">
        <is>
          <t>TCKH.V_TB_NIM_1</t>
        </is>
      </c>
      <c r="B1161" s="48" t="inlineStr">
        <is>
          <t>UPLOAD_VIEW</t>
        </is>
      </c>
      <c r="C1161" s="48" t="inlineStr">
        <is>
          <t>2.8</t>
        </is>
      </c>
      <c r="D1161" s="48" t="inlineStr">
        <is>
          <t>Nhom 2 - Logic</t>
        </is>
      </c>
      <c r="E1161" s="48" t="inlineStr">
        <is>
          <t>Cột SUM/COUNT được COALESCE/NVL hợp lý</t>
        </is>
      </c>
      <c r="F1161" s="49" t="inlineStr">
        <is>
          <t>PASS</t>
        </is>
      </c>
      <c r="G1161" s="48" t="inlineStr">
        <is>
          <t>Pass</t>
        </is>
      </c>
      <c r="H1161" s="50" t="inlineStr">
        <is>
          <t>mọi SUM/COUNT đều đã coalesce (trực tiếp hoặc ở lớp ngoài)</t>
        </is>
      </c>
      <c r="I11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61" s="48" t="inlineStr">
        <is>
          <t>061. OCB_GOLD_TCKH_V_TB_NIM_1_HOP.xlsx [SCRIPT: V_TB_NIM_1]</t>
        </is>
      </c>
    </row>
    <row r="1162">
      <c r="A1162" s="48" t="inlineStr">
        <is>
          <t>TCKH.V_TB_NIM_1</t>
        </is>
      </c>
      <c r="B1162" s="48" t="inlineStr">
        <is>
          <t>UPLOAD_VIEW</t>
        </is>
      </c>
      <c r="C1162" s="48" t="inlineStr">
        <is>
          <t>2.9</t>
        </is>
      </c>
      <c r="D1162" s="48" t="inlineStr">
        <is>
          <t>Nhom 2 - Logic</t>
        </is>
      </c>
      <c r="E1162" s="48" t="inlineStr">
        <is>
          <t>Subquery / custom function / điều kiện LIKE đúng ý nghĩa nghiệp vụ</t>
        </is>
      </c>
      <c r="F1162" s="49" t="inlineStr">
        <is>
          <t>PASS</t>
        </is>
      </c>
      <c r="G1162" s="48" t="inlineStr">
        <is>
          <t>Pass</t>
        </is>
      </c>
      <c r="H1162" s="50" t="inlineStr">
        <is>
          <t>5 điều kiện LIKE: A.CONTRACT_NO NOT LIKE '%133' | A.GL NOT LIKE '2%' | SYSTEM_ID LIKE '%PHAITHU%' | SYSTEM_ID LIKE '%PHAITRA%'; cú pháp hợp lệ; ý nghĩa nghiệp vụ cần người review đối chiếu job on-prem</t>
        </is>
      </c>
      <c r="I1162" s="50" t="inlineStr">
        <is>
          <t>Đọc lại từng điều kiện LIKE và từng subquery, đối chiếu ý nghĩa nghiệp vụ với on-prem — đúng cú pháp không đủ. Chú ý pattern LIKE có ký tự % ở đầu/cuối và phân biệt chữ hoa/thường.</t>
        </is>
      </c>
      <c r="J1162" s="48" t="inlineStr">
        <is>
          <t>061. OCB_GOLD_TCKH_V_TB_NIM_1_HOP.xlsx [SCRIPT: V_TB_NIM_1]</t>
        </is>
      </c>
    </row>
    <row r="1163">
      <c r="A1163" s="48" t="inlineStr">
        <is>
          <t>TCKH.V_TB_NIM_1</t>
        </is>
      </c>
      <c r="B1163" s="48" t="inlineStr">
        <is>
          <t>UPLOAD_VIEW</t>
        </is>
      </c>
      <c r="C1163" s="48" t="inlineStr">
        <is>
          <t>2.10</t>
        </is>
      </c>
      <c r="D1163" s="48" t="inlineStr">
        <is>
          <t>Nhom 2 - Logic</t>
        </is>
      </c>
      <c r="E1163" s="48" t="inlineStr">
        <is>
          <t>Aggregation kèm filter date range chính xác</t>
        </is>
      </c>
      <c r="F1163" s="49" t="inlineStr">
        <is>
          <t>PASS</t>
        </is>
      </c>
      <c r="G1163" s="48" t="inlineStr">
        <is>
          <t>Pass</t>
        </is>
      </c>
      <c r="H1163" s="50" t="inlineStr">
        <is>
          <t>mọi khối tổng hợp đều có điều kiện theo kỳ dữ liệu</t>
        </is>
      </c>
      <c r="I1163" s="50" t="inlineStr">
        <is>
          <t>Mỗi khối SUM/COUNT/AVG phải có điều kiện lọc theo kỳ dữ liệu (CDR_DT_ID, DATA_DATE, :DATADT…). Nếu điều kiện nằm ở CTE nguồn thì ghi rõ trong comment để người review không phải truy ngược.</t>
        </is>
      </c>
      <c r="J1163" s="48" t="inlineStr">
        <is>
          <t>061. OCB_GOLD_TCKH_V_TB_NIM_1_HOP.xlsx [SCRIPT: V_TB_NIM_1]</t>
        </is>
      </c>
    </row>
    <row r="1164">
      <c r="A1164" s="48" t="inlineStr">
        <is>
          <t>TCKH.V_TB_NIM_1</t>
        </is>
      </c>
      <c r="B1164" s="48" t="inlineStr">
        <is>
          <t>UPLOAD_VIEW</t>
        </is>
      </c>
      <c r="C1164" s="48" t="inlineStr">
        <is>
          <t>2.11</t>
        </is>
      </c>
      <c r="D1164" s="48" t="inlineStr">
        <is>
          <t>Nhom 2 - Logic</t>
        </is>
      </c>
      <c r="E1164" s="48" t="inlineStr">
        <is>
          <t>Join dùng key hợp lý, không lạm dụng UNION ALL + EXISTS/NOT EXISTS</t>
        </is>
      </c>
      <c r="F1164" s="49" t="inlineStr">
        <is>
          <t>PASS</t>
        </is>
      </c>
      <c r="G1164" s="48" t="inlineStr">
        <is>
          <t>Pass</t>
        </is>
      </c>
      <c r="H1164" s="50" t="inlineStr">
        <is>
          <t>join đều theo điều kiện bằng, không lạm dụng UNION ALL + EXISTS</t>
        </is>
      </c>
      <c r="I1164" s="50" t="inlineStr">
        <is>
          <t>Ưu tiên LEFT JOIN theo business key hoặc hashkey. Xem lại các chỗ dùng UNION ALL kết hợp EXISTS/NOT EXISTS — thường thay được bằng một LEFT JOIN. Join không có điều kiện bằng (=) dễ tạo tích Descartes.</t>
        </is>
      </c>
      <c r="J1164" s="48" t="inlineStr">
        <is>
          <t>061. OCB_GOLD_TCKH_V_TB_NIM_1_HOP.xlsx [SCRIPT: V_TB_NIM_1]</t>
        </is>
      </c>
    </row>
    <row r="1165">
      <c r="A1165" s="48" t="inlineStr">
        <is>
          <t>TCKH.V_TB_NIM_1</t>
        </is>
      </c>
      <c r="B1165" s="48" t="inlineStr">
        <is>
          <t>UPLOAD_VIEW</t>
        </is>
      </c>
      <c r="C1165" s="48" t="inlineStr">
        <is>
          <t>2.12</t>
        </is>
      </c>
      <c r="D1165" s="48" t="inlineStr">
        <is>
          <t>Nhom 2 - Logic</t>
        </is>
      </c>
      <c r="E1165" s="48" t="inlineStr">
        <is>
          <t>Build Gold từ CTE snapshot Silver, không build nhiều tầng chồng chéo</t>
        </is>
      </c>
      <c r="F1165" s="48" t="inlineStr">
        <is>
          <t>N-A</t>
        </is>
      </c>
      <c r="G1165" s="48" t="inlineStr">
        <is>
          <t>Pass</t>
        </is>
      </c>
      <c r="H1165" s="50" t="inlineStr">
        <is>
          <t>khong ap dung cho profile UPLOAD_VIEW</t>
        </is>
      </c>
      <c r="I11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65" s="48" t="inlineStr">
        <is>
          <t>061. OCB_GOLD_TCKH_V_TB_NIM_1_HOP.xlsx [SCRIPT: V_TB_NIM_1]</t>
        </is>
      </c>
    </row>
    <row r="1166">
      <c r="A1166" s="48" t="inlineStr">
        <is>
          <t>TCKH.V_TB_NIM_1</t>
        </is>
      </c>
      <c r="B1166" s="48" t="inlineStr">
        <is>
          <t>UPLOAD_VIEW</t>
        </is>
      </c>
      <c r="C1166" s="48" t="inlineStr">
        <is>
          <t>3.1</t>
        </is>
      </c>
      <c r="D1166" s="48" t="inlineStr">
        <is>
          <t>Nhom 3 - Optimization</t>
        </is>
      </c>
      <c r="E1166" s="48" t="inlineStr">
        <is>
          <t>Không SELECT *</t>
        </is>
      </c>
      <c r="F1166" s="52" t="inlineStr">
        <is>
          <t>FAIL</t>
        </is>
      </c>
      <c r="G1166" s="48" t="inlineStr">
        <is>
          <t>Fail</t>
        </is>
      </c>
      <c r="H1166" s="50" t="inlineStr">
        <is>
          <t>có 3 lần SELECT * ở dòng [255, 257, 259]</t>
        </is>
      </c>
      <c r="I1166" s="50" t="inlineStr">
        <is>
          <t>Liệt kê tường minh các cột cần dùng, kể cả trong CTE trung gian. SELECT * làm tăng IO/memory và vỡ script khi bảng nguồn thêm cột.</t>
        </is>
      </c>
      <c r="J1166" s="48" t="inlineStr">
        <is>
          <t>061. OCB_GOLD_TCKH_V_TB_NIM_1_HOP.xlsx [SCRIPT: V_TB_NIM_1]</t>
        </is>
      </c>
    </row>
    <row r="1167">
      <c r="A1167" s="48" t="inlineStr">
        <is>
          <t>TCKH.V_TB_NIM_1</t>
        </is>
      </c>
      <c r="B1167" s="48" t="inlineStr">
        <is>
          <t>UPLOAD_VIEW</t>
        </is>
      </c>
      <c r="C1167" s="48" t="inlineStr">
        <is>
          <t>3.2</t>
        </is>
      </c>
      <c r="D1167" s="48" t="inlineStr">
        <is>
          <t>Nhom 3 - Optimization</t>
        </is>
      </c>
      <c r="E1167" s="48" t="inlineStr">
        <is>
          <t>CTE không bị scan lại nhiều lần</t>
        </is>
      </c>
      <c r="F1167" s="51" t="inlineStr">
        <is>
          <t>WARN</t>
        </is>
      </c>
      <c r="G1167" s="48" t="inlineStr">
        <is>
          <t>WARN</t>
        </is>
      </c>
      <c r="H1167" s="50" t="inlineStr">
        <is>
          <t>CTE bị tham chiếu lại nhiều lần: v_ftp_rate x3, v_ftp_interest_rate_nim_on x3</t>
        </is>
      </c>
      <c r="I1167" s="50" t="inlineStr">
        <is>
          <t>Với CTE nặng (đọc nhiều bảng Silver) bị tham chiếu từ 2 chỗ trở lên: gom lại còn một lần dùng, hoặc vật chất hóa (CACHE / bảng tạm). CTE nhẹ chỉ chứa tham số thì bỏ qua được — tự tick Pass.</t>
        </is>
      </c>
      <c r="J1167" s="48" t="inlineStr">
        <is>
          <t>061. OCB_GOLD_TCKH_V_TB_NIM_1_HOP.xlsx [SCRIPT: V_TB_NIM_1]</t>
        </is>
      </c>
    </row>
    <row r="1168">
      <c r="A1168" s="48" t="inlineStr">
        <is>
          <t>TCKH.V_TB_NIM_1</t>
        </is>
      </c>
      <c r="B1168" s="48" t="inlineStr">
        <is>
          <t>UPLOAD_VIEW</t>
        </is>
      </c>
      <c r="C1168" s="48" t="inlineStr">
        <is>
          <t>3.3</t>
        </is>
      </c>
      <c r="D1168" s="48" t="inlineStr">
        <is>
          <t>Nhom 3 - Optimization</t>
        </is>
      </c>
      <c r="E1168" s="48" t="inlineStr">
        <is>
          <t>Filter trước khi join, tận dụng partition pruning</t>
        </is>
      </c>
      <c r="F1168" s="48" t="inlineStr">
        <is>
          <t>N-A</t>
        </is>
      </c>
      <c r="G1168" s="48" t="inlineStr">
        <is>
          <t>Pass</t>
        </is>
      </c>
      <c r="H1168" s="50" t="inlineStr">
        <is>
          <t>khong ap dung cho profile UPLOAD_VIEW</t>
        </is>
      </c>
      <c r="I1168" s="50" t="inlineStr">
        <is>
          <t>Đưa điều kiện lọc (ngày dữ liệu, trạng thái) vào subquery của từng bảng TRƯỚC khi join, để tận dụng partition pruning. Bảng dim nhỏ không partition thì không cần — tự tick Pass.</t>
        </is>
      </c>
      <c r="J1168" s="48" t="inlineStr">
        <is>
          <t>061. OCB_GOLD_TCKH_V_TB_NIM_1_HOP.xlsx [SCRIPT: V_TB_NIM_1]</t>
        </is>
      </c>
    </row>
    <row r="1169">
      <c r="A1169" s="48" t="inlineStr">
        <is>
          <t>TCKH.V_TB_NIM_1</t>
        </is>
      </c>
      <c r="B1169" s="48" t="inlineStr">
        <is>
          <t>UPLOAD_VIEW</t>
        </is>
      </c>
      <c r="C1169" s="48" t="inlineStr">
        <is>
          <t>3.4</t>
        </is>
      </c>
      <c r="D1169" s="48" t="inlineStr">
        <is>
          <t>Nhom 3 - Optimization</t>
        </is>
      </c>
      <c r="E1169" s="48" t="inlineStr">
        <is>
          <t>Sử dụng CACHE cho query lặp lại trong cùng luồng</t>
        </is>
      </c>
      <c r="F1169" s="51" t="inlineStr">
        <is>
          <t>WARN</t>
        </is>
      </c>
      <c r="G1169" s="48" t="inlineStr">
        <is>
          <t>WARN</t>
        </is>
      </c>
      <c r="H1169" s="50" t="inlineStr">
        <is>
          <t>2 CTE nặng dùng lại &gt;= 2 lần mà không có CACHE: v_ftp_interest_rate_nim_on, v_ftp_rate</t>
        </is>
      </c>
      <c r="I1169" s="50" t="inlineStr">
        <is>
          <t>Nếu một kết quả nặng được dùng lại nhiều bước trong cùng luồng, thêm CACHE TABLE / CACHE SELECT. Kết quả nhỏ thì cache còn chậm hơn — tự tick Pass.</t>
        </is>
      </c>
      <c r="J1169" s="48" t="inlineStr">
        <is>
          <t>061. OCB_GOLD_TCKH_V_TB_NIM_1_HOP.xlsx [SCRIPT: V_TB_NIM_1]</t>
        </is>
      </c>
    </row>
    <row r="1170">
      <c r="A1170" s="48" t="inlineStr">
        <is>
          <t>TCKH.V_TB_NIM_1</t>
        </is>
      </c>
      <c r="B1170" s="48" t="inlineStr">
        <is>
          <t>UPLOAD_VIEW</t>
        </is>
      </c>
      <c r="C1170" s="48" t="inlineStr">
        <is>
          <t>3.5</t>
        </is>
      </c>
      <c r="D1170" s="48" t="inlineStr">
        <is>
          <t>Nhom 3 - Optimization</t>
        </is>
      </c>
      <c r="E1170" s="48" t="inlineStr">
        <is>
          <t>Ưu tiên MAX_BY + QUALIFY thay ROW_NUMBER() + WHERE rn = 1</t>
        </is>
      </c>
      <c r="F1170" s="48" t="inlineStr">
        <is>
          <t>N-A</t>
        </is>
      </c>
      <c r="G1170" s="48" t="inlineStr">
        <is>
          <t>Pass</t>
        </is>
      </c>
      <c r="H1170" s="50" t="inlineStr">
        <is>
          <t>script không dùng ROW_NUMBER, và MAX_BY (nếu có) không vượt quá 5 cột/khối</t>
        </is>
      </c>
      <c r="I11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70" s="48" t="inlineStr">
        <is>
          <t>061. OCB_GOLD_TCKH_V_TB_NIM_1_HOP.xlsx [SCRIPT: V_TB_NIM_1]</t>
        </is>
      </c>
    </row>
    <row r="1171">
      <c r="A1171" s="48" t="inlineStr">
        <is>
          <t>TCKH.V_TB_NIM_1</t>
        </is>
      </c>
      <c r="B1171" s="48" t="inlineStr">
        <is>
          <t>UPLOAD_VIEW</t>
        </is>
      </c>
      <c r="C1171" s="48" t="inlineStr">
        <is>
          <t>3.6</t>
        </is>
      </c>
      <c r="D1171" s="48" t="inlineStr">
        <is>
          <t>Nhom 3 - Optimization</t>
        </is>
      </c>
      <c r="E1171" s="48" t="inlineStr">
        <is>
          <t>Không lạm dụng window function; có comment khi dùng</t>
        </is>
      </c>
      <c r="F1171" s="48" t="inlineStr">
        <is>
          <t>N-A</t>
        </is>
      </c>
      <c r="G1171" s="48" t="inlineStr">
        <is>
          <t>Pass</t>
        </is>
      </c>
      <c r="H1171" s="50" t="inlineStr">
        <is>
          <t>script không dùng window function</t>
        </is>
      </c>
      <c r="I1171" s="50" t="inlineStr">
        <is>
          <t>Mỗi window function cần một comment ngay trên khối CTE chứa nó, nói rõ vì sao không dùng được max_by/QUALIFY đơn giản hơn.</t>
        </is>
      </c>
      <c r="J1171" s="48" t="inlineStr">
        <is>
          <t>061. OCB_GOLD_TCKH_V_TB_NIM_1_HOP.xlsx [SCRIPT: V_TB_NIM_1]</t>
        </is>
      </c>
    </row>
    <row r="1172">
      <c r="A1172" s="48" t="inlineStr">
        <is>
          <t>TCKH.V_TB_NIM_1</t>
        </is>
      </c>
      <c r="B1172" s="48" t="inlineStr">
        <is>
          <t>UPLOAD_VIEW</t>
        </is>
      </c>
      <c r="C1172" s="48" t="inlineStr">
        <is>
          <t>X.1</t>
        </is>
      </c>
      <c r="D1172" s="48" t="inlineStr">
        <is>
          <t>Nhom X - Bo sung Raffles</t>
        </is>
      </c>
      <c r="E1172" s="48" t="inlineStr">
        <is>
          <t>[Bổ sung] Link phải rút về current trước khi join (chống fan-out)</t>
        </is>
      </c>
      <c r="F1172" s="48" t="inlineStr">
        <is>
          <t>N-A</t>
        </is>
      </c>
      <c r="G1172" s="48" t="inlineStr">
        <is>
          <t>Pass</t>
        </is>
      </c>
      <c r="H1172" s="50" t="inlineStr">
        <is>
          <t>khong ap dung cho profile UPLOAD_VIEW</t>
        </is>
      </c>
      <c r="I11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72" s="48" t="inlineStr">
        <is>
          <t>061. OCB_GOLD_TCKH_V_TB_NIM_1_HOP.xlsx [SCRIPT: V_TB_NIM_1]</t>
        </is>
      </c>
    </row>
    <row r="1173">
      <c r="A1173" s="48" t="inlineStr">
        <is>
          <t>TCKH.V_TB_NIM_1</t>
        </is>
      </c>
      <c r="B1173" s="48" t="inlineStr">
        <is>
          <t>UPLOAD_VIEW</t>
        </is>
      </c>
      <c r="C1173" s="48" t="inlineStr">
        <is>
          <t>X.6</t>
        </is>
      </c>
      <c r="D1173" s="48" t="inlineStr">
        <is>
          <t>Nhom X - Bo sung Raffles</t>
        </is>
      </c>
      <c r="E1173" s="48" t="inlineStr">
        <is>
          <t>[Bổ sung] Satellite phải LEFT JOIN, không INNER JOIN</t>
        </is>
      </c>
      <c r="F1173" s="48" t="inlineStr">
        <is>
          <t>N-A</t>
        </is>
      </c>
      <c r="G1173" s="48" t="inlineStr">
        <is>
          <t>Pass</t>
        </is>
      </c>
      <c r="H1173" s="50" t="inlineStr">
        <is>
          <t>khong ap dung cho profile UPLOAD_VIEW</t>
        </is>
      </c>
      <c r="I1173" s="50" t="inlineStr">
        <is>
          <t>Technical Document III.4.2.2 nguyên tắc 1: làm giàu thuộc tính luôn dùng LEFT JOIN. INNER JOIN satellite sẽ loại mất bản ghi Hub đang còn hiệu lực nhưng chưa có dòng satellite.</t>
        </is>
      </c>
      <c r="J1173" s="48" t="inlineStr">
        <is>
          <t>061. OCB_GOLD_TCKH_V_TB_NIM_1_HOP.xlsx [SCRIPT: V_TB_NIM_1]</t>
        </is>
      </c>
    </row>
    <row r="1174">
      <c r="A1174" s="48" t="inlineStr">
        <is>
          <t>TCKH.V_TB_NIM_1</t>
        </is>
      </c>
      <c r="B1174" s="48" t="inlineStr">
        <is>
          <t>UPLOAD_VIEW</t>
        </is>
      </c>
      <c r="C1174" s="48" t="inlineStr">
        <is>
          <t>X.7</t>
        </is>
      </c>
      <c r="D1174" s="48" t="inlineStr">
        <is>
          <t>Nhom X - Bo sung Raffles</t>
        </is>
      </c>
      <c r="E1174" s="48" t="inlineStr">
        <is>
          <t>[Bổ sung] Không hard-code catalog, dùng biến môi trường</t>
        </is>
      </c>
      <c r="F1174" s="48" t="inlineStr">
        <is>
          <t>N-A</t>
        </is>
      </c>
      <c r="G1174" s="48" t="inlineStr">
        <is>
          <t>Pass</t>
        </is>
      </c>
      <c r="H1174" s="50" t="inlineStr">
        <is>
          <t>khong ap dung cho profile UPLOAD_VIEW</t>
        </is>
      </c>
      <c r="I11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74" s="48" t="inlineStr">
        <is>
          <t>061. OCB_GOLD_TCKH_V_TB_NIM_1_HOP.xlsx [SCRIPT: V_TB_NIM_1]</t>
        </is>
      </c>
    </row>
    <row r="1175">
      <c r="A1175" s="48" t="inlineStr">
        <is>
          <t>TCKH.V_TB_NIM_1</t>
        </is>
      </c>
      <c r="B1175" s="48" t="inlineStr">
        <is>
          <t>UPLOAD_VIEW</t>
        </is>
      </c>
      <c r="C1175" s="48" t="inlineStr">
        <is>
          <t>X.10</t>
        </is>
      </c>
      <c r="D1175" s="48" t="inlineStr">
        <is>
          <t>Nhom X - Bo sung Raffles</t>
        </is>
      </c>
      <c r="E1175" s="48" t="inlineStr">
        <is>
          <t>Bang raw_vault/business_vault duoc doc phai TON TAI THAT trong Data Vault model</t>
        </is>
      </c>
      <c r="F1175" s="48" t="inlineStr">
        <is>
          <t>N-A</t>
        </is>
      </c>
      <c r="G1175" s="48" t="inlineStr">
        <is>
          <t>Pass</t>
        </is>
      </c>
      <c r="H1175" s="50" t="inlineStr">
        <is>
          <t>script không đọc bảng raw_vault/business_vault nào</t>
        </is>
      </c>
      <c r="I1175" s="50" t="inlineStr"/>
      <c r="J1175" s="48" t="inlineStr">
        <is>
          <t>061. OCB_GOLD_TCKH_V_TB_NIM_1_HOP.xlsx [SCRIPT: V_TB_NIM_1]</t>
        </is>
      </c>
    </row>
    <row r="1176">
      <c r="A1176" s="48" t="inlineStr">
        <is>
          <t>TCKH.V_TB_NIM_1</t>
        </is>
      </c>
      <c r="B1176" s="48" t="inlineStr">
        <is>
          <t>UPLOAD_VIEW</t>
        </is>
      </c>
      <c r="C1176" s="48" t="inlineStr">
        <is>
          <t>X.11</t>
        </is>
      </c>
      <c r="D1176" s="48" t="inlineStr">
        <is>
          <t>Nhom X - Bo sung Raffles</t>
        </is>
      </c>
      <c r="E1176" s="48" t="inlineStr">
        <is>
          <t>Cot doc tu satellite (sat_*) phai TON TAI THAT trong model</t>
        </is>
      </c>
      <c r="F1176" s="48" t="inlineStr">
        <is>
          <t>N-A</t>
        </is>
      </c>
      <c r="G1176" s="48" t="inlineStr">
        <is>
          <t>Pass</t>
        </is>
      </c>
      <c r="H1176" s="50" t="inlineStr">
        <is>
          <t>không có bảng sat_* nào đủ điều kiện đối chiếu (Select chỉ đọc 1 bảng)</t>
        </is>
      </c>
      <c r="I1176" s="50" t="inlineStr"/>
      <c r="J1176" s="48" t="inlineStr">
        <is>
          <t>061. OCB_GOLD_TCKH_V_TB_NIM_1_HOP.xlsx [SCRIPT: V_TB_NIM_1]</t>
        </is>
      </c>
    </row>
    <row r="1177">
      <c r="A1177" s="48" t="inlineStr">
        <is>
          <t>TCKH.WORKING_DAY</t>
        </is>
      </c>
      <c r="B1177" s="48" t="inlineStr">
        <is>
          <t>SILVER_CONSUMER</t>
        </is>
      </c>
      <c r="C1177" s="48" t="inlineStr">
        <is>
          <t>1.1</t>
        </is>
      </c>
      <c r="D1177" s="48" t="inlineStr">
        <is>
          <t>Nhom 1 - Mapping</t>
        </is>
      </c>
      <c r="E1177" s="48" t="inlineStr">
        <is>
          <t>Đầy đủ mapping từ Silver/manual sang Gold</t>
        </is>
      </c>
      <c r="F1177" s="49" t="inlineStr">
        <is>
          <t>PASS</t>
        </is>
      </c>
      <c r="G1177" s="48" t="inlineStr">
        <is>
          <t>Pass</t>
        </is>
      </c>
      <c r="H1177" s="50" t="inlineStr">
        <is>
          <t>workbook 062. OCB_GOLD_TCKH_WORKING_DAY_BAOANH.xlsx: thiết kế 7 field, SQL có 7 cột</t>
        </is>
      </c>
      <c r="I11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77" s="48" t="inlineStr">
        <is>
          <t>062. OCB_GOLD_TCKH_WORKING_DAY_BAOANH.xlsx [SCRIPT: WORKING_DAY]</t>
        </is>
      </c>
    </row>
    <row r="1178">
      <c r="A1178" s="48" t="inlineStr">
        <is>
          <t>TCKH.WORKING_DAY</t>
        </is>
      </c>
      <c r="B1178" s="48" t="inlineStr">
        <is>
          <t>SILVER_CONSUMER</t>
        </is>
      </c>
      <c r="C1178" s="48" t="inlineStr">
        <is>
          <t>1.2</t>
        </is>
      </c>
      <c r="D1178" s="48" t="inlineStr">
        <is>
          <t>Nhom 1 - Mapping</t>
        </is>
      </c>
      <c r="E1178" s="48" t="inlineStr">
        <is>
          <t>Danh sách bảng/view Gold khớp tài liệu thiết kế đã duyệt</t>
        </is>
      </c>
      <c r="F1178" s="49" t="inlineStr">
        <is>
          <t>PASS</t>
        </is>
      </c>
      <c r="G1178" s="48" t="inlineStr">
        <is>
          <t>Pass</t>
        </is>
      </c>
      <c r="H1178" s="50" t="inlineStr">
        <is>
          <t>WORKING_DAY có workbook thiết kế: 062. OCB_GOLD_TCKH_WORKING_DAY_BAOANH.xlsx</t>
        </is>
      </c>
      <c r="I1178" s="50" t="inlineStr">
        <is>
          <t>Đảm bảo object có workbook thiết kế tương ứng trong thư mục --mapping-dir. Muốn đối chiếu với danh sách đã duyệt thì chạy thêm tham số --gold-list "&lt;file danh sách Gold&gt;.xlsx".</t>
        </is>
      </c>
      <c r="J1178" s="48" t="inlineStr">
        <is>
          <t>062. OCB_GOLD_TCKH_WORKING_DAY_BAOANH.xlsx [SCRIPT: WORKING_DAY]</t>
        </is>
      </c>
    </row>
    <row r="1179">
      <c r="A1179" s="48" t="inlineStr">
        <is>
          <t>TCKH.WORKING_DAY</t>
        </is>
      </c>
      <c r="B1179" s="48" t="inlineStr">
        <is>
          <t>SILVER_CONSUMER</t>
        </is>
      </c>
      <c r="C1179" s="48" t="inlineStr">
        <is>
          <t>2.1</t>
        </is>
      </c>
      <c r="D1179" s="48" t="inlineStr">
        <is>
          <t>Nhom 2 - Logic</t>
        </is>
      </c>
      <c r="E1179" s="48" t="inlineStr">
        <is>
          <t>Chỉ lấy bản ghi active, loại bản ghi đã xóa (qua sts_hub)</t>
        </is>
      </c>
      <c r="F1179" s="48" t="inlineStr">
        <is>
          <t>N-A</t>
        </is>
      </c>
      <c r="G1179" s="48" t="inlineStr">
        <is>
          <t>Pass</t>
        </is>
      </c>
      <c r="H1179" s="50" t="inlineStr">
        <is>
          <t>script không đọc sts_hub/satellite nào nên không có bản ghi xóa để lọc</t>
        </is>
      </c>
      <c r="I11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79" s="48" t="inlineStr">
        <is>
          <t>062. OCB_GOLD_TCKH_WORKING_DAY_BAOANH.xlsx [SCRIPT: WORKING_DAY]</t>
        </is>
      </c>
    </row>
    <row r="1180">
      <c r="A1180" s="48" t="inlineStr">
        <is>
          <t>TCKH.WORKING_DAY</t>
        </is>
      </c>
      <c r="B1180" s="48" t="inlineStr">
        <is>
          <t>SILVER_CONSUMER</t>
        </is>
      </c>
      <c r="C1180" s="48" t="inlineStr">
        <is>
          <t>2.2</t>
        </is>
      </c>
      <c r="D1180" s="48" t="inlineStr">
        <is>
          <t>Nhom 2 - Logic</t>
        </is>
      </c>
      <c r="E1180" s="48" t="inlineStr">
        <is>
          <t>Thống nhất MỘT pattern duy nhất xác định bản ghi active mới nhất</t>
        </is>
      </c>
      <c r="F1180" s="48" t="inlineStr">
        <is>
          <t>N-A</t>
        </is>
      </c>
      <c r="G1180" s="48" t="inlineStr">
        <is>
          <t>Pass</t>
        </is>
      </c>
      <c r="H1180" s="50" t="inlineStr">
        <is>
          <t>script không có bước lấy bản ghi mới nhất nào tính là bất nhất (không dùng, hoặc chỉ dùng ROW_NUMBER cho block &gt;5 cột - đã miễn trừ)</t>
        </is>
      </c>
      <c r="I11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80" s="48" t="inlineStr">
        <is>
          <t>062. OCB_GOLD_TCKH_WORKING_DAY_BAOANH.xlsx [SCRIPT: WORKING_DAY]</t>
        </is>
      </c>
    </row>
    <row r="1181">
      <c r="A1181" s="48" t="inlineStr">
        <is>
          <t>TCKH.WORKING_DAY</t>
        </is>
      </c>
      <c r="B1181" s="48" t="inlineStr">
        <is>
          <t>SILVER_CONSUMER</t>
        </is>
      </c>
      <c r="C1181" s="48" t="inlineStr">
        <is>
          <t>2.3</t>
        </is>
      </c>
      <c r="D1181" s="48" t="inlineStr">
        <is>
          <t>Nhom 2 - Logic</t>
        </is>
      </c>
      <c r="E1181" s="48" t="inlineStr">
        <is>
          <t>Điều kiện lọc trạng thái đặt SAU khi xác định bản ghi mới nhất</t>
        </is>
      </c>
      <c r="F1181" s="49" t="inlineStr">
        <is>
          <t>PASS</t>
        </is>
      </c>
      <c r="G1181" s="48" t="inlineStr">
        <is>
          <t>Pass</t>
        </is>
      </c>
      <c r="H1181" s="50" t="inlineStr">
        <is>
          <t>không có điều kiện trạng thái nào lồng trong JOIN ON</t>
        </is>
      </c>
      <c r="I11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81" s="48" t="inlineStr">
        <is>
          <t>062. OCB_GOLD_TCKH_WORKING_DAY_BAOANH.xlsx [SCRIPT: WORKING_DAY]</t>
        </is>
      </c>
    </row>
    <row r="1182">
      <c r="A1182" s="48" t="inlineStr">
        <is>
          <t>TCKH.WORKING_DAY</t>
        </is>
      </c>
      <c r="B1182" s="48" t="inlineStr">
        <is>
          <t>SILVER_CONSUMER</t>
        </is>
      </c>
      <c r="C1182" s="48" t="inlineStr">
        <is>
          <t>2.4</t>
        </is>
      </c>
      <c r="D1182" s="48" t="inlineStr">
        <is>
          <t>Nhom 2 - Logic</t>
        </is>
      </c>
      <c r="E1182" s="48" t="inlineStr">
        <is>
          <t>source_event_date áp dụng đúng dạng theo loại bảng</t>
        </is>
      </c>
      <c r="F1182" s="48" t="inlineStr">
        <is>
          <t>N-A</t>
        </is>
      </c>
      <c r="G1182" s="48" t="inlineStr">
        <is>
          <t>Pass</t>
        </is>
      </c>
      <c r="H1182" s="50" t="inlineStr">
        <is>
          <t>script không đọc satellite nào</t>
        </is>
      </c>
      <c r="I11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82" s="48" t="inlineStr">
        <is>
          <t>062. OCB_GOLD_TCKH_WORKING_DAY_BAOANH.xlsx [SCRIPT: WORKING_DAY]</t>
        </is>
      </c>
    </row>
    <row r="1183">
      <c r="A1183" s="48" t="inlineStr">
        <is>
          <t>TCKH.WORKING_DAY</t>
        </is>
      </c>
      <c r="B1183" s="48" t="inlineStr">
        <is>
          <t>SILVER_CONSUMER</t>
        </is>
      </c>
      <c r="C1183" s="48" t="inlineStr">
        <is>
          <t>2.5</t>
        </is>
      </c>
      <c r="D1183" s="48" t="inlineStr">
        <is>
          <t>Nhom 2 - Logic</t>
        </is>
      </c>
      <c r="E1183" s="48" t="inlineStr">
        <is>
          <t>Không lặp lại lỗi logic cũ đã được DA Data Vault fix</t>
        </is>
      </c>
      <c r="F1183" s="49" t="inlineStr">
        <is>
          <t>PASS</t>
        </is>
      </c>
      <c r="G1183" s="48" t="inlineStr">
        <is>
          <t>Pass</t>
        </is>
      </c>
      <c r="H1183" s="50" t="inlineStr">
        <is>
          <t>không trùng lỗi nào trong Issue log của DA Data Vault</t>
        </is>
      </c>
      <c r="I11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83" s="48" t="inlineStr">
        <is>
          <t>062. OCB_GOLD_TCKH_WORKING_DAY_BAOANH.xlsx [SCRIPT: WORKING_DAY]</t>
        </is>
      </c>
    </row>
    <row r="1184">
      <c r="A1184" s="48" t="inlineStr">
        <is>
          <t>TCKH.WORKING_DAY</t>
        </is>
      </c>
      <c r="B1184" s="48" t="inlineStr">
        <is>
          <t>SILVER_CONSUMER</t>
        </is>
      </c>
      <c r="C1184" s="48" t="inlineStr">
        <is>
          <t>2.6</t>
        </is>
      </c>
      <c r="D1184" s="48" t="inlineStr">
        <is>
          <t>Nhom 2 - Logic</t>
        </is>
      </c>
      <c r="E1184" s="48" t="inlineStr">
        <is>
          <t>SCD Type 2 cho bảng DIM áp dụng đúng kỹ thuật đã thống nhất</t>
        </is>
      </c>
      <c r="F1184" s="48" t="inlineStr">
        <is>
          <t>N-A</t>
        </is>
      </c>
      <c r="G1184" s="48" t="inlineStr">
        <is>
          <t>Pass</t>
        </is>
      </c>
      <c r="H1184" s="50" t="inlineStr">
        <is>
          <t>object không phải bảng DIM nên không áp dụng SCD Type 2</t>
        </is>
      </c>
      <c r="I11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84" s="48" t="inlineStr">
        <is>
          <t>062. OCB_GOLD_TCKH_WORKING_DAY_BAOANH.xlsx [SCRIPT: WORKING_DAY]</t>
        </is>
      </c>
    </row>
    <row r="1185">
      <c r="A1185" s="48" t="inlineStr">
        <is>
          <t>TCKH.WORKING_DAY</t>
        </is>
      </c>
      <c r="B1185" s="48" t="inlineStr">
        <is>
          <t>SILVER_CONSUMER</t>
        </is>
      </c>
      <c r="C1185" s="48" t="inlineStr">
        <is>
          <t>2.7</t>
        </is>
      </c>
      <c r="D1185" s="48" t="inlineStr">
        <is>
          <t>Nhom 2 - Logic</t>
        </is>
      </c>
      <c r="E1185" s="48" t="inlineStr">
        <is>
          <t>CASE WHEN cover đủ nhánh như job on-prem</t>
        </is>
      </c>
      <c r="F1185" s="49" t="inlineStr">
        <is>
          <t>PASS</t>
        </is>
      </c>
      <c r="G1185" s="48" t="inlineStr">
        <is>
          <t>Pass</t>
        </is>
      </c>
      <c r="H1185" s="50" t="inlineStr">
        <is>
          <t>cả 4 CASE đều có nhánh ELSE</t>
        </is>
      </c>
      <c r="I1185" s="50" t="inlineStr">
        <is>
          <t>Mở job on-prem tương ứng (DataStage DSX hoặc SQL cũ), đối chiếu từng nhánh WHEN và cả nhánh ELSE. CASE không có ELSE sẽ trả NULL âm thầm — xác nhận đó là ý muốn hay thiếu nhánh.</t>
        </is>
      </c>
      <c r="J1185" s="48" t="inlineStr">
        <is>
          <t>062. OCB_GOLD_TCKH_WORKING_DAY_BAOANH.xlsx [SCRIPT: WORKING_DAY]</t>
        </is>
      </c>
    </row>
    <row r="1186">
      <c r="A1186" s="48" t="inlineStr">
        <is>
          <t>TCKH.WORKING_DAY</t>
        </is>
      </c>
      <c r="B1186" s="48" t="inlineStr">
        <is>
          <t>SILVER_CONSUMER</t>
        </is>
      </c>
      <c r="C1186" s="48" t="inlineStr">
        <is>
          <t>2.8</t>
        </is>
      </c>
      <c r="D1186" s="48" t="inlineStr">
        <is>
          <t>Nhom 2 - Logic</t>
        </is>
      </c>
      <c r="E1186" s="48" t="inlineStr">
        <is>
          <t>Cột SUM/COUNT được COALESCE/NVL hợp lý</t>
        </is>
      </c>
      <c r="F1186" s="49" t="inlineStr">
        <is>
          <t>PASS</t>
        </is>
      </c>
      <c r="G1186" s="48" t="inlineStr">
        <is>
          <t>Pass</t>
        </is>
      </c>
      <c r="H1186" s="50" t="inlineStr">
        <is>
          <t>mọi SUM/COUNT đều đã coalesce (trực tiếp hoặc ở lớp ngoài)</t>
        </is>
      </c>
      <c r="I11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86" s="48" t="inlineStr">
        <is>
          <t>062. OCB_GOLD_TCKH_WORKING_DAY_BAOANH.xlsx [SCRIPT: WORKING_DAY]</t>
        </is>
      </c>
    </row>
    <row r="1187">
      <c r="A1187" s="48" t="inlineStr">
        <is>
          <t>TCKH.WORKING_DAY</t>
        </is>
      </c>
      <c r="B1187" s="48" t="inlineStr">
        <is>
          <t>SILVER_CONSUMER</t>
        </is>
      </c>
      <c r="C1187" s="48" t="inlineStr">
        <is>
          <t>2.9</t>
        </is>
      </c>
      <c r="D1187" s="48" t="inlineStr">
        <is>
          <t>Nhom 2 - Logic</t>
        </is>
      </c>
      <c r="E1187" s="48" t="inlineStr">
        <is>
          <t>Subquery / custom function / điều kiện LIKE đúng ý nghĩa nghiệp vụ</t>
        </is>
      </c>
      <c r="F1187" s="48" t="inlineStr">
        <is>
          <t>N-A</t>
        </is>
      </c>
      <c r="G1187" s="48" t="inlineStr">
        <is>
          <t>Pass</t>
        </is>
      </c>
      <c r="H1187" s="50" t="inlineStr">
        <is>
          <t>script không có điều kiện LIKE hay scalar subquery nào</t>
        </is>
      </c>
      <c r="I1187" s="50" t="inlineStr">
        <is>
          <t>Đọc lại từng điều kiện LIKE và từng subquery, đối chiếu ý nghĩa nghiệp vụ với on-prem — đúng cú pháp không đủ. Chú ý pattern LIKE có ký tự % ở đầu/cuối và phân biệt chữ hoa/thường.</t>
        </is>
      </c>
      <c r="J1187" s="48" t="inlineStr">
        <is>
          <t>062. OCB_GOLD_TCKH_WORKING_DAY_BAOANH.xlsx [SCRIPT: WORKING_DAY]</t>
        </is>
      </c>
    </row>
    <row r="1188">
      <c r="A1188" s="48" t="inlineStr">
        <is>
          <t>TCKH.WORKING_DAY</t>
        </is>
      </c>
      <c r="B1188" s="48" t="inlineStr">
        <is>
          <t>SILVER_CONSUMER</t>
        </is>
      </c>
      <c r="C1188" s="48" t="inlineStr">
        <is>
          <t>2.10</t>
        </is>
      </c>
      <c r="D1188" s="48" t="inlineStr">
        <is>
          <t>Nhom 2 - Logic</t>
        </is>
      </c>
      <c r="E1188" s="48" t="inlineStr">
        <is>
          <t>Aggregation kèm filter date range chính xác</t>
        </is>
      </c>
      <c r="F1188" s="49" t="inlineStr">
        <is>
          <t>PASS</t>
        </is>
      </c>
      <c r="G1188" s="48" t="inlineStr">
        <is>
          <t>Pass</t>
        </is>
      </c>
      <c r="H1188" s="50" t="inlineStr">
        <is>
          <t>mọi khối tổng hợp đều có điều kiện theo kỳ dữ liệu</t>
        </is>
      </c>
      <c r="I1188" s="50" t="inlineStr">
        <is>
          <t>Mỗi khối SUM/COUNT/AVG phải có điều kiện lọc theo kỳ dữ liệu (CDR_DT_ID, DATA_DATE, :DATADT…). Nếu điều kiện nằm ở CTE nguồn thì ghi rõ trong comment để người review không phải truy ngược.</t>
        </is>
      </c>
      <c r="J1188" s="48" t="inlineStr">
        <is>
          <t>062. OCB_GOLD_TCKH_WORKING_DAY_BAOANH.xlsx [SCRIPT: WORKING_DAY]</t>
        </is>
      </c>
    </row>
    <row r="1189">
      <c r="A1189" s="48" t="inlineStr">
        <is>
          <t>TCKH.WORKING_DAY</t>
        </is>
      </c>
      <c r="B1189" s="48" t="inlineStr">
        <is>
          <t>SILVER_CONSUMER</t>
        </is>
      </c>
      <c r="C1189" s="48" t="inlineStr">
        <is>
          <t>2.11</t>
        </is>
      </c>
      <c r="D1189" s="48" t="inlineStr">
        <is>
          <t>Nhom 2 - Logic</t>
        </is>
      </c>
      <c r="E1189" s="48" t="inlineStr">
        <is>
          <t>Join dùng key hợp lý, không lạm dụng UNION ALL + EXISTS/NOT EXISTS</t>
        </is>
      </c>
      <c r="F1189" s="49" t="inlineStr">
        <is>
          <t>PASS</t>
        </is>
      </c>
      <c r="G1189" s="48" t="inlineStr">
        <is>
          <t>Pass</t>
        </is>
      </c>
      <c r="H1189" s="50" t="inlineStr">
        <is>
          <t>join đều theo điều kiện bằng, không lạm dụng UNION ALL + EXISTS</t>
        </is>
      </c>
      <c r="I1189" s="50" t="inlineStr">
        <is>
          <t>Ưu tiên LEFT JOIN theo business key hoặc hashkey. Xem lại các chỗ dùng UNION ALL kết hợp EXISTS/NOT EXISTS — thường thay được bằng một LEFT JOIN. Join không có điều kiện bằng (=) dễ tạo tích Descartes.</t>
        </is>
      </c>
      <c r="J1189" s="48" t="inlineStr">
        <is>
          <t>062. OCB_GOLD_TCKH_WORKING_DAY_BAOANH.xlsx [SCRIPT: WORKING_DAY]</t>
        </is>
      </c>
    </row>
    <row r="1190">
      <c r="A1190" s="48" t="inlineStr">
        <is>
          <t>TCKH.WORKING_DAY</t>
        </is>
      </c>
      <c r="B1190" s="48" t="inlineStr">
        <is>
          <t>SILVER_CONSUMER</t>
        </is>
      </c>
      <c r="C1190" s="48" t="inlineStr">
        <is>
          <t>2.12</t>
        </is>
      </c>
      <c r="D1190" s="48" t="inlineStr">
        <is>
          <t>Nhom 2 - Logic</t>
        </is>
      </c>
      <c r="E1190" s="48" t="inlineStr">
        <is>
          <t>Build Gold từ CTE snapshot Silver, không build nhiều tầng chồng chéo</t>
        </is>
      </c>
      <c r="F1190" s="51" t="inlineStr">
        <is>
          <t>WARN</t>
        </is>
      </c>
      <c r="G1190" s="48" t="inlineStr">
        <is>
          <t>WARN</t>
        </is>
      </c>
      <c r="H1190" s="50" t="inlineStr">
        <is>
          <t>bảng bị đọc lại ở nhiều khối SELECT, xét gom thành 1 CTE: calendar ở 2 khối</t>
        </is>
      </c>
      <c r="I11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90" s="48" t="inlineStr">
        <is>
          <t>062. OCB_GOLD_TCKH_WORKING_DAY_BAOANH.xlsx [SCRIPT: WORKING_DAY]</t>
        </is>
      </c>
    </row>
    <row r="1191">
      <c r="A1191" s="48" t="inlineStr">
        <is>
          <t>TCKH.WORKING_DAY</t>
        </is>
      </c>
      <c r="B1191" s="48" t="inlineStr">
        <is>
          <t>SILVER_CONSUMER</t>
        </is>
      </c>
      <c r="C1191" s="48" t="inlineStr">
        <is>
          <t>3.1</t>
        </is>
      </c>
      <c r="D1191" s="48" t="inlineStr">
        <is>
          <t>Nhom 3 - Optimization</t>
        </is>
      </c>
      <c r="E1191" s="48" t="inlineStr">
        <is>
          <t>Không SELECT *</t>
        </is>
      </c>
      <c r="F1191" s="49" t="inlineStr">
        <is>
          <t>PASS</t>
        </is>
      </c>
      <c r="G1191" s="48" t="inlineStr">
        <is>
          <t>Pass</t>
        </is>
      </c>
      <c r="H1191" s="50" t="inlineStr">
        <is>
          <t>không dùng SELECT * ở đâu</t>
        </is>
      </c>
      <c r="I1191" s="50" t="inlineStr">
        <is>
          <t>Liệt kê tường minh các cột cần dùng, kể cả trong CTE trung gian. SELECT * làm tăng IO/memory và vỡ script khi bảng nguồn thêm cột.</t>
        </is>
      </c>
      <c r="J1191" s="48" t="inlineStr">
        <is>
          <t>062. OCB_GOLD_TCKH_WORKING_DAY_BAOANH.xlsx [SCRIPT: WORKING_DAY]</t>
        </is>
      </c>
    </row>
    <row r="1192">
      <c r="A1192" s="48" t="inlineStr">
        <is>
          <t>TCKH.WORKING_DAY</t>
        </is>
      </c>
      <c r="B1192" s="48" t="inlineStr">
        <is>
          <t>SILVER_CONSUMER</t>
        </is>
      </c>
      <c r="C1192" s="48" t="inlineStr">
        <is>
          <t>3.2</t>
        </is>
      </c>
      <c r="D1192" s="48" t="inlineStr">
        <is>
          <t>Nhom 3 - Optimization</t>
        </is>
      </c>
      <c r="E1192" s="48" t="inlineStr">
        <is>
          <t>CTE không bị scan lại nhiều lần</t>
        </is>
      </c>
      <c r="F1192" s="49" t="inlineStr">
        <is>
          <t>PASS</t>
        </is>
      </c>
      <c r="G1192" s="48" t="inlineStr">
        <is>
          <t>Pass</t>
        </is>
      </c>
      <c r="H1192" s="50" t="inlineStr">
        <is>
          <t>không có CTE nào bị gọi lại</t>
        </is>
      </c>
      <c r="I1192" s="50" t="inlineStr">
        <is>
          <t>Với CTE nặng (đọc nhiều bảng Silver) bị tham chiếu từ 2 chỗ trở lên: gom lại còn một lần dùng, hoặc vật chất hóa (CACHE / bảng tạm). CTE nhẹ chỉ chứa tham số thì bỏ qua được — tự tick Pass.</t>
        </is>
      </c>
      <c r="J1192" s="48" t="inlineStr">
        <is>
          <t>062. OCB_GOLD_TCKH_WORKING_DAY_BAOANH.xlsx [SCRIPT: WORKING_DAY]</t>
        </is>
      </c>
    </row>
    <row r="1193">
      <c r="A1193" s="48" t="inlineStr">
        <is>
          <t>TCKH.WORKING_DAY</t>
        </is>
      </c>
      <c r="B1193" s="48" t="inlineStr">
        <is>
          <t>SILVER_CONSUMER</t>
        </is>
      </c>
      <c r="C1193" s="48" t="inlineStr">
        <is>
          <t>3.3</t>
        </is>
      </c>
      <c r="D1193" s="48" t="inlineStr">
        <is>
          <t>Nhom 3 - Optimization</t>
        </is>
      </c>
      <c r="E1193" s="48" t="inlineStr">
        <is>
          <t>Filter trước khi join, tận dụng partition pruning</t>
        </is>
      </c>
      <c r="F1193" s="49" t="inlineStr">
        <is>
          <t>PASS</t>
        </is>
      </c>
      <c r="G1193" s="48" t="inlineStr">
        <is>
          <t>Pass</t>
        </is>
      </c>
      <c r="H1193" s="50" t="inlineStr">
        <is>
          <t>các bảng join đều được filter trước</t>
        </is>
      </c>
      <c r="I1193" s="50" t="inlineStr">
        <is>
          <t>Đưa điều kiện lọc (ngày dữ liệu, trạng thái) vào subquery của từng bảng TRƯỚC khi join, để tận dụng partition pruning. Bảng dim nhỏ không partition thì không cần — tự tick Pass.</t>
        </is>
      </c>
      <c r="J1193" s="48" t="inlineStr">
        <is>
          <t>062. OCB_GOLD_TCKH_WORKING_DAY_BAOANH.xlsx [SCRIPT: WORKING_DAY]</t>
        </is>
      </c>
    </row>
    <row r="1194">
      <c r="A1194" s="48" t="inlineStr">
        <is>
          <t>TCKH.WORKING_DAY</t>
        </is>
      </c>
      <c r="B1194" s="48" t="inlineStr">
        <is>
          <t>SILVER_CONSUMER</t>
        </is>
      </c>
      <c r="C1194" s="48" t="inlineStr">
        <is>
          <t>3.4</t>
        </is>
      </c>
      <c r="D1194" s="48" t="inlineStr">
        <is>
          <t>Nhom 3 - Optimization</t>
        </is>
      </c>
      <c r="E1194" s="48" t="inlineStr">
        <is>
          <t>Sử dụng CACHE cho query lặp lại trong cùng luồng</t>
        </is>
      </c>
      <c r="F1194" s="48" t="inlineStr">
        <is>
          <t>N-A</t>
        </is>
      </c>
      <c r="G1194" s="48" t="inlineStr">
        <is>
          <t>Pass</t>
        </is>
      </c>
      <c r="H1194" s="50" t="inlineStr">
        <is>
          <t>không có kết quả nào được dùng lại nhiều lần nên chưa cần CACHE</t>
        </is>
      </c>
      <c r="I1194" s="50" t="inlineStr">
        <is>
          <t>Nếu một kết quả nặng được dùng lại nhiều bước trong cùng luồng, thêm CACHE TABLE / CACHE SELECT. Kết quả nhỏ thì cache còn chậm hơn — tự tick Pass.</t>
        </is>
      </c>
      <c r="J1194" s="48" t="inlineStr">
        <is>
          <t>062. OCB_GOLD_TCKH_WORKING_DAY_BAOANH.xlsx [SCRIPT: WORKING_DAY]</t>
        </is>
      </c>
    </row>
    <row r="1195">
      <c r="A1195" s="48" t="inlineStr">
        <is>
          <t>TCKH.WORKING_DAY</t>
        </is>
      </c>
      <c r="B1195" s="48" t="inlineStr">
        <is>
          <t>SILVER_CONSUMER</t>
        </is>
      </c>
      <c r="C1195" s="48" t="inlineStr">
        <is>
          <t>3.5</t>
        </is>
      </c>
      <c r="D1195" s="48" t="inlineStr">
        <is>
          <t>Nhom 3 - Optimization</t>
        </is>
      </c>
      <c r="E1195" s="48" t="inlineStr">
        <is>
          <t>Ưu tiên MAX_BY + QUALIFY thay ROW_NUMBER() + WHERE rn = 1</t>
        </is>
      </c>
      <c r="F1195" s="48" t="inlineStr">
        <is>
          <t>N-A</t>
        </is>
      </c>
      <c r="G1195" s="48" t="inlineStr">
        <is>
          <t>Pass</t>
        </is>
      </c>
      <c r="H1195" s="50" t="inlineStr">
        <is>
          <t>script không dùng ROW_NUMBER, và MAX_BY (nếu có) không vượt quá 5 cột/khối</t>
        </is>
      </c>
      <c r="I11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95" s="48" t="inlineStr">
        <is>
          <t>062. OCB_GOLD_TCKH_WORKING_DAY_BAOANH.xlsx [SCRIPT: WORKING_DAY]</t>
        </is>
      </c>
    </row>
    <row r="1196">
      <c r="A1196" s="48" t="inlineStr">
        <is>
          <t>TCKH.WORKING_DAY</t>
        </is>
      </c>
      <c r="B1196" s="48" t="inlineStr">
        <is>
          <t>SILVER_CONSUMER</t>
        </is>
      </c>
      <c r="C1196" s="48" t="inlineStr">
        <is>
          <t>3.6</t>
        </is>
      </c>
      <c r="D1196" s="48" t="inlineStr">
        <is>
          <t>Nhom 3 - Optimization</t>
        </is>
      </c>
      <c r="E1196" s="48" t="inlineStr">
        <is>
          <t>Không lạm dụng window function; có comment khi dùng</t>
        </is>
      </c>
      <c r="F1196" s="48" t="inlineStr">
        <is>
          <t>N-A</t>
        </is>
      </c>
      <c r="G1196" s="48" t="inlineStr">
        <is>
          <t>Pass</t>
        </is>
      </c>
      <c r="H1196" s="50" t="inlineStr">
        <is>
          <t>script không dùng window function</t>
        </is>
      </c>
      <c r="I1196" s="50" t="inlineStr">
        <is>
          <t>Mỗi window function cần một comment ngay trên khối CTE chứa nó, nói rõ vì sao không dùng được max_by/QUALIFY đơn giản hơn.</t>
        </is>
      </c>
      <c r="J1196" s="48" t="inlineStr">
        <is>
          <t>062. OCB_GOLD_TCKH_WORKING_DAY_BAOANH.xlsx [SCRIPT: WORKING_DAY]</t>
        </is>
      </c>
    </row>
    <row r="1197">
      <c r="A1197" s="48" t="inlineStr">
        <is>
          <t>TCKH.WORKING_DAY</t>
        </is>
      </c>
      <c r="B1197" s="48" t="inlineStr">
        <is>
          <t>SILVER_CONSUMER</t>
        </is>
      </c>
      <c r="C1197" s="48" t="inlineStr">
        <is>
          <t>X.1</t>
        </is>
      </c>
      <c r="D1197" s="48" t="inlineStr">
        <is>
          <t>Nhom X - Bo sung Raffles</t>
        </is>
      </c>
      <c r="E1197" s="48" t="inlineStr">
        <is>
          <t>[Bổ sung] Link phải rút về current trước khi join (chống fan-out)</t>
        </is>
      </c>
      <c r="F1197" s="49" t="inlineStr">
        <is>
          <t>PASS</t>
        </is>
      </c>
      <c r="G1197" s="48" t="inlineStr">
        <is>
          <t>Pass</t>
        </is>
      </c>
      <c r="H1197" s="50" t="inlineStr">
        <is>
          <t>các bảng link_* đều được rút về current trước khi join</t>
        </is>
      </c>
      <c r="I11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97" s="48" t="inlineStr">
        <is>
          <t>062. OCB_GOLD_TCKH_WORKING_DAY_BAOANH.xlsx [SCRIPT: WORKING_DAY]</t>
        </is>
      </c>
    </row>
    <row r="1198">
      <c r="A1198" s="48" t="inlineStr">
        <is>
          <t>TCKH.WORKING_DAY</t>
        </is>
      </c>
      <c r="B1198" s="48" t="inlineStr">
        <is>
          <t>SILVER_CONSUMER</t>
        </is>
      </c>
      <c r="C1198" s="48" t="inlineStr">
        <is>
          <t>X.6</t>
        </is>
      </c>
      <c r="D1198" s="48" t="inlineStr">
        <is>
          <t>Nhom X - Bo sung Raffles</t>
        </is>
      </c>
      <c r="E1198" s="48" t="inlineStr">
        <is>
          <t>[Bổ sung] Satellite phải LEFT JOIN, không INNER JOIN</t>
        </is>
      </c>
      <c r="F1198" s="48" t="inlineStr">
        <is>
          <t>N-A</t>
        </is>
      </c>
      <c r="G1198" s="48" t="inlineStr">
        <is>
          <t>Pass</t>
        </is>
      </c>
      <c r="H1198" s="50" t="inlineStr">
        <is>
          <t>không join satellite trực tiếp</t>
        </is>
      </c>
      <c r="I1198" s="50" t="inlineStr">
        <is>
          <t>Technical Document III.4.2.2 nguyên tắc 1: làm giàu thuộc tính luôn dùng LEFT JOIN. INNER JOIN satellite sẽ loại mất bản ghi Hub đang còn hiệu lực nhưng chưa có dòng satellite.</t>
        </is>
      </c>
      <c r="J1198" s="48" t="inlineStr">
        <is>
          <t>062. OCB_GOLD_TCKH_WORKING_DAY_BAOANH.xlsx [SCRIPT: WORKING_DAY]</t>
        </is>
      </c>
    </row>
    <row r="1199">
      <c r="A1199" s="48" t="inlineStr">
        <is>
          <t>TCKH.WORKING_DAY</t>
        </is>
      </c>
      <c r="B1199" s="48" t="inlineStr">
        <is>
          <t>SILVER_CONSUMER</t>
        </is>
      </c>
      <c r="C1199" s="48" t="inlineStr">
        <is>
          <t>X.7</t>
        </is>
      </c>
      <c r="D1199" s="48" t="inlineStr">
        <is>
          <t>Nhom X - Bo sung Raffles</t>
        </is>
      </c>
      <c r="E1199" s="48" t="inlineStr">
        <is>
          <t>[Bổ sung] Không hard-code catalog, dùng biến môi trường</t>
        </is>
      </c>
      <c r="F1199" s="49" t="inlineStr">
        <is>
          <t>PASS</t>
        </is>
      </c>
      <c r="G1199" s="48" t="inlineStr">
        <is>
          <t>Pass</t>
        </is>
      </c>
      <c r="H1199" s="50" t="inlineStr">
        <is>
          <t>dùng biến môi trường cho catalog</t>
        </is>
      </c>
      <c r="I11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99" s="48" t="inlineStr">
        <is>
          <t>062. OCB_GOLD_TCKH_WORKING_DAY_BAOANH.xlsx [SCRIPT: WORKING_DAY]</t>
        </is>
      </c>
    </row>
    <row r="1200">
      <c r="A1200" s="48" t="inlineStr">
        <is>
          <t>TCKH.WORKING_DAY</t>
        </is>
      </c>
      <c r="B1200" s="48" t="inlineStr">
        <is>
          <t>SILVER_CONSUMER</t>
        </is>
      </c>
      <c r="C1200" s="48" t="inlineStr">
        <is>
          <t>X.10</t>
        </is>
      </c>
      <c r="D1200" s="48" t="inlineStr">
        <is>
          <t>Nhom X - Bo sung Raffles</t>
        </is>
      </c>
      <c r="E1200" s="48" t="inlineStr">
        <is>
          <t>Bang raw_vault/business_vault duoc doc phai TON TAI THAT trong Data Vault model</t>
        </is>
      </c>
      <c r="F1200" s="49" t="inlineStr">
        <is>
          <t>PASS</t>
        </is>
      </c>
      <c r="G1200" s="48" t="inlineStr">
        <is>
          <t>Pass</t>
        </is>
      </c>
      <c r="H1200" s="50" t="inlineStr">
        <is>
          <t>1 bảng Silver đều có thật trong Data Vault model</t>
        </is>
      </c>
      <c r="I1200" s="50" t="inlineStr"/>
      <c r="J1200" s="48" t="inlineStr">
        <is>
          <t>062. OCB_GOLD_TCKH_WORKING_DAY_BAOANH.xlsx [SCRIPT: WORKING_DAY]</t>
        </is>
      </c>
    </row>
    <row r="1201">
      <c r="A1201" s="48" t="inlineStr">
        <is>
          <t>TCKH.WORKING_DAY</t>
        </is>
      </c>
      <c r="B1201" s="48" t="inlineStr">
        <is>
          <t>SILVER_CONSUMER</t>
        </is>
      </c>
      <c r="C1201" s="48" t="inlineStr">
        <is>
          <t>X.11</t>
        </is>
      </c>
      <c r="D1201" s="48" t="inlineStr">
        <is>
          <t>Nhom X - Bo sung Raffles</t>
        </is>
      </c>
      <c r="E1201" s="48" t="inlineStr">
        <is>
          <t>Cot doc tu satellite (sat_*) phai TON TAI THAT trong model</t>
        </is>
      </c>
      <c r="F1201" s="48" t="inlineStr">
        <is>
          <t>N-A</t>
        </is>
      </c>
      <c r="G1201" s="48" t="inlineStr">
        <is>
          <t>Pass</t>
        </is>
      </c>
      <c r="H1201" s="50" t="inlineStr">
        <is>
          <t>không có bảng sat_* nào đủ điều kiện đối chiếu (Select chỉ đọc 1 bảng)</t>
        </is>
      </c>
      <c r="I1201" s="50" t="inlineStr"/>
      <c r="J1201" s="48" t="inlineStr">
        <is>
          <t>062. OCB_GOLD_TCKH_WORKING_DAY_BAOANH.xlsx [SCRIPT: WORKING_DAY]</t>
        </is>
      </c>
    </row>
    <row r="1202">
      <c r="A1202" s="48" t="inlineStr">
        <is>
          <t>TCKH.CB_OFCR_DIM</t>
        </is>
      </c>
      <c r="B1202" s="48" t="inlineStr">
        <is>
          <t>SILVER_CONSUMER</t>
        </is>
      </c>
      <c r="C1202" s="48" t="inlineStr">
        <is>
          <t>1.1</t>
        </is>
      </c>
      <c r="D1202" s="48" t="inlineStr">
        <is>
          <t>Nhom 1 - Mapping</t>
        </is>
      </c>
      <c r="E1202" s="48" t="inlineStr">
        <is>
          <t>Đầy đủ mapping từ Silver/manual sang Gold</t>
        </is>
      </c>
      <c r="F1202" s="49" t="inlineStr">
        <is>
          <t>PASS</t>
        </is>
      </c>
      <c r="G1202" s="48" t="inlineStr">
        <is>
          <t>Pass</t>
        </is>
      </c>
      <c r="H1202" s="50" t="inlineStr">
        <is>
          <t>workbook 063. OCB_GOLD_TCKH_CB_OFCR_DIM_HOP.xlsx: thiết kế 16 field, SQL có 16 cột</t>
        </is>
      </c>
      <c r="I12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02" s="48" t="inlineStr">
        <is>
          <t>063. OCB_GOLD_TCKH_CB_OFCR_DIM_HOP.xlsx [SCRIPT: CB_OFCR_DIM]</t>
        </is>
      </c>
    </row>
    <row r="1203">
      <c r="A1203" s="48" t="inlineStr">
        <is>
          <t>TCKH.CB_OFCR_DIM</t>
        </is>
      </c>
      <c r="B1203" s="48" t="inlineStr">
        <is>
          <t>SILVER_CONSUMER</t>
        </is>
      </c>
      <c r="C1203" s="48" t="inlineStr">
        <is>
          <t>1.2</t>
        </is>
      </c>
      <c r="D1203" s="48" t="inlineStr">
        <is>
          <t>Nhom 1 - Mapping</t>
        </is>
      </c>
      <c r="E1203" s="48" t="inlineStr">
        <is>
          <t>Danh sách bảng/view Gold khớp tài liệu thiết kế đã duyệt</t>
        </is>
      </c>
      <c r="F1203" s="49" t="inlineStr">
        <is>
          <t>PASS</t>
        </is>
      </c>
      <c r="G1203" s="48" t="inlineStr">
        <is>
          <t>Pass</t>
        </is>
      </c>
      <c r="H1203" s="50" t="inlineStr">
        <is>
          <t>CB_OFCR_DIM có workbook thiết kế: 063. OCB_GOLD_TCKH_CB_OFCR_DIM_HOP.xlsx</t>
        </is>
      </c>
      <c r="I1203" s="50" t="inlineStr">
        <is>
          <t>Đảm bảo object có workbook thiết kế tương ứng trong thư mục --mapping-dir. Muốn đối chiếu với danh sách đã duyệt thì chạy thêm tham số --gold-list "&lt;file danh sách Gold&gt;.xlsx".</t>
        </is>
      </c>
      <c r="J1203" s="48" t="inlineStr">
        <is>
          <t>063. OCB_GOLD_TCKH_CB_OFCR_DIM_HOP.xlsx [SCRIPT: CB_OFCR_DIM]</t>
        </is>
      </c>
    </row>
    <row r="1204">
      <c r="A1204" s="48" t="inlineStr">
        <is>
          <t>TCKH.CB_OFCR_DIM</t>
        </is>
      </c>
      <c r="B1204" s="48" t="inlineStr">
        <is>
          <t>SILVER_CONSUMER</t>
        </is>
      </c>
      <c r="C1204" s="48" t="inlineStr">
        <is>
          <t>2.1</t>
        </is>
      </c>
      <c r="D1204" s="48" t="inlineStr">
        <is>
          <t>Nhom 2 - Logic</t>
        </is>
      </c>
      <c r="E1204" s="48" t="inlineStr">
        <is>
          <t>Chỉ lấy bản ghi active, loại bản ghi đã xóa (qua sts_hub)</t>
        </is>
      </c>
      <c r="F1204" s="49" t="inlineStr">
        <is>
          <t>PASS</t>
        </is>
      </c>
      <c r="G1204" s="48" t="inlineStr">
        <is>
          <t>Pass</t>
        </is>
      </c>
      <c r="H1204" s="50" t="inlineStr">
        <is>
          <t>1 sts_hub_* đọc đúng format</t>
        </is>
      </c>
      <c r="I12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04" s="48" t="inlineStr">
        <is>
          <t>063. OCB_GOLD_TCKH_CB_OFCR_DIM_HOP.xlsx [SCRIPT: CB_OFCR_DIM]</t>
        </is>
      </c>
    </row>
    <row r="1205">
      <c r="A1205" s="48" t="inlineStr">
        <is>
          <t>TCKH.CB_OFCR_DIM</t>
        </is>
      </c>
      <c r="B1205" s="48" t="inlineStr">
        <is>
          <t>SILVER_CONSUMER</t>
        </is>
      </c>
      <c r="C1205" s="48" t="inlineStr">
        <is>
          <t>2.2</t>
        </is>
      </c>
      <c r="D1205" s="48" t="inlineStr">
        <is>
          <t>Nhom 2 - Logic</t>
        </is>
      </c>
      <c r="E1205" s="48" t="inlineStr">
        <is>
          <t>Thống nhất MỘT pattern duy nhất xác định bản ghi active mới nhất</t>
        </is>
      </c>
      <c r="F1205" s="49" t="inlineStr">
        <is>
          <t>PASS</t>
        </is>
      </c>
      <c r="G1205" s="48" t="inlineStr">
        <is>
          <t>Pass</t>
        </is>
      </c>
      <c r="H1205" s="50" t="inlineStr">
        <is>
          <t>file này dùng: ['MAX_BY']; toàn batch dùng: ['MAX_BY']</t>
        </is>
      </c>
      <c r="I12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05" s="48" t="inlineStr">
        <is>
          <t>063. OCB_GOLD_TCKH_CB_OFCR_DIM_HOP.xlsx [SCRIPT: CB_OFCR_DIM]</t>
        </is>
      </c>
    </row>
    <row r="1206">
      <c r="A1206" s="48" t="inlineStr">
        <is>
          <t>TCKH.CB_OFCR_DIM</t>
        </is>
      </c>
      <c r="B1206" s="48" t="inlineStr">
        <is>
          <t>SILVER_CONSUMER</t>
        </is>
      </c>
      <c r="C1206" s="48" t="inlineStr">
        <is>
          <t>2.3</t>
        </is>
      </c>
      <c r="D1206" s="48" t="inlineStr">
        <is>
          <t>Nhom 2 - Logic</t>
        </is>
      </c>
      <c r="E1206" s="48" t="inlineStr">
        <is>
          <t>Điều kiện lọc trạng thái đặt SAU khi xác định bản ghi mới nhất</t>
        </is>
      </c>
      <c r="F1206" s="49" t="inlineStr">
        <is>
          <t>PASS</t>
        </is>
      </c>
      <c r="G1206" s="48" t="inlineStr">
        <is>
          <t>Pass</t>
        </is>
      </c>
      <c r="H1206" s="50" t="inlineStr">
        <is>
          <t>không có điều kiện trạng thái nào lồng trong JOIN ON</t>
        </is>
      </c>
      <c r="I12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06" s="48" t="inlineStr">
        <is>
          <t>063. OCB_GOLD_TCKH_CB_OFCR_DIM_HOP.xlsx [SCRIPT: CB_OFCR_DIM]</t>
        </is>
      </c>
    </row>
    <row r="1207">
      <c r="A1207" s="48" t="inlineStr">
        <is>
          <t>TCKH.CB_OFCR_DIM</t>
        </is>
      </c>
      <c r="B1207" s="48" t="inlineStr">
        <is>
          <t>SILVER_CONSUMER</t>
        </is>
      </c>
      <c r="C1207" s="48" t="inlineStr">
        <is>
          <t>2.4</t>
        </is>
      </c>
      <c r="D1207" s="48" t="inlineStr">
        <is>
          <t>Nhom 2 - Logic</t>
        </is>
      </c>
      <c r="E1207" s="48" t="inlineStr">
        <is>
          <t>source_event_date áp dụng đúng dạng theo loại bảng</t>
        </is>
      </c>
      <c r="F1207" s="49" t="inlineStr">
        <is>
          <t>PASS</t>
        </is>
      </c>
      <c r="G1207" s="48" t="inlineStr">
        <is>
          <t>Pass</t>
        </is>
      </c>
      <c r="H1207" s="50" t="inlineStr">
        <is>
          <t>2 satellite đều đúng dạng điều kiện source_event_date</t>
        </is>
      </c>
      <c r="I12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07" s="48" t="inlineStr">
        <is>
          <t>063. OCB_GOLD_TCKH_CB_OFCR_DIM_HOP.xlsx [SCRIPT: CB_OFCR_DIM]</t>
        </is>
      </c>
    </row>
    <row r="1208">
      <c r="A1208" s="48" t="inlineStr">
        <is>
          <t>TCKH.CB_OFCR_DIM</t>
        </is>
      </c>
      <c r="B1208" s="48" t="inlineStr">
        <is>
          <t>SILVER_CONSUMER</t>
        </is>
      </c>
      <c r="C1208" s="48" t="inlineStr">
        <is>
          <t>2.5</t>
        </is>
      </c>
      <c r="D1208" s="48" t="inlineStr">
        <is>
          <t>Nhom 2 - Logic</t>
        </is>
      </c>
      <c r="E1208" s="48" t="inlineStr">
        <is>
          <t>Không lặp lại lỗi logic cũ đã được DA Data Vault fix</t>
        </is>
      </c>
      <c r="F1208" s="49" t="inlineStr">
        <is>
          <t>PASS</t>
        </is>
      </c>
      <c r="G1208" s="48" t="inlineStr">
        <is>
          <t>Pass</t>
        </is>
      </c>
      <c r="H1208" s="50" t="inlineStr">
        <is>
          <t>không trùng lỗi nào trong Issue log của DA Data Vault</t>
        </is>
      </c>
      <c r="I12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08" s="48" t="inlineStr">
        <is>
          <t>063. OCB_GOLD_TCKH_CB_OFCR_DIM_HOP.xlsx [SCRIPT: CB_OFCR_DIM]</t>
        </is>
      </c>
    </row>
    <row r="1209">
      <c r="A1209" s="48" t="inlineStr">
        <is>
          <t>TCKH.CB_OFCR_DIM</t>
        </is>
      </c>
      <c r="B1209" s="48" t="inlineStr">
        <is>
          <t>SILVER_CONSUMER</t>
        </is>
      </c>
      <c r="C1209" s="48" t="inlineStr">
        <is>
          <t>2.6</t>
        </is>
      </c>
      <c r="D1209" s="48" t="inlineStr">
        <is>
          <t>Nhom 2 - Logic</t>
        </is>
      </c>
      <c r="E1209" s="48" t="inlineStr">
        <is>
          <t>SCD Type 2 cho bảng DIM áp dụng đúng kỹ thuật đã thống nhất</t>
        </is>
      </c>
      <c r="F1209" s="49" t="inlineStr">
        <is>
          <t>PASS</t>
        </is>
      </c>
      <c r="G1209" s="48" t="inlineStr">
        <is>
          <t>Pass</t>
        </is>
      </c>
      <c r="H1209" s="50" t="inlineStr">
        <is>
          <t>có cột hiệu lực và không dùng MAX(ID)+ROW_NUMBER</t>
        </is>
      </c>
      <c r="I12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09" s="48" t="inlineStr">
        <is>
          <t>063. OCB_GOLD_TCKH_CB_OFCR_DIM_HOP.xlsx [SCRIPT: CB_OFCR_DIM]</t>
        </is>
      </c>
    </row>
    <row r="1210">
      <c r="A1210" s="48" t="inlineStr">
        <is>
          <t>TCKH.CB_OFCR_DIM</t>
        </is>
      </c>
      <c r="B1210" s="48" t="inlineStr">
        <is>
          <t>SILVER_CONSUMER</t>
        </is>
      </c>
      <c r="C1210" s="48" t="inlineStr">
        <is>
          <t>2.7</t>
        </is>
      </c>
      <c r="D1210" s="48" t="inlineStr">
        <is>
          <t>Nhom 2 - Logic</t>
        </is>
      </c>
      <c r="E1210" s="48" t="inlineStr">
        <is>
          <t>CASE WHEN cover đủ nhánh như job on-prem</t>
        </is>
      </c>
      <c r="F1210" s="48" t="inlineStr">
        <is>
          <t>N-A</t>
        </is>
      </c>
      <c r="G1210" s="48" t="inlineStr">
        <is>
          <t>Pass</t>
        </is>
      </c>
      <c r="H1210" s="50" t="inlineStr">
        <is>
          <t>script không có CASE WHEN nào</t>
        </is>
      </c>
      <c r="I1210" s="50" t="inlineStr">
        <is>
          <t>Mở job on-prem tương ứng (DataStage DSX hoặc SQL cũ), đối chiếu từng nhánh WHEN và cả nhánh ELSE. CASE không có ELSE sẽ trả NULL âm thầm — xác nhận đó là ý muốn hay thiếu nhánh.</t>
        </is>
      </c>
      <c r="J1210" s="48" t="inlineStr">
        <is>
          <t>063. OCB_GOLD_TCKH_CB_OFCR_DIM_HOP.xlsx [SCRIPT: CB_OFCR_DIM]</t>
        </is>
      </c>
    </row>
    <row r="1211">
      <c r="A1211" s="48" t="inlineStr">
        <is>
          <t>TCKH.CB_OFCR_DIM</t>
        </is>
      </c>
      <c r="B1211" s="48" t="inlineStr">
        <is>
          <t>SILVER_CONSUMER</t>
        </is>
      </c>
      <c r="C1211" s="48" t="inlineStr">
        <is>
          <t>2.8</t>
        </is>
      </c>
      <c r="D1211" s="48" t="inlineStr">
        <is>
          <t>Nhom 2 - Logic</t>
        </is>
      </c>
      <c r="E1211" s="48" t="inlineStr">
        <is>
          <t>Cột SUM/COUNT được COALESCE/NVL hợp lý</t>
        </is>
      </c>
      <c r="F1211" s="49" t="inlineStr">
        <is>
          <t>PASS</t>
        </is>
      </c>
      <c r="G1211" s="48" t="inlineStr">
        <is>
          <t>Pass</t>
        </is>
      </c>
      <c r="H1211" s="50" t="inlineStr">
        <is>
          <t>mọi SUM/COUNT đều đã coalesce (trực tiếp hoặc ở lớp ngoài)</t>
        </is>
      </c>
      <c r="I12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11" s="48" t="inlineStr">
        <is>
          <t>063. OCB_GOLD_TCKH_CB_OFCR_DIM_HOP.xlsx [SCRIPT: CB_OFCR_DIM]</t>
        </is>
      </c>
    </row>
    <row r="1212">
      <c r="A1212" s="48" t="inlineStr">
        <is>
          <t>TCKH.CB_OFCR_DIM</t>
        </is>
      </c>
      <c r="B1212" s="48" t="inlineStr">
        <is>
          <t>SILVER_CONSUMER</t>
        </is>
      </c>
      <c r="C1212" s="48" t="inlineStr">
        <is>
          <t>2.9</t>
        </is>
      </c>
      <c r="D1212" s="48" t="inlineStr">
        <is>
          <t>Nhom 2 - Logic</t>
        </is>
      </c>
      <c r="E1212" s="48" t="inlineStr">
        <is>
          <t>Subquery / custom function / điều kiện LIKE đúng ý nghĩa nghiệp vụ</t>
        </is>
      </c>
      <c r="F1212" s="48" t="inlineStr">
        <is>
          <t>N-A</t>
        </is>
      </c>
      <c r="G1212" s="48" t="inlineStr">
        <is>
          <t>Pass</t>
        </is>
      </c>
      <c r="H1212" s="50" t="inlineStr">
        <is>
          <t>script không có điều kiện LIKE hay scalar subquery nào</t>
        </is>
      </c>
      <c r="I1212" s="50" t="inlineStr">
        <is>
          <t>Đọc lại từng điều kiện LIKE và từng subquery, đối chiếu ý nghĩa nghiệp vụ với on-prem — đúng cú pháp không đủ. Chú ý pattern LIKE có ký tự % ở đầu/cuối và phân biệt chữ hoa/thường.</t>
        </is>
      </c>
      <c r="J1212" s="48" t="inlineStr">
        <is>
          <t>063. OCB_GOLD_TCKH_CB_OFCR_DIM_HOP.xlsx [SCRIPT: CB_OFCR_DIM]</t>
        </is>
      </c>
    </row>
    <row r="1213">
      <c r="A1213" s="48" t="inlineStr">
        <is>
          <t>TCKH.CB_OFCR_DIM</t>
        </is>
      </c>
      <c r="B1213" s="48" t="inlineStr">
        <is>
          <t>SILVER_CONSUMER</t>
        </is>
      </c>
      <c r="C1213" s="48" t="inlineStr">
        <is>
          <t>2.10</t>
        </is>
      </c>
      <c r="D1213" s="48" t="inlineStr">
        <is>
          <t>Nhom 2 - Logic</t>
        </is>
      </c>
      <c r="E1213" s="48" t="inlineStr">
        <is>
          <t>Aggregation kèm filter date range chính xác</t>
        </is>
      </c>
      <c r="F1213" s="49" t="inlineStr">
        <is>
          <t>PASS</t>
        </is>
      </c>
      <c r="G1213" s="48" t="inlineStr">
        <is>
          <t>Pass</t>
        </is>
      </c>
      <c r="H1213" s="50" t="inlineStr">
        <is>
          <t>mọi khối tổng hợp đều có điều kiện theo kỳ dữ liệu</t>
        </is>
      </c>
      <c r="I1213" s="50" t="inlineStr">
        <is>
          <t>Mỗi khối SUM/COUNT/AVG phải có điều kiện lọc theo kỳ dữ liệu (CDR_DT_ID, DATA_DATE, :DATADT…). Nếu điều kiện nằm ở CTE nguồn thì ghi rõ trong comment để người review không phải truy ngược.</t>
        </is>
      </c>
      <c r="J1213" s="48" t="inlineStr">
        <is>
          <t>063. OCB_GOLD_TCKH_CB_OFCR_DIM_HOP.xlsx [SCRIPT: CB_OFCR_DIM]</t>
        </is>
      </c>
    </row>
    <row r="1214">
      <c r="A1214" s="48" t="inlineStr">
        <is>
          <t>TCKH.CB_OFCR_DIM</t>
        </is>
      </c>
      <c r="B1214" s="48" t="inlineStr">
        <is>
          <t>SILVER_CONSUMER</t>
        </is>
      </c>
      <c r="C1214" s="48" t="inlineStr">
        <is>
          <t>2.11</t>
        </is>
      </c>
      <c r="D1214" s="48" t="inlineStr">
        <is>
          <t>Nhom 2 - Logic</t>
        </is>
      </c>
      <c r="E1214" s="48" t="inlineStr">
        <is>
          <t>Join dùng key hợp lý, không lạm dụng UNION ALL + EXISTS/NOT EXISTS</t>
        </is>
      </c>
      <c r="F1214" s="49" t="inlineStr">
        <is>
          <t>PASS</t>
        </is>
      </c>
      <c r="G1214" s="48" t="inlineStr">
        <is>
          <t>Pass</t>
        </is>
      </c>
      <c r="H1214" s="50" t="inlineStr">
        <is>
          <t>join đều theo điều kiện bằng, không lạm dụng UNION ALL + EXISTS</t>
        </is>
      </c>
      <c r="I1214" s="50" t="inlineStr">
        <is>
          <t>Ưu tiên LEFT JOIN theo business key hoặc hashkey. Xem lại các chỗ dùng UNION ALL kết hợp EXISTS/NOT EXISTS — thường thay được bằng một LEFT JOIN. Join không có điều kiện bằng (=) dễ tạo tích Descartes.</t>
        </is>
      </c>
      <c r="J1214" s="48" t="inlineStr">
        <is>
          <t>063. OCB_GOLD_TCKH_CB_OFCR_DIM_HOP.xlsx [SCRIPT: CB_OFCR_DIM]</t>
        </is>
      </c>
    </row>
    <row r="1215">
      <c r="A1215" s="48" t="inlineStr">
        <is>
          <t>TCKH.CB_OFCR_DIM</t>
        </is>
      </c>
      <c r="B1215" s="48" t="inlineStr">
        <is>
          <t>SILVER_CONSUMER</t>
        </is>
      </c>
      <c r="C1215" s="48" t="inlineStr">
        <is>
          <t>2.12</t>
        </is>
      </c>
      <c r="D1215" s="48" t="inlineStr">
        <is>
          <t>Nhom 2 - Logic</t>
        </is>
      </c>
      <c r="E1215" s="48" t="inlineStr">
        <is>
          <t>Build Gold từ CTE snapshot Silver, không build nhiều tầng chồng chéo</t>
        </is>
      </c>
      <c r="F1215" s="49" t="inlineStr">
        <is>
          <t>PASS</t>
        </is>
      </c>
      <c r="G1215" s="48" t="inlineStr">
        <is>
          <t>Pass</t>
        </is>
      </c>
      <c r="H1215" s="50" t="inlineStr">
        <is>
          <t>mỗi bảng nguồn chỉ đọc trong 1 khối SELECT</t>
        </is>
      </c>
      <c r="I12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15" s="48" t="inlineStr">
        <is>
          <t>063. OCB_GOLD_TCKH_CB_OFCR_DIM_HOP.xlsx [SCRIPT: CB_OFCR_DIM]</t>
        </is>
      </c>
    </row>
    <row r="1216">
      <c r="A1216" s="48" t="inlineStr">
        <is>
          <t>TCKH.CB_OFCR_DIM</t>
        </is>
      </c>
      <c r="B1216" s="48" t="inlineStr">
        <is>
          <t>SILVER_CONSUMER</t>
        </is>
      </c>
      <c r="C1216" s="48" t="inlineStr">
        <is>
          <t>3.1</t>
        </is>
      </c>
      <c r="D1216" s="48" t="inlineStr">
        <is>
          <t>Nhom 3 - Optimization</t>
        </is>
      </c>
      <c r="E1216" s="48" t="inlineStr">
        <is>
          <t>Không SELECT *</t>
        </is>
      </c>
      <c r="F1216" s="49" t="inlineStr">
        <is>
          <t>PASS</t>
        </is>
      </c>
      <c r="G1216" s="48" t="inlineStr">
        <is>
          <t>Pass</t>
        </is>
      </c>
      <c r="H1216" s="50" t="inlineStr">
        <is>
          <t>không dùng SELECT * ở đâu</t>
        </is>
      </c>
      <c r="I1216" s="50" t="inlineStr">
        <is>
          <t>Liệt kê tường minh các cột cần dùng, kể cả trong CTE trung gian. SELECT * làm tăng IO/memory và vỡ script khi bảng nguồn thêm cột.</t>
        </is>
      </c>
      <c r="J1216" s="48" t="inlineStr">
        <is>
          <t>063. OCB_GOLD_TCKH_CB_OFCR_DIM_HOP.xlsx [SCRIPT: CB_OFCR_DIM]</t>
        </is>
      </c>
    </row>
    <row r="1217">
      <c r="A1217" s="48" t="inlineStr">
        <is>
          <t>TCKH.CB_OFCR_DIM</t>
        </is>
      </c>
      <c r="B1217" s="48" t="inlineStr">
        <is>
          <t>SILVER_CONSUMER</t>
        </is>
      </c>
      <c r="C1217" s="48" t="inlineStr">
        <is>
          <t>3.2</t>
        </is>
      </c>
      <c r="D1217" s="48" t="inlineStr">
        <is>
          <t>Nhom 3 - Optimization</t>
        </is>
      </c>
      <c r="E1217" s="48" t="inlineStr">
        <is>
          <t>CTE không bị scan lại nhiều lần</t>
        </is>
      </c>
      <c r="F1217" s="49" t="inlineStr">
        <is>
          <t>PASS</t>
        </is>
      </c>
      <c r="G1217" s="48" t="inlineStr">
        <is>
          <t>Pass</t>
        </is>
      </c>
      <c r="H1217" s="50" t="inlineStr">
        <is>
          <t>không có CTE nào bị gọi lại</t>
        </is>
      </c>
      <c r="I1217" s="50" t="inlineStr">
        <is>
          <t>Với CTE nặng (đọc nhiều bảng Silver) bị tham chiếu từ 2 chỗ trở lên: gom lại còn một lần dùng, hoặc vật chất hóa (CACHE / bảng tạm). CTE nhẹ chỉ chứa tham số thì bỏ qua được — tự tick Pass.</t>
        </is>
      </c>
      <c r="J1217" s="48" t="inlineStr">
        <is>
          <t>063. OCB_GOLD_TCKH_CB_OFCR_DIM_HOP.xlsx [SCRIPT: CB_OFCR_DIM]</t>
        </is>
      </c>
    </row>
    <row r="1218">
      <c r="A1218" s="48" t="inlineStr">
        <is>
          <t>TCKH.CB_OFCR_DIM</t>
        </is>
      </c>
      <c r="B1218" s="48" t="inlineStr">
        <is>
          <t>SILVER_CONSUMER</t>
        </is>
      </c>
      <c r="C1218" s="48" t="inlineStr">
        <is>
          <t>3.3</t>
        </is>
      </c>
      <c r="D1218" s="48" t="inlineStr">
        <is>
          <t>Nhom 3 - Optimization</t>
        </is>
      </c>
      <c r="E1218" s="48" t="inlineStr">
        <is>
          <t>Filter trước khi join, tận dụng partition pruning</t>
        </is>
      </c>
      <c r="F1218" s="49" t="inlineStr">
        <is>
          <t>PASS</t>
        </is>
      </c>
      <c r="G1218" s="48" t="inlineStr">
        <is>
          <t>Pass</t>
        </is>
      </c>
      <c r="H1218" s="50" t="inlineStr">
        <is>
          <t>các bảng join đều được filter trước</t>
        </is>
      </c>
      <c r="I1218" s="50" t="inlineStr">
        <is>
          <t>Đưa điều kiện lọc (ngày dữ liệu, trạng thái) vào subquery của từng bảng TRƯỚC khi join, để tận dụng partition pruning. Bảng dim nhỏ không partition thì không cần — tự tick Pass.</t>
        </is>
      </c>
      <c r="J1218" s="48" t="inlineStr">
        <is>
          <t>063. OCB_GOLD_TCKH_CB_OFCR_DIM_HOP.xlsx [SCRIPT: CB_OFCR_DIM]</t>
        </is>
      </c>
    </row>
    <row r="1219">
      <c r="A1219" s="48" t="inlineStr">
        <is>
          <t>TCKH.CB_OFCR_DIM</t>
        </is>
      </c>
      <c r="B1219" s="48" t="inlineStr">
        <is>
          <t>SILVER_CONSUMER</t>
        </is>
      </c>
      <c r="C1219" s="48" t="inlineStr">
        <is>
          <t>3.4</t>
        </is>
      </c>
      <c r="D1219" s="48" t="inlineStr">
        <is>
          <t>Nhom 3 - Optimization</t>
        </is>
      </c>
      <c r="E1219" s="48" t="inlineStr">
        <is>
          <t>Sử dụng CACHE cho query lặp lại trong cùng luồng</t>
        </is>
      </c>
      <c r="F1219" s="48" t="inlineStr">
        <is>
          <t>N-A</t>
        </is>
      </c>
      <c r="G1219" s="48" t="inlineStr">
        <is>
          <t>Pass</t>
        </is>
      </c>
      <c r="H1219" s="50" t="inlineStr">
        <is>
          <t>không có kết quả nào được dùng lại nhiều lần nên chưa cần CACHE</t>
        </is>
      </c>
      <c r="I1219" s="50" t="inlineStr">
        <is>
          <t>Nếu một kết quả nặng được dùng lại nhiều bước trong cùng luồng, thêm CACHE TABLE / CACHE SELECT. Kết quả nhỏ thì cache còn chậm hơn — tự tick Pass.</t>
        </is>
      </c>
      <c r="J1219" s="48" t="inlineStr">
        <is>
          <t>063. OCB_GOLD_TCKH_CB_OFCR_DIM_HOP.xlsx [SCRIPT: CB_OFCR_DIM]</t>
        </is>
      </c>
    </row>
    <row r="1220">
      <c r="A1220" s="48" t="inlineStr">
        <is>
          <t>TCKH.CB_OFCR_DIM</t>
        </is>
      </c>
      <c r="B1220" s="48" t="inlineStr">
        <is>
          <t>SILVER_CONSUMER</t>
        </is>
      </c>
      <c r="C1220" s="48" t="inlineStr">
        <is>
          <t>3.5</t>
        </is>
      </c>
      <c r="D1220" s="48" t="inlineStr">
        <is>
          <t>Nhom 3 - Optimization</t>
        </is>
      </c>
      <c r="E1220" s="48" t="inlineStr">
        <is>
          <t>Ưu tiên MAX_BY + QUALIFY thay ROW_NUMBER() + WHERE rn = 1</t>
        </is>
      </c>
      <c r="F1220" s="48" t="inlineStr">
        <is>
          <t>N-A</t>
        </is>
      </c>
      <c r="G1220" s="48" t="inlineStr">
        <is>
          <t>Pass</t>
        </is>
      </c>
      <c r="H1220" s="50" t="inlineStr">
        <is>
          <t>script không dùng ROW_NUMBER, và MAX_BY (nếu có) không vượt quá 5 cột/khối</t>
        </is>
      </c>
      <c r="I12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20" s="48" t="inlineStr">
        <is>
          <t>063. OCB_GOLD_TCKH_CB_OFCR_DIM_HOP.xlsx [SCRIPT: CB_OFCR_DIM]</t>
        </is>
      </c>
    </row>
    <row r="1221">
      <c r="A1221" s="48" t="inlineStr">
        <is>
          <t>TCKH.CB_OFCR_DIM</t>
        </is>
      </c>
      <c r="B1221" s="48" t="inlineStr">
        <is>
          <t>SILVER_CONSUMER</t>
        </is>
      </c>
      <c r="C1221" s="48" t="inlineStr">
        <is>
          <t>3.6</t>
        </is>
      </c>
      <c r="D1221" s="48" t="inlineStr">
        <is>
          <t>Nhom 3 - Optimization</t>
        </is>
      </c>
      <c r="E1221" s="48" t="inlineStr">
        <is>
          <t>Không lạm dụng window function; có comment khi dùng</t>
        </is>
      </c>
      <c r="F1221" s="48" t="inlineStr">
        <is>
          <t>N-A</t>
        </is>
      </c>
      <c r="G1221" s="48" t="inlineStr">
        <is>
          <t>Pass</t>
        </is>
      </c>
      <c r="H1221" s="50" t="inlineStr">
        <is>
          <t>script không dùng window function</t>
        </is>
      </c>
      <c r="I1221" s="50" t="inlineStr">
        <is>
          <t>Mỗi window function cần một comment ngay trên khối CTE chứa nó, nói rõ vì sao không dùng được max_by/QUALIFY đơn giản hơn.</t>
        </is>
      </c>
      <c r="J1221" s="48" t="inlineStr">
        <is>
          <t>063. OCB_GOLD_TCKH_CB_OFCR_DIM_HOP.xlsx [SCRIPT: CB_OFCR_DIM]</t>
        </is>
      </c>
    </row>
    <row r="1222">
      <c r="A1222" s="48" t="inlineStr">
        <is>
          <t>TCKH.CB_OFCR_DIM</t>
        </is>
      </c>
      <c r="B1222" s="48" t="inlineStr">
        <is>
          <t>SILVER_CONSUMER</t>
        </is>
      </c>
      <c r="C1222" s="48" t="inlineStr">
        <is>
          <t>X.1</t>
        </is>
      </c>
      <c r="D1222" s="48" t="inlineStr">
        <is>
          <t>Nhom X - Bo sung Raffles</t>
        </is>
      </c>
      <c r="E1222" s="48" t="inlineStr">
        <is>
          <t>[Bổ sung] Link phải rút về current trước khi join (chống fan-out)</t>
        </is>
      </c>
      <c r="F1222" s="49" t="inlineStr">
        <is>
          <t>PASS</t>
        </is>
      </c>
      <c r="G1222" s="48" t="inlineStr">
        <is>
          <t>Pass</t>
        </is>
      </c>
      <c r="H1222" s="50" t="inlineStr">
        <is>
          <t>các bảng link_* đều được rút về current trước khi join</t>
        </is>
      </c>
      <c r="I12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22" s="48" t="inlineStr">
        <is>
          <t>063. OCB_GOLD_TCKH_CB_OFCR_DIM_HOP.xlsx [SCRIPT: CB_OFCR_DIM]</t>
        </is>
      </c>
    </row>
    <row r="1223">
      <c r="A1223" s="48" t="inlineStr">
        <is>
          <t>TCKH.CB_OFCR_DIM</t>
        </is>
      </c>
      <c r="B1223" s="48" t="inlineStr">
        <is>
          <t>SILVER_CONSUMER</t>
        </is>
      </c>
      <c r="C1223" s="48" t="inlineStr">
        <is>
          <t>X.6</t>
        </is>
      </c>
      <c r="D1223" s="48" t="inlineStr">
        <is>
          <t>Nhom X - Bo sung Raffles</t>
        </is>
      </c>
      <c r="E1223" s="48" t="inlineStr">
        <is>
          <t>[Bổ sung] Satellite phải LEFT JOIN, không INNER JOIN</t>
        </is>
      </c>
      <c r="F1223" s="49" t="inlineStr">
        <is>
          <t>PASS</t>
        </is>
      </c>
      <c r="G1223" s="48" t="inlineStr">
        <is>
          <t>Pass</t>
        </is>
      </c>
      <c r="H1223" s="50" t="inlineStr">
        <is>
          <t>các satellite đều LEFT JOIN</t>
        </is>
      </c>
      <c r="I1223" s="50" t="inlineStr">
        <is>
          <t>Technical Document III.4.2.2 nguyên tắc 1: làm giàu thuộc tính luôn dùng LEFT JOIN. INNER JOIN satellite sẽ loại mất bản ghi Hub đang còn hiệu lực nhưng chưa có dòng satellite.</t>
        </is>
      </c>
      <c r="J1223" s="48" t="inlineStr">
        <is>
          <t>063. OCB_GOLD_TCKH_CB_OFCR_DIM_HOP.xlsx [SCRIPT: CB_OFCR_DIM]</t>
        </is>
      </c>
    </row>
    <row r="1224">
      <c r="A1224" s="48" t="inlineStr">
        <is>
          <t>TCKH.CB_OFCR_DIM</t>
        </is>
      </c>
      <c r="B1224" s="48" t="inlineStr">
        <is>
          <t>SILVER_CONSUMER</t>
        </is>
      </c>
      <c r="C1224" s="48" t="inlineStr">
        <is>
          <t>X.7</t>
        </is>
      </c>
      <c r="D1224" s="48" t="inlineStr">
        <is>
          <t>Nhom X - Bo sung Raffles</t>
        </is>
      </c>
      <c r="E1224" s="48" t="inlineStr">
        <is>
          <t>[Bổ sung] Không hard-code catalog, dùng biến môi trường</t>
        </is>
      </c>
      <c r="F1224" s="49" t="inlineStr">
        <is>
          <t>PASS</t>
        </is>
      </c>
      <c r="G1224" s="48" t="inlineStr">
        <is>
          <t>Pass</t>
        </is>
      </c>
      <c r="H1224" s="50" t="inlineStr">
        <is>
          <t>dùng biến môi trường cho catalog</t>
        </is>
      </c>
      <c r="I12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24" s="48" t="inlineStr">
        <is>
          <t>063. OCB_GOLD_TCKH_CB_OFCR_DIM_HOP.xlsx [SCRIPT: CB_OFCR_DIM]</t>
        </is>
      </c>
    </row>
    <row r="1225">
      <c r="A1225" s="48" t="inlineStr">
        <is>
          <t>TCKH.CB_OFCR_DIM</t>
        </is>
      </c>
      <c r="B1225" s="48" t="inlineStr">
        <is>
          <t>SILVER_CONSUMER</t>
        </is>
      </c>
      <c r="C1225" s="48" t="inlineStr">
        <is>
          <t>X.10</t>
        </is>
      </c>
      <c r="D1225" s="48" t="inlineStr">
        <is>
          <t>Nhom X - Bo sung Raffles</t>
        </is>
      </c>
      <c r="E1225" s="48" t="inlineStr">
        <is>
          <t>Bang raw_vault/business_vault duoc doc phai TON TAI THAT trong Data Vault model</t>
        </is>
      </c>
      <c r="F1225" s="49" t="inlineStr">
        <is>
          <t>PASS</t>
        </is>
      </c>
      <c r="G1225" s="48" t="inlineStr">
        <is>
          <t>Pass</t>
        </is>
      </c>
      <c r="H1225" s="50" t="inlineStr">
        <is>
          <t>5 bảng Silver đều có thật trong Data Vault model</t>
        </is>
      </c>
      <c r="I1225" s="50" t="inlineStr"/>
      <c r="J1225" s="48" t="inlineStr">
        <is>
          <t>063. OCB_GOLD_TCKH_CB_OFCR_DIM_HOP.xlsx [SCRIPT: CB_OFCR_DIM]</t>
        </is>
      </c>
    </row>
    <row r="1226">
      <c r="A1226" s="48" t="inlineStr">
        <is>
          <t>TCKH.CB_OFCR_DIM</t>
        </is>
      </c>
      <c r="B1226" s="48" t="inlineStr">
        <is>
          <t>SILVER_CONSUMER</t>
        </is>
      </c>
      <c r="C1226" s="48" t="inlineStr">
        <is>
          <t>X.11</t>
        </is>
      </c>
      <c r="D1226" s="48" t="inlineStr">
        <is>
          <t>Nhom X - Bo sung Raffles</t>
        </is>
      </c>
      <c r="E1226" s="48" t="inlineStr">
        <is>
          <t>Cot doc tu satellite (sat_*) phai TON TAI THAT trong model</t>
        </is>
      </c>
      <c r="F1226" s="49" t="inlineStr">
        <is>
          <t>PASS</t>
        </is>
      </c>
      <c r="G1226" s="48" t="inlineStr">
        <is>
          <t>Pass</t>
        </is>
      </c>
      <c r="H1226" s="50" t="inlineStr">
        <is>
          <t>mọi cột đọc từ sat_* đều tồn tại trong model thật</t>
        </is>
      </c>
      <c r="I1226" s="50" t="inlineStr"/>
      <c r="J1226" s="48" t="inlineStr">
        <is>
          <t>063. OCB_GOLD_TCKH_CB_OFCR_DIM_HOP.xlsx [SCRIPT: CB_OFCR_DIM]</t>
        </is>
      </c>
    </row>
    <row r="1227">
      <c r="A1227" s="48" t="inlineStr">
        <is>
          <t>TCKH.CST_DIM_NEW</t>
        </is>
      </c>
      <c r="B1227" s="48" t="inlineStr">
        <is>
          <t>SILVER_CONSUMER</t>
        </is>
      </c>
      <c r="C1227" s="48" t="inlineStr">
        <is>
          <t>1.1</t>
        </is>
      </c>
      <c r="D1227" s="48" t="inlineStr">
        <is>
          <t>Nhom 1 - Mapping</t>
        </is>
      </c>
      <c r="E1227" s="48" t="inlineStr">
        <is>
          <t>Đầy đủ mapping từ Silver/manual sang Gold</t>
        </is>
      </c>
      <c r="F1227" s="49" t="inlineStr">
        <is>
          <t>PASS</t>
        </is>
      </c>
      <c r="G1227" s="48" t="inlineStr">
        <is>
          <t>Pass</t>
        </is>
      </c>
      <c r="H1227" s="50" t="inlineStr">
        <is>
          <t>workbook 034. OCB_GOLD_TCKH_V_TB_AR_DTL_BH_HOP.xlsx: thiết kế 21 field, SQL có 21 cột</t>
        </is>
      </c>
      <c r="I12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27" s="48" t="inlineStr">
        <is>
          <t>064. OCB_GOLD_TCKH_CST_DIM_NEW_HOP.xlsx [SCRIPT: CST_DIM_NEW]</t>
        </is>
      </c>
    </row>
    <row r="1228">
      <c r="A1228" s="48" t="inlineStr">
        <is>
          <t>TCKH.CST_DIM_NEW</t>
        </is>
      </c>
      <c r="B1228" s="48" t="inlineStr">
        <is>
          <t>SILVER_CONSUMER</t>
        </is>
      </c>
      <c r="C1228" s="48" t="inlineStr">
        <is>
          <t>1.2</t>
        </is>
      </c>
      <c r="D1228" s="48" t="inlineStr">
        <is>
          <t>Nhom 1 - Mapping</t>
        </is>
      </c>
      <c r="E1228" s="48" t="inlineStr">
        <is>
          <t>Danh sách bảng/view Gold khớp tài liệu thiết kế đã duyệt</t>
        </is>
      </c>
      <c r="F1228" s="49" t="inlineStr">
        <is>
          <t>PASS</t>
        </is>
      </c>
      <c r="G1228" s="48" t="inlineStr">
        <is>
          <t>Pass</t>
        </is>
      </c>
      <c r="H1228" s="50" t="inlineStr">
        <is>
          <t>CST_DIM_NEW có workbook thiết kế: 034. OCB_GOLD_TCKH_V_TB_AR_DTL_BH_HOP.xlsx</t>
        </is>
      </c>
      <c r="I1228" s="50" t="inlineStr">
        <is>
          <t>Đảm bảo object có workbook thiết kế tương ứng trong thư mục --mapping-dir. Muốn đối chiếu với danh sách đã duyệt thì chạy thêm tham số --gold-list "&lt;file danh sách Gold&gt;.xlsx".</t>
        </is>
      </c>
      <c r="J1228" s="48" t="inlineStr">
        <is>
          <t>064. OCB_GOLD_TCKH_CST_DIM_NEW_HOP.xlsx [SCRIPT: CST_DIM_NEW]</t>
        </is>
      </c>
    </row>
    <row r="1229">
      <c r="A1229" s="48" t="inlineStr">
        <is>
          <t>TCKH.CST_DIM_NEW</t>
        </is>
      </c>
      <c r="B1229" s="48" t="inlineStr">
        <is>
          <t>SILVER_CONSUMER</t>
        </is>
      </c>
      <c r="C1229" s="48" t="inlineStr">
        <is>
          <t>2.1</t>
        </is>
      </c>
      <c r="D1229" s="48" t="inlineStr">
        <is>
          <t>Nhom 2 - Logic</t>
        </is>
      </c>
      <c r="E1229" s="48" t="inlineStr">
        <is>
          <t>Chỉ lấy bản ghi active, loại bản ghi đã xóa (qua sts_hub)</t>
        </is>
      </c>
      <c r="F1229" s="49" t="inlineStr">
        <is>
          <t>PASS</t>
        </is>
      </c>
      <c r="G1229" s="48" t="inlineStr">
        <is>
          <t>Pass</t>
        </is>
      </c>
      <c r="H1229" s="50" t="inlineStr">
        <is>
          <t>1 sts_hub_* đọc đúng format</t>
        </is>
      </c>
      <c r="I12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29" s="48" t="inlineStr">
        <is>
          <t>064. OCB_GOLD_TCKH_CST_DIM_NEW_HOP.xlsx [SCRIPT: CST_DIM_NEW]</t>
        </is>
      </c>
    </row>
    <row r="1230">
      <c r="A1230" s="48" t="inlineStr">
        <is>
          <t>TCKH.CST_DIM_NEW</t>
        </is>
      </c>
      <c r="B1230" s="48" t="inlineStr">
        <is>
          <t>SILVER_CONSUMER</t>
        </is>
      </c>
      <c r="C1230" s="48" t="inlineStr">
        <is>
          <t>2.2</t>
        </is>
      </c>
      <c r="D1230" s="48" t="inlineStr">
        <is>
          <t>Nhom 2 - Logic</t>
        </is>
      </c>
      <c r="E1230" s="48" t="inlineStr">
        <is>
          <t>Thống nhất MỘT pattern duy nhất xác định bản ghi active mới nhất</t>
        </is>
      </c>
      <c r="F1230" s="49" t="inlineStr">
        <is>
          <t>PASS</t>
        </is>
      </c>
      <c r="G1230" s="48" t="inlineStr">
        <is>
          <t>Pass</t>
        </is>
      </c>
      <c r="H1230" s="50" t="inlineStr">
        <is>
          <t>file này dùng: ['MAX_BY']; toàn batch dùng: ['MAX_BY']</t>
        </is>
      </c>
      <c r="I12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30" s="48" t="inlineStr">
        <is>
          <t>064. OCB_GOLD_TCKH_CST_DIM_NEW_HOP.xlsx [SCRIPT: CST_DIM_NEW]</t>
        </is>
      </c>
    </row>
    <row r="1231">
      <c r="A1231" s="48" t="inlineStr">
        <is>
          <t>TCKH.CST_DIM_NEW</t>
        </is>
      </c>
      <c r="B1231" s="48" t="inlineStr">
        <is>
          <t>SILVER_CONSUMER</t>
        </is>
      </c>
      <c r="C1231" s="48" t="inlineStr">
        <is>
          <t>2.3</t>
        </is>
      </c>
      <c r="D1231" s="48" t="inlineStr">
        <is>
          <t>Nhom 2 - Logic</t>
        </is>
      </c>
      <c r="E1231" s="48" t="inlineStr">
        <is>
          <t>Điều kiện lọc trạng thái đặt SAU khi xác định bản ghi mới nhất</t>
        </is>
      </c>
      <c r="F1231" s="49" t="inlineStr">
        <is>
          <t>PASS</t>
        </is>
      </c>
      <c r="G1231" s="48" t="inlineStr">
        <is>
          <t>Pass</t>
        </is>
      </c>
      <c r="H1231" s="50" t="inlineStr">
        <is>
          <t>không có điều kiện trạng thái nào lồng trong JOIN ON</t>
        </is>
      </c>
      <c r="I12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31" s="48" t="inlineStr">
        <is>
          <t>064. OCB_GOLD_TCKH_CST_DIM_NEW_HOP.xlsx [SCRIPT: CST_DIM_NEW]</t>
        </is>
      </c>
    </row>
    <row r="1232">
      <c r="A1232" s="48" t="inlineStr">
        <is>
          <t>TCKH.CST_DIM_NEW</t>
        </is>
      </c>
      <c r="B1232" s="48" t="inlineStr">
        <is>
          <t>SILVER_CONSUMER</t>
        </is>
      </c>
      <c r="C1232" s="48" t="inlineStr">
        <is>
          <t>2.4</t>
        </is>
      </c>
      <c r="D1232" s="48" t="inlineStr">
        <is>
          <t>Nhom 2 - Logic</t>
        </is>
      </c>
      <c r="E1232" s="48" t="inlineStr">
        <is>
          <t>source_event_date áp dụng đúng dạng theo loại bảng</t>
        </is>
      </c>
      <c r="F1232" s="49" t="inlineStr">
        <is>
          <t>PASS</t>
        </is>
      </c>
      <c r="G1232" s="48" t="inlineStr">
        <is>
          <t>Pass</t>
        </is>
      </c>
      <c r="H1232" s="50" t="inlineStr">
        <is>
          <t>5 satellite đều đúng dạng điều kiện source_event_date</t>
        </is>
      </c>
      <c r="I12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32" s="48" t="inlineStr">
        <is>
          <t>064. OCB_GOLD_TCKH_CST_DIM_NEW_HOP.xlsx [SCRIPT: CST_DIM_NEW]</t>
        </is>
      </c>
    </row>
    <row r="1233">
      <c r="A1233" s="48" t="inlineStr">
        <is>
          <t>TCKH.CST_DIM_NEW</t>
        </is>
      </c>
      <c r="B1233" s="48" t="inlineStr">
        <is>
          <t>SILVER_CONSUMER</t>
        </is>
      </c>
      <c r="C1233" s="48" t="inlineStr">
        <is>
          <t>2.5</t>
        </is>
      </c>
      <c r="D1233" s="48" t="inlineStr">
        <is>
          <t>Nhom 2 - Logic</t>
        </is>
      </c>
      <c r="E1233" s="48" t="inlineStr">
        <is>
          <t>Không lặp lại lỗi logic cũ đã được DA Data Vault fix</t>
        </is>
      </c>
      <c r="F1233" s="49" t="inlineStr">
        <is>
          <t>PASS</t>
        </is>
      </c>
      <c r="G1233" s="48" t="inlineStr">
        <is>
          <t>Pass</t>
        </is>
      </c>
      <c r="H1233" s="50" t="inlineStr">
        <is>
          <t>không trùng lỗi nào trong Issue log của DA Data Vault</t>
        </is>
      </c>
      <c r="I12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33" s="48" t="inlineStr">
        <is>
          <t>064. OCB_GOLD_TCKH_CST_DIM_NEW_HOP.xlsx [SCRIPT: CST_DIM_NEW]</t>
        </is>
      </c>
    </row>
    <row r="1234">
      <c r="A1234" s="48" t="inlineStr">
        <is>
          <t>TCKH.CST_DIM_NEW</t>
        </is>
      </c>
      <c r="B1234" s="48" t="inlineStr">
        <is>
          <t>SILVER_CONSUMER</t>
        </is>
      </c>
      <c r="C1234" s="48" t="inlineStr">
        <is>
          <t>2.6</t>
        </is>
      </c>
      <c r="D1234" s="48" t="inlineStr">
        <is>
          <t>Nhom 2 - Logic</t>
        </is>
      </c>
      <c r="E1234" s="48" t="inlineStr">
        <is>
          <t>SCD Type 2 cho bảng DIM áp dụng đúng kỹ thuật đã thống nhất</t>
        </is>
      </c>
      <c r="F1234" s="48" t="inlineStr">
        <is>
          <t>N-A</t>
        </is>
      </c>
      <c r="G1234" s="48" t="inlineStr">
        <is>
          <t>Pass</t>
        </is>
      </c>
      <c r="H1234" s="50" t="inlineStr">
        <is>
          <t>object không phải bảng DIM nên không áp dụng SCD Type 2</t>
        </is>
      </c>
      <c r="I12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34" s="48" t="inlineStr">
        <is>
          <t>064. OCB_GOLD_TCKH_CST_DIM_NEW_HOP.xlsx [SCRIPT: CST_DIM_NEW]</t>
        </is>
      </c>
    </row>
    <row r="1235">
      <c r="A1235" s="48" t="inlineStr">
        <is>
          <t>TCKH.CST_DIM_NEW</t>
        </is>
      </c>
      <c r="B1235" s="48" t="inlineStr">
        <is>
          <t>SILVER_CONSUMER</t>
        </is>
      </c>
      <c r="C1235" s="48" t="inlineStr">
        <is>
          <t>2.7</t>
        </is>
      </c>
      <c r="D1235" s="48" t="inlineStr">
        <is>
          <t>Nhom 2 - Logic</t>
        </is>
      </c>
      <c r="E1235" s="48" t="inlineStr">
        <is>
          <t>CASE WHEN cover đủ nhánh như job on-prem</t>
        </is>
      </c>
      <c r="F1235" s="49" t="inlineStr">
        <is>
          <t>PASS</t>
        </is>
      </c>
      <c r="G1235" s="48" t="inlineStr">
        <is>
          <t>Pass</t>
        </is>
      </c>
      <c r="H1235" s="50" t="inlineStr">
        <is>
          <t>cả 1 CASE đều có nhánh ELSE</t>
        </is>
      </c>
      <c r="I1235" s="50" t="inlineStr">
        <is>
          <t>Mở job on-prem tương ứng (DataStage DSX hoặc SQL cũ), đối chiếu từng nhánh WHEN và cả nhánh ELSE. CASE không có ELSE sẽ trả NULL âm thầm — xác nhận đó là ý muốn hay thiếu nhánh.</t>
        </is>
      </c>
      <c r="J1235" s="48" t="inlineStr">
        <is>
          <t>064. OCB_GOLD_TCKH_CST_DIM_NEW_HOP.xlsx [SCRIPT: CST_DIM_NEW]</t>
        </is>
      </c>
    </row>
    <row r="1236">
      <c r="A1236" s="48" t="inlineStr">
        <is>
          <t>TCKH.CST_DIM_NEW</t>
        </is>
      </c>
      <c r="B1236" s="48" t="inlineStr">
        <is>
          <t>SILVER_CONSUMER</t>
        </is>
      </c>
      <c r="C1236" s="48" t="inlineStr">
        <is>
          <t>2.8</t>
        </is>
      </c>
      <c r="D1236" s="48" t="inlineStr">
        <is>
          <t>Nhom 2 - Logic</t>
        </is>
      </c>
      <c r="E1236" s="48" t="inlineStr">
        <is>
          <t>Cột SUM/COUNT được COALESCE/NVL hợp lý</t>
        </is>
      </c>
      <c r="F1236" s="49" t="inlineStr">
        <is>
          <t>PASS</t>
        </is>
      </c>
      <c r="G1236" s="48" t="inlineStr">
        <is>
          <t>Pass</t>
        </is>
      </c>
      <c r="H1236" s="50" t="inlineStr">
        <is>
          <t>mọi SUM/COUNT đều đã coalesce (trực tiếp hoặc ở lớp ngoài)</t>
        </is>
      </c>
      <c r="I12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36" s="48" t="inlineStr">
        <is>
          <t>064. OCB_GOLD_TCKH_CST_DIM_NEW_HOP.xlsx [SCRIPT: CST_DIM_NEW]</t>
        </is>
      </c>
    </row>
    <row r="1237">
      <c r="A1237" s="48" t="inlineStr">
        <is>
          <t>TCKH.CST_DIM_NEW</t>
        </is>
      </c>
      <c r="B1237" s="48" t="inlineStr">
        <is>
          <t>SILVER_CONSUMER</t>
        </is>
      </c>
      <c r="C1237" s="48" t="inlineStr">
        <is>
          <t>2.9</t>
        </is>
      </c>
      <c r="D1237" s="48" t="inlineStr">
        <is>
          <t>Nhom 2 - Logic</t>
        </is>
      </c>
      <c r="E1237" s="48" t="inlineStr">
        <is>
          <t>Subquery / custom function / điều kiện LIKE đúng ý nghĩa nghiệp vụ</t>
        </is>
      </c>
      <c r="F1237" s="48" t="inlineStr">
        <is>
          <t>N-A</t>
        </is>
      </c>
      <c r="G1237" s="48" t="inlineStr">
        <is>
          <t>Pass</t>
        </is>
      </c>
      <c r="H1237" s="50" t="inlineStr">
        <is>
          <t>script không có điều kiện LIKE hay scalar subquery nào</t>
        </is>
      </c>
      <c r="I1237" s="50" t="inlineStr">
        <is>
          <t>Đọc lại từng điều kiện LIKE và từng subquery, đối chiếu ý nghĩa nghiệp vụ với on-prem — đúng cú pháp không đủ. Chú ý pattern LIKE có ký tự % ở đầu/cuối và phân biệt chữ hoa/thường.</t>
        </is>
      </c>
      <c r="J1237" s="48" t="inlineStr">
        <is>
          <t>064. OCB_GOLD_TCKH_CST_DIM_NEW_HOP.xlsx [SCRIPT: CST_DIM_NEW]</t>
        </is>
      </c>
    </row>
    <row r="1238">
      <c r="A1238" s="48" t="inlineStr">
        <is>
          <t>TCKH.CST_DIM_NEW</t>
        </is>
      </c>
      <c r="B1238" s="48" t="inlineStr">
        <is>
          <t>SILVER_CONSUMER</t>
        </is>
      </c>
      <c r="C1238" s="48" t="inlineStr">
        <is>
          <t>2.10</t>
        </is>
      </c>
      <c r="D1238" s="48" t="inlineStr">
        <is>
          <t>Nhom 2 - Logic</t>
        </is>
      </c>
      <c r="E1238" s="48" t="inlineStr">
        <is>
          <t>Aggregation kèm filter date range chính xác</t>
        </is>
      </c>
      <c r="F1238" s="49" t="inlineStr">
        <is>
          <t>PASS</t>
        </is>
      </c>
      <c r="G1238" s="48" t="inlineStr">
        <is>
          <t>Pass</t>
        </is>
      </c>
      <c r="H1238" s="50" t="inlineStr">
        <is>
          <t>mọi khối tổng hợp đều có điều kiện theo kỳ dữ liệu</t>
        </is>
      </c>
      <c r="I1238" s="50" t="inlineStr">
        <is>
          <t>Mỗi khối SUM/COUNT/AVG phải có điều kiện lọc theo kỳ dữ liệu (CDR_DT_ID, DATA_DATE, :DATADT…). Nếu điều kiện nằm ở CTE nguồn thì ghi rõ trong comment để người review không phải truy ngược.</t>
        </is>
      </c>
      <c r="J1238" s="48" t="inlineStr">
        <is>
          <t>064. OCB_GOLD_TCKH_CST_DIM_NEW_HOP.xlsx [SCRIPT: CST_DIM_NEW]</t>
        </is>
      </c>
    </row>
    <row r="1239">
      <c r="A1239" s="48" t="inlineStr">
        <is>
          <t>TCKH.CST_DIM_NEW</t>
        </is>
      </c>
      <c r="B1239" s="48" t="inlineStr">
        <is>
          <t>SILVER_CONSUMER</t>
        </is>
      </c>
      <c r="C1239" s="48" t="inlineStr">
        <is>
          <t>2.11</t>
        </is>
      </c>
      <c r="D1239" s="48" t="inlineStr">
        <is>
          <t>Nhom 2 - Logic</t>
        </is>
      </c>
      <c r="E1239" s="48" t="inlineStr">
        <is>
          <t>Join dùng key hợp lý, không lạm dụng UNION ALL + EXISTS/NOT EXISTS</t>
        </is>
      </c>
      <c r="F1239" s="49" t="inlineStr">
        <is>
          <t>PASS</t>
        </is>
      </c>
      <c r="G1239" s="48" t="inlineStr">
        <is>
          <t>Pass</t>
        </is>
      </c>
      <c r="H1239" s="50" t="inlineStr">
        <is>
          <t>join đều theo điều kiện bằng, không lạm dụng UNION ALL + EXISTS</t>
        </is>
      </c>
      <c r="I1239" s="50" t="inlineStr">
        <is>
          <t>Ưu tiên LEFT JOIN theo business key hoặc hashkey. Xem lại các chỗ dùng UNION ALL kết hợp EXISTS/NOT EXISTS — thường thay được bằng một LEFT JOIN. Join không có điều kiện bằng (=) dễ tạo tích Descartes.</t>
        </is>
      </c>
      <c r="J1239" s="48" t="inlineStr">
        <is>
          <t>064. OCB_GOLD_TCKH_CST_DIM_NEW_HOP.xlsx [SCRIPT: CST_DIM_NEW]</t>
        </is>
      </c>
    </row>
    <row r="1240">
      <c r="A1240" s="48" t="inlineStr">
        <is>
          <t>TCKH.CST_DIM_NEW</t>
        </is>
      </c>
      <c r="B1240" s="48" t="inlineStr">
        <is>
          <t>SILVER_CONSUMER</t>
        </is>
      </c>
      <c r="C1240" s="48" t="inlineStr">
        <is>
          <t>2.12</t>
        </is>
      </c>
      <c r="D1240" s="48" t="inlineStr">
        <is>
          <t>Nhom 2 - Logic</t>
        </is>
      </c>
      <c r="E1240" s="48" t="inlineStr">
        <is>
          <t>Build Gold từ CTE snapshot Silver, không build nhiều tầng chồng chéo</t>
        </is>
      </c>
      <c r="F1240" s="49" t="inlineStr">
        <is>
          <t>PASS</t>
        </is>
      </c>
      <c r="G1240" s="48" t="inlineStr">
        <is>
          <t>Pass</t>
        </is>
      </c>
      <c r="H1240" s="50" t="inlineStr">
        <is>
          <t>mỗi bảng nguồn chỉ đọc trong 1 khối SELECT</t>
        </is>
      </c>
      <c r="I12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40" s="48" t="inlineStr">
        <is>
          <t>064. OCB_GOLD_TCKH_CST_DIM_NEW_HOP.xlsx [SCRIPT: CST_DIM_NEW]</t>
        </is>
      </c>
    </row>
    <row r="1241">
      <c r="A1241" s="48" t="inlineStr">
        <is>
          <t>TCKH.CST_DIM_NEW</t>
        </is>
      </c>
      <c r="B1241" s="48" t="inlineStr">
        <is>
          <t>SILVER_CONSUMER</t>
        </is>
      </c>
      <c r="C1241" s="48" t="inlineStr">
        <is>
          <t>3.1</t>
        </is>
      </c>
      <c r="D1241" s="48" t="inlineStr">
        <is>
          <t>Nhom 3 - Optimization</t>
        </is>
      </c>
      <c r="E1241" s="48" t="inlineStr">
        <is>
          <t>Không SELECT *</t>
        </is>
      </c>
      <c r="F1241" s="49" t="inlineStr">
        <is>
          <t>PASS</t>
        </is>
      </c>
      <c r="G1241" s="48" t="inlineStr">
        <is>
          <t>Pass</t>
        </is>
      </c>
      <c r="H1241" s="50" t="inlineStr">
        <is>
          <t>không dùng SELECT * ở đâu</t>
        </is>
      </c>
      <c r="I1241" s="50" t="inlineStr">
        <is>
          <t>Liệt kê tường minh các cột cần dùng, kể cả trong CTE trung gian. SELECT * làm tăng IO/memory và vỡ script khi bảng nguồn thêm cột.</t>
        </is>
      </c>
      <c r="J1241" s="48" t="inlineStr">
        <is>
          <t>064. OCB_GOLD_TCKH_CST_DIM_NEW_HOP.xlsx [SCRIPT: CST_DIM_NEW]</t>
        </is>
      </c>
    </row>
    <row r="1242">
      <c r="A1242" s="48" t="inlineStr">
        <is>
          <t>TCKH.CST_DIM_NEW</t>
        </is>
      </c>
      <c r="B1242" s="48" t="inlineStr">
        <is>
          <t>SILVER_CONSUMER</t>
        </is>
      </c>
      <c r="C1242" s="48" t="inlineStr">
        <is>
          <t>3.2</t>
        </is>
      </c>
      <c r="D1242" s="48" t="inlineStr">
        <is>
          <t>Nhom 3 - Optimization</t>
        </is>
      </c>
      <c r="E1242" s="48" t="inlineStr">
        <is>
          <t>CTE không bị scan lại nhiều lần</t>
        </is>
      </c>
      <c r="F1242" s="49" t="inlineStr">
        <is>
          <t>PASS</t>
        </is>
      </c>
      <c r="G1242" s="48" t="inlineStr">
        <is>
          <t>Pass</t>
        </is>
      </c>
      <c r="H1242" s="50" t="inlineStr">
        <is>
          <t>không có CTE nào bị gọi lại</t>
        </is>
      </c>
      <c r="I1242" s="50" t="inlineStr">
        <is>
          <t>Với CTE nặng (đọc nhiều bảng Silver) bị tham chiếu từ 2 chỗ trở lên: gom lại còn một lần dùng, hoặc vật chất hóa (CACHE / bảng tạm). CTE nhẹ chỉ chứa tham số thì bỏ qua được — tự tick Pass.</t>
        </is>
      </c>
      <c r="J1242" s="48" t="inlineStr">
        <is>
          <t>064. OCB_GOLD_TCKH_CST_DIM_NEW_HOP.xlsx [SCRIPT: CST_DIM_NEW]</t>
        </is>
      </c>
    </row>
    <row r="1243">
      <c r="A1243" s="48" t="inlineStr">
        <is>
          <t>TCKH.CST_DIM_NEW</t>
        </is>
      </c>
      <c r="B1243" s="48" t="inlineStr">
        <is>
          <t>SILVER_CONSUMER</t>
        </is>
      </c>
      <c r="C1243" s="48" t="inlineStr">
        <is>
          <t>3.3</t>
        </is>
      </c>
      <c r="D1243" s="48" t="inlineStr">
        <is>
          <t>Nhom 3 - Optimization</t>
        </is>
      </c>
      <c r="E1243" s="48" t="inlineStr">
        <is>
          <t>Filter trước khi join, tận dụng partition pruning</t>
        </is>
      </c>
      <c r="F1243" s="49" t="inlineStr">
        <is>
          <t>PASS</t>
        </is>
      </c>
      <c r="G1243" s="48" t="inlineStr">
        <is>
          <t>Pass</t>
        </is>
      </c>
      <c r="H1243" s="50" t="inlineStr">
        <is>
          <t>các bảng join đều được filter trước</t>
        </is>
      </c>
      <c r="I1243" s="50" t="inlineStr">
        <is>
          <t>Đưa điều kiện lọc (ngày dữ liệu, trạng thái) vào subquery của từng bảng TRƯỚC khi join, để tận dụng partition pruning. Bảng dim nhỏ không partition thì không cần — tự tick Pass.</t>
        </is>
      </c>
      <c r="J1243" s="48" t="inlineStr">
        <is>
          <t>064. OCB_GOLD_TCKH_CST_DIM_NEW_HOP.xlsx [SCRIPT: CST_DIM_NEW]</t>
        </is>
      </c>
    </row>
    <row r="1244">
      <c r="A1244" s="48" t="inlineStr">
        <is>
          <t>TCKH.CST_DIM_NEW</t>
        </is>
      </c>
      <c r="B1244" s="48" t="inlineStr">
        <is>
          <t>SILVER_CONSUMER</t>
        </is>
      </c>
      <c r="C1244" s="48" t="inlineStr">
        <is>
          <t>3.4</t>
        </is>
      </c>
      <c r="D1244" s="48" t="inlineStr">
        <is>
          <t>Nhom 3 - Optimization</t>
        </is>
      </c>
      <c r="E1244" s="48" t="inlineStr">
        <is>
          <t>Sử dụng CACHE cho query lặp lại trong cùng luồng</t>
        </is>
      </c>
      <c r="F1244" s="48" t="inlineStr">
        <is>
          <t>N-A</t>
        </is>
      </c>
      <c r="G1244" s="48" t="inlineStr">
        <is>
          <t>Pass</t>
        </is>
      </c>
      <c r="H1244" s="50" t="inlineStr">
        <is>
          <t>không có kết quả nào được dùng lại nhiều lần nên chưa cần CACHE</t>
        </is>
      </c>
      <c r="I1244" s="50" t="inlineStr">
        <is>
          <t>Nếu một kết quả nặng được dùng lại nhiều bước trong cùng luồng, thêm CACHE TABLE / CACHE SELECT. Kết quả nhỏ thì cache còn chậm hơn — tự tick Pass.</t>
        </is>
      </c>
      <c r="J1244" s="48" t="inlineStr">
        <is>
          <t>064. OCB_GOLD_TCKH_CST_DIM_NEW_HOP.xlsx [SCRIPT: CST_DIM_NEW]</t>
        </is>
      </c>
    </row>
    <row r="1245">
      <c r="A1245" s="48" t="inlineStr">
        <is>
          <t>TCKH.CST_DIM_NEW</t>
        </is>
      </c>
      <c r="B1245" s="48" t="inlineStr">
        <is>
          <t>SILVER_CONSUMER</t>
        </is>
      </c>
      <c r="C1245" s="48" t="inlineStr">
        <is>
          <t>3.5</t>
        </is>
      </c>
      <c r="D1245" s="48" t="inlineStr">
        <is>
          <t>Nhom 3 - Optimization</t>
        </is>
      </c>
      <c r="E1245" s="48" t="inlineStr">
        <is>
          <t>Ưu tiên MAX_BY + QUALIFY thay ROW_NUMBER() + WHERE rn = 1</t>
        </is>
      </c>
      <c r="F1245" s="48" t="inlineStr">
        <is>
          <t>N-A</t>
        </is>
      </c>
      <c r="G1245" s="48" t="inlineStr">
        <is>
          <t>Pass</t>
        </is>
      </c>
      <c r="H1245" s="50" t="inlineStr">
        <is>
          <t>script không dùng ROW_NUMBER, và MAX_BY (nếu có) không vượt quá 5 cột/khối</t>
        </is>
      </c>
      <c r="I12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45" s="48" t="inlineStr">
        <is>
          <t>064. OCB_GOLD_TCKH_CST_DIM_NEW_HOP.xlsx [SCRIPT: CST_DIM_NEW]</t>
        </is>
      </c>
    </row>
    <row r="1246">
      <c r="A1246" s="48" t="inlineStr">
        <is>
          <t>TCKH.CST_DIM_NEW</t>
        </is>
      </c>
      <c r="B1246" s="48" t="inlineStr">
        <is>
          <t>SILVER_CONSUMER</t>
        </is>
      </c>
      <c r="C1246" s="48" t="inlineStr">
        <is>
          <t>3.6</t>
        </is>
      </c>
      <c r="D1246" s="48" t="inlineStr">
        <is>
          <t>Nhom 3 - Optimization</t>
        </is>
      </c>
      <c r="E1246" s="48" t="inlineStr">
        <is>
          <t>Không lạm dụng window function; có comment khi dùng</t>
        </is>
      </c>
      <c r="F1246" s="48" t="inlineStr">
        <is>
          <t>N-A</t>
        </is>
      </c>
      <c r="G1246" s="48" t="inlineStr">
        <is>
          <t>Pass</t>
        </is>
      </c>
      <c r="H1246" s="50" t="inlineStr">
        <is>
          <t>script không dùng window function</t>
        </is>
      </c>
      <c r="I1246" s="50" t="inlineStr">
        <is>
          <t>Mỗi window function cần một comment ngay trên khối CTE chứa nó, nói rõ vì sao không dùng được max_by/QUALIFY đơn giản hơn.</t>
        </is>
      </c>
      <c r="J1246" s="48" t="inlineStr">
        <is>
          <t>064. OCB_GOLD_TCKH_CST_DIM_NEW_HOP.xlsx [SCRIPT: CST_DIM_NEW]</t>
        </is>
      </c>
    </row>
    <row r="1247">
      <c r="A1247" s="48" t="inlineStr">
        <is>
          <t>TCKH.CST_DIM_NEW</t>
        </is>
      </c>
      <c r="B1247" s="48" t="inlineStr">
        <is>
          <t>SILVER_CONSUMER</t>
        </is>
      </c>
      <c r="C1247" s="48" t="inlineStr">
        <is>
          <t>X.1</t>
        </is>
      </c>
      <c r="D1247" s="48" t="inlineStr">
        <is>
          <t>Nhom X - Bo sung Raffles</t>
        </is>
      </c>
      <c r="E1247" s="48" t="inlineStr">
        <is>
          <t>[Bổ sung] Link phải rút về current trước khi join (chống fan-out)</t>
        </is>
      </c>
      <c r="F1247" s="49" t="inlineStr">
        <is>
          <t>PASS</t>
        </is>
      </c>
      <c r="G1247" s="48" t="inlineStr">
        <is>
          <t>Pass</t>
        </is>
      </c>
      <c r="H1247" s="50" t="inlineStr">
        <is>
          <t>các bảng link_* đều được rút về current trước khi join</t>
        </is>
      </c>
      <c r="I12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47" s="48" t="inlineStr">
        <is>
          <t>064. OCB_GOLD_TCKH_CST_DIM_NEW_HOP.xlsx [SCRIPT: CST_DIM_NEW]</t>
        </is>
      </c>
    </row>
    <row r="1248">
      <c r="A1248" s="48" t="inlineStr">
        <is>
          <t>TCKH.CST_DIM_NEW</t>
        </is>
      </c>
      <c r="B1248" s="48" t="inlineStr">
        <is>
          <t>SILVER_CONSUMER</t>
        </is>
      </c>
      <c r="C1248" s="48" t="inlineStr">
        <is>
          <t>X.6</t>
        </is>
      </c>
      <c r="D1248" s="48" t="inlineStr">
        <is>
          <t>Nhom X - Bo sung Raffles</t>
        </is>
      </c>
      <c r="E1248" s="48" t="inlineStr">
        <is>
          <t>[Bổ sung] Satellite phải LEFT JOIN, không INNER JOIN</t>
        </is>
      </c>
      <c r="F1248" s="49" t="inlineStr">
        <is>
          <t>PASS</t>
        </is>
      </c>
      <c r="G1248" s="48" t="inlineStr">
        <is>
          <t>Pass</t>
        </is>
      </c>
      <c r="H1248" s="50" t="inlineStr">
        <is>
          <t>các satellite đều LEFT JOIN</t>
        </is>
      </c>
      <c r="I1248" s="50" t="inlineStr">
        <is>
          <t>Technical Document III.4.2.2 nguyên tắc 1: làm giàu thuộc tính luôn dùng LEFT JOIN. INNER JOIN satellite sẽ loại mất bản ghi Hub đang còn hiệu lực nhưng chưa có dòng satellite.</t>
        </is>
      </c>
      <c r="J1248" s="48" t="inlineStr">
        <is>
          <t>064. OCB_GOLD_TCKH_CST_DIM_NEW_HOP.xlsx [SCRIPT: CST_DIM_NEW]</t>
        </is>
      </c>
    </row>
    <row r="1249">
      <c r="A1249" s="48" t="inlineStr">
        <is>
          <t>TCKH.CST_DIM_NEW</t>
        </is>
      </c>
      <c r="B1249" s="48" t="inlineStr">
        <is>
          <t>SILVER_CONSUMER</t>
        </is>
      </c>
      <c r="C1249" s="48" t="inlineStr">
        <is>
          <t>X.7</t>
        </is>
      </c>
      <c r="D1249" s="48" t="inlineStr">
        <is>
          <t>Nhom X - Bo sung Raffles</t>
        </is>
      </c>
      <c r="E1249" s="48" t="inlineStr">
        <is>
          <t>[Bổ sung] Không hard-code catalog, dùng biến môi trường</t>
        </is>
      </c>
      <c r="F1249" s="49" t="inlineStr">
        <is>
          <t>PASS</t>
        </is>
      </c>
      <c r="G1249" s="48" t="inlineStr">
        <is>
          <t>Pass</t>
        </is>
      </c>
      <c r="H1249" s="50" t="inlineStr">
        <is>
          <t>dùng biến môi trường cho catalog</t>
        </is>
      </c>
      <c r="I12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49" s="48" t="inlineStr">
        <is>
          <t>064. OCB_GOLD_TCKH_CST_DIM_NEW_HOP.xlsx [SCRIPT: CST_DIM_NEW]</t>
        </is>
      </c>
    </row>
    <row r="1250">
      <c r="A1250" s="48" t="inlineStr">
        <is>
          <t>TCKH.CST_DIM_NEW</t>
        </is>
      </c>
      <c r="B1250" s="48" t="inlineStr">
        <is>
          <t>SILVER_CONSUMER</t>
        </is>
      </c>
      <c r="C1250" s="48" t="inlineStr">
        <is>
          <t>X.10</t>
        </is>
      </c>
      <c r="D1250" s="48" t="inlineStr">
        <is>
          <t>Nhom X - Bo sung Raffles</t>
        </is>
      </c>
      <c r="E1250" s="48" t="inlineStr">
        <is>
          <t>Bang raw_vault/business_vault duoc doc phai TON TAI THAT trong Data Vault model</t>
        </is>
      </c>
      <c r="F1250" s="49" t="inlineStr">
        <is>
          <t>PASS</t>
        </is>
      </c>
      <c r="G1250" s="48" t="inlineStr">
        <is>
          <t>Pass</t>
        </is>
      </c>
      <c r="H1250" s="50" t="inlineStr">
        <is>
          <t>7 bảng Silver đều có thật trong Data Vault model</t>
        </is>
      </c>
      <c r="I1250" s="50" t="inlineStr"/>
      <c r="J1250" s="48" t="inlineStr">
        <is>
          <t>064. OCB_GOLD_TCKH_CST_DIM_NEW_HOP.xlsx [SCRIPT: CST_DIM_NEW]</t>
        </is>
      </c>
    </row>
    <row r="1251">
      <c r="A1251" s="48" t="inlineStr">
        <is>
          <t>TCKH.CST_DIM_NEW</t>
        </is>
      </c>
      <c r="B1251" s="48" t="inlineStr">
        <is>
          <t>SILVER_CONSUMER</t>
        </is>
      </c>
      <c r="C1251" s="48" t="inlineStr">
        <is>
          <t>X.11</t>
        </is>
      </c>
      <c r="D1251" s="48" t="inlineStr">
        <is>
          <t>Nhom X - Bo sung Raffles</t>
        </is>
      </c>
      <c r="E1251" s="48" t="inlineStr">
        <is>
          <t>Cot doc tu satellite (sat_*) phai TON TAI THAT trong model</t>
        </is>
      </c>
      <c r="F1251" s="49" t="inlineStr">
        <is>
          <t>PASS</t>
        </is>
      </c>
      <c r="G1251" s="48" t="inlineStr">
        <is>
          <t>Pass</t>
        </is>
      </c>
      <c r="H1251" s="50" t="inlineStr">
        <is>
          <t>mọi cột đọc từ sat_* đều tồn tại trong model thật</t>
        </is>
      </c>
      <c r="I1251" s="50" t="inlineStr"/>
      <c r="J1251" s="48" t="inlineStr">
        <is>
          <t>064. OCB_GOLD_TCKH_CST_DIM_NEW_HOP.xlsx [SCRIPT: CST_DIM_NEW]</t>
        </is>
      </c>
    </row>
    <row r="1252">
      <c r="A1252" s="48" t="inlineStr">
        <is>
          <t>TCKH.RT_AR_DTL</t>
        </is>
      </c>
      <c r="B1252" s="48" t="inlineStr">
        <is>
          <t>SILVER_CONSUMER</t>
        </is>
      </c>
      <c r="C1252" s="48" t="inlineStr">
        <is>
          <t>1.1</t>
        </is>
      </c>
      <c r="D1252" s="48" t="inlineStr">
        <is>
          <t>Nhom 1 - Mapping</t>
        </is>
      </c>
      <c r="E1252" s="48" t="inlineStr">
        <is>
          <t>Đầy đủ mapping từ Silver/manual sang Gold</t>
        </is>
      </c>
      <c r="F1252" s="49" t="inlineStr">
        <is>
          <t>PASS</t>
        </is>
      </c>
      <c r="G1252" s="48" t="inlineStr">
        <is>
          <t>Pass</t>
        </is>
      </c>
      <c r="H1252" s="50" t="inlineStr">
        <is>
          <t>workbook 065. OCB_GOLD_TCKH_RT_AR_DTL_HOP.xlsx: thiết kế 85 field, SQL có 85 cột</t>
        </is>
      </c>
      <c r="I12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52" s="48" t="inlineStr">
        <is>
          <t>065. OCB_GOLD_TCKH_RT_AR_DTL_HOP.xlsx [SCRIPT: RT_AR_DTL]</t>
        </is>
      </c>
    </row>
    <row r="1253">
      <c r="A1253" s="48" t="inlineStr">
        <is>
          <t>TCKH.RT_AR_DTL</t>
        </is>
      </c>
      <c r="B1253" s="48" t="inlineStr">
        <is>
          <t>SILVER_CONSUMER</t>
        </is>
      </c>
      <c r="C1253" s="48" t="inlineStr">
        <is>
          <t>1.2</t>
        </is>
      </c>
      <c r="D1253" s="48" t="inlineStr">
        <is>
          <t>Nhom 1 - Mapping</t>
        </is>
      </c>
      <c r="E1253" s="48" t="inlineStr">
        <is>
          <t>Danh sách bảng/view Gold khớp tài liệu thiết kế đã duyệt</t>
        </is>
      </c>
      <c r="F1253" s="49" t="inlineStr">
        <is>
          <t>PASS</t>
        </is>
      </c>
      <c r="G1253" s="48" t="inlineStr">
        <is>
          <t>Pass</t>
        </is>
      </c>
      <c r="H1253" s="50" t="inlineStr">
        <is>
          <t>RT_AR_DTL có workbook thiết kế: 065. OCB_GOLD_TCKH_RT_AR_DTL_HOP.xlsx</t>
        </is>
      </c>
      <c r="I1253" s="50" t="inlineStr">
        <is>
          <t>Đảm bảo object có workbook thiết kế tương ứng trong thư mục --mapping-dir. Muốn đối chiếu với danh sách đã duyệt thì chạy thêm tham số --gold-list "&lt;file danh sách Gold&gt;.xlsx".</t>
        </is>
      </c>
      <c r="J1253" s="48" t="inlineStr">
        <is>
          <t>065. OCB_GOLD_TCKH_RT_AR_DTL_HOP.xlsx [SCRIPT: RT_AR_DTL]</t>
        </is>
      </c>
    </row>
    <row r="1254">
      <c r="A1254" s="48" t="inlineStr">
        <is>
          <t>TCKH.RT_AR_DTL</t>
        </is>
      </c>
      <c r="B1254" s="48" t="inlineStr">
        <is>
          <t>SILVER_CONSUMER</t>
        </is>
      </c>
      <c r="C1254" s="48" t="inlineStr">
        <is>
          <t>2.1</t>
        </is>
      </c>
      <c r="D1254" s="48" t="inlineStr">
        <is>
          <t>Nhom 2 - Logic</t>
        </is>
      </c>
      <c r="E1254" s="48" t="inlineStr">
        <is>
          <t>Chỉ lấy bản ghi active, loại bản ghi đã xóa (qua sts_hub)</t>
        </is>
      </c>
      <c r="F1254" s="49" t="inlineStr">
        <is>
          <t>PASS</t>
        </is>
      </c>
      <c r="G1254" s="48" t="inlineStr">
        <is>
          <t>Pass</t>
        </is>
      </c>
      <c r="H1254" s="50" t="inlineStr">
        <is>
          <t>1 sts_hub_* đọc đúng format</t>
        </is>
      </c>
      <c r="I12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54" s="48" t="inlineStr">
        <is>
          <t>065. OCB_GOLD_TCKH_RT_AR_DTL_HOP.xlsx [SCRIPT: RT_AR_DTL]</t>
        </is>
      </c>
    </row>
    <row r="1255">
      <c r="A1255" s="48" t="inlineStr">
        <is>
          <t>TCKH.RT_AR_DTL</t>
        </is>
      </c>
      <c r="B1255" s="48" t="inlineStr">
        <is>
          <t>SILVER_CONSUMER</t>
        </is>
      </c>
      <c r="C1255" s="48" t="inlineStr">
        <is>
          <t>2.2</t>
        </is>
      </c>
      <c r="D1255" s="48" t="inlineStr">
        <is>
          <t>Nhom 2 - Logic</t>
        </is>
      </c>
      <c r="E1255" s="48" t="inlineStr">
        <is>
          <t>Thống nhất MỘT pattern duy nhất xác định bản ghi active mới nhất</t>
        </is>
      </c>
      <c r="F1255" s="49" t="inlineStr">
        <is>
          <t>PASS</t>
        </is>
      </c>
      <c r="G1255" s="48" t="inlineStr">
        <is>
          <t>Pass</t>
        </is>
      </c>
      <c r="H1255" s="50" t="inlineStr">
        <is>
          <t>file này dùng: ['MAX_BY']; toàn batch dùng: ['MAX_BY']</t>
        </is>
      </c>
      <c r="I12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55" s="48" t="inlineStr">
        <is>
          <t>065. OCB_GOLD_TCKH_RT_AR_DTL_HOP.xlsx [SCRIPT: RT_AR_DTL]</t>
        </is>
      </c>
    </row>
    <row r="1256">
      <c r="A1256" s="48" t="inlineStr">
        <is>
          <t>TCKH.RT_AR_DTL</t>
        </is>
      </c>
      <c r="B1256" s="48" t="inlineStr">
        <is>
          <t>SILVER_CONSUMER</t>
        </is>
      </c>
      <c r="C1256" s="48" t="inlineStr">
        <is>
          <t>2.3</t>
        </is>
      </c>
      <c r="D1256" s="48" t="inlineStr">
        <is>
          <t>Nhom 2 - Logic</t>
        </is>
      </c>
      <c r="E1256" s="48" t="inlineStr">
        <is>
          <t>Điều kiện lọc trạng thái đặt SAU khi xác định bản ghi mới nhất</t>
        </is>
      </c>
      <c r="F1256" s="49" t="inlineStr">
        <is>
          <t>PASS</t>
        </is>
      </c>
      <c r="G1256" s="48" t="inlineStr">
        <is>
          <t>Pass</t>
        </is>
      </c>
      <c r="H1256" s="50" t="inlineStr">
        <is>
          <t>không có điều kiện trạng thái nào lồng trong JOIN ON</t>
        </is>
      </c>
      <c r="I12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56" s="48" t="inlineStr">
        <is>
          <t>065. OCB_GOLD_TCKH_RT_AR_DTL_HOP.xlsx [SCRIPT: RT_AR_DTL]</t>
        </is>
      </c>
    </row>
    <row r="1257">
      <c r="A1257" s="48" t="inlineStr">
        <is>
          <t>TCKH.RT_AR_DTL</t>
        </is>
      </c>
      <c r="B1257" s="48" t="inlineStr">
        <is>
          <t>SILVER_CONSUMER</t>
        </is>
      </c>
      <c r="C1257" s="48" t="inlineStr">
        <is>
          <t>2.4</t>
        </is>
      </c>
      <c r="D1257" s="48" t="inlineStr">
        <is>
          <t>Nhom 2 - Logic</t>
        </is>
      </c>
      <c r="E1257" s="48" t="inlineStr">
        <is>
          <t>source_event_date áp dụng đúng dạng theo loại bảng</t>
        </is>
      </c>
      <c r="F1257" s="49" t="inlineStr">
        <is>
          <t>PASS</t>
        </is>
      </c>
      <c r="G1257" s="48" t="inlineStr">
        <is>
          <t>Pass</t>
        </is>
      </c>
      <c r="H1257" s="50" t="inlineStr">
        <is>
          <t>14 satellite đều đúng dạng điều kiện source_event_date</t>
        </is>
      </c>
      <c r="I12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57" s="48" t="inlineStr">
        <is>
          <t>065. OCB_GOLD_TCKH_RT_AR_DTL_HOP.xlsx [SCRIPT: RT_AR_DTL]</t>
        </is>
      </c>
    </row>
    <row r="1258">
      <c r="A1258" s="48" t="inlineStr">
        <is>
          <t>TCKH.RT_AR_DTL</t>
        </is>
      </c>
      <c r="B1258" s="48" t="inlineStr">
        <is>
          <t>SILVER_CONSUMER</t>
        </is>
      </c>
      <c r="C1258" s="48" t="inlineStr">
        <is>
          <t>2.5</t>
        </is>
      </c>
      <c r="D1258" s="48" t="inlineStr">
        <is>
          <t>Nhom 2 - Logic</t>
        </is>
      </c>
      <c r="E1258" s="48" t="inlineStr">
        <is>
          <t>Không lặp lại lỗi logic cũ đã được DA Data Vault fix</t>
        </is>
      </c>
      <c r="F1258" s="49" t="inlineStr">
        <is>
          <t>PASS</t>
        </is>
      </c>
      <c r="G1258" s="48" t="inlineStr">
        <is>
          <t>Pass</t>
        </is>
      </c>
      <c r="H1258" s="50" t="inlineStr">
        <is>
          <t>không trùng lỗi nào trong Issue log của DA Data Vault</t>
        </is>
      </c>
      <c r="I12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58" s="48" t="inlineStr">
        <is>
          <t>065. OCB_GOLD_TCKH_RT_AR_DTL_HOP.xlsx [SCRIPT: RT_AR_DTL]</t>
        </is>
      </c>
    </row>
    <row r="1259">
      <c r="A1259" s="48" t="inlineStr">
        <is>
          <t>TCKH.RT_AR_DTL</t>
        </is>
      </c>
      <c r="B1259" s="48" t="inlineStr">
        <is>
          <t>SILVER_CONSUMER</t>
        </is>
      </c>
      <c r="C1259" s="48" t="inlineStr">
        <is>
          <t>2.6</t>
        </is>
      </c>
      <c r="D1259" s="48" t="inlineStr">
        <is>
          <t>Nhom 2 - Logic</t>
        </is>
      </c>
      <c r="E1259" s="48" t="inlineStr">
        <is>
          <t>SCD Type 2 cho bảng DIM áp dụng đúng kỹ thuật đã thống nhất</t>
        </is>
      </c>
      <c r="F1259" s="48" t="inlineStr">
        <is>
          <t>N-A</t>
        </is>
      </c>
      <c r="G1259" s="48" t="inlineStr">
        <is>
          <t>Pass</t>
        </is>
      </c>
      <c r="H1259" s="50" t="inlineStr">
        <is>
          <t>object không phải bảng DIM nên không áp dụng SCD Type 2</t>
        </is>
      </c>
      <c r="I12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59" s="48" t="inlineStr">
        <is>
          <t>065. OCB_GOLD_TCKH_RT_AR_DTL_HOP.xlsx [SCRIPT: RT_AR_DTL]</t>
        </is>
      </c>
    </row>
    <row r="1260">
      <c r="A1260" s="48" t="inlineStr">
        <is>
          <t>TCKH.RT_AR_DTL</t>
        </is>
      </c>
      <c r="B1260" s="48" t="inlineStr">
        <is>
          <t>SILVER_CONSUMER</t>
        </is>
      </c>
      <c r="C1260" s="48" t="inlineStr">
        <is>
          <t>2.7</t>
        </is>
      </c>
      <c r="D1260" s="48" t="inlineStr">
        <is>
          <t>Nhom 2 - Logic</t>
        </is>
      </c>
      <c r="E1260" s="48" t="inlineStr">
        <is>
          <t>CASE WHEN cover đủ nhánh như job on-prem</t>
        </is>
      </c>
      <c r="F1260" s="49" t="inlineStr">
        <is>
          <t>PASS</t>
        </is>
      </c>
      <c r="G1260" s="48" t="inlineStr">
        <is>
          <t>Pass</t>
        </is>
      </c>
      <c r="H1260" s="50" t="inlineStr">
        <is>
          <t>cả 62 CASE đều có nhánh ELSE</t>
        </is>
      </c>
      <c r="I1260" s="50" t="inlineStr">
        <is>
          <t>Mở job on-prem tương ứng (DataStage DSX hoặc SQL cũ), đối chiếu từng nhánh WHEN và cả nhánh ELSE. CASE không có ELSE sẽ trả NULL âm thầm — xác nhận đó là ý muốn hay thiếu nhánh.</t>
        </is>
      </c>
      <c r="J1260" s="48" t="inlineStr">
        <is>
          <t>065. OCB_GOLD_TCKH_RT_AR_DTL_HOP.xlsx [SCRIPT: RT_AR_DTL]</t>
        </is>
      </c>
    </row>
    <row r="1261">
      <c r="A1261" s="48" t="inlineStr">
        <is>
          <t>TCKH.RT_AR_DTL</t>
        </is>
      </c>
      <c r="B1261" s="48" t="inlineStr">
        <is>
          <t>SILVER_CONSUMER</t>
        </is>
      </c>
      <c r="C1261" s="48" t="inlineStr">
        <is>
          <t>2.8</t>
        </is>
      </c>
      <c r="D1261" s="48" t="inlineStr">
        <is>
          <t>Nhom 2 - Logic</t>
        </is>
      </c>
      <c r="E1261" s="48" t="inlineStr">
        <is>
          <t>Cột SUM/COUNT được COALESCE/NVL hợp lý</t>
        </is>
      </c>
      <c r="F1261" s="51" t="inlineStr">
        <is>
          <t>WARN</t>
        </is>
      </c>
      <c r="G1261" s="48" t="inlineStr">
        <is>
          <t>WARN</t>
        </is>
      </c>
      <c r="H1261" s="50" t="inlineStr">
        <is>
          <t>4 biểu thức tổng hợp chưa coalesce: bal_fcy = SUM(CAST(cb.ngoaite AS DECIMAL(31, 4))); bal_int_fcy = SUM(CASE WHEN TRY_CAST(SUBSTRING(CAST(arx.gl_ac_nbr AS TEXT); bal_lcy = SUM(CASE WHEN UPPER(g.gl_type) IN ('LAIDUTHU', 'LAIDUCHI') T; bal_lcy = SUM(CAST(cb.noite AS DECIMAL(31, 4))); khi đối soát với hệ thống cũ phải bọc NVL/ISNULL CẢ HAI phía để không lệch khi trừ (Checklist RVN-OCB #11)</t>
        </is>
      </c>
      <c r="I12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61" s="48" t="inlineStr">
        <is>
          <t>065. OCB_GOLD_TCKH_RT_AR_DTL_HOP.xlsx [SCRIPT: RT_AR_DTL]</t>
        </is>
      </c>
    </row>
    <row r="1262">
      <c r="A1262" s="48" t="inlineStr">
        <is>
          <t>TCKH.RT_AR_DTL</t>
        </is>
      </c>
      <c r="B1262" s="48" t="inlineStr">
        <is>
          <t>SILVER_CONSUMER</t>
        </is>
      </c>
      <c r="C1262" s="48" t="inlineStr">
        <is>
          <t>2.9</t>
        </is>
      </c>
      <c r="D1262" s="48" t="inlineStr">
        <is>
          <t>Nhom 2 - Logic</t>
        </is>
      </c>
      <c r="E1262" s="48" t="inlineStr">
        <is>
          <t>Subquery / custom function / điều kiện LIKE đúng ý nghĩa nghiệp vụ</t>
        </is>
      </c>
      <c r="F1262" s="49" t="inlineStr">
        <is>
          <t>PASS</t>
        </is>
      </c>
      <c r="G1262" s="48" t="inlineStr">
        <is>
          <t>Pass</t>
        </is>
      </c>
      <c r="H1262" s="50" t="inlineStr">
        <is>
          <t>2 subquery nằm trong điều kiện; cú pháp hợp lệ; ý nghĩa nghiệp vụ cần người review đối chiếu job on-prem</t>
        </is>
      </c>
      <c r="I1262" s="50" t="inlineStr">
        <is>
          <t>Đọc lại từng điều kiện LIKE và từng subquery, đối chiếu ý nghĩa nghiệp vụ với on-prem — đúng cú pháp không đủ. Chú ý pattern LIKE có ký tự % ở đầu/cuối và phân biệt chữ hoa/thường.</t>
        </is>
      </c>
      <c r="J1262" s="48" t="inlineStr">
        <is>
          <t>065. OCB_GOLD_TCKH_RT_AR_DTL_HOP.xlsx [SCRIPT: RT_AR_DTL]</t>
        </is>
      </c>
    </row>
    <row r="1263">
      <c r="A1263" s="48" t="inlineStr">
        <is>
          <t>TCKH.RT_AR_DTL</t>
        </is>
      </c>
      <c r="B1263" s="48" t="inlineStr">
        <is>
          <t>SILVER_CONSUMER</t>
        </is>
      </c>
      <c r="C1263" s="48" t="inlineStr">
        <is>
          <t>2.10</t>
        </is>
      </c>
      <c r="D1263" s="48" t="inlineStr">
        <is>
          <t>Nhom 2 - Logic</t>
        </is>
      </c>
      <c r="E1263" s="48" t="inlineStr">
        <is>
          <t>Aggregation kèm filter date range chính xác</t>
        </is>
      </c>
      <c r="F1263" s="51" t="inlineStr">
        <is>
          <t>WARN</t>
        </is>
      </c>
      <c r="G1263" s="48" t="inlineStr">
        <is>
          <t>WARN</t>
        </is>
      </c>
      <c r="H1263" s="50" t="inlineStr">
        <is>
          <t>3 khối tổng hợp không thấy filter theo ngày/tham số: v_crb_stg, v_ar_int, rev</t>
        </is>
      </c>
      <c r="I1263" s="50" t="inlineStr">
        <is>
          <t>Mỗi khối SUM/COUNT/AVG phải có điều kiện lọc theo kỳ dữ liệu (CDR_DT_ID, DATA_DATE, :DATADT…). Nếu điều kiện nằm ở CTE nguồn thì ghi rõ trong comment để người review không phải truy ngược.</t>
        </is>
      </c>
      <c r="J1263" s="48" t="inlineStr">
        <is>
          <t>065. OCB_GOLD_TCKH_RT_AR_DTL_HOP.xlsx [SCRIPT: RT_AR_DTL]</t>
        </is>
      </c>
    </row>
    <row r="1264">
      <c r="A1264" s="48" t="inlineStr">
        <is>
          <t>TCKH.RT_AR_DTL</t>
        </is>
      </c>
      <c r="B1264" s="48" t="inlineStr">
        <is>
          <t>SILVER_CONSUMER</t>
        </is>
      </c>
      <c r="C1264" s="48" t="inlineStr">
        <is>
          <t>2.11</t>
        </is>
      </c>
      <c r="D1264" s="48" t="inlineStr">
        <is>
          <t>Nhom 2 - Logic</t>
        </is>
      </c>
      <c r="E1264" s="48" t="inlineStr">
        <is>
          <t>Join dùng key hợp lý, không lạm dụng UNION ALL + EXISTS/NOT EXISTS</t>
        </is>
      </c>
      <c r="F1264" s="51" t="inlineStr">
        <is>
          <t>WARN</t>
        </is>
      </c>
      <c r="G1264" s="48" t="inlineStr">
        <is>
          <t>WARN</t>
        </is>
      </c>
      <c r="H1264" s="50" t="inlineStr">
        <is>
          <t>join không có điều kiện bằng (=): ['tb']</t>
        </is>
      </c>
      <c r="I1264" s="50" t="inlineStr">
        <is>
          <t>Ưu tiên LEFT JOIN theo business key hoặc hashkey. Xem lại các chỗ dùng UNION ALL kết hợp EXISTS/NOT EXISTS — thường thay được bằng một LEFT JOIN. Join không có điều kiện bằng (=) dễ tạo tích Descartes.</t>
        </is>
      </c>
      <c r="J1264" s="48" t="inlineStr">
        <is>
          <t>065. OCB_GOLD_TCKH_RT_AR_DTL_HOP.xlsx [SCRIPT: RT_AR_DTL]</t>
        </is>
      </c>
    </row>
    <row r="1265">
      <c r="A1265" s="48" t="inlineStr">
        <is>
          <t>TCKH.RT_AR_DTL</t>
        </is>
      </c>
      <c r="B1265" s="48" t="inlineStr">
        <is>
          <t>SILVER_CONSUMER</t>
        </is>
      </c>
      <c r="C1265" s="48" t="inlineStr">
        <is>
          <t>2.12</t>
        </is>
      </c>
      <c r="D1265" s="48" t="inlineStr">
        <is>
          <t>Nhom 2 - Logic</t>
        </is>
      </c>
      <c r="E1265" s="48" t="inlineStr">
        <is>
          <t>Build Gold từ CTE snapshot Silver, không build nhiều tầng chồng chéo</t>
        </is>
      </c>
      <c r="F1265" s="49" t="inlineStr">
        <is>
          <t>PASS</t>
        </is>
      </c>
      <c r="G1265" s="48" t="inlineStr">
        <is>
          <t>Pass</t>
        </is>
      </c>
      <c r="H1265" s="50" t="inlineStr">
        <is>
          <t>mỗi bảng nguồn chỉ đọc trong 1 khối SELECT</t>
        </is>
      </c>
      <c r="I12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65" s="48" t="inlineStr">
        <is>
          <t>065. OCB_GOLD_TCKH_RT_AR_DTL_HOP.xlsx [SCRIPT: RT_AR_DTL]</t>
        </is>
      </c>
    </row>
    <row r="1266">
      <c r="A1266" s="48" t="inlineStr">
        <is>
          <t>TCKH.RT_AR_DTL</t>
        </is>
      </c>
      <c r="B1266" s="48" t="inlineStr">
        <is>
          <t>SILVER_CONSUMER</t>
        </is>
      </c>
      <c r="C1266" s="48" t="inlineStr">
        <is>
          <t>3.1</t>
        </is>
      </c>
      <c r="D1266" s="48" t="inlineStr">
        <is>
          <t>Nhom 3 - Optimization</t>
        </is>
      </c>
      <c r="E1266" s="48" t="inlineStr">
        <is>
          <t>Không SELECT *</t>
        </is>
      </c>
      <c r="F1266" s="49" t="inlineStr">
        <is>
          <t>PASS</t>
        </is>
      </c>
      <c r="G1266" s="48" t="inlineStr">
        <is>
          <t>Pass</t>
        </is>
      </c>
      <c r="H1266" s="50" t="inlineStr">
        <is>
          <t>không dùng SELECT * ở đâu</t>
        </is>
      </c>
      <c r="I1266" s="50" t="inlineStr">
        <is>
          <t>Liệt kê tường minh các cột cần dùng, kể cả trong CTE trung gian. SELECT * làm tăng IO/memory và vỡ script khi bảng nguồn thêm cột.</t>
        </is>
      </c>
      <c r="J1266" s="48" t="inlineStr">
        <is>
          <t>065. OCB_GOLD_TCKH_RT_AR_DTL_HOP.xlsx [SCRIPT: RT_AR_DTL]</t>
        </is>
      </c>
    </row>
    <row r="1267">
      <c r="A1267" s="48" t="inlineStr">
        <is>
          <t>TCKH.RT_AR_DTL</t>
        </is>
      </c>
      <c r="B1267" s="48" t="inlineStr">
        <is>
          <t>SILVER_CONSUMER</t>
        </is>
      </c>
      <c r="C1267" s="48" t="inlineStr">
        <is>
          <t>3.2</t>
        </is>
      </c>
      <c r="D1267" s="48" t="inlineStr">
        <is>
          <t>Nhom 3 - Optimization</t>
        </is>
      </c>
      <c r="E1267" s="48" t="inlineStr">
        <is>
          <t>CTE không bị scan lại nhiều lần</t>
        </is>
      </c>
      <c r="F1267" s="51" t="inlineStr">
        <is>
          <t>WARN</t>
        </is>
      </c>
      <c r="G1267" s="48" t="inlineStr">
        <is>
          <t>WARN</t>
        </is>
      </c>
      <c r="H1267" s="50" t="inlineStr">
        <is>
          <t>CTE bị tham chiếu lại nhiều lần: snap_prev_work_date x2, snap_hub_account x7, snap_hub_loans x3, snap_hub_deposits x2, snap_link_account_customer x2, snap_link_loans_payment_due x2, snap_sat_customer_classification x5, snap_sat_account_classification x2, snap_sat_deposits_information x2, snap_sat_account_information x2, glp x2, az x5, cons x7, rev x10, ou x3, ofcr x3, ldt x25</t>
        </is>
      </c>
      <c r="I1267" s="50" t="inlineStr">
        <is>
          <t>Với CTE nặng (đọc nhiều bảng Silver) bị tham chiếu từ 2 chỗ trở lên: gom lại còn một lần dùng, hoặc vật chất hóa (CACHE / bảng tạm). CTE nhẹ chỉ chứa tham số thì bỏ qua được — tự tick Pass.</t>
        </is>
      </c>
      <c r="J1267" s="48" t="inlineStr">
        <is>
          <t>065. OCB_GOLD_TCKH_RT_AR_DTL_HOP.xlsx [SCRIPT: RT_AR_DTL]</t>
        </is>
      </c>
    </row>
    <row r="1268">
      <c r="A1268" s="48" t="inlineStr">
        <is>
          <t>TCKH.RT_AR_DTL</t>
        </is>
      </c>
      <c r="B1268" s="48" t="inlineStr">
        <is>
          <t>SILVER_CONSUMER</t>
        </is>
      </c>
      <c r="C1268" s="48" t="inlineStr">
        <is>
          <t>3.3</t>
        </is>
      </c>
      <c r="D1268" s="48" t="inlineStr">
        <is>
          <t>Nhom 3 - Optimization</t>
        </is>
      </c>
      <c r="E1268" s="48" t="inlineStr">
        <is>
          <t>Filter trước khi join, tận dụng partition pruning</t>
        </is>
      </c>
      <c r="F1268" s="51" t="inlineStr">
        <is>
          <t>WARN</t>
        </is>
      </c>
      <c r="G1268" s="48" t="inlineStr">
        <is>
          <t>WARN</t>
        </is>
      </c>
      <c r="H1268" s="50" t="inlineStr">
        <is>
          <t>3 bảng join trực tiếp mà không có filter riêng: hub_branch (hb), ref_t24_ocbh_fx_buyfcy_purpose (rf), term_band_dim (tb)</t>
        </is>
      </c>
      <c r="I1268" s="50" t="inlineStr">
        <is>
          <t>Đưa điều kiện lọc (ngày dữ liệu, trạng thái) vào subquery của từng bảng TRƯỚC khi join, để tận dụng partition pruning. Bảng dim nhỏ không partition thì không cần — tự tick Pass.</t>
        </is>
      </c>
      <c r="J1268" s="48" t="inlineStr">
        <is>
          <t>065. OCB_GOLD_TCKH_RT_AR_DTL_HOP.xlsx [SCRIPT: RT_AR_DTL]</t>
        </is>
      </c>
    </row>
    <row r="1269">
      <c r="A1269" s="48" t="inlineStr">
        <is>
          <t>TCKH.RT_AR_DTL</t>
        </is>
      </c>
      <c r="B1269" s="48" t="inlineStr">
        <is>
          <t>SILVER_CONSUMER</t>
        </is>
      </c>
      <c r="C1269" s="48" t="inlineStr">
        <is>
          <t>3.4</t>
        </is>
      </c>
      <c r="D1269" s="48" t="inlineStr">
        <is>
          <t>Nhom 3 - Optimization</t>
        </is>
      </c>
      <c r="E1269" s="48" t="inlineStr">
        <is>
          <t>Sử dụng CACHE cho query lặp lại trong cùng luồng</t>
        </is>
      </c>
      <c r="F1269" s="51" t="inlineStr">
        <is>
          <t>WARN</t>
        </is>
      </c>
      <c r="G1269" s="48" t="inlineStr">
        <is>
          <t>WARN</t>
        </is>
      </c>
      <c r="H1269" s="50" t="inlineStr">
        <is>
          <t>17 CTE nặng dùng lại &gt;= 2 lần mà không có CACHE: az, cons, glp, ldt, ofcr, ou, rev, snap_hub_account, snap_hub_deposits, snap_hub_loans, snap_link_account_customer, snap_link_loans_payment_due, snap_prev_work_date, snap_sat_account_classification, snap_sat_account_information, snap_sat_customer_classification, snap_sat_deposits_information</t>
        </is>
      </c>
      <c r="I1269" s="50" t="inlineStr">
        <is>
          <t>Nếu một kết quả nặng được dùng lại nhiều bước trong cùng luồng, thêm CACHE TABLE / CACHE SELECT. Kết quả nhỏ thì cache còn chậm hơn — tự tick Pass.</t>
        </is>
      </c>
      <c r="J1269" s="48" t="inlineStr">
        <is>
          <t>065. OCB_GOLD_TCKH_RT_AR_DTL_HOP.xlsx [SCRIPT: RT_AR_DTL]</t>
        </is>
      </c>
    </row>
    <row r="1270">
      <c r="A1270" s="48" t="inlineStr">
        <is>
          <t>TCKH.RT_AR_DTL</t>
        </is>
      </c>
      <c r="B1270" s="48" t="inlineStr">
        <is>
          <t>SILVER_CONSUMER</t>
        </is>
      </c>
      <c r="C1270" s="48" t="inlineStr">
        <is>
          <t>3.5</t>
        </is>
      </c>
      <c r="D1270" s="48" t="inlineStr">
        <is>
          <t>Nhom 3 - Optimization</t>
        </is>
      </c>
      <c r="E1270" s="48" t="inlineStr">
        <is>
          <t>Ưu tiên MAX_BY + QUALIFY thay ROW_NUMBER() + WHERE rn = 1</t>
        </is>
      </c>
      <c r="F1270" s="48" t="inlineStr">
        <is>
          <t>N-A</t>
        </is>
      </c>
      <c r="G1270" s="48" t="inlineStr">
        <is>
          <t>Pass</t>
        </is>
      </c>
      <c r="H1270" s="50" t="inlineStr">
        <is>
          <t>script không dùng ROW_NUMBER, và MAX_BY (nếu có) không vượt quá 5 cột/khối</t>
        </is>
      </c>
      <c r="I12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70" s="48" t="inlineStr">
        <is>
          <t>065. OCB_GOLD_TCKH_RT_AR_DTL_HOP.xlsx [SCRIPT: RT_AR_DTL]</t>
        </is>
      </c>
    </row>
    <row r="1271">
      <c r="A1271" s="48" t="inlineStr">
        <is>
          <t>TCKH.RT_AR_DTL</t>
        </is>
      </c>
      <c r="B1271" s="48" t="inlineStr">
        <is>
          <t>SILVER_CONSUMER</t>
        </is>
      </c>
      <c r="C1271" s="48" t="inlineStr">
        <is>
          <t>3.6</t>
        </is>
      </c>
      <c r="D1271" s="48" t="inlineStr">
        <is>
          <t>Nhom 3 - Optimization</t>
        </is>
      </c>
      <c r="E1271" s="48" t="inlineStr">
        <is>
          <t>Không lạm dụng window function; có comment khi dùng</t>
        </is>
      </c>
      <c r="F1271" s="48" t="inlineStr">
        <is>
          <t>N-A</t>
        </is>
      </c>
      <c r="G1271" s="48" t="inlineStr">
        <is>
          <t>Pass</t>
        </is>
      </c>
      <c r="H1271" s="50" t="inlineStr">
        <is>
          <t>script không dùng window function</t>
        </is>
      </c>
      <c r="I1271" s="50" t="inlineStr">
        <is>
          <t>Mỗi window function cần một comment ngay trên khối CTE chứa nó, nói rõ vì sao không dùng được max_by/QUALIFY đơn giản hơn.</t>
        </is>
      </c>
      <c r="J1271" s="48" t="inlineStr">
        <is>
          <t>065. OCB_GOLD_TCKH_RT_AR_DTL_HOP.xlsx [SCRIPT: RT_AR_DTL]</t>
        </is>
      </c>
    </row>
    <row r="1272">
      <c r="A1272" s="48" t="inlineStr">
        <is>
          <t>TCKH.RT_AR_DTL</t>
        </is>
      </c>
      <c r="B1272" s="48" t="inlineStr">
        <is>
          <t>SILVER_CONSUMER</t>
        </is>
      </c>
      <c r="C1272" s="48" t="inlineStr">
        <is>
          <t>X.1</t>
        </is>
      </c>
      <c r="D1272" s="48" t="inlineStr">
        <is>
          <t>Nhom X - Bo sung Raffles</t>
        </is>
      </c>
      <c r="E1272" s="48" t="inlineStr">
        <is>
          <t>[Bổ sung] Link phải rút về current trước khi join (chống fan-out)</t>
        </is>
      </c>
      <c r="F1272" s="49" t="inlineStr">
        <is>
          <t>PASS</t>
        </is>
      </c>
      <c r="G1272" s="48" t="inlineStr">
        <is>
          <t>Pass</t>
        </is>
      </c>
      <c r="H1272" s="50" t="inlineStr">
        <is>
          <t>các bảng link_* đều được rút về current trước khi join</t>
        </is>
      </c>
      <c r="I12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72" s="48" t="inlineStr">
        <is>
          <t>065. OCB_GOLD_TCKH_RT_AR_DTL_HOP.xlsx [SCRIPT: RT_AR_DTL]</t>
        </is>
      </c>
    </row>
    <row r="1273">
      <c r="A1273" s="48" t="inlineStr">
        <is>
          <t>TCKH.RT_AR_DTL</t>
        </is>
      </c>
      <c r="B1273" s="48" t="inlineStr">
        <is>
          <t>SILVER_CONSUMER</t>
        </is>
      </c>
      <c r="C1273" s="48" t="inlineStr">
        <is>
          <t>X.6</t>
        </is>
      </c>
      <c r="D1273" s="48" t="inlineStr">
        <is>
          <t>Nhom X - Bo sung Raffles</t>
        </is>
      </c>
      <c r="E1273" s="48" t="inlineStr">
        <is>
          <t>[Bổ sung] Satellite phải LEFT JOIN, không INNER JOIN</t>
        </is>
      </c>
      <c r="F1273" s="49" t="inlineStr">
        <is>
          <t>PASS</t>
        </is>
      </c>
      <c r="G1273" s="48" t="inlineStr">
        <is>
          <t>Pass</t>
        </is>
      </c>
      <c r="H1273" s="50" t="inlineStr">
        <is>
          <t>các satellite đều LEFT JOIN</t>
        </is>
      </c>
      <c r="I1273" s="50" t="inlineStr">
        <is>
          <t>Technical Document III.4.2.2 nguyên tắc 1: làm giàu thuộc tính luôn dùng LEFT JOIN. INNER JOIN satellite sẽ loại mất bản ghi Hub đang còn hiệu lực nhưng chưa có dòng satellite.</t>
        </is>
      </c>
      <c r="J1273" s="48" t="inlineStr">
        <is>
          <t>065. OCB_GOLD_TCKH_RT_AR_DTL_HOP.xlsx [SCRIPT: RT_AR_DTL]</t>
        </is>
      </c>
    </row>
    <row r="1274">
      <c r="A1274" s="48" t="inlineStr">
        <is>
          <t>TCKH.RT_AR_DTL</t>
        </is>
      </c>
      <c r="B1274" s="48" t="inlineStr">
        <is>
          <t>SILVER_CONSUMER</t>
        </is>
      </c>
      <c r="C1274" s="48" t="inlineStr">
        <is>
          <t>X.7</t>
        </is>
      </c>
      <c r="D1274" s="48" t="inlineStr">
        <is>
          <t>Nhom X - Bo sung Raffles</t>
        </is>
      </c>
      <c r="E1274" s="48" t="inlineStr">
        <is>
          <t>[Bổ sung] Không hard-code catalog, dùng biến môi trường</t>
        </is>
      </c>
      <c r="F1274" s="49" t="inlineStr">
        <is>
          <t>PASS</t>
        </is>
      </c>
      <c r="G1274" s="48" t="inlineStr">
        <is>
          <t>Pass</t>
        </is>
      </c>
      <c r="H1274" s="50" t="inlineStr">
        <is>
          <t>dùng biến môi trường cho catalog</t>
        </is>
      </c>
      <c r="I12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74" s="48" t="inlineStr">
        <is>
          <t>065. OCB_GOLD_TCKH_RT_AR_DTL_HOP.xlsx [SCRIPT: RT_AR_DTL]</t>
        </is>
      </c>
    </row>
    <row r="1275">
      <c r="A1275" s="48" t="inlineStr">
        <is>
          <t>TCKH.RT_AR_DTL</t>
        </is>
      </c>
      <c r="B1275" s="48" t="inlineStr">
        <is>
          <t>SILVER_CONSUMER</t>
        </is>
      </c>
      <c r="C1275" s="48" t="inlineStr">
        <is>
          <t>X.10</t>
        </is>
      </c>
      <c r="D1275" s="48" t="inlineStr">
        <is>
          <t>Nhom X - Bo sung Raffles</t>
        </is>
      </c>
      <c r="E1275" s="48" t="inlineStr">
        <is>
          <t>Bang raw_vault/business_vault duoc doc phai TON TAI THAT trong Data Vault model</t>
        </is>
      </c>
      <c r="F1275" s="49" t="inlineStr">
        <is>
          <t>PASS</t>
        </is>
      </c>
      <c r="G1275" s="48" t="inlineStr">
        <is>
          <t>Pass</t>
        </is>
      </c>
      <c r="H1275" s="50" t="inlineStr">
        <is>
          <t>32 bảng Silver đều có thật trong Data Vault model</t>
        </is>
      </c>
      <c r="I1275" s="50" t="inlineStr"/>
      <c r="J1275" s="48" t="inlineStr">
        <is>
          <t>065. OCB_GOLD_TCKH_RT_AR_DTL_HOP.xlsx [SCRIPT: RT_AR_DTL]</t>
        </is>
      </c>
    </row>
    <row r="1276">
      <c r="A1276" s="48" t="inlineStr">
        <is>
          <t>TCKH.RT_AR_DTL</t>
        </is>
      </c>
      <c r="B1276" s="48" t="inlineStr">
        <is>
          <t>SILVER_CONSUMER</t>
        </is>
      </c>
      <c r="C1276" s="48" t="inlineStr">
        <is>
          <t>X.11</t>
        </is>
      </c>
      <c r="D1276" s="48" t="inlineStr">
        <is>
          <t>Nhom X - Bo sung Raffles</t>
        </is>
      </c>
      <c r="E1276" s="48" t="inlineStr">
        <is>
          <t>Cot doc tu satellite (sat_*) phai TON TAI THAT trong model</t>
        </is>
      </c>
      <c r="F1276" s="49" t="inlineStr">
        <is>
          <t>PASS</t>
        </is>
      </c>
      <c r="G1276" s="48" t="inlineStr">
        <is>
          <t>Pass</t>
        </is>
      </c>
      <c r="H1276" s="50" t="inlineStr">
        <is>
          <t>mọi cột đọc từ sat_* đều tồn tại trong model thật</t>
        </is>
      </c>
      <c r="I1276" s="50" t="inlineStr"/>
      <c r="J1276" s="48" t="inlineStr">
        <is>
          <t>065. OCB_GOLD_TCKH_RT_AR_DTL_HOP.xlsx [SCRIPT: RT_AR_DTL]</t>
        </is>
      </c>
    </row>
    <row r="1277">
      <c r="A1277" s="48" t="inlineStr">
        <is>
          <t>TCKH.TMP_CST_LCS_KT_30D_FINAL_CASE5</t>
        </is>
      </c>
      <c r="B1277" s="48" t="inlineStr">
        <is>
          <t>SILVER_CONSUMER</t>
        </is>
      </c>
      <c r="C1277" s="48" t="inlineStr">
        <is>
          <t>1.1</t>
        </is>
      </c>
      <c r="D1277" s="48" t="inlineStr">
        <is>
          <t>Nhom 1 - Mapping</t>
        </is>
      </c>
      <c r="E1277" s="48" t="inlineStr">
        <is>
          <t>Đầy đủ mapping từ Silver/manual sang Gold</t>
        </is>
      </c>
      <c r="F1277" s="49" t="inlineStr">
        <is>
          <t>PASS</t>
        </is>
      </c>
      <c r="G1277" s="48" t="inlineStr">
        <is>
          <t>Pass</t>
        </is>
      </c>
      <c r="H1277" s="50" t="inlineStr">
        <is>
          <t>workbook 066. OCB_GOLD_TCKH_TMP_CST_LCS_KT_30D_FINAL_CASE5_MAPPING_MAIPT_BAOANH.xlsx: thiết kế 31 field, SQL có 31 cột</t>
        </is>
      </c>
      <c r="I12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77" s="48" t="inlineStr">
        <is>
          <t>066. OCB_GOLD_TCKH_TMP_CST_LCS_KT_30D_FINAL_CASE5_MAPPING_MAIPT_BAOANH.xlsx [Script: TMP_CST_LCS_KT_30D_FINAL_CASE5]</t>
        </is>
      </c>
    </row>
    <row r="1278">
      <c r="A1278" s="48" t="inlineStr">
        <is>
          <t>TCKH.TMP_CST_LCS_KT_30D_FINAL_CASE5</t>
        </is>
      </c>
      <c r="B1278" s="48" t="inlineStr">
        <is>
          <t>SILVER_CONSUMER</t>
        </is>
      </c>
      <c r="C1278" s="48" t="inlineStr">
        <is>
          <t>1.2</t>
        </is>
      </c>
      <c r="D1278" s="48" t="inlineStr">
        <is>
          <t>Nhom 1 - Mapping</t>
        </is>
      </c>
      <c r="E1278" s="48" t="inlineStr">
        <is>
          <t>Danh sách bảng/view Gold khớp tài liệu thiết kế đã duyệt</t>
        </is>
      </c>
      <c r="F1278" s="49" t="inlineStr">
        <is>
          <t>PASS</t>
        </is>
      </c>
      <c r="G1278" s="48" t="inlineStr">
        <is>
          <t>Pass</t>
        </is>
      </c>
      <c r="H1278" s="50" t="inlineStr">
        <is>
          <t>TMP_CST_LCS_KT_30D_FINAL_CASE5 có workbook thiết kế: 066. OCB_GOLD_TCKH_TMP_CST_LCS_KT_30D_FINAL_CASE5_MAPPING_MAIPT_BAOANH.xlsx</t>
        </is>
      </c>
      <c r="I1278" s="50" t="inlineStr">
        <is>
          <t>Đảm bảo object có workbook thiết kế tương ứng trong thư mục --mapping-dir. Muốn đối chiếu với danh sách đã duyệt thì chạy thêm tham số --gold-list "&lt;file danh sách Gold&gt;.xlsx".</t>
        </is>
      </c>
      <c r="J1278" s="48" t="inlineStr">
        <is>
          <t>066. OCB_GOLD_TCKH_TMP_CST_LCS_KT_30D_FINAL_CASE5_MAPPING_MAIPT_BAOANH.xlsx [Script: TMP_CST_LCS_KT_30D_FINAL_CASE5]</t>
        </is>
      </c>
    </row>
    <row r="1279">
      <c r="A1279" s="48" t="inlineStr">
        <is>
          <t>TCKH.TMP_CST_LCS_KT_30D_FINAL_CASE5</t>
        </is>
      </c>
      <c r="B1279" s="48" t="inlineStr">
        <is>
          <t>SILVER_CONSUMER</t>
        </is>
      </c>
      <c r="C1279" s="48" t="inlineStr">
        <is>
          <t>2.1</t>
        </is>
      </c>
      <c r="D1279" s="48" t="inlineStr">
        <is>
          <t>Nhom 2 - Logic</t>
        </is>
      </c>
      <c r="E1279" s="48" t="inlineStr">
        <is>
          <t>Chỉ lấy bản ghi active, loại bản ghi đã xóa (qua sts_hub)</t>
        </is>
      </c>
      <c r="F1279" s="49" t="inlineStr">
        <is>
          <t>PASS</t>
        </is>
      </c>
      <c r="G1279" s="48" t="inlineStr">
        <is>
          <t>Pass</t>
        </is>
      </c>
      <c r="H1279" s="50" t="inlineStr">
        <is>
          <t>4 sts_hub_* đọc đúng format</t>
        </is>
      </c>
      <c r="I12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79" s="48" t="inlineStr">
        <is>
          <t>066. OCB_GOLD_TCKH_TMP_CST_LCS_KT_30D_FINAL_CASE5_MAPPING_MAIPT_BAOANH.xlsx [Script: TMP_CST_LCS_KT_30D_FINAL_CASE5]</t>
        </is>
      </c>
    </row>
    <row r="1280">
      <c r="A1280" s="48" t="inlineStr">
        <is>
          <t>TCKH.TMP_CST_LCS_KT_30D_FINAL_CASE5</t>
        </is>
      </c>
      <c r="B1280" s="48" t="inlineStr">
        <is>
          <t>SILVER_CONSUMER</t>
        </is>
      </c>
      <c r="C1280" s="48" t="inlineStr">
        <is>
          <t>2.2</t>
        </is>
      </c>
      <c r="D1280" s="48" t="inlineStr">
        <is>
          <t>Nhom 2 - Logic</t>
        </is>
      </c>
      <c r="E1280" s="48" t="inlineStr">
        <is>
          <t>Thống nhất MỘT pattern duy nhất xác định bản ghi active mới nhất</t>
        </is>
      </c>
      <c r="F1280" s="49" t="inlineStr">
        <is>
          <t>PASS</t>
        </is>
      </c>
      <c r="G1280" s="48" t="inlineStr">
        <is>
          <t>Pass</t>
        </is>
      </c>
      <c r="H1280" s="50" t="inlineStr">
        <is>
          <t>file này dùng: ['MAX_BY']; toàn batch dùng: ['MAX_BY']</t>
        </is>
      </c>
      <c r="I12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80" s="48" t="inlineStr">
        <is>
          <t>066. OCB_GOLD_TCKH_TMP_CST_LCS_KT_30D_FINAL_CASE5_MAPPING_MAIPT_BAOANH.xlsx [Script: TMP_CST_LCS_KT_30D_FINAL_CASE5]</t>
        </is>
      </c>
    </row>
    <row r="1281">
      <c r="A1281" s="48" t="inlineStr">
        <is>
          <t>TCKH.TMP_CST_LCS_KT_30D_FINAL_CASE5</t>
        </is>
      </c>
      <c r="B1281" s="48" t="inlineStr">
        <is>
          <t>SILVER_CONSUMER</t>
        </is>
      </c>
      <c r="C1281" s="48" t="inlineStr">
        <is>
          <t>2.3</t>
        </is>
      </c>
      <c r="D1281" s="48" t="inlineStr">
        <is>
          <t>Nhom 2 - Logic</t>
        </is>
      </c>
      <c r="E1281" s="48" t="inlineStr">
        <is>
          <t>Điều kiện lọc trạng thái đặt SAU khi xác định bản ghi mới nhất</t>
        </is>
      </c>
      <c r="F1281" s="49" t="inlineStr">
        <is>
          <t>PASS</t>
        </is>
      </c>
      <c r="G1281" s="48" t="inlineStr">
        <is>
          <t>Pass</t>
        </is>
      </c>
      <c r="H1281" s="50" t="inlineStr">
        <is>
          <t>không có điều kiện trạng thái nào lồng trong JOIN ON</t>
        </is>
      </c>
      <c r="I12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81" s="48" t="inlineStr">
        <is>
          <t>066. OCB_GOLD_TCKH_TMP_CST_LCS_KT_30D_FINAL_CASE5_MAPPING_MAIPT_BAOANH.xlsx [Script: TMP_CST_LCS_KT_30D_FINAL_CASE5]</t>
        </is>
      </c>
    </row>
    <row r="1282">
      <c r="A1282" s="48" t="inlineStr">
        <is>
          <t>TCKH.TMP_CST_LCS_KT_30D_FINAL_CASE5</t>
        </is>
      </c>
      <c r="B1282" s="48" t="inlineStr">
        <is>
          <t>SILVER_CONSUMER</t>
        </is>
      </c>
      <c r="C1282" s="48" t="inlineStr">
        <is>
          <t>2.4</t>
        </is>
      </c>
      <c r="D1282" s="48" t="inlineStr">
        <is>
          <t>Nhom 2 - Logic</t>
        </is>
      </c>
      <c r="E1282" s="48" t="inlineStr">
        <is>
          <t>source_event_date áp dụng đúng dạng theo loại bảng</t>
        </is>
      </c>
      <c r="F1282" s="49" t="inlineStr">
        <is>
          <t>PASS</t>
        </is>
      </c>
      <c r="G1282" s="48" t="inlineStr">
        <is>
          <t>Pass</t>
        </is>
      </c>
      <c r="H1282" s="50" t="inlineStr">
        <is>
          <t>22 satellite đều đúng dạng điều kiện source_event_date</t>
        </is>
      </c>
      <c r="I12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82" s="48" t="inlineStr">
        <is>
          <t>066. OCB_GOLD_TCKH_TMP_CST_LCS_KT_30D_FINAL_CASE5_MAPPING_MAIPT_BAOANH.xlsx [Script: TMP_CST_LCS_KT_30D_FINAL_CASE5]</t>
        </is>
      </c>
    </row>
    <row r="1283">
      <c r="A1283" s="48" t="inlineStr">
        <is>
          <t>TCKH.TMP_CST_LCS_KT_30D_FINAL_CASE5</t>
        </is>
      </c>
      <c r="B1283" s="48" t="inlineStr">
        <is>
          <t>SILVER_CONSUMER</t>
        </is>
      </c>
      <c r="C1283" s="48" t="inlineStr">
        <is>
          <t>2.5</t>
        </is>
      </c>
      <c r="D1283" s="48" t="inlineStr">
        <is>
          <t>Nhom 2 - Logic</t>
        </is>
      </c>
      <c r="E1283" s="48" t="inlineStr">
        <is>
          <t>Không lặp lại lỗi logic cũ đã được DA Data Vault fix</t>
        </is>
      </c>
      <c r="F1283" s="49" t="inlineStr">
        <is>
          <t>PASS</t>
        </is>
      </c>
      <c r="G1283" s="48" t="inlineStr">
        <is>
          <t>Pass</t>
        </is>
      </c>
      <c r="H1283" s="50" t="inlineStr">
        <is>
          <t>không trùng lỗi nào trong Issue log của DA Data Vault</t>
        </is>
      </c>
      <c r="I12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83" s="48" t="inlineStr">
        <is>
          <t>066. OCB_GOLD_TCKH_TMP_CST_LCS_KT_30D_FINAL_CASE5_MAPPING_MAIPT_BAOANH.xlsx [Script: TMP_CST_LCS_KT_30D_FINAL_CASE5]</t>
        </is>
      </c>
    </row>
    <row r="1284">
      <c r="A1284" s="48" t="inlineStr">
        <is>
          <t>TCKH.TMP_CST_LCS_KT_30D_FINAL_CASE5</t>
        </is>
      </c>
      <c r="B1284" s="48" t="inlineStr">
        <is>
          <t>SILVER_CONSUMER</t>
        </is>
      </c>
      <c r="C1284" s="48" t="inlineStr">
        <is>
          <t>2.6</t>
        </is>
      </c>
      <c r="D1284" s="48" t="inlineStr">
        <is>
          <t>Nhom 2 - Logic</t>
        </is>
      </c>
      <c r="E1284" s="48" t="inlineStr">
        <is>
          <t>SCD Type 2 cho bảng DIM áp dụng đúng kỹ thuật đã thống nhất</t>
        </is>
      </c>
      <c r="F1284" s="48" t="inlineStr">
        <is>
          <t>N-A</t>
        </is>
      </c>
      <c r="G1284" s="48" t="inlineStr">
        <is>
          <t>Pass</t>
        </is>
      </c>
      <c r="H1284" s="50" t="inlineStr">
        <is>
          <t>object không phải bảng DIM nên không áp dụng SCD Type 2</t>
        </is>
      </c>
      <c r="I12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84" s="48" t="inlineStr">
        <is>
          <t>066. OCB_GOLD_TCKH_TMP_CST_LCS_KT_30D_FINAL_CASE5_MAPPING_MAIPT_BAOANH.xlsx [Script: TMP_CST_LCS_KT_30D_FINAL_CASE5]</t>
        </is>
      </c>
    </row>
    <row r="1285">
      <c r="A1285" s="48" t="inlineStr">
        <is>
          <t>TCKH.TMP_CST_LCS_KT_30D_FINAL_CASE5</t>
        </is>
      </c>
      <c r="B1285" s="48" t="inlineStr">
        <is>
          <t>SILVER_CONSUMER</t>
        </is>
      </c>
      <c r="C1285" s="48" t="inlineStr">
        <is>
          <t>2.7</t>
        </is>
      </c>
      <c r="D1285" s="48" t="inlineStr">
        <is>
          <t>Nhom 2 - Logic</t>
        </is>
      </c>
      <c r="E1285" s="48" t="inlineStr">
        <is>
          <t>CASE WHEN cover đủ nhánh như job on-prem</t>
        </is>
      </c>
      <c r="F1285" s="49" t="inlineStr">
        <is>
          <t>PASS</t>
        </is>
      </c>
      <c r="G1285" s="48" t="inlineStr">
        <is>
          <t>Pass</t>
        </is>
      </c>
      <c r="H1285" s="50" t="inlineStr">
        <is>
          <t>cả 41 CASE đều có nhánh ELSE</t>
        </is>
      </c>
      <c r="I1285" s="50" t="inlineStr">
        <is>
          <t>Mở job on-prem tương ứng (DataStage DSX hoặc SQL cũ), đối chiếu từng nhánh WHEN và cả nhánh ELSE. CASE không có ELSE sẽ trả NULL âm thầm — xác nhận đó là ý muốn hay thiếu nhánh.</t>
        </is>
      </c>
      <c r="J1285" s="48" t="inlineStr">
        <is>
          <t>066. OCB_GOLD_TCKH_TMP_CST_LCS_KT_30D_FINAL_CASE5_MAPPING_MAIPT_BAOANH.xlsx [Script: TMP_CST_LCS_KT_30D_FINAL_CASE5]</t>
        </is>
      </c>
    </row>
    <row r="1286">
      <c r="A1286" s="48" t="inlineStr">
        <is>
          <t>TCKH.TMP_CST_LCS_KT_30D_FINAL_CASE5</t>
        </is>
      </c>
      <c r="B1286" s="48" t="inlineStr">
        <is>
          <t>SILVER_CONSUMER</t>
        </is>
      </c>
      <c r="C1286" s="48" t="inlineStr">
        <is>
          <t>2.8</t>
        </is>
      </c>
      <c r="D1286" s="48" t="inlineStr">
        <is>
          <t>Nhom 2 - Logic</t>
        </is>
      </c>
      <c r="E1286" s="48" t="inlineStr">
        <is>
          <t>Cột SUM/COUNT được COALESCE/NVL hợp lý</t>
        </is>
      </c>
      <c r="F1286" s="49" t="inlineStr">
        <is>
          <t>PASS</t>
        </is>
      </c>
      <c r="G1286" s="48" t="inlineStr">
        <is>
          <t>Pass</t>
        </is>
      </c>
      <c r="H1286" s="50" t="inlineStr">
        <is>
          <t>mọi SUM/COUNT đều đã coalesce (trực tiếp hoặc ở lớp ngoài)</t>
        </is>
      </c>
      <c r="I12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86" s="48" t="inlineStr">
        <is>
          <t>066. OCB_GOLD_TCKH_TMP_CST_LCS_KT_30D_FINAL_CASE5_MAPPING_MAIPT_BAOANH.xlsx [Script: TMP_CST_LCS_KT_30D_FINAL_CASE5]</t>
        </is>
      </c>
    </row>
    <row r="1287">
      <c r="A1287" s="48" t="inlineStr">
        <is>
          <t>TCKH.TMP_CST_LCS_KT_30D_FINAL_CASE5</t>
        </is>
      </c>
      <c r="B1287" s="48" t="inlineStr">
        <is>
          <t>SILVER_CONSUMER</t>
        </is>
      </c>
      <c r="C1287" s="48" t="inlineStr">
        <is>
          <t>2.9</t>
        </is>
      </c>
      <c r="D1287" s="48" t="inlineStr">
        <is>
          <t>Nhom 2 - Logic</t>
        </is>
      </c>
      <c r="E1287" s="48" t="inlineStr">
        <is>
          <t>Subquery / custom function / điều kiện LIKE đúng ý nghĩa nghiệp vụ</t>
        </is>
      </c>
      <c r="F1287" s="49" t="inlineStr">
        <is>
          <t>PASS</t>
        </is>
      </c>
      <c r="G1287" s="48" t="inlineStr">
        <is>
          <t>Pass</t>
        </is>
      </c>
      <c r="H1287" s="50" t="inlineStr">
        <is>
          <t>3 điều kiện LIKE: ad1.t_inputter NOT LIKE '%\_COB%' | ce.business_key NOT LIKE 'F%' | hst.business_key NOT LIKE 'F%'; 1 subquery nằm trong điều kiện; cú pháp hợp lệ; ý nghĩa nghiệp vụ cần người review đối chiếu job on-prem</t>
        </is>
      </c>
      <c r="I1287" s="50" t="inlineStr">
        <is>
          <t>Đọc lại từng điều kiện LIKE và từng subquery, đối chiếu ý nghĩa nghiệp vụ với on-prem — đúng cú pháp không đủ. Chú ý pattern LIKE có ký tự % ở đầu/cuối và phân biệt chữ hoa/thường.</t>
        </is>
      </c>
      <c r="J1287" s="48" t="inlineStr">
        <is>
          <t>066. OCB_GOLD_TCKH_TMP_CST_LCS_KT_30D_FINAL_CASE5_MAPPING_MAIPT_BAOANH.xlsx [Script: TMP_CST_LCS_KT_30D_FINAL_CASE5]</t>
        </is>
      </c>
    </row>
    <row r="1288">
      <c r="A1288" s="48" t="inlineStr">
        <is>
          <t>TCKH.TMP_CST_LCS_KT_30D_FINAL_CASE5</t>
        </is>
      </c>
      <c r="B1288" s="48" t="inlineStr">
        <is>
          <t>SILVER_CONSUMER</t>
        </is>
      </c>
      <c r="C1288" s="48" t="inlineStr">
        <is>
          <t>2.10</t>
        </is>
      </c>
      <c r="D1288" s="48" t="inlineStr">
        <is>
          <t>Nhom 2 - Logic</t>
        </is>
      </c>
      <c r="E1288" s="48" t="inlineStr">
        <is>
          <t>Aggregation kèm filter date range chính xác</t>
        </is>
      </c>
      <c r="F1288" s="51" t="inlineStr">
        <is>
          <t>WARN</t>
        </is>
      </c>
      <c r="G1288" s="48" t="inlineStr">
        <is>
          <t>WARN</t>
        </is>
      </c>
      <c r="H1288" s="50" t="inlineStr">
        <is>
          <t>1 khối tổng hợp không thấy filter theo ngày/tham số: cte_w4_status</t>
        </is>
      </c>
      <c r="I1288" s="50" t="inlineStr">
        <is>
          <t>Mỗi khối SUM/COUNT/AVG phải có điều kiện lọc theo kỳ dữ liệu (CDR_DT_ID, DATA_DATE, :DATADT…). Nếu điều kiện nằm ở CTE nguồn thì ghi rõ trong comment để người review không phải truy ngược.</t>
        </is>
      </c>
      <c r="J1288" s="48" t="inlineStr">
        <is>
          <t>066. OCB_GOLD_TCKH_TMP_CST_LCS_KT_30D_FINAL_CASE5_MAPPING_MAIPT_BAOANH.xlsx [Script: TMP_CST_LCS_KT_30D_FINAL_CASE5]</t>
        </is>
      </c>
    </row>
    <row r="1289">
      <c r="A1289" s="48" t="inlineStr">
        <is>
          <t>TCKH.TMP_CST_LCS_KT_30D_FINAL_CASE5</t>
        </is>
      </c>
      <c r="B1289" s="48" t="inlineStr">
        <is>
          <t>SILVER_CONSUMER</t>
        </is>
      </c>
      <c r="C1289" s="48" t="inlineStr">
        <is>
          <t>2.11</t>
        </is>
      </c>
      <c r="D1289" s="48" t="inlineStr">
        <is>
          <t>Nhom 2 - Logic</t>
        </is>
      </c>
      <c r="E1289" s="48" t="inlineStr">
        <is>
          <t>Join dùng key hợp lý, không lạm dụng UNION ALL + EXISTS/NOT EXISTS</t>
        </is>
      </c>
      <c r="F1289" s="51" t="inlineStr">
        <is>
          <t>WARN</t>
        </is>
      </c>
      <c r="G1289" s="48" t="inlineStr">
        <is>
          <t>WARN</t>
        </is>
      </c>
      <c r="H1289" s="50" t="inlineStr">
        <is>
          <t>dùng đồng thời UNION ALL và EXISTS ở dòng [4, 595], xét thay bằng LEFT JOIN</t>
        </is>
      </c>
      <c r="I1289" s="50" t="inlineStr">
        <is>
          <t>Ưu tiên LEFT JOIN theo business key hoặc hashkey. Xem lại các chỗ dùng UNION ALL kết hợp EXISTS/NOT EXISTS — thường thay được bằng một LEFT JOIN. Join không có điều kiện bằng (=) dễ tạo tích Descartes.</t>
        </is>
      </c>
      <c r="J1289" s="48" t="inlineStr">
        <is>
          <t>066. OCB_GOLD_TCKH_TMP_CST_LCS_KT_30D_FINAL_CASE5_MAPPING_MAIPT_BAOANH.xlsx [Script: TMP_CST_LCS_KT_30D_FINAL_CASE5]</t>
        </is>
      </c>
    </row>
    <row r="1290">
      <c r="A1290" s="48" t="inlineStr">
        <is>
          <t>TCKH.TMP_CST_LCS_KT_30D_FINAL_CASE5</t>
        </is>
      </c>
      <c r="B1290" s="48" t="inlineStr">
        <is>
          <t>SILVER_CONSUMER</t>
        </is>
      </c>
      <c r="C1290" s="48" t="inlineStr">
        <is>
          <t>2.12</t>
        </is>
      </c>
      <c r="D1290" s="48" t="inlineStr">
        <is>
          <t>Nhom 2 - Logic</t>
        </is>
      </c>
      <c r="E1290" s="48" t="inlineStr">
        <is>
          <t>Build Gold từ CTE snapshot Silver, không build nhiều tầng chồng chéo</t>
        </is>
      </c>
      <c r="F1290" s="51" t="inlineStr">
        <is>
          <t>WARN</t>
        </is>
      </c>
      <c r="G1290" s="48" t="inlineStr">
        <is>
          <t>WARN</t>
        </is>
      </c>
      <c r="H1290" s="50" t="inlineStr">
        <is>
          <t>bảng bị đọc lại ở nhiều khối SELECT, xét gom thành 1 CTE: cte_w4_acnt_contract_type_cur ở 2 khối</t>
        </is>
      </c>
      <c r="I12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90" s="48" t="inlineStr">
        <is>
          <t>066. OCB_GOLD_TCKH_TMP_CST_LCS_KT_30D_FINAL_CASE5_MAPPING_MAIPT_BAOANH.xlsx [Script: TMP_CST_LCS_KT_30D_FINAL_CASE5]</t>
        </is>
      </c>
    </row>
    <row r="1291">
      <c r="A1291" s="48" t="inlineStr">
        <is>
          <t>TCKH.TMP_CST_LCS_KT_30D_FINAL_CASE5</t>
        </is>
      </c>
      <c r="B1291" s="48" t="inlineStr">
        <is>
          <t>SILVER_CONSUMER</t>
        </is>
      </c>
      <c r="C1291" s="48" t="inlineStr">
        <is>
          <t>3.1</t>
        </is>
      </c>
      <c r="D1291" s="48" t="inlineStr">
        <is>
          <t>Nhom 3 - Optimization</t>
        </is>
      </c>
      <c r="E1291" s="48" t="inlineStr">
        <is>
          <t>Không SELECT *</t>
        </is>
      </c>
      <c r="F1291" s="49" t="inlineStr">
        <is>
          <t>PASS</t>
        </is>
      </c>
      <c r="G1291" s="48" t="inlineStr">
        <is>
          <t>Pass</t>
        </is>
      </c>
      <c r="H1291" s="50" t="inlineStr">
        <is>
          <t>không dùng SELECT * ở đâu</t>
        </is>
      </c>
      <c r="I1291" s="50" t="inlineStr">
        <is>
          <t>Liệt kê tường minh các cột cần dùng, kể cả trong CTE trung gian. SELECT * làm tăng IO/memory và vỡ script khi bảng nguồn thêm cột.</t>
        </is>
      </c>
      <c r="J1291" s="48" t="inlineStr">
        <is>
          <t>066. OCB_GOLD_TCKH_TMP_CST_LCS_KT_30D_FINAL_CASE5_MAPPING_MAIPT_BAOANH.xlsx [Script: TMP_CST_LCS_KT_30D_FINAL_CASE5]</t>
        </is>
      </c>
    </row>
    <row r="1292">
      <c r="A1292" s="48" t="inlineStr">
        <is>
          <t>TCKH.TMP_CST_LCS_KT_30D_FINAL_CASE5</t>
        </is>
      </c>
      <c r="B1292" s="48" t="inlineStr">
        <is>
          <t>SILVER_CONSUMER</t>
        </is>
      </c>
      <c r="C1292" s="48" t="inlineStr">
        <is>
          <t>3.2</t>
        </is>
      </c>
      <c r="D1292" s="48" t="inlineStr">
        <is>
          <t>Nhom 3 - Optimization</t>
        </is>
      </c>
      <c r="E1292" s="48" t="inlineStr">
        <is>
          <t>CTE không bị scan lại nhiều lần</t>
        </is>
      </c>
      <c r="F1292" s="51" t="inlineStr">
        <is>
          <t>WARN</t>
        </is>
      </c>
      <c r="G1292" s="48" t="inlineStr">
        <is>
          <t>WARN</t>
        </is>
      </c>
      <c r="H1292" s="50" t="inlineStr">
        <is>
          <t>CTE bị tham chiếu lại nhiều lần: cte_account_sts_del x2, cte_crb_sts_del x2, cte_snap_hub_customer x2, cte_snap_hub_branch x2, cte_snap_hub_account x4, cte_snap_link_account_customer x3, cte_snap_hub_crb x3, cte_snap_link_letter_of_credit_customer x2, cte_snap_sat_account_balance x2, cte_snap_calendar x3, cte_customer_classification x2, cte_customer_balance x2, cte_acct_base x2, cte_acct_b2 x2, cte_ft_dedup x2, cte_ref_way4_contr_status_cur x2, cte_w4_acnt_contract_info_cur x2</t>
        </is>
      </c>
      <c r="I1292" s="50" t="inlineStr">
        <is>
          <t>Với CTE nặng (đọc nhiều bảng Silver) bị tham chiếu từ 2 chỗ trở lên: gom lại còn một lần dùng, hoặc vật chất hóa (CACHE / bảng tạm). CTE nhẹ chỉ chứa tham số thì bỏ qua được — tự tick Pass.</t>
        </is>
      </c>
      <c r="J1292" s="48" t="inlineStr">
        <is>
          <t>066. OCB_GOLD_TCKH_TMP_CST_LCS_KT_30D_FINAL_CASE5_MAPPING_MAIPT_BAOANH.xlsx [Script: TMP_CST_LCS_KT_30D_FINAL_CASE5]</t>
        </is>
      </c>
    </row>
    <row r="1293">
      <c r="A1293" s="48" t="inlineStr">
        <is>
          <t>TCKH.TMP_CST_LCS_KT_30D_FINAL_CASE5</t>
        </is>
      </c>
      <c r="B1293" s="48" t="inlineStr">
        <is>
          <t>SILVER_CONSUMER</t>
        </is>
      </c>
      <c r="C1293" s="48" t="inlineStr">
        <is>
          <t>3.3</t>
        </is>
      </c>
      <c r="D1293" s="48" t="inlineStr">
        <is>
          <t>Nhom 3 - Optimization</t>
        </is>
      </c>
      <c r="E1293" s="48" t="inlineStr">
        <is>
          <t>Filter trước khi join, tận dụng partition pruning</t>
        </is>
      </c>
      <c r="F1293" s="51" t="inlineStr">
        <is>
          <t>WARN</t>
        </is>
      </c>
      <c r="G1293" s="48" t="inlineStr">
        <is>
          <t>WARN</t>
        </is>
      </c>
      <c r="H1293" s="50" t="inlineStr">
        <is>
          <t>12 bảng join trực tiếp mà không có filter riêng: cte_w4_acnt_contract_branch_cur (lbr), cte_w4_acnt_contract_client_cur (lcl), cte_w4_acnt_contract_product_cur (lpr), hub_acnt_contract (cc), hub_acnt_contract (lac), hub_letter_of_credit (hlc), hub_loans (hln), hub_md_deal (hmd)</t>
        </is>
      </c>
      <c r="I1293" s="50" t="inlineStr">
        <is>
          <t>Đưa điều kiện lọc (ngày dữ liệu, trạng thái) vào subquery của từng bảng TRƯỚC khi join, để tận dụng partition pruning. Bảng dim nhỏ không partition thì không cần — tự tick Pass.</t>
        </is>
      </c>
      <c r="J1293" s="48" t="inlineStr">
        <is>
          <t>066. OCB_GOLD_TCKH_TMP_CST_LCS_KT_30D_FINAL_CASE5_MAPPING_MAIPT_BAOANH.xlsx [Script: TMP_CST_LCS_KT_30D_FINAL_CASE5]</t>
        </is>
      </c>
    </row>
    <row r="1294">
      <c r="A1294" s="48" t="inlineStr">
        <is>
          <t>TCKH.TMP_CST_LCS_KT_30D_FINAL_CASE5</t>
        </is>
      </c>
      <c r="B1294" s="48" t="inlineStr">
        <is>
          <t>SILVER_CONSUMER</t>
        </is>
      </c>
      <c r="C1294" s="48" t="inlineStr">
        <is>
          <t>3.4</t>
        </is>
      </c>
      <c r="D1294" s="48" t="inlineStr">
        <is>
          <t>Nhom 3 - Optimization</t>
        </is>
      </c>
      <c r="E1294" s="48" t="inlineStr">
        <is>
          <t>Sử dụng CACHE cho query lặp lại trong cùng luồng</t>
        </is>
      </c>
      <c r="F1294" s="51" t="inlineStr">
        <is>
          <t>WARN</t>
        </is>
      </c>
      <c r="G1294" s="48" t="inlineStr">
        <is>
          <t>WARN</t>
        </is>
      </c>
      <c r="H1294" s="50" t="inlineStr">
        <is>
          <t>17 CTE nặng dùng lại &gt;= 2 lần mà không có CACHE: cte_account_sts_del, cte_acct_b2, cte_acct_base, cte_crb_sts_del, cte_customer_balance, cte_customer_classification, cte_ft_dedup, cte_ref_way4_contr_status_cur, cte_snap_calendar, cte_snap_hub_account, cte_snap_hub_branch, cte_snap_hub_crb, cte_snap_hub_customer, cte_snap_link_account_customer, cte_snap_link_letter_of_credit_customer, cte_snap_sat_account_balance, cte_w4_acnt_contract_info_cur</t>
        </is>
      </c>
      <c r="I1294" s="50" t="inlineStr">
        <is>
          <t>Nếu một kết quả nặng được dùng lại nhiều bước trong cùng luồng, thêm CACHE TABLE / CACHE SELECT. Kết quả nhỏ thì cache còn chậm hơn — tự tick Pass.</t>
        </is>
      </c>
      <c r="J1294" s="48" t="inlineStr">
        <is>
          <t>066. OCB_GOLD_TCKH_TMP_CST_LCS_KT_30D_FINAL_CASE5_MAPPING_MAIPT_BAOANH.xlsx [Script: TMP_CST_LCS_KT_30D_FINAL_CASE5]</t>
        </is>
      </c>
    </row>
    <row r="1295">
      <c r="A1295" s="48" t="inlineStr">
        <is>
          <t>TCKH.TMP_CST_LCS_KT_30D_FINAL_CASE5</t>
        </is>
      </c>
      <c r="B1295" s="48" t="inlineStr">
        <is>
          <t>SILVER_CONSUMER</t>
        </is>
      </c>
      <c r="C1295" s="48" t="inlineStr">
        <is>
          <t>3.5</t>
        </is>
      </c>
      <c r="D1295" s="48" t="inlineStr">
        <is>
          <t>Nhom 3 - Optimization</t>
        </is>
      </c>
      <c r="E1295" s="48" t="inlineStr">
        <is>
          <t>Ưu tiên MAX_BY + QUALIFY thay ROW_NUMBER() + WHERE rn = 1</t>
        </is>
      </c>
      <c r="F1295" s="48" t="inlineStr">
        <is>
          <t>N-A</t>
        </is>
      </c>
      <c r="G1295" s="48" t="inlineStr">
        <is>
          <t>Pass</t>
        </is>
      </c>
      <c r="H1295" s="50" t="inlineStr">
        <is>
          <t>script không dùng ROW_NUMBER, và MAX_BY (nếu có) không vượt quá 5 cột/khối</t>
        </is>
      </c>
      <c r="I12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95" s="48" t="inlineStr">
        <is>
          <t>066. OCB_GOLD_TCKH_TMP_CST_LCS_KT_30D_FINAL_CASE5_MAPPING_MAIPT_BAOANH.xlsx [Script: TMP_CST_LCS_KT_30D_FINAL_CASE5]</t>
        </is>
      </c>
    </row>
    <row r="1296">
      <c r="A1296" s="48" t="inlineStr">
        <is>
          <t>TCKH.TMP_CST_LCS_KT_30D_FINAL_CASE5</t>
        </is>
      </c>
      <c r="B1296" s="48" t="inlineStr">
        <is>
          <t>SILVER_CONSUMER</t>
        </is>
      </c>
      <c r="C1296" s="48" t="inlineStr">
        <is>
          <t>3.6</t>
        </is>
      </c>
      <c r="D1296" s="48" t="inlineStr">
        <is>
          <t>Nhom 3 - Optimization</t>
        </is>
      </c>
      <c r="E1296" s="48" t="inlineStr">
        <is>
          <t>Không lạm dụng window function; có comment khi dùng</t>
        </is>
      </c>
      <c r="F1296" s="48" t="inlineStr">
        <is>
          <t>N-A</t>
        </is>
      </c>
      <c r="G1296" s="48" t="inlineStr">
        <is>
          <t>Pass</t>
        </is>
      </c>
      <c r="H1296" s="50" t="inlineStr">
        <is>
          <t>script không dùng window function</t>
        </is>
      </c>
      <c r="I1296" s="50" t="inlineStr">
        <is>
          <t>Mỗi window function cần một comment ngay trên khối CTE chứa nó, nói rõ vì sao không dùng được max_by/QUALIFY đơn giản hơn.</t>
        </is>
      </c>
      <c r="J1296" s="48" t="inlineStr">
        <is>
          <t>066. OCB_GOLD_TCKH_TMP_CST_LCS_KT_30D_FINAL_CASE5_MAPPING_MAIPT_BAOANH.xlsx [Script: TMP_CST_LCS_KT_30D_FINAL_CASE5]</t>
        </is>
      </c>
    </row>
    <row r="1297">
      <c r="A1297" s="48" t="inlineStr">
        <is>
          <t>TCKH.TMP_CST_LCS_KT_30D_FINAL_CASE5</t>
        </is>
      </c>
      <c r="B1297" s="48" t="inlineStr">
        <is>
          <t>SILVER_CONSUMER</t>
        </is>
      </c>
      <c r="C1297" s="48" t="inlineStr">
        <is>
          <t>X.1</t>
        </is>
      </c>
      <c r="D1297" s="48" t="inlineStr">
        <is>
          <t>Nhom X - Bo sung Raffles</t>
        </is>
      </c>
      <c r="E1297" s="48" t="inlineStr">
        <is>
          <t>[Bổ sung] Link phải rút về current trước khi join (chống fan-out)</t>
        </is>
      </c>
      <c r="F1297" s="49" t="inlineStr">
        <is>
          <t>PASS</t>
        </is>
      </c>
      <c r="G1297" s="48" t="inlineStr">
        <is>
          <t>Pass</t>
        </is>
      </c>
      <c r="H1297" s="50" t="inlineStr">
        <is>
          <t>các bảng link_* đều được rút về current trước khi join</t>
        </is>
      </c>
      <c r="I12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97" s="48" t="inlineStr">
        <is>
          <t>066. OCB_GOLD_TCKH_TMP_CST_LCS_KT_30D_FINAL_CASE5_MAPPING_MAIPT_BAOANH.xlsx [Script: TMP_CST_LCS_KT_30D_FINAL_CASE5]</t>
        </is>
      </c>
    </row>
    <row r="1298">
      <c r="A1298" s="48" t="inlineStr">
        <is>
          <t>TCKH.TMP_CST_LCS_KT_30D_FINAL_CASE5</t>
        </is>
      </c>
      <c r="B1298" s="48" t="inlineStr">
        <is>
          <t>SILVER_CONSUMER</t>
        </is>
      </c>
      <c r="C1298" s="48" t="inlineStr">
        <is>
          <t>X.6</t>
        </is>
      </c>
      <c r="D1298" s="48" t="inlineStr">
        <is>
          <t>Nhom X - Bo sung Raffles</t>
        </is>
      </c>
      <c r="E1298" s="48" t="inlineStr">
        <is>
          <t>[Bổ sung] Satellite phải LEFT JOIN, không INNER JOIN</t>
        </is>
      </c>
      <c r="F1298" s="49" t="inlineStr">
        <is>
          <t>PASS</t>
        </is>
      </c>
      <c r="G1298" s="48" t="inlineStr">
        <is>
          <t>Pass</t>
        </is>
      </c>
      <c r="H1298" s="50" t="inlineStr">
        <is>
          <t>các satellite đều LEFT JOIN</t>
        </is>
      </c>
      <c r="I1298" s="50" t="inlineStr">
        <is>
          <t>Technical Document III.4.2.2 nguyên tắc 1: làm giàu thuộc tính luôn dùng LEFT JOIN. INNER JOIN satellite sẽ loại mất bản ghi Hub đang còn hiệu lực nhưng chưa có dòng satellite.</t>
        </is>
      </c>
      <c r="J1298" s="48" t="inlineStr">
        <is>
          <t>066. OCB_GOLD_TCKH_TMP_CST_LCS_KT_30D_FINAL_CASE5_MAPPING_MAIPT_BAOANH.xlsx [Script: TMP_CST_LCS_KT_30D_FINAL_CASE5]</t>
        </is>
      </c>
    </row>
    <row r="1299">
      <c r="A1299" s="48" t="inlineStr">
        <is>
          <t>TCKH.TMP_CST_LCS_KT_30D_FINAL_CASE5</t>
        </is>
      </c>
      <c r="B1299" s="48" t="inlineStr">
        <is>
          <t>SILVER_CONSUMER</t>
        </is>
      </c>
      <c r="C1299" s="48" t="inlineStr">
        <is>
          <t>X.7</t>
        </is>
      </c>
      <c r="D1299" s="48" t="inlineStr">
        <is>
          <t>Nhom X - Bo sung Raffles</t>
        </is>
      </c>
      <c r="E1299" s="48" t="inlineStr">
        <is>
          <t>[Bổ sung] Không hard-code catalog, dùng biến môi trường</t>
        </is>
      </c>
      <c r="F1299" s="49" t="inlineStr">
        <is>
          <t>PASS</t>
        </is>
      </c>
      <c r="G1299" s="48" t="inlineStr">
        <is>
          <t>Pass</t>
        </is>
      </c>
      <c r="H1299" s="50" t="inlineStr">
        <is>
          <t>dùng biến môi trường cho catalog</t>
        </is>
      </c>
      <c r="I12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99" s="48" t="inlineStr">
        <is>
          <t>066. OCB_GOLD_TCKH_TMP_CST_LCS_KT_30D_FINAL_CASE5_MAPPING_MAIPT_BAOANH.xlsx [Script: TMP_CST_LCS_KT_30D_FINAL_CASE5]</t>
        </is>
      </c>
    </row>
    <row r="1300">
      <c r="A1300" s="48" t="inlineStr">
        <is>
          <t>TCKH.TMP_CST_LCS_KT_30D_FINAL_CASE5</t>
        </is>
      </c>
      <c r="B1300" s="48" t="inlineStr">
        <is>
          <t>SILVER_CONSUMER</t>
        </is>
      </c>
      <c r="C1300" s="48" t="inlineStr">
        <is>
          <t>X.10</t>
        </is>
      </c>
      <c r="D1300" s="48" t="inlineStr">
        <is>
          <t>Nhom X - Bo sung Raffles</t>
        </is>
      </c>
      <c r="E1300" s="48" t="inlineStr">
        <is>
          <t>Bang raw_vault/business_vault duoc doc phai TON TAI THAT trong Data Vault model</t>
        </is>
      </c>
      <c r="F1300" s="49" t="inlineStr">
        <is>
          <t>PASS</t>
        </is>
      </c>
      <c r="G1300" s="48" t="inlineStr">
        <is>
          <t>Pass</t>
        </is>
      </c>
      <c r="H1300" s="50" t="inlineStr">
        <is>
          <t>55 bảng Silver đều có thật trong Data Vault model</t>
        </is>
      </c>
      <c r="I1300" s="50" t="inlineStr"/>
      <c r="J1300" s="48" t="inlineStr">
        <is>
          <t>066. OCB_GOLD_TCKH_TMP_CST_LCS_KT_30D_FINAL_CASE5_MAPPING_MAIPT_BAOANH.xlsx [Script: TMP_CST_LCS_KT_30D_FINAL_CASE5]</t>
        </is>
      </c>
    </row>
    <row r="1301">
      <c r="A1301" s="48" t="inlineStr">
        <is>
          <t>TCKH.TMP_CST_LCS_KT_30D_FINAL_CASE5</t>
        </is>
      </c>
      <c r="B1301" s="48" t="inlineStr">
        <is>
          <t>SILVER_CONSUMER</t>
        </is>
      </c>
      <c r="C1301" s="48" t="inlineStr">
        <is>
          <t>X.11</t>
        </is>
      </c>
      <c r="D1301" s="48" t="inlineStr">
        <is>
          <t>Nhom X - Bo sung Raffles</t>
        </is>
      </c>
      <c r="E1301" s="48" t="inlineStr">
        <is>
          <t>Cot doc tu satellite (sat_*) phai TON TAI THAT trong model</t>
        </is>
      </c>
      <c r="F1301" s="49" t="inlineStr">
        <is>
          <t>PASS</t>
        </is>
      </c>
      <c r="G1301" s="48" t="inlineStr">
        <is>
          <t>Pass</t>
        </is>
      </c>
      <c r="H1301" s="50" t="inlineStr">
        <is>
          <t>mọi cột đọc từ sat_* đều tồn tại trong model thật</t>
        </is>
      </c>
      <c r="I1301" s="50" t="inlineStr"/>
      <c r="J1301" s="48" t="inlineStr">
        <is>
          <t>066. OCB_GOLD_TCKH_TMP_CST_LCS_KT_30D_FINAL_CASE5_MAPPING_MAIPT_BAOANH.xlsx [Script: TMP_CST_LCS_KT_30D_FINAL_CASE5]</t>
        </is>
      </c>
    </row>
    <row r="1302">
      <c r="A1302" s="48" t="inlineStr">
        <is>
          <t>TCKH.AR_DIM</t>
        </is>
      </c>
      <c r="B1302" s="48" t="inlineStr">
        <is>
          <t>SILVER_CONSUMER</t>
        </is>
      </c>
      <c r="C1302" s="48" t="inlineStr">
        <is>
          <t>1.1</t>
        </is>
      </c>
      <c r="D1302" s="48" t="inlineStr">
        <is>
          <t>Nhom 1 - Mapping</t>
        </is>
      </c>
      <c r="E1302" s="48" t="inlineStr">
        <is>
          <t>Đầy đủ mapping từ Silver/manual sang Gold</t>
        </is>
      </c>
      <c r="F1302" s="49" t="inlineStr">
        <is>
          <t>PASS</t>
        </is>
      </c>
      <c r="G1302" s="48" t="inlineStr">
        <is>
          <t>Pass</t>
        </is>
      </c>
      <c r="H1302" s="50" t="inlineStr">
        <is>
          <t>workbook 067. OCB_GOLD_TCKH_AR_DIM_HOP.xlsx: thiết kế 10 field, SQL có 10 cột</t>
        </is>
      </c>
      <c r="I13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02" s="48" t="inlineStr">
        <is>
          <t>067. OCB_GOLD_TCKH_AR_DIM_HOP.xlsx [SCRIPT: AR_DIM]</t>
        </is>
      </c>
    </row>
    <row r="1303">
      <c r="A1303" s="48" t="inlineStr">
        <is>
          <t>TCKH.AR_DIM</t>
        </is>
      </c>
      <c r="B1303" s="48" t="inlineStr">
        <is>
          <t>SILVER_CONSUMER</t>
        </is>
      </c>
      <c r="C1303" s="48" t="inlineStr">
        <is>
          <t>1.2</t>
        </is>
      </c>
      <c r="D1303" s="48" t="inlineStr">
        <is>
          <t>Nhom 1 - Mapping</t>
        </is>
      </c>
      <c r="E1303" s="48" t="inlineStr">
        <is>
          <t>Danh sách bảng/view Gold khớp tài liệu thiết kế đã duyệt</t>
        </is>
      </c>
      <c r="F1303" s="49" t="inlineStr">
        <is>
          <t>PASS</t>
        </is>
      </c>
      <c r="G1303" s="48" t="inlineStr">
        <is>
          <t>Pass</t>
        </is>
      </c>
      <c r="H1303" s="50" t="inlineStr">
        <is>
          <t>AR_DIM có workbook thiết kế: 067. OCB_GOLD_TCKH_AR_DIM_HOP.xlsx</t>
        </is>
      </c>
      <c r="I1303" s="50" t="inlineStr">
        <is>
          <t>Đảm bảo object có workbook thiết kế tương ứng trong thư mục --mapping-dir. Muốn đối chiếu với danh sách đã duyệt thì chạy thêm tham số --gold-list "&lt;file danh sách Gold&gt;.xlsx".</t>
        </is>
      </c>
      <c r="J1303" s="48" t="inlineStr">
        <is>
          <t>067. OCB_GOLD_TCKH_AR_DIM_HOP.xlsx [SCRIPT: AR_DIM]</t>
        </is>
      </c>
    </row>
    <row r="1304">
      <c r="A1304" s="48" t="inlineStr">
        <is>
          <t>TCKH.AR_DIM</t>
        </is>
      </c>
      <c r="B1304" s="48" t="inlineStr">
        <is>
          <t>SILVER_CONSUMER</t>
        </is>
      </c>
      <c r="C1304" s="48" t="inlineStr">
        <is>
          <t>2.1</t>
        </is>
      </c>
      <c r="D1304" s="48" t="inlineStr">
        <is>
          <t>Nhom 2 - Logic</t>
        </is>
      </c>
      <c r="E1304" s="48" t="inlineStr">
        <is>
          <t>Chỉ lấy bản ghi active, loại bản ghi đã xóa (qua sts_hub)</t>
        </is>
      </c>
      <c r="F1304" s="49" t="inlineStr">
        <is>
          <t>PASS</t>
        </is>
      </c>
      <c r="G1304" s="48" t="inlineStr">
        <is>
          <t>Pass</t>
        </is>
      </c>
      <c r="H1304" s="50" t="inlineStr">
        <is>
          <t>14 sts_hub_* đọc đúng format</t>
        </is>
      </c>
      <c r="I13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04" s="48" t="inlineStr">
        <is>
          <t>067. OCB_GOLD_TCKH_AR_DIM_HOP.xlsx [SCRIPT: AR_DIM]</t>
        </is>
      </c>
    </row>
    <row r="1305">
      <c r="A1305" s="48" t="inlineStr">
        <is>
          <t>TCKH.AR_DIM</t>
        </is>
      </c>
      <c r="B1305" s="48" t="inlineStr">
        <is>
          <t>SILVER_CONSUMER</t>
        </is>
      </c>
      <c r="C1305" s="48" t="inlineStr">
        <is>
          <t>2.2</t>
        </is>
      </c>
      <c r="D1305" s="48" t="inlineStr">
        <is>
          <t>Nhom 2 - Logic</t>
        </is>
      </c>
      <c r="E1305" s="48" t="inlineStr">
        <is>
          <t>Thống nhất MỘT pattern duy nhất xác định bản ghi active mới nhất</t>
        </is>
      </c>
      <c r="F1305" s="49" t="inlineStr">
        <is>
          <t>PASS</t>
        </is>
      </c>
      <c r="G1305" s="48" t="inlineStr">
        <is>
          <t>Pass</t>
        </is>
      </c>
      <c r="H1305" s="50" t="inlineStr">
        <is>
          <t>file này dùng: ['MAX_BY']; toàn batch dùng: ['MAX_BY']</t>
        </is>
      </c>
      <c r="I13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05" s="48" t="inlineStr">
        <is>
          <t>067. OCB_GOLD_TCKH_AR_DIM_HOP.xlsx [SCRIPT: AR_DIM]</t>
        </is>
      </c>
    </row>
    <row r="1306">
      <c r="A1306" s="48" t="inlineStr">
        <is>
          <t>TCKH.AR_DIM</t>
        </is>
      </c>
      <c r="B1306" s="48" t="inlineStr">
        <is>
          <t>SILVER_CONSUMER</t>
        </is>
      </c>
      <c r="C1306" s="48" t="inlineStr">
        <is>
          <t>2.3</t>
        </is>
      </c>
      <c r="D1306" s="48" t="inlineStr">
        <is>
          <t>Nhom 2 - Logic</t>
        </is>
      </c>
      <c r="E1306" s="48" t="inlineStr">
        <is>
          <t>Điều kiện lọc trạng thái đặt SAU khi xác định bản ghi mới nhất</t>
        </is>
      </c>
      <c r="F1306" s="49" t="inlineStr">
        <is>
          <t>PASS</t>
        </is>
      </c>
      <c r="G1306" s="48" t="inlineStr">
        <is>
          <t>Pass</t>
        </is>
      </c>
      <c r="H1306" s="50" t="inlineStr">
        <is>
          <t>không có điều kiện trạng thái nào lồng trong JOIN ON</t>
        </is>
      </c>
      <c r="I13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06" s="48" t="inlineStr">
        <is>
          <t>067. OCB_GOLD_TCKH_AR_DIM_HOP.xlsx [SCRIPT: AR_DIM]</t>
        </is>
      </c>
    </row>
    <row r="1307">
      <c r="A1307" s="48" t="inlineStr">
        <is>
          <t>TCKH.AR_DIM</t>
        </is>
      </c>
      <c r="B1307" s="48" t="inlineStr">
        <is>
          <t>SILVER_CONSUMER</t>
        </is>
      </c>
      <c r="C1307" s="48" t="inlineStr">
        <is>
          <t>2.4</t>
        </is>
      </c>
      <c r="D1307" s="48" t="inlineStr">
        <is>
          <t>Nhom 2 - Logic</t>
        </is>
      </c>
      <c r="E1307" s="48" t="inlineStr">
        <is>
          <t>source_event_date áp dụng đúng dạng theo loại bảng</t>
        </is>
      </c>
      <c r="F1307" s="49" t="inlineStr">
        <is>
          <t>PASS</t>
        </is>
      </c>
      <c r="G1307" s="48" t="inlineStr">
        <is>
          <t>Pass</t>
        </is>
      </c>
      <c r="H1307" s="50" t="inlineStr">
        <is>
          <t>16 satellite đều đúng dạng điều kiện source_event_date</t>
        </is>
      </c>
      <c r="I13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07" s="48" t="inlineStr">
        <is>
          <t>067. OCB_GOLD_TCKH_AR_DIM_HOP.xlsx [SCRIPT: AR_DIM]</t>
        </is>
      </c>
    </row>
    <row r="1308">
      <c r="A1308" s="48" t="inlineStr">
        <is>
          <t>TCKH.AR_DIM</t>
        </is>
      </c>
      <c r="B1308" s="48" t="inlineStr">
        <is>
          <t>SILVER_CONSUMER</t>
        </is>
      </c>
      <c r="C1308" s="48" t="inlineStr">
        <is>
          <t>2.5</t>
        </is>
      </c>
      <c r="D1308" s="48" t="inlineStr">
        <is>
          <t>Nhom 2 - Logic</t>
        </is>
      </c>
      <c r="E1308" s="48" t="inlineStr">
        <is>
          <t>Không lặp lại lỗi logic cũ đã được DA Data Vault fix</t>
        </is>
      </c>
      <c r="F1308" s="49" t="inlineStr">
        <is>
          <t>PASS</t>
        </is>
      </c>
      <c r="G1308" s="48" t="inlineStr">
        <is>
          <t>Pass</t>
        </is>
      </c>
      <c r="H1308" s="50" t="inlineStr">
        <is>
          <t>không trùng lỗi nào trong Issue log của DA Data Vault</t>
        </is>
      </c>
      <c r="I13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08" s="48" t="inlineStr">
        <is>
          <t>067. OCB_GOLD_TCKH_AR_DIM_HOP.xlsx [SCRIPT: AR_DIM]</t>
        </is>
      </c>
    </row>
    <row r="1309">
      <c r="A1309" s="48" t="inlineStr">
        <is>
          <t>TCKH.AR_DIM</t>
        </is>
      </c>
      <c r="B1309" s="48" t="inlineStr">
        <is>
          <t>SILVER_CONSUMER</t>
        </is>
      </c>
      <c r="C1309" s="48" t="inlineStr">
        <is>
          <t>2.6</t>
        </is>
      </c>
      <c r="D1309" s="48" t="inlineStr">
        <is>
          <t>Nhom 2 - Logic</t>
        </is>
      </c>
      <c r="E1309" s="48" t="inlineStr">
        <is>
          <t>SCD Type 2 cho bảng DIM áp dụng đúng kỹ thuật đã thống nhất</t>
        </is>
      </c>
      <c r="F1309" s="48" t="inlineStr">
        <is>
          <t>N-A</t>
        </is>
      </c>
      <c r="G1309" s="48" t="inlineStr">
        <is>
          <t>Pass</t>
        </is>
      </c>
      <c r="H1309" s="50" t="inlineStr">
        <is>
          <t>TRUNCATE + INSERT toàn bộ mỗi lần chạy (không MERGE) - thiết kế Type 1 'current-only', không áp dụng được SCD Type 2 (mỗi lần chạy đã xóa hết lịch sử cũ)</t>
        </is>
      </c>
      <c r="I13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09" s="48" t="inlineStr">
        <is>
          <t>067. OCB_GOLD_TCKH_AR_DIM_HOP.xlsx [SCRIPT: AR_DIM]</t>
        </is>
      </c>
    </row>
    <row r="1310">
      <c r="A1310" s="48" t="inlineStr">
        <is>
          <t>TCKH.AR_DIM</t>
        </is>
      </c>
      <c r="B1310" s="48" t="inlineStr">
        <is>
          <t>SILVER_CONSUMER</t>
        </is>
      </c>
      <c r="C1310" s="48" t="inlineStr">
        <is>
          <t>2.7</t>
        </is>
      </c>
      <c r="D1310" s="48" t="inlineStr">
        <is>
          <t>Nhom 2 - Logic</t>
        </is>
      </c>
      <c r="E1310" s="48" t="inlineStr">
        <is>
          <t>CASE WHEN cover đủ nhánh như job on-prem</t>
        </is>
      </c>
      <c r="F1310" s="48" t="inlineStr">
        <is>
          <t>N-A</t>
        </is>
      </c>
      <c r="G1310" s="48" t="inlineStr">
        <is>
          <t>Pass</t>
        </is>
      </c>
      <c r="H1310" s="50" t="inlineStr">
        <is>
          <t>script không có CASE WHEN nào</t>
        </is>
      </c>
      <c r="I1310" s="50" t="inlineStr">
        <is>
          <t>Mở job on-prem tương ứng (DataStage DSX hoặc SQL cũ), đối chiếu từng nhánh WHEN và cả nhánh ELSE. CASE không có ELSE sẽ trả NULL âm thầm — xác nhận đó là ý muốn hay thiếu nhánh.</t>
        </is>
      </c>
      <c r="J1310" s="48" t="inlineStr">
        <is>
          <t>067. OCB_GOLD_TCKH_AR_DIM_HOP.xlsx [SCRIPT: AR_DIM]</t>
        </is>
      </c>
    </row>
    <row r="1311">
      <c r="A1311" s="48" t="inlineStr">
        <is>
          <t>TCKH.AR_DIM</t>
        </is>
      </c>
      <c r="B1311" s="48" t="inlineStr">
        <is>
          <t>SILVER_CONSUMER</t>
        </is>
      </c>
      <c r="C1311" s="48" t="inlineStr">
        <is>
          <t>2.8</t>
        </is>
      </c>
      <c r="D1311" s="48" t="inlineStr">
        <is>
          <t>Nhom 2 - Logic</t>
        </is>
      </c>
      <c r="E1311" s="48" t="inlineStr">
        <is>
          <t>Cột SUM/COUNT được COALESCE/NVL hợp lý</t>
        </is>
      </c>
      <c r="F1311" s="49" t="inlineStr">
        <is>
          <t>PASS</t>
        </is>
      </c>
      <c r="G1311" s="48" t="inlineStr">
        <is>
          <t>Pass</t>
        </is>
      </c>
      <c r="H1311" s="50" t="inlineStr">
        <is>
          <t>mọi SUM/COUNT đều đã coalesce (trực tiếp hoặc ở lớp ngoài)</t>
        </is>
      </c>
      <c r="I13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11" s="48" t="inlineStr">
        <is>
          <t>067. OCB_GOLD_TCKH_AR_DIM_HOP.xlsx [SCRIPT: AR_DIM]</t>
        </is>
      </c>
    </row>
    <row r="1312">
      <c r="A1312" s="48" t="inlineStr">
        <is>
          <t>TCKH.AR_DIM</t>
        </is>
      </c>
      <c r="B1312" s="48" t="inlineStr">
        <is>
          <t>SILVER_CONSUMER</t>
        </is>
      </c>
      <c r="C1312" s="48" t="inlineStr">
        <is>
          <t>2.9</t>
        </is>
      </c>
      <c r="D1312" s="48" t="inlineStr">
        <is>
          <t>Nhom 2 - Logic</t>
        </is>
      </c>
      <c r="E1312" s="48" t="inlineStr">
        <is>
          <t>Subquery / custom function / điều kiện LIKE đúng ý nghĩa nghiệp vụ</t>
        </is>
      </c>
      <c r="F1312" s="48" t="inlineStr">
        <is>
          <t>N-A</t>
        </is>
      </c>
      <c r="G1312" s="48" t="inlineStr">
        <is>
          <t>Pass</t>
        </is>
      </c>
      <c r="H1312" s="50" t="inlineStr">
        <is>
          <t>script không có điều kiện LIKE hay scalar subquery nào</t>
        </is>
      </c>
      <c r="I1312" s="50" t="inlineStr">
        <is>
          <t>Đọc lại từng điều kiện LIKE và từng subquery, đối chiếu ý nghĩa nghiệp vụ với on-prem — đúng cú pháp không đủ. Chú ý pattern LIKE có ký tự % ở đầu/cuối và phân biệt chữ hoa/thường.</t>
        </is>
      </c>
      <c r="J1312" s="48" t="inlineStr">
        <is>
          <t>067. OCB_GOLD_TCKH_AR_DIM_HOP.xlsx [SCRIPT: AR_DIM]</t>
        </is>
      </c>
    </row>
    <row r="1313">
      <c r="A1313" s="48" t="inlineStr">
        <is>
          <t>TCKH.AR_DIM</t>
        </is>
      </c>
      <c r="B1313" s="48" t="inlineStr">
        <is>
          <t>SILVER_CONSUMER</t>
        </is>
      </c>
      <c r="C1313" s="48" t="inlineStr">
        <is>
          <t>2.10</t>
        </is>
      </c>
      <c r="D1313" s="48" t="inlineStr">
        <is>
          <t>Nhom 2 - Logic</t>
        </is>
      </c>
      <c r="E1313" s="48" t="inlineStr">
        <is>
          <t>Aggregation kèm filter date range chính xác</t>
        </is>
      </c>
      <c r="F1313" s="49" t="inlineStr">
        <is>
          <t>PASS</t>
        </is>
      </c>
      <c r="G1313" s="48" t="inlineStr">
        <is>
          <t>Pass</t>
        </is>
      </c>
      <c r="H1313" s="50" t="inlineStr">
        <is>
          <t>mọi khối tổng hợp đều có điều kiện theo kỳ dữ liệu</t>
        </is>
      </c>
      <c r="I1313" s="50" t="inlineStr">
        <is>
          <t>Mỗi khối SUM/COUNT/AVG phải có điều kiện lọc theo kỳ dữ liệu (CDR_DT_ID, DATA_DATE, :DATADT…). Nếu điều kiện nằm ở CTE nguồn thì ghi rõ trong comment để người review không phải truy ngược.</t>
        </is>
      </c>
      <c r="J1313" s="48" t="inlineStr">
        <is>
          <t>067. OCB_GOLD_TCKH_AR_DIM_HOP.xlsx [SCRIPT: AR_DIM]</t>
        </is>
      </c>
    </row>
    <row r="1314">
      <c r="A1314" s="48" t="inlineStr">
        <is>
          <t>TCKH.AR_DIM</t>
        </is>
      </c>
      <c r="B1314" s="48" t="inlineStr">
        <is>
          <t>SILVER_CONSUMER</t>
        </is>
      </c>
      <c r="C1314" s="48" t="inlineStr">
        <is>
          <t>2.11</t>
        </is>
      </c>
      <c r="D1314" s="48" t="inlineStr">
        <is>
          <t>Nhom 2 - Logic</t>
        </is>
      </c>
      <c r="E1314" s="48" t="inlineStr">
        <is>
          <t>Join dùng key hợp lý, không lạm dụng UNION ALL + EXISTS/NOT EXISTS</t>
        </is>
      </c>
      <c r="F1314" s="49" t="inlineStr">
        <is>
          <t>PASS</t>
        </is>
      </c>
      <c r="G1314" s="48" t="inlineStr">
        <is>
          <t>Pass</t>
        </is>
      </c>
      <c r="H1314" s="50" t="inlineStr">
        <is>
          <t>join đều theo điều kiện bằng, không lạm dụng UNION ALL + EXISTS</t>
        </is>
      </c>
      <c r="I1314" s="50" t="inlineStr">
        <is>
          <t>Ưu tiên LEFT JOIN theo business key hoặc hashkey. Xem lại các chỗ dùng UNION ALL kết hợp EXISTS/NOT EXISTS — thường thay được bằng một LEFT JOIN. Join không có điều kiện bằng (=) dễ tạo tích Descartes.</t>
        </is>
      </c>
      <c r="J1314" s="48" t="inlineStr">
        <is>
          <t>067. OCB_GOLD_TCKH_AR_DIM_HOP.xlsx [SCRIPT: AR_DIM]</t>
        </is>
      </c>
    </row>
    <row r="1315">
      <c r="A1315" s="48" t="inlineStr">
        <is>
          <t>TCKH.AR_DIM</t>
        </is>
      </c>
      <c r="B1315" s="48" t="inlineStr">
        <is>
          <t>SILVER_CONSUMER</t>
        </is>
      </c>
      <c r="C1315" s="48" t="inlineStr">
        <is>
          <t>2.12</t>
        </is>
      </c>
      <c r="D1315" s="48" t="inlineStr">
        <is>
          <t>Nhom 2 - Logic</t>
        </is>
      </c>
      <c r="E1315" s="48" t="inlineStr">
        <is>
          <t>Build Gold từ CTE snapshot Silver, không build nhiều tầng chồng chéo</t>
        </is>
      </c>
      <c r="F1315" s="49" t="inlineStr">
        <is>
          <t>PASS</t>
        </is>
      </c>
      <c r="G1315" s="48" t="inlineStr">
        <is>
          <t>Pass</t>
        </is>
      </c>
      <c r="H1315" s="50" t="inlineStr">
        <is>
          <t>mỗi bảng nguồn chỉ đọc trong 1 khối SELECT</t>
        </is>
      </c>
      <c r="I13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15" s="48" t="inlineStr">
        <is>
          <t>067. OCB_GOLD_TCKH_AR_DIM_HOP.xlsx [SCRIPT: AR_DIM]</t>
        </is>
      </c>
    </row>
    <row r="1316">
      <c r="A1316" s="48" t="inlineStr">
        <is>
          <t>TCKH.AR_DIM</t>
        </is>
      </c>
      <c r="B1316" s="48" t="inlineStr">
        <is>
          <t>SILVER_CONSUMER</t>
        </is>
      </c>
      <c r="C1316" s="48" t="inlineStr">
        <is>
          <t>3.1</t>
        </is>
      </c>
      <c r="D1316" s="48" t="inlineStr">
        <is>
          <t>Nhom 3 - Optimization</t>
        </is>
      </c>
      <c r="E1316" s="48" t="inlineStr">
        <is>
          <t>Không SELECT *</t>
        </is>
      </c>
      <c r="F1316" s="49" t="inlineStr">
        <is>
          <t>PASS</t>
        </is>
      </c>
      <c r="G1316" s="48" t="inlineStr">
        <is>
          <t>Pass</t>
        </is>
      </c>
      <c r="H1316" s="50" t="inlineStr">
        <is>
          <t>không dùng SELECT * ở đâu</t>
        </is>
      </c>
      <c r="I1316" s="50" t="inlineStr">
        <is>
          <t>Liệt kê tường minh các cột cần dùng, kể cả trong CTE trung gian. SELECT * làm tăng IO/memory và vỡ script khi bảng nguồn thêm cột.</t>
        </is>
      </c>
      <c r="J1316" s="48" t="inlineStr">
        <is>
          <t>067. OCB_GOLD_TCKH_AR_DIM_HOP.xlsx [SCRIPT: AR_DIM]</t>
        </is>
      </c>
    </row>
    <row r="1317">
      <c r="A1317" s="48" t="inlineStr">
        <is>
          <t>TCKH.AR_DIM</t>
        </is>
      </c>
      <c r="B1317" s="48" t="inlineStr">
        <is>
          <t>SILVER_CONSUMER</t>
        </is>
      </c>
      <c r="C1317" s="48" t="inlineStr">
        <is>
          <t>3.2</t>
        </is>
      </c>
      <c r="D1317" s="48" t="inlineStr">
        <is>
          <t>Nhom 3 - Optimization</t>
        </is>
      </c>
      <c r="E1317" s="48" t="inlineStr">
        <is>
          <t>CTE không bị scan lại nhiều lần</t>
        </is>
      </c>
      <c r="F1317" s="51" t="inlineStr">
        <is>
          <t>WARN</t>
        </is>
      </c>
      <c r="G1317" s="48" t="inlineStr">
        <is>
          <t>WARN</t>
        </is>
      </c>
      <c r="H1317" s="50" t="inlineStr">
        <is>
          <t>CTE bị tham chiếu lại nhiều lần: ref_all x7</t>
        </is>
      </c>
      <c r="I1317" s="50" t="inlineStr">
        <is>
          <t>Với CTE nặng (đọc nhiều bảng Silver) bị tham chiếu từ 2 chỗ trở lên: gom lại còn một lần dùng, hoặc vật chất hóa (CACHE / bảng tạm). CTE nhẹ chỉ chứa tham số thì bỏ qua được — tự tick Pass.</t>
        </is>
      </c>
      <c r="J1317" s="48" t="inlineStr">
        <is>
          <t>067. OCB_GOLD_TCKH_AR_DIM_HOP.xlsx [SCRIPT: AR_DIM]</t>
        </is>
      </c>
    </row>
    <row r="1318">
      <c r="A1318" s="48" t="inlineStr">
        <is>
          <t>TCKH.AR_DIM</t>
        </is>
      </c>
      <c r="B1318" s="48" t="inlineStr">
        <is>
          <t>SILVER_CONSUMER</t>
        </is>
      </c>
      <c r="C1318" s="48" t="inlineStr">
        <is>
          <t>3.3</t>
        </is>
      </c>
      <c r="D1318" s="48" t="inlineStr">
        <is>
          <t>Nhom 3 - Optimization</t>
        </is>
      </c>
      <c r="E1318" s="48" t="inlineStr">
        <is>
          <t>Filter trước khi join, tận dụng partition pruning</t>
        </is>
      </c>
      <c r="F1318" s="49" t="inlineStr">
        <is>
          <t>PASS</t>
        </is>
      </c>
      <c r="G1318" s="48" t="inlineStr">
        <is>
          <t>Pass</t>
        </is>
      </c>
      <c r="H1318" s="50" t="inlineStr">
        <is>
          <t>các bảng join đều được filter trước</t>
        </is>
      </c>
      <c r="I1318" s="50" t="inlineStr">
        <is>
          <t>Đưa điều kiện lọc (ngày dữ liệu, trạng thái) vào subquery của từng bảng TRƯỚC khi join, để tận dụng partition pruning. Bảng dim nhỏ không partition thì không cần — tự tick Pass.</t>
        </is>
      </c>
      <c r="J1318" s="48" t="inlineStr">
        <is>
          <t>067. OCB_GOLD_TCKH_AR_DIM_HOP.xlsx [SCRIPT: AR_DIM]</t>
        </is>
      </c>
    </row>
    <row r="1319">
      <c r="A1319" s="48" t="inlineStr">
        <is>
          <t>TCKH.AR_DIM</t>
        </is>
      </c>
      <c r="B1319" s="48" t="inlineStr">
        <is>
          <t>SILVER_CONSUMER</t>
        </is>
      </c>
      <c r="C1319" s="48" t="inlineStr">
        <is>
          <t>3.4</t>
        </is>
      </c>
      <c r="D1319" s="48" t="inlineStr">
        <is>
          <t>Nhom 3 - Optimization</t>
        </is>
      </c>
      <c r="E1319" s="48" t="inlineStr">
        <is>
          <t>Sử dụng CACHE cho query lặp lại trong cùng luồng</t>
        </is>
      </c>
      <c r="F1319" s="51" t="inlineStr">
        <is>
          <t>WARN</t>
        </is>
      </c>
      <c r="G1319" s="48" t="inlineStr">
        <is>
          <t>WARN</t>
        </is>
      </c>
      <c r="H1319" s="50" t="inlineStr">
        <is>
          <t>1 CTE nặng dùng lại &gt;= 2 lần mà không có CACHE: ref_all</t>
        </is>
      </c>
      <c r="I1319" s="50" t="inlineStr">
        <is>
          <t>Nếu một kết quả nặng được dùng lại nhiều bước trong cùng luồng, thêm CACHE TABLE / CACHE SELECT. Kết quả nhỏ thì cache còn chậm hơn — tự tick Pass.</t>
        </is>
      </c>
      <c r="J1319" s="48" t="inlineStr">
        <is>
          <t>067. OCB_GOLD_TCKH_AR_DIM_HOP.xlsx [SCRIPT: AR_DIM]</t>
        </is>
      </c>
    </row>
    <row r="1320">
      <c r="A1320" s="48" t="inlineStr">
        <is>
          <t>TCKH.AR_DIM</t>
        </is>
      </c>
      <c r="B1320" s="48" t="inlineStr">
        <is>
          <t>SILVER_CONSUMER</t>
        </is>
      </c>
      <c r="C1320" s="48" t="inlineStr">
        <is>
          <t>3.5</t>
        </is>
      </c>
      <c r="D1320" s="48" t="inlineStr">
        <is>
          <t>Nhom 3 - Optimization</t>
        </is>
      </c>
      <c r="E1320" s="48" t="inlineStr">
        <is>
          <t>Ưu tiên MAX_BY + QUALIFY thay ROW_NUMBER() + WHERE rn = 1</t>
        </is>
      </c>
      <c r="F1320" s="48" t="inlineStr">
        <is>
          <t>N-A</t>
        </is>
      </c>
      <c r="G1320" s="48" t="inlineStr">
        <is>
          <t>Pass</t>
        </is>
      </c>
      <c r="H1320" s="50" t="inlineStr">
        <is>
          <t>script không dùng ROW_NUMBER, và MAX_BY (nếu có) không vượt quá 5 cột/khối</t>
        </is>
      </c>
      <c r="I13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20" s="48" t="inlineStr">
        <is>
          <t>067. OCB_GOLD_TCKH_AR_DIM_HOP.xlsx [SCRIPT: AR_DIM]</t>
        </is>
      </c>
    </row>
    <row r="1321">
      <c r="A1321" s="48" t="inlineStr">
        <is>
          <t>TCKH.AR_DIM</t>
        </is>
      </c>
      <c r="B1321" s="48" t="inlineStr">
        <is>
          <t>SILVER_CONSUMER</t>
        </is>
      </c>
      <c r="C1321" s="48" t="inlineStr">
        <is>
          <t>3.6</t>
        </is>
      </c>
      <c r="D1321" s="48" t="inlineStr">
        <is>
          <t>Nhom 3 - Optimization</t>
        </is>
      </c>
      <c r="E1321" s="48" t="inlineStr">
        <is>
          <t>Không lạm dụng window function; có comment khi dùng</t>
        </is>
      </c>
      <c r="F1321" s="48" t="inlineStr">
        <is>
          <t>N-A</t>
        </is>
      </c>
      <c r="G1321" s="48" t="inlineStr">
        <is>
          <t>Pass</t>
        </is>
      </c>
      <c r="H1321" s="50" t="inlineStr">
        <is>
          <t>script không dùng window function</t>
        </is>
      </c>
      <c r="I1321" s="50" t="inlineStr">
        <is>
          <t>Mỗi window function cần một comment ngay trên khối CTE chứa nó, nói rõ vì sao không dùng được max_by/QUALIFY đơn giản hơn.</t>
        </is>
      </c>
      <c r="J1321" s="48" t="inlineStr">
        <is>
          <t>067. OCB_GOLD_TCKH_AR_DIM_HOP.xlsx [SCRIPT: AR_DIM]</t>
        </is>
      </c>
    </row>
    <row r="1322">
      <c r="A1322" s="48" t="inlineStr">
        <is>
          <t>TCKH.AR_DIM</t>
        </is>
      </c>
      <c r="B1322" s="48" t="inlineStr">
        <is>
          <t>SILVER_CONSUMER</t>
        </is>
      </c>
      <c r="C1322" s="48" t="inlineStr">
        <is>
          <t>X.1</t>
        </is>
      </c>
      <c r="D1322" s="48" t="inlineStr">
        <is>
          <t>Nhom X - Bo sung Raffles</t>
        </is>
      </c>
      <c r="E1322" s="48" t="inlineStr">
        <is>
          <t>[Bổ sung] Link phải rút về current trước khi join (chống fan-out)</t>
        </is>
      </c>
      <c r="F1322" s="49" t="inlineStr">
        <is>
          <t>PASS</t>
        </is>
      </c>
      <c r="G1322" s="48" t="inlineStr">
        <is>
          <t>Pass</t>
        </is>
      </c>
      <c r="H1322" s="50" t="inlineStr">
        <is>
          <t>các bảng link_* đều được rút về current trước khi join</t>
        </is>
      </c>
      <c r="I13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22" s="48" t="inlineStr">
        <is>
          <t>067. OCB_GOLD_TCKH_AR_DIM_HOP.xlsx [SCRIPT: AR_DIM]</t>
        </is>
      </c>
    </row>
    <row r="1323">
      <c r="A1323" s="48" t="inlineStr">
        <is>
          <t>TCKH.AR_DIM</t>
        </is>
      </c>
      <c r="B1323" s="48" t="inlineStr">
        <is>
          <t>SILVER_CONSUMER</t>
        </is>
      </c>
      <c r="C1323" s="48" t="inlineStr">
        <is>
          <t>X.6</t>
        </is>
      </c>
      <c r="D1323" s="48" t="inlineStr">
        <is>
          <t>Nhom X - Bo sung Raffles</t>
        </is>
      </c>
      <c r="E1323" s="48" t="inlineStr">
        <is>
          <t>[Bổ sung] Satellite phải LEFT JOIN, không INNER JOIN</t>
        </is>
      </c>
      <c r="F1323" s="49" t="inlineStr">
        <is>
          <t>PASS</t>
        </is>
      </c>
      <c r="G1323" s="48" t="inlineStr">
        <is>
          <t>Pass</t>
        </is>
      </c>
      <c r="H1323" s="50" t="inlineStr">
        <is>
          <t>các satellite đều LEFT JOIN</t>
        </is>
      </c>
      <c r="I1323" s="50" t="inlineStr">
        <is>
          <t>Technical Document III.4.2.2 nguyên tắc 1: làm giàu thuộc tính luôn dùng LEFT JOIN. INNER JOIN satellite sẽ loại mất bản ghi Hub đang còn hiệu lực nhưng chưa có dòng satellite.</t>
        </is>
      </c>
      <c r="J1323" s="48" t="inlineStr">
        <is>
          <t>067. OCB_GOLD_TCKH_AR_DIM_HOP.xlsx [SCRIPT: AR_DIM]</t>
        </is>
      </c>
    </row>
    <row r="1324">
      <c r="A1324" s="48" t="inlineStr">
        <is>
          <t>TCKH.AR_DIM</t>
        </is>
      </c>
      <c r="B1324" s="48" t="inlineStr">
        <is>
          <t>SILVER_CONSUMER</t>
        </is>
      </c>
      <c r="C1324" s="48" t="inlineStr">
        <is>
          <t>X.7</t>
        </is>
      </c>
      <c r="D1324" s="48" t="inlineStr">
        <is>
          <t>Nhom X - Bo sung Raffles</t>
        </is>
      </c>
      <c r="E1324" s="48" t="inlineStr">
        <is>
          <t>[Bổ sung] Không hard-code catalog, dùng biến môi trường</t>
        </is>
      </c>
      <c r="F1324" s="49" t="inlineStr">
        <is>
          <t>PASS</t>
        </is>
      </c>
      <c r="G1324" s="48" t="inlineStr">
        <is>
          <t>Pass</t>
        </is>
      </c>
      <c r="H1324" s="50" t="inlineStr">
        <is>
          <t>dùng biến môi trường cho catalog</t>
        </is>
      </c>
      <c r="I13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24" s="48" t="inlineStr">
        <is>
          <t>067. OCB_GOLD_TCKH_AR_DIM_HOP.xlsx [SCRIPT: AR_DIM]</t>
        </is>
      </c>
    </row>
    <row r="1325">
      <c r="A1325" s="48" t="inlineStr">
        <is>
          <t>TCKH.AR_DIM</t>
        </is>
      </c>
      <c r="B1325" s="48" t="inlineStr">
        <is>
          <t>SILVER_CONSUMER</t>
        </is>
      </c>
      <c r="C1325" s="48" t="inlineStr">
        <is>
          <t>X.10</t>
        </is>
      </c>
      <c r="D1325" s="48" t="inlineStr">
        <is>
          <t>Nhom X - Bo sung Raffles</t>
        </is>
      </c>
      <c r="E1325" s="48" t="inlineStr">
        <is>
          <t>Bang raw_vault/business_vault duoc doc phai TON TAI THAT trong Data Vault model</t>
        </is>
      </c>
      <c r="F1325" s="49" t="inlineStr">
        <is>
          <t>PASS</t>
        </is>
      </c>
      <c r="G1325" s="48" t="inlineStr">
        <is>
          <t>Pass</t>
        </is>
      </c>
      <c r="H1325" s="50" t="inlineStr">
        <is>
          <t>47 bảng Silver đều có thật trong Data Vault model</t>
        </is>
      </c>
      <c r="I1325" s="50" t="inlineStr"/>
      <c r="J1325" s="48" t="inlineStr">
        <is>
          <t>067. OCB_GOLD_TCKH_AR_DIM_HOP.xlsx [SCRIPT: AR_DIM]</t>
        </is>
      </c>
    </row>
    <row r="1326">
      <c r="A1326" s="48" t="inlineStr">
        <is>
          <t>TCKH.AR_DIM</t>
        </is>
      </c>
      <c r="B1326" s="48" t="inlineStr">
        <is>
          <t>SILVER_CONSUMER</t>
        </is>
      </c>
      <c r="C1326" s="48" t="inlineStr">
        <is>
          <t>X.11</t>
        </is>
      </c>
      <c r="D1326" s="48" t="inlineStr">
        <is>
          <t>Nhom X - Bo sung Raffles</t>
        </is>
      </c>
      <c r="E1326" s="48" t="inlineStr">
        <is>
          <t>Cot doc tu satellite (sat_*) phai TON TAI THAT trong model</t>
        </is>
      </c>
      <c r="F1326" s="49" t="inlineStr">
        <is>
          <t>PASS</t>
        </is>
      </c>
      <c r="G1326" s="48" t="inlineStr">
        <is>
          <t>Pass</t>
        </is>
      </c>
      <c r="H1326" s="50" t="inlineStr">
        <is>
          <t>mọi cột đọc từ sat_* đều tồn tại trong model thật</t>
        </is>
      </c>
      <c r="I1326" s="50" t="inlineStr"/>
      <c r="J1326" s="48" t="inlineStr">
        <is>
          <t>067. OCB_GOLD_TCKH_AR_DIM_HOP.xlsx [SCRIPT: AR_DIM]</t>
        </is>
      </c>
    </row>
    <row r="1327">
      <c r="A1327" s="48" t="inlineStr">
        <is>
          <t>TCKH.GL_ACCT_DIM</t>
        </is>
      </c>
      <c r="B1327" s="48" t="inlineStr">
        <is>
          <t>SILVER_CONSUMER</t>
        </is>
      </c>
      <c r="C1327" s="48" t="inlineStr">
        <is>
          <t>1.1</t>
        </is>
      </c>
      <c r="D1327" s="48" t="inlineStr">
        <is>
          <t>Nhom 1 - Mapping</t>
        </is>
      </c>
      <c r="E1327" s="48" t="inlineStr">
        <is>
          <t>Đầy đủ mapping từ Silver/manual sang Gold</t>
        </is>
      </c>
      <c r="F1327" s="49" t="inlineStr">
        <is>
          <t>PASS</t>
        </is>
      </c>
      <c r="G1327" s="48" t="inlineStr">
        <is>
          <t>Pass</t>
        </is>
      </c>
      <c r="H1327" s="50" t="inlineStr">
        <is>
          <t>workbook 068. OCB_GOLD_TCKH_GL_ACCT_DIM_BAOANH.xlsx: thiết kế 3 field, SQL có 3 cột</t>
        </is>
      </c>
      <c r="I13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27" s="48" t="inlineStr">
        <is>
          <t>068. OCB_GOLD_TCKH_GL_ACCT_DIM_BAOANH.xlsx [SCRIPT: GL_ACCT_DIM]</t>
        </is>
      </c>
    </row>
    <row r="1328">
      <c r="A1328" s="48" t="inlineStr">
        <is>
          <t>TCKH.GL_ACCT_DIM</t>
        </is>
      </c>
      <c r="B1328" s="48" t="inlineStr">
        <is>
          <t>SILVER_CONSUMER</t>
        </is>
      </c>
      <c r="C1328" s="48" t="inlineStr">
        <is>
          <t>1.2</t>
        </is>
      </c>
      <c r="D1328" s="48" t="inlineStr">
        <is>
          <t>Nhom 1 - Mapping</t>
        </is>
      </c>
      <c r="E1328" s="48" t="inlineStr">
        <is>
          <t>Danh sách bảng/view Gold khớp tài liệu thiết kế đã duyệt</t>
        </is>
      </c>
      <c r="F1328" s="49" t="inlineStr">
        <is>
          <t>PASS</t>
        </is>
      </c>
      <c r="G1328" s="48" t="inlineStr">
        <is>
          <t>Pass</t>
        </is>
      </c>
      <c r="H1328" s="50" t="inlineStr">
        <is>
          <t>GL_ACCT_DIM có workbook thiết kế: 068. OCB_GOLD_TCKH_GL_ACCT_DIM_BAOANH.xlsx</t>
        </is>
      </c>
      <c r="I1328" s="50" t="inlineStr">
        <is>
          <t>Đảm bảo object có workbook thiết kế tương ứng trong thư mục --mapping-dir. Muốn đối chiếu với danh sách đã duyệt thì chạy thêm tham số --gold-list "&lt;file danh sách Gold&gt;.xlsx".</t>
        </is>
      </c>
      <c r="J1328" s="48" t="inlineStr">
        <is>
          <t>068. OCB_GOLD_TCKH_GL_ACCT_DIM_BAOANH.xlsx [SCRIPT: GL_ACCT_DIM]</t>
        </is>
      </c>
    </row>
    <row r="1329">
      <c r="A1329" s="48" t="inlineStr">
        <is>
          <t>TCKH.GL_ACCT_DIM</t>
        </is>
      </c>
      <c r="B1329" s="48" t="inlineStr">
        <is>
          <t>SILVER_CONSUMER</t>
        </is>
      </c>
      <c r="C1329" s="48" t="inlineStr">
        <is>
          <t>2.1</t>
        </is>
      </c>
      <c r="D1329" s="48" t="inlineStr">
        <is>
          <t>Nhom 2 - Logic</t>
        </is>
      </c>
      <c r="E1329" s="48" t="inlineStr">
        <is>
          <t>Chỉ lấy bản ghi active, loại bản ghi đã xóa (qua sts_hub)</t>
        </is>
      </c>
      <c r="F1329" s="48" t="inlineStr">
        <is>
          <t>N-A</t>
        </is>
      </c>
      <c r="G1329" s="48" t="inlineStr">
        <is>
          <t>Pass</t>
        </is>
      </c>
      <c r="H1329" s="50" t="inlineStr">
        <is>
          <t>script không đọc sts_hub/satellite nào nên không có bản ghi xóa để lọc</t>
        </is>
      </c>
      <c r="I13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29" s="48" t="inlineStr">
        <is>
          <t>068. OCB_GOLD_TCKH_GL_ACCT_DIM_BAOANH.xlsx [SCRIPT: GL_ACCT_DIM]</t>
        </is>
      </c>
    </row>
    <row r="1330">
      <c r="A1330" s="48" t="inlineStr">
        <is>
          <t>TCKH.GL_ACCT_DIM</t>
        </is>
      </c>
      <c r="B1330" s="48" t="inlineStr">
        <is>
          <t>SILVER_CONSUMER</t>
        </is>
      </c>
      <c r="C1330" s="48" t="inlineStr">
        <is>
          <t>2.2</t>
        </is>
      </c>
      <c r="D1330" s="48" t="inlineStr">
        <is>
          <t>Nhom 2 - Logic</t>
        </is>
      </c>
      <c r="E1330" s="48" t="inlineStr">
        <is>
          <t>Thống nhất MỘT pattern duy nhất xác định bản ghi active mới nhất</t>
        </is>
      </c>
      <c r="F1330" s="48" t="inlineStr">
        <is>
          <t>N-A</t>
        </is>
      </c>
      <c r="G1330" s="48" t="inlineStr">
        <is>
          <t>Pass</t>
        </is>
      </c>
      <c r="H1330" s="50" t="inlineStr">
        <is>
          <t>script không có bước lấy bản ghi mới nhất nào tính là bất nhất (không dùng, hoặc chỉ dùng ROW_NUMBER cho block &gt;5 cột - đã miễn trừ)</t>
        </is>
      </c>
      <c r="I13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30" s="48" t="inlineStr">
        <is>
          <t>068. OCB_GOLD_TCKH_GL_ACCT_DIM_BAOANH.xlsx [SCRIPT: GL_ACCT_DIM]</t>
        </is>
      </c>
    </row>
    <row r="1331">
      <c r="A1331" s="48" t="inlineStr">
        <is>
          <t>TCKH.GL_ACCT_DIM</t>
        </is>
      </c>
      <c r="B1331" s="48" t="inlineStr">
        <is>
          <t>SILVER_CONSUMER</t>
        </is>
      </c>
      <c r="C1331" s="48" t="inlineStr">
        <is>
          <t>2.3</t>
        </is>
      </c>
      <c r="D1331" s="48" t="inlineStr">
        <is>
          <t>Nhom 2 - Logic</t>
        </is>
      </c>
      <c r="E1331" s="48" t="inlineStr">
        <is>
          <t>Điều kiện lọc trạng thái đặt SAU khi xác định bản ghi mới nhất</t>
        </is>
      </c>
      <c r="F1331" s="49" t="inlineStr">
        <is>
          <t>PASS</t>
        </is>
      </c>
      <c r="G1331" s="48" t="inlineStr">
        <is>
          <t>Pass</t>
        </is>
      </c>
      <c r="H1331" s="50" t="inlineStr">
        <is>
          <t>không có điều kiện trạng thái nào lồng trong JOIN ON</t>
        </is>
      </c>
      <c r="I13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31" s="48" t="inlineStr">
        <is>
          <t>068. OCB_GOLD_TCKH_GL_ACCT_DIM_BAOANH.xlsx [SCRIPT: GL_ACCT_DIM]</t>
        </is>
      </c>
    </row>
    <row r="1332">
      <c r="A1332" s="48" t="inlineStr">
        <is>
          <t>TCKH.GL_ACCT_DIM</t>
        </is>
      </c>
      <c r="B1332" s="48" t="inlineStr">
        <is>
          <t>SILVER_CONSUMER</t>
        </is>
      </c>
      <c r="C1332" s="48" t="inlineStr">
        <is>
          <t>2.4</t>
        </is>
      </c>
      <c r="D1332" s="48" t="inlineStr">
        <is>
          <t>Nhom 2 - Logic</t>
        </is>
      </c>
      <c r="E1332" s="48" t="inlineStr">
        <is>
          <t>source_event_date áp dụng đúng dạng theo loại bảng</t>
        </is>
      </c>
      <c r="F1332" s="48" t="inlineStr">
        <is>
          <t>N-A</t>
        </is>
      </c>
      <c r="G1332" s="48" t="inlineStr">
        <is>
          <t>Pass</t>
        </is>
      </c>
      <c r="H1332" s="50" t="inlineStr">
        <is>
          <t>script không đọc satellite nào</t>
        </is>
      </c>
      <c r="I13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32" s="48" t="inlineStr">
        <is>
          <t>068. OCB_GOLD_TCKH_GL_ACCT_DIM_BAOANH.xlsx [SCRIPT: GL_ACCT_DIM]</t>
        </is>
      </c>
    </row>
    <row r="1333">
      <c r="A1333" s="48" t="inlineStr">
        <is>
          <t>TCKH.GL_ACCT_DIM</t>
        </is>
      </c>
      <c r="B1333" s="48" t="inlineStr">
        <is>
          <t>SILVER_CONSUMER</t>
        </is>
      </c>
      <c r="C1333" s="48" t="inlineStr">
        <is>
          <t>2.5</t>
        </is>
      </c>
      <c r="D1333" s="48" t="inlineStr">
        <is>
          <t>Nhom 2 - Logic</t>
        </is>
      </c>
      <c r="E1333" s="48" t="inlineStr">
        <is>
          <t>Không lặp lại lỗi logic cũ đã được DA Data Vault fix</t>
        </is>
      </c>
      <c r="F1333" s="49" t="inlineStr">
        <is>
          <t>PASS</t>
        </is>
      </c>
      <c r="G1333" s="48" t="inlineStr">
        <is>
          <t>Pass</t>
        </is>
      </c>
      <c r="H1333" s="50" t="inlineStr">
        <is>
          <t>không trùng lỗi nào trong Issue log của DA Data Vault</t>
        </is>
      </c>
      <c r="I13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33" s="48" t="inlineStr">
        <is>
          <t>068. OCB_GOLD_TCKH_GL_ACCT_DIM_BAOANH.xlsx [SCRIPT: GL_ACCT_DIM]</t>
        </is>
      </c>
    </row>
    <row r="1334">
      <c r="A1334" s="48" t="inlineStr">
        <is>
          <t>TCKH.GL_ACCT_DIM</t>
        </is>
      </c>
      <c r="B1334" s="48" t="inlineStr">
        <is>
          <t>SILVER_CONSUMER</t>
        </is>
      </c>
      <c r="C1334" s="48" t="inlineStr">
        <is>
          <t>2.6</t>
        </is>
      </c>
      <c r="D1334" s="48" t="inlineStr">
        <is>
          <t>Nhom 2 - Logic</t>
        </is>
      </c>
      <c r="E1334" s="48" t="inlineStr">
        <is>
          <t>SCD Type 2 cho bảng DIM áp dụng đúng kỹ thuật đã thống nhất</t>
        </is>
      </c>
      <c r="F1334" s="48" t="inlineStr">
        <is>
          <t>N-A</t>
        </is>
      </c>
      <c r="G1334" s="48" t="inlineStr">
        <is>
          <t>Pass</t>
        </is>
      </c>
      <c r="H1334" s="50" t="inlineStr">
        <is>
          <t>TRUNCATE + INSERT toàn bộ mỗi lần chạy (không MERGE) - thiết kế Type 1 'current-only', không áp dụng được SCD Type 2 (mỗi lần chạy đã xóa hết lịch sử cũ)</t>
        </is>
      </c>
      <c r="I13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34" s="48" t="inlineStr">
        <is>
          <t>068. OCB_GOLD_TCKH_GL_ACCT_DIM_BAOANH.xlsx [SCRIPT: GL_ACCT_DIM]</t>
        </is>
      </c>
    </row>
    <row r="1335">
      <c r="A1335" s="48" t="inlineStr">
        <is>
          <t>TCKH.GL_ACCT_DIM</t>
        </is>
      </c>
      <c r="B1335" s="48" t="inlineStr">
        <is>
          <t>SILVER_CONSUMER</t>
        </is>
      </c>
      <c r="C1335" s="48" t="inlineStr">
        <is>
          <t>2.7</t>
        </is>
      </c>
      <c r="D1335" s="48" t="inlineStr">
        <is>
          <t>Nhom 2 - Logic</t>
        </is>
      </c>
      <c r="E1335" s="48" t="inlineStr">
        <is>
          <t>CASE WHEN cover đủ nhánh như job on-prem</t>
        </is>
      </c>
      <c r="F1335" s="48" t="inlineStr">
        <is>
          <t>N-A</t>
        </is>
      </c>
      <c r="G1335" s="48" t="inlineStr">
        <is>
          <t>Pass</t>
        </is>
      </c>
      <c r="H1335" s="50" t="inlineStr">
        <is>
          <t>script không có CASE WHEN nào</t>
        </is>
      </c>
      <c r="I1335" s="50" t="inlineStr">
        <is>
          <t>Mở job on-prem tương ứng (DataStage DSX hoặc SQL cũ), đối chiếu từng nhánh WHEN và cả nhánh ELSE. CASE không có ELSE sẽ trả NULL âm thầm — xác nhận đó là ý muốn hay thiếu nhánh.</t>
        </is>
      </c>
      <c r="J1335" s="48" t="inlineStr">
        <is>
          <t>068. OCB_GOLD_TCKH_GL_ACCT_DIM_BAOANH.xlsx [SCRIPT: GL_ACCT_DIM]</t>
        </is>
      </c>
    </row>
    <row r="1336">
      <c r="A1336" s="48" t="inlineStr">
        <is>
          <t>TCKH.GL_ACCT_DIM</t>
        </is>
      </c>
      <c r="B1336" s="48" t="inlineStr">
        <is>
          <t>SILVER_CONSUMER</t>
        </is>
      </c>
      <c r="C1336" s="48" t="inlineStr">
        <is>
          <t>2.8</t>
        </is>
      </c>
      <c r="D1336" s="48" t="inlineStr">
        <is>
          <t>Nhom 2 - Logic</t>
        </is>
      </c>
      <c r="E1336" s="48" t="inlineStr">
        <is>
          <t>Cột SUM/COUNT được COALESCE/NVL hợp lý</t>
        </is>
      </c>
      <c r="F1336" s="49" t="inlineStr">
        <is>
          <t>PASS</t>
        </is>
      </c>
      <c r="G1336" s="48" t="inlineStr">
        <is>
          <t>Pass</t>
        </is>
      </c>
      <c r="H1336" s="50" t="inlineStr">
        <is>
          <t>mọi SUM/COUNT đều đã coalesce (trực tiếp hoặc ở lớp ngoài)</t>
        </is>
      </c>
      <c r="I13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36" s="48" t="inlineStr">
        <is>
          <t>068. OCB_GOLD_TCKH_GL_ACCT_DIM_BAOANH.xlsx [SCRIPT: GL_ACCT_DIM]</t>
        </is>
      </c>
    </row>
    <row r="1337">
      <c r="A1337" s="48" t="inlineStr">
        <is>
          <t>TCKH.GL_ACCT_DIM</t>
        </is>
      </c>
      <c r="B1337" s="48" t="inlineStr">
        <is>
          <t>SILVER_CONSUMER</t>
        </is>
      </c>
      <c r="C1337" s="48" t="inlineStr">
        <is>
          <t>2.9</t>
        </is>
      </c>
      <c r="D1337" s="48" t="inlineStr">
        <is>
          <t>Nhom 2 - Logic</t>
        </is>
      </c>
      <c r="E1337" s="48" t="inlineStr">
        <is>
          <t>Subquery / custom function / điều kiện LIKE đúng ý nghĩa nghiệp vụ</t>
        </is>
      </c>
      <c r="F1337" s="48" t="inlineStr">
        <is>
          <t>N-A</t>
        </is>
      </c>
      <c r="G1337" s="48" t="inlineStr">
        <is>
          <t>Pass</t>
        </is>
      </c>
      <c r="H1337" s="50" t="inlineStr">
        <is>
          <t>script không có điều kiện LIKE hay scalar subquery nào</t>
        </is>
      </c>
      <c r="I1337" s="50" t="inlineStr">
        <is>
          <t>Đọc lại từng điều kiện LIKE và từng subquery, đối chiếu ý nghĩa nghiệp vụ với on-prem — đúng cú pháp không đủ. Chú ý pattern LIKE có ký tự % ở đầu/cuối và phân biệt chữ hoa/thường.</t>
        </is>
      </c>
      <c r="J1337" s="48" t="inlineStr">
        <is>
          <t>068. OCB_GOLD_TCKH_GL_ACCT_DIM_BAOANH.xlsx [SCRIPT: GL_ACCT_DIM]</t>
        </is>
      </c>
    </row>
    <row r="1338">
      <c r="A1338" s="48" t="inlineStr">
        <is>
          <t>TCKH.GL_ACCT_DIM</t>
        </is>
      </c>
      <c r="B1338" s="48" t="inlineStr">
        <is>
          <t>SILVER_CONSUMER</t>
        </is>
      </c>
      <c r="C1338" s="48" t="inlineStr">
        <is>
          <t>2.10</t>
        </is>
      </c>
      <c r="D1338" s="48" t="inlineStr">
        <is>
          <t>Nhom 2 - Logic</t>
        </is>
      </c>
      <c r="E1338" s="48" t="inlineStr">
        <is>
          <t>Aggregation kèm filter date range chính xác</t>
        </is>
      </c>
      <c r="F1338" s="49" t="inlineStr">
        <is>
          <t>PASS</t>
        </is>
      </c>
      <c r="G1338" s="48" t="inlineStr">
        <is>
          <t>Pass</t>
        </is>
      </c>
      <c r="H1338" s="50" t="inlineStr">
        <is>
          <t>mọi khối tổng hợp đều có điều kiện theo kỳ dữ liệu</t>
        </is>
      </c>
      <c r="I1338" s="50" t="inlineStr">
        <is>
          <t>Mỗi khối SUM/COUNT/AVG phải có điều kiện lọc theo kỳ dữ liệu (CDR_DT_ID, DATA_DATE, :DATADT…). Nếu điều kiện nằm ở CTE nguồn thì ghi rõ trong comment để người review không phải truy ngược.</t>
        </is>
      </c>
      <c r="J1338" s="48" t="inlineStr">
        <is>
          <t>068. OCB_GOLD_TCKH_GL_ACCT_DIM_BAOANH.xlsx [SCRIPT: GL_ACCT_DIM]</t>
        </is>
      </c>
    </row>
    <row r="1339">
      <c r="A1339" s="48" t="inlineStr">
        <is>
          <t>TCKH.GL_ACCT_DIM</t>
        </is>
      </c>
      <c r="B1339" s="48" t="inlineStr">
        <is>
          <t>SILVER_CONSUMER</t>
        </is>
      </c>
      <c r="C1339" s="48" t="inlineStr">
        <is>
          <t>2.11</t>
        </is>
      </c>
      <c r="D1339" s="48" t="inlineStr">
        <is>
          <t>Nhom 2 - Logic</t>
        </is>
      </c>
      <c r="E1339" s="48" t="inlineStr">
        <is>
          <t>Join dùng key hợp lý, không lạm dụng UNION ALL + EXISTS/NOT EXISTS</t>
        </is>
      </c>
      <c r="F1339" s="49" t="inlineStr">
        <is>
          <t>PASS</t>
        </is>
      </c>
      <c r="G1339" s="48" t="inlineStr">
        <is>
          <t>Pass</t>
        </is>
      </c>
      <c r="H1339" s="50" t="inlineStr">
        <is>
          <t>join đều theo điều kiện bằng, không lạm dụng UNION ALL + EXISTS</t>
        </is>
      </c>
      <c r="I1339" s="50" t="inlineStr">
        <is>
          <t>Ưu tiên LEFT JOIN theo business key hoặc hashkey. Xem lại các chỗ dùng UNION ALL kết hợp EXISTS/NOT EXISTS — thường thay được bằng một LEFT JOIN. Join không có điều kiện bằng (=) dễ tạo tích Descartes.</t>
        </is>
      </c>
      <c r="J1339" s="48" t="inlineStr">
        <is>
          <t>068. OCB_GOLD_TCKH_GL_ACCT_DIM_BAOANH.xlsx [SCRIPT: GL_ACCT_DIM]</t>
        </is>
      </c>
    </row>
    <row r="1340">
      <c r="A1340" s="48" t="inlineStr">
        <is>
          <t>TCKH.GL_ACCT_DIM</t>
        </is>
      </c>
      <c r="B1340" s="48" t="inlineStr">
        <is>
          <t>SILVER_CONSUMER</t>
        </is>
      </c>
      <c r="C1340" s="48" t="inlineStr">
        <is>
          <t>2.12</t>
        </is>
      </c>
      <c r="D1340" s="48" t="inlineStr">
        <is>
          <t>Nhom 2 - Logic</t>
        </is>
      </c>
      <c r="E1340" s="48" t="inlineStr">
        <is>
          <t>Build Gold từ CTE snapshot Silver, không build nhiều tầng chồng chéo</t>
        </is>
      </c>
      <c r="F1340" s="49" t="inlineStr">
        <is>
          <t>PASS</t>
        </is>
      </c>
      <c r="G1340" s="48" t="inlineStr">
        <is>
          <t>Pass</t>
        </is>
      </c>
      <c r="H1340" s="50" t="inlineStr">
        <is>
          <t>mỗi bảng nguồn chỉ đọc trong 1 khối SELECT</t>
        </is>
      </c>
      <c r="I13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40" s="48" t="inlineStr">
        <is>
          <t>068. OCB_GOLD_TCKH_GL_ACCT_DIM_BAOANH.xlsx [SCRIPT: GL_ACCT_DIM]</t>
        </is>
      </c>
    </row>
    <row r="1341">
      <c r="A1341" s="48" t="inlineStr">
        <is>
          <t>TCKH.GL_ACCT_DIM</t>
        </is>
      </c>
      <c r="B1341" s="48" t="inlineStr">
        <is>
          <t>SILVER_CONSUMER</t>
        </is>
      </c>
      <c r="C1341" s="48" t="inlineStr">
        <is>
          <t>3.1</t>
        </is>
      </c>
      <c r="D1341" s="48" t="inlineStr">
        <is>
          <t>Nhom 3 - Optimization</t>
        </is>
      </c>
      <c r="E1341" s="48" t="inlineStr">
        <is>
          <t>Không SELECT *</t>
        </is>
      </c>
      <c r="F1341" s="49" t="inlineStr">
        <is>
          <t>PASS</t>
        </is>
      </c>
      <c r="G1341" s="48" t="inlineStr">
        <is>
          <t>Pass</t>
        </is>
      </c>
      <c r="H1341" s="50" t="inlineStr">
        <is>
          <t>không dùng SELECT * ở đâu</t>
        </is>
      </c>
      <c r="I1341" s="50" t="inlineStr">
        <is>
          <t>Liệt kê tường minh các cột cần dùng, kể cả trong CTE trung gian. SELECT * làm tăng IO/memory và vỡ script khi bảng nguồn thêm cột.</t>
        </is>
      </c>
      <c r="J1341" s="48" t="inlineStr">
        <is>
          <t>068. OCB_GOLD_TCKH_GL_ACCT_DIM_BAOANH.xlsx [SCRIPT: GL_ACCT_DIM]</t>
        </is>
      </c>
    </row>
    <row r="1342">
      <c r="A1342" s="48" t="inlineStr">
        <is>
          <t>TCKH.GL_ACCT_DIM</t>
        </is>
      </c>
      <c r="B1342" s="48" t="inlineStr">
        <is>
          <t>SILVER_CONSUMER</t>
        </is>
      </c>
      <c r="C1342" s="48" t="inlineStr">
        <is>
          <t>3.2</t>
        </is>
      </c>
      <c r="D1342" s="48" t="inlineStr">
        <is>
          <t>Nhom 3 - Optimization</t>
        </is>
      </c>
      <c r="E1342" s="48" t="inlineStr">
        <is>
          <t>CTE không bị scan lại nhiều lần</t>
        </is>
      </c>
      <c r="F1342" s="49" t="inlineStr">
        <is>
          <t>PASS</t>
        </is>
      </c>
      <c r="G1342" s="48" t="inlineStr">
        <is>
          <t>Pass</t>
        </is>
      </c>
      <c r="H1342" s="50" t="inlineStr">
        <is>
          <t>không có CTE nào bị gọi lại</t>
        </is>
      </c>
      <c r="I1342" s="50" t="inlineStr">
        <is>
          <t>Với CTE nặng (đọc nhiều bảng Silver) bị tham chiếu từ 2 chỗ trở lên: gom lại còn một lần dùng, hoặc vật chất hóa (CACHE / bảng tạm). CTE nhẹ chỉ chứa tham số thì bỏ qua được — tự tick Pass.</t>
        </is>
      </c>
      <c r="J1342" s="48" t="inlineStr">
        <is>
          <t>068. OCB_GOLD_TCKH_GL_ACCT_DIM_BAOANH.xlsx [SCRIPT: GL_ACCT_DIM]</t>
        </is>
      </c>
    </row>
    <row r="1343">
      <c r="A1343" s="48" t="inlineStr">
        <is>
          <t>TCKH.GL_ACCT_DIM</t>
        </is>
      </c>
      <c r="B1343" s="48" t="inlineStr">
        <is>
          <t>SILVER_CONSUMER</t>
        </is>
      </c>
      <c r="C1343" s="48" t="inlineStr">
        <is>
          <t>3.3</t>
        </is>
      </c>
      <c r="D1343" s="48" t="inlineStr">
        <is>
          <t>Nhom 3 - Optimization</t>
        </is>
      </c>
      <c r="E1343" s="48" t="inlineStr">
        <is>
          <t>Filter trước khi join, tận dụng partition pruning</t>
        </is>
      </c>
      <c r="F1343" s="49" t="inlineStr">
        <is>
          <t>PASS</t>
        </is>
      </c>
      <c r="G1343" s="48" t="inlineStr">
        <is>
          <t>Pass</t>
        </is>
      </c>
      <c r="H1343" s="50" t="inlineStr">
        <is>
          <t>các bảng join đều được filter trước</t>
        </is>
      </c>
      <c r="I1343" s="50" t="inlineStr">
        <is>
          <t>Đưa điều kiện lọc (ngày dữ liệu, trạng thái) vào subquery của từng bảng TRƯỚC khi join, để tận dụng partition pruning. Bảng dim nhỏ không partition thì không cần — tự tick Pass.</t>
        </is>
      </c>
      <c r="J1343" s="48" t="inlineStr">
        <is>
          <t>068. OCB_GOLD_TCKH_GL_ACCT_DIM_BAOANH.xlsx [SCRIPT: GL_ACCT_DIM]</t>
        </is>
      </c>
    </row>
    <row r="1344">
      <c r="A1344" s="48" t="inlineStr">
        <is>
          <t>TCKH.GL_ACCT_DIM</t>
        </is>
      </c>
      <c r="B1344" s="48" t="inlineStr">
        <is>
          <t>SILVER_CONSUMER</t>
        </is>
      </c>
      <c r="C1344" s="48" t="inlineStr">
        <is>
          <t>3.4</t>
        </is>
      </c>
      <c r="D1344" s="48" t="inlineStr">
        <is>
          <t>Nhom 3 - Optimization</t>
        </is>
      </c>
      <c r="E1344" s="48" t="inlineStr">
        <is>
          <t>Sử dụng CACHE cho query lặp lại trong cùng luồng</t>
        </is>
      </c>
      <c r="F1344" s="48" t="inlineStr">
        <is>
          <t>N-A</t>
        </is>
      </c>
      <c r="G1344" s="48" t="inlineStr">
        <is>
          <t>Pass</t>
        </is>
      </c>
      <c r="H1344" s="50" t="inlineStr">
        <is>
          <t>không có kết quả nào được dùng lại nhiều lần nên chưa cần CACHE</t>
        </is>
      </c>
      <c r="I1344" s="50" t="inlineStr">
        <is>
          <t>Nếu một kết quả nặng được dùng lại nhiều bước trong cùng luồng, thêm CACHE TABLE / CACHE SELECT. Kết quả nhỏ thì cache còn chậm hơn — tự tick Pass.</t>
        </is>
      </c>
      <c r="J1344" s="48" t="inlineStr">
        <is>
          <t>068. OCB_GOLD_TCKH_GL_ACCT_DIM_BAOANH.xlsx [SCRIPT: GL_ACCT_DIM]</t>
        </is>
      </c>
    </row>
    <row r="1345">
      <c r="A1345" s="48" t="inlineStr">
        <is>
          <t>TCKH.GL_ACCT_DIM</t>
        </is>
      </c>
      <c r="B1345" s="48" t="inlineStr">
        <is>
          <t>SILVER_CONSUMER</t>
        </is>
      </c>
      <c r="C1345" s="48" t="inlineStr">
        <is>
          <t>3.5</t>
        </is>
      </c>
      <c r="D1345" s="48" t="inlineStr">
        <is>
          <t>Nhom 3 - Optimization</t>
        </is>
      </c>
      <c r="E1345" s="48" t="inlineStr">
        <is>
          <t>Ưu tiên MAX_BY + QUALIFY thay ROW_NUMBER() + WHERE rn = 1</t>
        </is>
      </c>
      <c r="F1345" s="48" t="inlineStr">
        <is>
          <t>N-A</t>
        </is>
      </c>
      <c r="G1345" s="48" t="inlineStr">
        <is>
          <t>Pass</t>
        </is>
      </c>
      <c r="H1345" s="50" t="inlineStr">
        <is>
          <t>script không dùng ROW_NUMBER, và MAX_BY (nếu có) không vượt quá 5 cột/khối</t>
        </is>
      </c>
      <c r="I13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45" s="48" t="inlineStr">
        <is>
          <t>068. OCB_GOLD_TCKH_GL_ACCT_DIM_BAOANH.xlsx [SCRIPT: GL_ACCT_DIM]</t>
        </is>
      </c>
    </row>
    <row r="1346">
      <c r="A1346" s="48" t="inlineStr">
        <is>
          <t>TCKH.GL_ACCT_DIM</t>
        </is>
      </c>
      <c r="B1346" s="48" t="inlineStr">
        <is>
          <t>SILVER_CONSUMER</t>
        </is>
      </c>
      <c r="C1346" s="48" t="inlineStr">
        <is>
          <t>3.6</t>
        </is>
      </c>
      <c r="D1346" s="48" t="inlineStr">
        <is>
          <t>Nhom 3 - Optimization</t>
        </is>
      </c>
      <c r="E1346" s="48" t="inlineStr">
        <is>
          <t>Không lạm dụng window function; có comment khi dùng</t>
        </is>
      </c>
      <c r="F1346" s="48" t="inlineStr">
        <is>
          <t>N-A</t>
        </is>
      </c>
      <c r="G1346" s="48" t="inlineStr">
        <is>
          <t>Pass</t>
        </is>
      </c>
      <c r="H1346" s="50" t="inlineStr">
        <is>
          <t>script không dùng window function</t>
        </is>
      </c>
      <c r="I1346" s="50" t="inlineStr">
        <is>
          <t>Mỗi window function cần một comment ngay trên khối CTE chứa nó, nói rõ vì sao không dùng được max_by/QUALIFY đơn giản hơn.</t>
        </is>
      </c>
      <c r="J1346" s="48" t="inlineStr">
        <is>
          <t>068. OCB_GOLD_TCKH_GL_ACCT_DIM_BAOANH.xlsx [SCRIPT: GL_ACCT_DIM]</t>
        </is>
      </c>
    </row>
    <row r="1347">
      <c r="A1347" s="48" t="inlineStr">
        <is>
          <t>TCKH.GL_ACCT_DIM</t>
        </is>
      </c>
      <c r="B1347" s="48" t="inlineStr">
        <is>
          <t>SILVER_CONSUMER</t>
        </is>
      </c>
      <c r="C1347" s="48" t="inlineStr">
        <is>
          <t>X.1</t>
        </is>
      </c>
      <c r="D1347" s="48" t="inlineStr">
        <is>
          <t>Nhom X - Bo sung Raffles</t>
        </is>
      </c>
      <c r="E1347" s="48" t="inlineStr">
        <is>
          <t>[Bổ sung] Link phải rút về current trước khi join (chống fan-out)</t>
        </is>
      </c>
      <c r="F1347" s="49" t="inlineStr">
        <is>
          <t>PASS</t>
        </is>
      </c>
      <c r="G1347" s="48" t="inlineStr">
        <is>
          <t>Pass</t>
        </is>
      </c>
      <c r="H1347" s="50" t="inlineStr">
        <is>
          <t>các bảng link_* đều được rút về current trước khi join</t>
        </is>
      </c>
      <c r="I13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47" s="48" t="inlineStr">
        <is>
          <t>068. OCB_GOLD_TCKH_GL_ACCT_DIM_BAOANH.xlsx [SCRIPT: GL_ACCT_DIM]</t>
        </is>
      </c>
    </row>
    <row r="1348">
      <c r="A1348" s="48" t="inlineStr">
        <is>
          <t>TCKH.GL_ACCT_DIM</t>
        </is>
      </c>
      <c r="B1348" s="48" t="inlineStr">
        <is>
          <t>SILVER_CONSUMER</t>
        </is>
      </c>
      <c r="C1348" s="48" t="inlineStr">
        <is>
          <t>X.6</t>
        </is>
      </c>
      <c r="D1348" s="48" t="inlineStr">
        <is>
          <t>Nhom X - Bo sung Raffles</t>
        </is>
      </c>
      <c r="E1348" s="48" t="inlineStr">
        <is>
          <t>[Bổ sung] Satellite phải LEFT JOIN, không INNER JOIN</t>
        </is>
      </c>
      <c r="F1348" s="48" t="inlineStr">
        <is>
          <t>N-A</t>
        </is>
      </c>
      <c r="G1348" s="48" t="inlineStr">
        <is>
          <t>Pass</t>
        </is>
      </c>
      <c r="H1348" s="50" t="inlineStr">
        <is>
          <t>không join satellite trực tiếp</t>
        </is>
      </c>
      <c r="I1348" s="50" t="inlineStr">
        <is>
          <t>Technical Document III.4.2.2 nguyên tắc 1: làm giàu thuộc tính luôn dùng LEFT JOIN. INNER JOIN satellite sẽ loại mất bản ghi Hub đang còn hiệu lực nhưng chưa có dòng satellite.</t>
        </is>
      </c>
      <c r="J1348" s="48" t="inlineStr">
        <is>
          <t>068. OCB_GOLD_TCKH_GL_ACCT_DIM_BAOANH.xlsx [SCRIPT: GL_ACCT_DIM]</t>
        </is>
      </c>
    </row>
    <row r="1349">
      <c r="A1349" s="48" t="inlineStr">
        <is>
          <t>TCKH.GL_ACCT_DIM</t>
        </is>
      </c>
      <c r="B1349" s="48" t="inlineStr">
        <is>
          <t>SILVER_CONSUMER</t>
        </is>
      </c>
      <c r="C1349" s="48" t="inlineStr">
        <is>
          <t>X.7</t>
        </is>
      </c>
      <c r="D1349" s="48" t="inlineStr">
        <is>
          <t>Nhom X - Bo sung Raffles</t>
        </is>
      </c>
      <c r="E1349" s="48" t="inlineStr">
        <is>
          <t>[Bổ sung] Không hard-code catalog, dùng biến môi trường</t>
        </is>
      </c>
      <c r="F1349" s="49" t="inlineStr">
        <is>
          <t>PASS</t>
        </is>
      </c>
      <c r="G1349" s="48" t="inlineStr">
        <is>
          <t>Pass</t>
        </is>
      </c>
      <c r="H1349" s="50" t="inlineStr">
        <is>
          <t>dùng biến môi trường cho catalog</t>
        </is>
      </c>
      <c r="I13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49" s="48" t="inlineStr">
        <is>
          <t>068. OCB_GOLD_TCKH_GL_ACCT_DIM_BAOANH.xlsx [SCRIPT: GL_ACCT_DIM]</t>
        </is>
      </c>
    </row>
    <row r="1350">
      <c r="A1350" s="48" t="inlineStr">
        <is>
          <t>TCKH.GL_ACCT_DIM</t>
        </is>
      </c>
      <c r="B1350" s="48" t="inlineStr">
        <is>
          <t>SILVER_CONSUMER</t>
        </is>
      </c>
      <c r="C1350" s="48" t="inlineStr">
        <is>
          <t>X.10</t>
        </is>
      </c>
      <c r="D1350" s="48" t="inlineStr">
        <is>
          <t>Nhom X - Bo sung Raffles</t>
        </is>
      </c>
      <c r="E1350" s="48" t="inlineStr">
        <is>
          <t>Bang raw_vault/business_vault duoc doc phai TON TAI THAT trong Data Vault model</t>
        </is>
      </c>
      <c r="F1350" s="49" t="inlineStr">
        <is>
          <t>PASS</t>
        </is>
      </c>
      <c r="G1350" s="48" t="inlineStr">
        <is>
          <t>Pass</t>
        </is>
      </c>
      <c r="H1350" s="50" t="inlineStr">
        <is>
          <t>1 bảng Silver đều có thật trong Data Vault model</t>
        </is>
      </c>
      <c r="I1350" s="50" t="inlineStr"/>
      <c r="J1350" s="48" t="inlineStr">
        <is>
          <t>068. OCB_GOLD_TCKH_GL_ACCT_DIM_BAOANH.xlsx [SCRIPT: GL_ACCT_DIM]</t>
        </is>
      </c>
    </row>
    <row r="1351">
      <c r="A1351" s="48" t="inlineStr">
        <is>
          <t>TCKH.GL_ACCT_DIM</t>
        </is>
      </c>
      <c r="B1351" s="48" t="inlineStr">
        <is>
          <t>SILVER_CONSUMER</t>
        </is>
      </c>
      <c r="C1351" s="48" t="inlineStr">
        <is>
          <t>X.11</t>
        </is>
      </c>
      <c r="D1351" s="48" t="inlineStr">
        <is>
          <t>Nhom X - Bo sung Raffles</t>
        </is>
      </c>
      <c r="E1351" s="48" t="inlineStr">
        <is>
          <t>Cot doc tu satellite (sat_*) phai TON TAI THAT trong model</t>
        </is>
      </c>
      <c r="F1351" s="48" t="inlineStr">
        <is>
          <t>N-A</t>
        </is>
      </c>
      <c r="G1351" s="48" t="inlineStr">
        <is>
          <t>Pass</t>
        </is>
      </c>
      <c r="H1351" s="50" t="inlineStr">
        <is>
          <t>không có bảng sat_* nào đủ điều kiện đối chiếu (Select chỉ đọc 1 bảng)</t>
        </is>
      </c>
      <c r="I1351" s="50" t="inlineStr"/>
      <c r="J1351" s="48" t="inlineStr">
        <is>
          <t>068. OCB_GOLD_TCKH_GL_ACCT_DIM_BAOANH.xlsx [SCRIPT: GL_ACCT_DIM]</t>
        </is>
      </c>
    </row>
    <row r="1352">
      <c r="A1352" s="48" t="inlineStr">
        <is>
          <t>TCKH.LD_FTP_RATE</t>
        </is>
      </c>
      <c r="B1352" s="48" t="inlineStr">
        <is>
          <t>GOLD_DERIVED</t>
        </is>
      </c>
      <c r="C1352" s="48" t="inlineStr">
        <is>
          <t>1.1</t>
        </is>
      </c>
      <c r="D1352" s="48" t="inlineStr">
        <is>
          <t>Nhom 1 - Mapping</t>
        </is>
      </c>
      <c r="E1352" s="48" t="inlineStr">
        <is>
          <t>Đầy đủ mapping từ Silver/manual sang Gold</t>
        </is>
      </c>
      <c r="F1352" s="49" t="inlineStr">
        <is>
          <t>PASS</t>
        </is>
      </c>
      <c r="G1352" s="48" t="inlineStr">
        <is>
          <t>Pass</t>
        </is>
      </c>
      <c r="H1352" s="50" t="inlineStr">
        <is>
          <t>workbook 069. OCB_GOLD_TCKH_LD_FTP_RATE_PHAT.xlsx: thiết kế 6 field, SQL có 6 cột</t>
        </is>
      </c>
      <c r="I13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52" s="48" t="inlineStr">
        <is>
          <t>069. OCB_GOLD_TCKH_LD_FTP_RATE_PHAT.xlsx [Script: LD_FTP_RATE]</t>
        </is>
      </c>
    </row>
    <row r="1353">
      <c r="A1353" s="48" t="inlineStr">
        <is>
          <t>TCKH.LD_FTP_RATE</t>
        </is>
      </c>
      <c r="B1353" s="48" t="inlineStr">
        <is>
          <t>GOLD_DERIVED</t>
        </is>
      </c>
      <c r="C1353" s="48" t="inlineStr">
        <is>
          <t>1.2</t>
        </is>
      </c>
      <c r="D1353" s="48" t="inlineStr">
        <is>
          <t>Nhom 1 - Mapping</t>
        </is>
      </c>
      <c r="E1353" s="48" t="inlineStr">
        <is>
          <t>Danh sách bảng/view Gold khớp tài liệu thiết kế đã duyệt</t>
        </is>
      </c>
      <c r="F1353" s="49" t="inlineStr">
        <is>
          <t>PASS</t>
        </is>
      </c>
      <c r="G1353" s="48" t="inlineStr">
        <is>
          <t>Pass</t>
        </is>
      </c>
      <c r="H1353" s="50" t="inlineStr">
        <is>
          <t>LD_FTP_RATE có workbook thiết kế: 069. OCB_GOLD_TCKH_LD_FTP_RATE_PHAT.xlsx</t>
        </is>
      </c>
      <c r="I1353" s="50" t="inlineStr">
        <is>
          <t>Đảm bảo object có workbook thiết kế tương ứng trong thư mục --mapping-dir. Muốn đối chiếu với danh sách đã duyệt thì chạy thêm tham số --gold-list "&lt;file danh sách Gold&gt;.xlsx".</t>
        </is>
      </c>
      <c r="J1353" s="48" t="inlineStr">
        <is>
          <t>069. OCB_GOLD_TCKH_LD_FTP_RATE_PHAT.xlsx [Script: LD_FTP_RATE]</t>
        </is>
      </c>
    </row>
    <row r="1354">
      <c r="A1354" s="48" t="inlineStr">
        <is>
          <t>TCKH.LD_FTP_RATE</t>
        </is>
      </c>
      <c r="B1354" s="48" t="inlineStr">
        <is>
          <t>GOLD_DERIVED</t>
        </is>
      </c>
      <c r="C1354" s="48" t="inlineStr">
        <is>
          <t>2.1</t>
        </is>
      </c>
      <c r="D1354" s="48" t="inlineStr">
        <is>
          <t>Nhom 2 - Logic</t>
        </is>
      </c>
      <c r="E1354" s="48" t="inlineStr">
        <is>
          <t>Chỉ lấy bản ghi active, loại bản ghi đã xóa (qua sts_hub)</t>
        </is>
      </c>
      <c r="F1354" s="48" t="inlineStr">
        <is>
          <t>N-A</t>
        </is>
      </c>
      <c r="G1354" s="48" t="inlineStr">
        <is>
          <t>Pass</t>
        </is>
      </c>
      <c r="H1354" s="50" t="inlineStr">
        <is>
          <t>khong ap dung cho profile GOLD_DERIVED</t>
        </is>
      </c>
      <c r="I13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54" s="48" t="inlineStr">
        <is>
          <t>069. OCB_GOLD_TCKH_LD_FTP_RATE_PHAT.xlsx [Script: LD_FTP_RATE]</t>
        </is>
      </c>
    </row>
    <row r="1355">
      <c r="A1355" s="48" t="inlineStr">
        <is>
          <t>TCKH.LD_FTP_RATE</t>
        </is>
      </c>
      <c r="B1355" s="48" t="inlineStr">
        <is>
          <t>GOLD_DERIVED</t>
        </is>
      </c>
      <c r="C1355" s="48" t="inlineStr">
        <is>
          <t>2.2</t>
        </is>
      </c>
      <c r="D1355" s="48" t="inlineStr">
        <is>
          <t>Nhom 2 - Logic</t>
        </is>
      </c>
      <c r="E1355" s="48" t="inlineStr">
        <is>
          <t>Thống nhất MỘT pattern duy nhất xác định bản ghi active mới nhất</t>
        </is>
      </c>
      <c r="F1355" s="48" t="inlineStr">
        <is>
          <t>N-A</t>
        </is>
      </c>
      <c r="G1355" s="48" t="inlineStr">
        <is>
          <t>Pass</t>
        </is>
      </c>
      <c r="H1355" s="50" t="inlineStr">
        <is>
          <t>khong ap dung cho profile GOLD_DERIVED</t>
        </is>
      </c>
      <c r="I13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55" s="48" t="inlineStr">
        <is>
          <t>069. OCB_GOLD_TCKH_LD_FTP_RATE_PHAT.xlsx [Script: LD_FTP_RATE]</t>
        </is>
      </c>
    </row>
    <row r="1356">
      <c r="A1356" s="48" t="inlineStr">
        <is>
          <t>TCKH.LD_FTP_RATE</t>
        </is>
      </c>
      <c r="B1356" s="48" t="inlineStr">
        <is>
          <t>GOLD_DERIVED</t>
        </is>
      </c>
      <c r="C1356" s="48" t="inlineStr">
        <is>
          <t>2.3</t>
        </is>
      </c>
      <c r="D1356" s="48" t="inlineStr">
        <is>
          <t>Nhom 2 - Logic</t>
        </is>
      </c>
      <c r="E1356" s="48" t="inlineStr">
        <is>
          <t>Điều kiện lọc trạng thái đặt SAU khi xác định bản ghi mới nhất</t>
        </is>
      </c>
      <c r="F1356" s="49" t="inlineStr">
        <is>
          <t>PASS</t>
        </is>
      </c>
      <c r="G1356" s="48" t="inlineStr">
        <is>
          <t>Pass</t>
        </is>
      </c>
      <c r="H1356" s="50" t="inlineStr">
        <is>
          <t>không có điều kiện trạng thái nào lồng trong JOIN ON</t>
        </is>
      </c>
      <c r="I13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56" s="48" t="inlineStr">
        <is>
          <t>069. OCB_GOLD_TCKH_LD_FTP_RATE_PHAT.xlsx [Script: LD_FTP_RATE]</t>
        </is>
      </c>
    </row>
    <row r="1357">
      <c r="A1357" s="48" t="inlineStr">
        <is>
          <t>TCKH.LD_FTP_RATE</t>
        </is>
      </c>
      <c r="B1357" s="48" t="inlineStr">
        <is>
          <t>GOLD_DERIVED</t>
        </is>
      </c>
      <c r="C1357" s="48" t="inlineStr">
        <is>
          <t>2.4</t>
        </is>
      </c>
      <c r="D1357" s="48" t="inlineStr">
        <is>
          <t>Nhom 2 - Logic</t>
        </is>
      </c>
      <c r="E1357" s="48" t="inlineStr">
        <is>
          <t>source_event_date áp dụng đúng dạng theo loại bảng</t>
        </is>
      </c>
      <c r="F1357" s="48" t="inlineStr">
        <is>
          <t>N-A</t>
        </is>
      </c>
      <c r="G1357" s="48" t="inlineStr">
        <is>
          <t>Pass</t>
        </is>
      </c>
      <c r="H1357" s="50" t="inlineStr">
        <is>
          <t>khong ap dung cho profile GOLD_DERIVED</t>
        </is>
      </c>
      <c r="I13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57" s="48" t="inlineStr">
        <is>
          <t>069. OCB_GOLD_TCKH_LD_FTP_RATE_PHAT.xlsx [Script: LD_FTP_RATE]</t>
        </is>
      </c>
    </row>
    <row r="1358">
      <c r="A1358" s="48" t="inlineStr">
        <is>
          <t>TCKH.LD_FTP_RATE</t>
        </is>
      </c>
      <c r="B1358" s="48" t="inlineStr">
        <is>
          <t>GOLD_DERIVED</t>
        </is>
      </c>
      <c r="C1358" s="48" t="inlineStr">
        <is>
          <t>2.5</t>
        </is>
      </c>
      <c r="D1358" s="48" t="inlineStr">
        <is>
          <t>Nhom 2 - Logic</t>
        </is>
      </c>
      <c r="E1358" s="48" t="inlineStr">
        <is>
          <t>Không lặp lại lỗi logic cũ đã được DA Data Vault fix</t>
        </is>
      </c>
      <c r="F1358" s="49" t="inlineStr">
        <is>
          <t>PASS</t>
        </is>
      </c>
      <c r="G1358" s="48" t="inlineStr">
        <is>
          <t>Pass</t>
        </is>
      </c>
      <c r="H1358" s="50" t="inlineStr">
        <is>
          <t>không trùng lỗi nào trong Issue log của DA Data Vault</t>
        </is>
      </c>
      <c r="I13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58" s="48" t="inlineStr">
        <is>
          <t>069. OCB_GOLD_TCKH_LD_FTP_RATE_PHAT.xlsx [Script: LD_FTP_RATE]</t>
        </is>
      </c>
    </row>
    <row r="1359">
      <c r="A1359" s="48" t="inlineStr">
        <is>
          <t>TCKH.LD_FTP_RATE</t>
        </is>
      </c>
      <c r="B1359" s="48" t="inlineStr">
        <is>
          <t>GOLD_DERIVED</t>
        </is>
      </c>
      <c r="C1359" s="48" t="inlineStr">
        <is>
          <t>2.6</t>
        </is>
      </c>
      <c r="D1359" s="48" t="inlineStr">
        <is>
          <t>Nhom 2 - Logic</t>
        </is>
      </c>
      <c r="E1359" s="48" t="inlineStr">
        <is>
          <t>SCD Type 2 cho bảng DIM áp dụng đúng kỹ thuật đã thống nhất</t>
        </is>
      </c>
      <c r="F1359" s="48" t="inlineStr">
        <is>
          <t>N-A</t>
        </is>
      </c>
      <c r="G1359" s="48" t="inlineStr">
        <is>
          <t>Pass</t>
        </is>
      </c>
      <c r="H1359" s="50" t="inlineStr">
        <is>
          <t>object không phải bảng DIM nên không áp dụng SCD Type 2</t>
        </is>
      </c>
      <c r="I13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59" s="48" t="inlineStr">
        <is>
          <t>069. OCB_GOLD_TCKH_LD_FTP_RATE_PHAT.xlsx [Script: LD_FTP_RATE]</t>
        </is>
      </c>
    </row>
    <row r="1360">
      <c r="A1360" s="48" t="inlineStr">
        <is>
          <t>TCKH.LD_FTP_RATE</t>
        </is>
      </c>
      <c r="B1360" s="48" t="inlineStr">
        <is>
          <t>GOLD_DERIVED</t>
        </is>
      </c>
      <c r="C1360" s="48" t="inlineStr">
        <is>
          <t>2.7</t>
        </is>
      </c>
      <c r="D1360" s="48" t="inlineStr">
        <is>
          <t>Nhom 2 - Logic</t>
        </is>
      </c>
      <c r="E1360" s="48" t="inlineStr">
        <is>
          <t>CASE WHEN cover đủ nhánh như job on-prem</t>
        </is>
      </c>
      <c r="F1360" s="48" t="inlineStr">
        <is>
          <t>N-A</t>
        </is>
      </c>
      <c r="G1360" s="48" t="inlineStr">
        <is>
          <t>Pass</t>
        </is>
      </c>
      <c r="H1360" s="50" t="inlineStr">
        <is>
          <t>script không có CASE WHEN nào</t>
        </is>
      </c>
      <c r="I1360" s="50" t="inlineStr">
        <is>
          <t>Mở job on-prem tương ứng (DataStage DSX hoặc SQL cũ), đối chiếu từng nhánh WHEN và cả nhánh ELSE. CASE không có ELSE sẽ trả NULL âm thầm — xác nhận đó là ý muốn hay thiếu nhánh.</t>
        </is>
      </c>
      <c r="J1360" s="48" t="inlineStr">
        <is>
          <t>069. OCB_GOLD_TCKH_LD_FTP_RATE_PHAT.xlsx [Script: LD_FTP_RATE]</t>
        </is>
      </c>
    </row>
    <row r="1361">
      <c r="A1361" s="48" t="inlineStr">
        <is>
          <t>TCKH.LD_FTP_RATE</t>
        </is>
      </c>
      <c r="B1361" s="48" t="inlineStr">
        <is>
          <t>GOLD_DERIVED</t>
        </is>
      </c>
      <c r="C1361" s="48" t="inlineStr">
        <is>
          <t>2.8</t>
        </is>
      </c>
      <c r="D1361" s="48" t="inlineStr">
        <is>
          <t>Nhom 2 - Logic</t>
        </is>
      </c>
      <c r="E1361" s="48" t="inlineStr">
        <is>
          <t>Cột SUM/COUNT được COALESCE/NVL hợp lý</t>
        </is>
      </c>
      <c r="F1361" s="49" t="inlineStr">
        <is>
          <t>PASS</t>
        </is>
      </c>
      <c r="G1361" s="48" t="inlineStr">
        <is>
          <t>Pass</t>
        </is>
      </c>
      <c r="H1361" s="50" t="inlineStr">
        <is>
          <t>mọi SUM/COUNT đều đã coalesce (trực tiếp hoặc ở lớp ngoài)</t>
        </is>
      </c>
      <c r="I13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61" s="48" t="inlineStr">
        <is>
          <t>069. OCB_GOLD_TCKH_LD_FTP_RATE_PHAT.xlsx [Script: LD_FTP_RATE]</t>
        </is>
      </c>
    </row>
    <row r="1362">
      <c r="A1362" s="48" t="inlineStr">
        <is>
          <t>TCKH.LD_FTP_RATE</t>
        </is>
      </c>
      <c r="B1362" s="48" t="inlineStr">
        <is>
          <t>GOLD_DERIVED</t>
        </is>
      </c>
      <c r="C1362" s="48" t="inlineStr">
        <is>
          <t>2.9</t>
        </is>
      </c>
      <c r="D1362" s="48" t="inlineStr">
        <is>
          <t>Nhom 2 - Logic</t>
        </is>
      </c>
      <c r="E1362" s="48" t="inlineStr">
        <is>
          <t>Subquery / custom function / điều kiện LIKE đúng ý nghĩa nghiệp vụ</t>
        </is>
      </c>
      <c r="F1362" s="48" t="inlineStr">
        <is>
          <t>N-A</t>
        </is>
      </c>
      <c r="G1362" s="48" t="inlineStr">
        <is>
          <t>Pass</t>
        </is>
      </c>
      <c r="H1362" s="50" t="inlineStr">
        <is>
          <t>script không có điều kiện LIKE hay scalar subquery nào</t>
        </is>
      </c>
      <c r="I1362" s="50" t="inlineStr">
        <is>
          <t>Đọc lại từng điều kiện LIKE và từng subquery, đối chiếu ý nghĩa nghiệp vụ với on-prem — đúng cú pháp không đủ. Chú ý pattern LIKE có ký tự % ở đầu/cuối và phân biệt chữ hoa/thường.</t>
        </is>
      </c>
      <c r="J1362" s="48" t="inlineStr">
        <is>
          <t>069. OCB_GOLD_TCKH_LD_FTP_RATE_PHAT.xlsx [Script: LD_FTP_RATE]</t>
        </is>
      </c>
    </row>
    <row r="1363">
      <c r="A1363" s="48" t="inlineStr">
        <is>
          <t>TCKH.LD_FTP_RATE</t>
        </is>
      </c>
      <c r="B1363" s="48" t="inlineStr">
        <is>
          <t>GOLD_DERIVED</t>
        </is>
      </c>
      <c r="C1363" s="48" t="inlineStr">
        <is>
          <t>2.10</t>
        </is>
      </c>
      <c r="D1363" s="48" t="inlineStr">
        <is>
          <t>Nhom 2 - Logic</t>
        </is>
      </c>
      <c r="E1363" s="48" t="inlineStr">
        <is>
          <t>Aggregation kèm filter date range chính xác</t>
        </is>
      </c>
      <c r="F1363" s="49" t="inlineStr">
        <is>
          <t>PASS</t>
        </is>
      </c>
      <c r="G1363" s="48" t="inlineStr">
        <is>
          <t>Pass</t>
        </is>
      </c>
      <c r="H1363" s="50" t="inlineStr">
        <is>
          <t>mọi khối tổng hợp đều có điều kiện theo kỳ dữ liệu</t>
        </is>
      </c>
      <c r="I1363" s="50" t="inlineStr">
        <is>
          <t>Mỗi khối SUM/COUNT/AVG phải có điều kiện lọc theo kỳ dữ liệu (CDR_DT_ID, DATA_DATE, :DATADT…). Nếu điều kiện nằm ở CTE nguồn thì ghi rõ trong comment để người review không phải truy ngược.</t>
        </is>
      </c>
      <c r="J1363" s="48" t="inlineStr">
        <is>
          <t>069. OCB_GOLD_TCKH_LD_FTP_RATE_PHAT.xlsx [Script: LD_FTP_RATE]</t>
        </is>
      </c>
    </row>
    <row r="1364">
      <c r="A1364" s="48" t="inlineStr">
        <is>
          <t>TCKH.LD_FTP_RATE</t>
        </is>
      </c>
      <c r="B1364" s="48" t="inlineStr">
        <is>
          <t>GOLD_DERIVED</t>
        </is>
      </c>
      <c r="C1364" s="48" t="inlineStr">
        <is>
          <t>2.11</t>
        </is>
      </c>
      <c r="D1364" s="48" t="inlineStr">
        <is>
          <t>Nhom 2 - Logic</t>
        </is>
      </c>
      <c r="E1364" s="48" t="inlineStr">
        <is>
          <t>Join dùng key hợp lý, không lạm dụng UNION ALL + EXISTS/NOT EXISTS</t>
        </is>
      </c>
      <c r="F1364" s="49" t="inlineStr">
        <is>
          <t>PASS</t>
        </is>
      </c>
      <c r="G1364" s="48" t="inlineStr">
        <is>
          <t>Pass</t>
        </is>
      </c>
      <c r="H1364" s="50" t="inlineStr">
        <is>
          <t>join đều theo điều kiện bằng, không lạm dụng UNION ALL + EXISTS</t>
        </is>
      </c>
      <c r="I1364" s="50" t="inlineStr">
        <is>
          <t>Ưu tiên LEFT JOIN theo business key hoặc hashkey. Xem lại các chỗ dùng UNION ALL kết hợp EXISTS/NOT EXISTS — thường thay được bằng một LEFT JOIN. Join không có điều kiện bằng (=) dễ tạo tích Descartes.</t>
        </is>
      </c>
      <c r="J1364" s="48" t="inlineStr">
        <is>
          <t>069. OCB_GOLD_TCKH_LD_FTP_RATE_PHAT.xlsx [Script: LD_FTP_RATE]</t>
        </is>
      </c>
    </row>
    <row r="1365">
      <c r="A1365" s="48" t="inlineStr">
        <is>
          <t>TCKH.LD_FTP_RATE</t>
        </is>
      </c>
      <c r="B1365" s="48" t="inlineStr">
        <is>
          <t>GOLD_DERIVED</t>
        </is>
      </c>
      <c r="C1365" s="48" t="inlineStr">
        <is>
          <t>2.12</t>
        </is>
      </c>
      <c r="D1365" s="48" t="inlineStr">
        <is>
          <t>Nhom 2 - Logic</t>
        </is>
      </c>
      <c r="E1365" s="48" t="inlineStr">
        <is>
          <t>Build Gold từ CTE snapshot Silver, không build nhiều tầng chồng chéo</t>
        </is>
      </c>
      <c r="F1365" s="49" t="inlineStr">
        <is>
          <t>PASS</t>
        </is>
      </c>
      <c r="G1365" s="48" t="inlineStr">
        <is>
          <t>Pass</t>
        </is>
      </c>
      <c r="H1365" s="50" t="inlineStr">
        <is>
          <t>mỗi bảng nguồn chỉ đọc trong 1 khối SELECT</t>
        </is>
      </c>
      <c r="I13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65" s="48" t="inlineStr">
        <is>
          <t>069. OCB_GOLD_TCKH_LD_FTP_RATE_PHAT.xlsx [Script: LD_FTP_RATE]</t>
        </is>
      </c>
    </row>
    <row r="1366">
      <c r="A1366" s="48" t="inlineStr">
        <is>
          <t>TCKH.LD_FTP_RATE</t>
        </is>
      </c>
      <c r="B1366" s="48" t="inlineStr">
        <is>
          <t>GOLD_DERIVED</t>
        </is>
      </c>
      <c r="C1366" s="48" t="inlineStr">
        <is>
          <t>3.1</t>
        </is>
      </c>
      <c r="D1366" s="48" t="inlineStr">
        <is>
          <t>Nhom 3 - Optimization</t>
        </is>
      </c>
      <c r="E1366" s="48" t="inlineStr">
        <is>
          <t>Không SELECT *</t>
        </is>
      </c>
      <c r="F1366" s="49" t="inlineStr">
        <is>
          <t>PASS</t>
        </is>
      </c>
      <c r="G1366" s="48" t="inlineStr">
        <is>
          <t>Pass</t>
        </is>
      </c>
      <c r="H1366" s="50" t="inlineStr">
        <is>
          <t>không dùng SELECT * ở đâu</t>
        </is>
      </c>
      <c r="I1366" s="50" t="inlineStr">
        <is>
          <t>Liệt kê tường minh các cột cần dùng, kể cả trong CTE trung gian. SELECT * làm tăng IO/memory và vỡ script khi bảng nguồn thêm cột.</t>
        </is>
      </c>
      <c r="J1366" s="48" t="inlineStr">
        <is>
          <t>069. OCB_GOLD_TCKH_LD_FTP_RATE_PHAT.xlsx [Script: LD_FTP_RATE]</t>
        </is>
      </c>
    </row>
    <row r="1367">
      <c r="A1367" s="48" t="inlineStr">
        <is>
          <t>TCKH.LD_FTP_RATE</t>
        </is>
      </c>
      <c r="B1367" s="48" t="inlineStr">
        <is>
          <t>GOLD_DERIVED</t>
        </is>
      </c>
      <c r="C1367" s="48" t="inlineStr">
        <is>
          <t>3.2</t>
        </is>
      </c>
      <c r="D1367" s="48" t="inlineStr">
        <is>
          <t>Nhom 3 - Optimization</t>
        </is>
      </c>
      <c r="E1367" s="48" t="inlineStr">
        <is>
          <t>CTE không bị scan lại nhiều lần</t>
        </is>
      </c>
      <c r="F1367" s="49" t="inlineStr">
        <is>
          <t>PASS</t>
        </is>
      </c>
      <c r="G1367" s="48" t="inlineStr">
        <is>
          <t>Pass</t>
        </is>
      </c>
      <c r="H1367" s="50" t="inlineStr">
        <is>
          <t>không có CTE nào bị gọi lại</t>
        </is>
      </c>
      <c r="I1367" s="50" t="inlineStr">
        <is>
          <t>Với CTE nặng (đọc nhiều bảng Silver) bị tham chiếu từ 2 chỗ trở lên: gom lại còn một lần dùng, hoặc vật chất hóa (CACHE / bảng tạm). CTE nhẹ chỉ chứa tham số thì bỏ qua được — tự tick Pass.</t>
        </is>
      </c>
      <c r="J1367" s="48" t="inlineStr">
        <is>
          <t>069. OCB_GOLD_TCKH_LD_FTP_RATE_PHAT.xlsx [Script: LD_FTP_RATE]</t>
        </is>
      </c>
    </row>
    <row r="1368">
      <c r="A1368" s="48" t="inlineStr">
        <is>
          <t>TCKH.LD_FTP_RATE</t>
        </is>
      </c>
      <c r="B1368" s="48" t="inlineStr">
        <is>
          <t>GOLD_DERIVED</t>
        </is>
      </c>
      <c r="C1368" s="48" t="inlineStr">
        <is>
          <t>3.3</t>
        </is>
      </c>
      <c r="D1368" s="48" t="inlineStr">
        <is>
          <t>Nhom 3 - Optimization</t>
        </is>
      </c>
      <c r="E1368" s="48" t="inlineStr">
        <is>
          <t>Filter trước khi join, tận dụng partition pruning</t>
        </is>
      </c>
      <c r="F1368" s="49" t="inlineStr">
        <is>
          <t>PASS</t>
        </is>
      </c>
      <c r="G1368" s="48" t="inlineStr">
        <is>
          <t>Pass</t>
        </is>
      </c>
      <c r="H1368" s="50" t="inlineStr">
        <is>
          <t>các bảng join đều được filter trước</t>
        </is>
      </c>
      <c r="I1368" s="50" t="inlineStr">
        <is>
          <t>Đưa điều kiện lọc (ngày dữ liệu, trạng thái) vào subquery của từng bảng TRƯỚC khi join, để tận dụng partition pruning. Bảng dim nhỏ không partition thì không cần — tự tick Pass.</t>
        </is>
      </c>
      <c r="J1368" s="48" t="inlineStr">
        <is>
          <t>069. OCB_GOLD_TCKH_LD_FTP_RATE_PHAT.xlsx [Script: LD_FTP_RATE]</t>
        </is>
      </c>
    </row>
    <row r="1369">
      <c r="A1369" s="48" t="inlineStr">
        <is>
          <t>TCKH.LD_FTP_RATE</t>
        </is>
      </c>
      <c r="B1369" s="48" t="inlineStr">
        <is>
          <t>GOLD_DERIVED</t>
        </is>
      </c>
      <c r="C1369" s="48" t="inlineStr">
        <is>
          <t>3.4</t>
        </is>
      </c>
      <c r="D1369" s="48" t="inlineStr">
        <is>
          <t>Nhom 3 - Optimization</t>
        </is>
      </c>
      <c r="E1369" s="48" t="inlineStr">
        <is>
          <t>Sử dụng CACHE cho query lặp lại trong cùng luồng</t>
        </is>
      </c>
      <c r="F1369" s="48" t="inlineStr">
        <is>
          <t>N-A</t>
        </is>
      </c>
      <c r="G1369" s="48" t="inlineStr">
        <is>
          <t>Pass</t>
        </is>
      </c>
      <c r="H1369" s="50" t="inlineStr">
        <is>
          <t>không có kết quả nào được dùng lại nhiều lần nên chưa cần CACHE</t>
        </is>
      </c>
      <c r="I1369" s="50" t="inlineStr">
        <is>
          <t>Nếu một kết quả nặng được dùng lại nhiều bước trong cùng luồng, thêm CACHE TABLE / CACHE SELECT. Kết quả nhỏ thì cache còn chậm hơn — tự tick Pass.</t>
        </is>
      </c>
      <c r="J1369" s="48" t="inlineStr">
        <is>
          <t>069. OCB_GOLD_TCKH_LD_FTP_RATE_PHAT.xlsx [Script: LD_FTP_RATE]</t>
        </is>
      </c>
    </row>
    <row r="1370">
      <c r="A1370" s="48" t="inlineStr">
        <is>
          <t>TCKH.LD_FTP_RATE</t>
        </is>
      </c>
      <c r="B1370" s="48" t="inlineStr">
        <is>
          <t>GOLD_DERIVED</t>
        </is>
      </c>
      <c r="C1370" s="48" t="inlineStr">
        <is>
          <t>3.5</t>
        </is>
      </c>
      <c r="D1370" s="48" t="inlineStr">
        <is>
          <t>Nhom 3 - Optimization</t>
        </is>
      </c>
      <c r="E1370" s="48" t="inlineStr">
        <is>
          <t>Ưu tiên MAX_BY + QUALIFY thay ROW_NUMBER() + WHERE rn = 1</t>
        </is>
      </c>
      <c r="F1370" s="48" t="inlineStr">
        <is>
          <t>N-A</t>
        </is>
      </c>
      <c r="G1370" s="48" t="inlineStr">
        <is>
          <t>Pass</t>
        </is>
      </c>
      <c r="H1370" s="50" t="inlineStr">
        <is>
          <t>script không dùng ROW_NUMBER, và MAX_BY (nếu có) không vượt quá 5 cột/khối</t>
        </is>
      </c>
      <c r="I13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70" s="48" t="inlineStr">
        <is>
          <t>069. OCB_GOLD_TCKH_LD_FTP_RATE_PHAT.xlsx [Script: LD_FTP_RATE]</t>
        </is>
      </c>
    </row>
    <row r="1371">
      <c r="A1371" s="48" t="inlineStr">
        <is>
          <t>TCKH.LD_FTP_RATE</t>
        </is>
      </c>
      <c r="B1371" s="48" t="inlineStr">
        <is>
          <t>GOLD_DERIVED</t>
        </is>
      </c>
      <c r="C1371" s="48" t="inlineStr">
        <is>
          <t>3.6</t>
        </is>
      </c>
      <c r="D1371" s="48" t="inlineStr">
        <is>
          <t>Nhom 3 - Optimization</t>
        </is>
      </c>
      <c r="E1371" s="48" t="inlineStr">
        <is>
          <t>Không lạm dụng window function; có comment khi dùng</t>
        </is>
      </c>
      <c r="F1371" s="48" t="inlineStr">
        <is>
          <t>N-A</t>
        </is>
      </c>
      <c r="G1371" s="48" t="inlineStr">
        <is>
          <t>Pass</t>
        </is>
      </c>
      <c r="H1371" s="50" t="inlineStr">
        <is>
          <t>script không dùng window function</t>
        </is>
      </c>
      <c r="I1371" s="50" t="inlineStr">
        <is>
          <t>Mỗi window function cần một comment ngay trên khối CTE chứa nó, nói rõ vì sao không dùng được max_by/QUALIFY đơn giản hơn.</t>
        </is>
      </c>
      <c r="J1371" s="48" t="inlineStr">
        <is>
          <t>069. OCB_GOLD_TCKH_LD_FTP_RATE_PHAT.xlsx [Script: LD_FTP_RATE]</t>
        </is>
      </c>
    </row>
    <row r="1372">
      <c r="A1372" s="48" t="inlineStr">
        <is>
          <t>TCKH.LD_FTP_RATE</t>
        </is>
      </c>
      <c r="B1372" s="48" t="inlineStr">
        <is>
          <t>GOLD_DERIVED</t>
        </is>
      </c>
      <c r="C1372" s="48" t="inlineStr">
        <is>
          <t>X.1</t>
        </is>
      </c>
      <c r="D1372" s="48" t="inlineStr">
        <is>
          <t>Nhom X - Bo sung Raffles</t>
        </is>
      </c>
      <c r="E1372" s="48" t="inlineStr">
        <is>
          <t>[Bổ sung] Link phải rút về current trước khi join (chống fan-out)</t>
        </is>
      </c>
      <c r="F1372" s="48" t="inlineStr">
        <is>
          <t>N-A</t>
        </is>
      </c>
      <c r="G1372" s="48" t="inlineStr">
        <is>
          <t>Pass</t>
        </is>
      </c>
      <c r="H1372" s="50" t="inlineStr">
        <is>
          <t>khong ap dung cho profile GOLD_DERIVED</t>
        </is>
      </c>
      <c r="I13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72" s="48" t="inlineStr">
        <is>
          <t>069. OCB_GOLD_TCKH_LD_FTP_RATE_PHAT.xlsx [Script: LD_FTP_RATE]</t>
        </is>
      </c>
    </row>
    <row r="1373">
      <c r="A1373" s="48" t="inlineStr">
        <is>
          <t>TCKH.LD_FTP_RATE</t>
        </is>
      </c>
      <c r="B1373" s="48" t="inlineStr">
        <is>
          <t>GOLD_DERIVED</t>
        </is>
      </c>
      <c r="C1373" s="48" t="inlineStr">
        <is>
          <t>X.6</t>
        </is>
      </c>
      <c r="D1373" s="48" t="inlineStr">
        <is>
          <t>Nhom X - Bo sung Raffles</t>
        </is>
      </c>
      <c r="E1373" s="48" t="inlineStr">
        <is>
          <t>[Bổ sung] Satellite phải LEFT JOIN, không INNER JOIN</t>
        </is>
      </c>
      <c r="F1373" s="48" t="inlineStr">
        <is>
          <t>N-A</t>
        </is>
      </c>
      <c r="G1373" s="48" t="inlineStr">
        <is>
          <t>Pass</t>
        </is>
      </c>
      <c r="H1373" s="50" t="inlineStr">
        <is>
          <t>khong ap dung cho profile GOLD_DERIVED</t>
        </is>
      </c>
      <c r="I1373" s="50" t="inlineStr">
        <is>
          <t>Technical Document III.4.2.2 nguyên tắc 1: làm giàu thuộc tính luôn dùng LEFT JOIN. INNER JOIN satellite sẽ loại mất bản ghi Hub đang còn hiệu lực nhưng chưa có dòng satellite.</t>
        </is>
      </c>
      <c r="J1373" s="48" t="inlineStr">
        <is>
          <t>069. OCB_GOLD_TCKH_LD_FTP_RATE_PHAT.xlsx [Script: LD_FTP_RATE]</t>
        </is>
      </c>
    </row>
    <row r="1374">
      <c r="A1374" s="48" t="inlineStr">
        <is>
          <t>TCKH.LD_FTP_RATE</t>
        </is>
      </c>
      <c r="B1374" s="48" t="inlineStr">
        <is>
          <t>GOLD_DERIVED</t>
        </is>
      </c>
      <c r="C1374" s="48" t="inlineStr">
        <is>
          <t>X.7</t>
        </is>
      </c>
      <c r="D1374" s="48" t="inlineStr">
        <is>
          <t>Nhom X - Bo sung Raffles</t>
        </is>
      </c>
      <c r="E1374" s="48" t="inlineStr">
        <is>
          <t>[Bổ sung] Không hard-code catalog, dùng biến môi trường</t>
        </is>
      </c>
      <c r="F1374" s="49" t="inlineStr">
        <is>
          <t>PASS</t>
        </is>
      </c>
      <c r="G1374" s="48" t="inlineStr">
        <is>
          <t>Pass</t>
        </is>
      </c>
      <c r="H1374" s="50" t="inlineStr">
        <is>
          <t>dùng biến môi trường cho catalog</t>
        </is>
      </c>
      <c r="I13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74" s="48" t="inlineStr">
        <is>
          <t>069. OCB_GOLD_TCKH_LD_FTP_RATE_PHAT.xlsx [Script: LD_FTP_RATE]</t>
        </is>
      </c>
    </row>
    <row r="1375">
      <c r="A1375" s="48" t="inlineStr">
        <is>
          <t>TCKH.LD_FTP_RATE</t>
        </is>
      </c>
      <c r="B1375" s="48" t="inlineStr">
        <is>
          <t>GOLD_DERIVED</t>
        </is>
      </c>
      <c r="C1375" s="48" t="inlineStr">
        <is>
          <t>X.10</t>
        </is>
      </c>
      <c r="D1375" s="48" t="inlineStr">
        <is>
          <t>Nhom X - Bo sung Raffles</t>
        </is>
      </c>
      <c r="E1375" s="48" t="inlineStr">
        <is>
          <t>Bang raw_vault/business_vault duoc doc phai TON TAI THAT trong Data Vault model</t>
        </is>
      </c>
      <c r="F1375" s="48" t="inlineStr">
        <is>
          <t>N-A</t>
        </is>
      </c>
      <c r="G1375" s="48" t="inlineStr">
        <is>
          <t>Pass</t>
        </is>
      </c>
      <c r="H1375" s="50" t="inlineStr">
        <is>
          <t>script không đọc bảng raw_vault/business_vault nào</t>
        </is>
      </c>
      <c r="I1375" s="50" t="inlineStr"/>
      <c r="J1375" s="48" t="inlineStr">
        <is>
          <t>069. OCB_GOLD_TCKH_LD_FTP_RATE_PHAT.xlsx [Script: LD_FTP_RATE]</t>
        </is>
      </c>
    </row>
    <row r="1376">
      <c r="A1376" s="48" t="inlineStr">
        <is>
          <t>TCKH.LD_FTP_RATE</t>
        </is>
      </c>
      <c r="B1376" s="48" t="inlineStr">
        <is>
          <t>GOLD_DERIVED</t>
        </is>
      </c>
      <c r="C1376" s="48" t="inlineStr">
        <is>
          <t>X.11</t>
        </is>
      </c>
      <c r="D1376" s="48" t="inlineStr">
        <is>
          <t>Nhom X - Bo sung Raffles</t>
        </is>
      </c>
      <c r="E1376" s="48" t="inlineStr">
        <is>
          <t>Cot doc tu satellite (sat_*) phai TON TAI THAT trong model</t>
        </is>
      </c>
      <c r="F1376" s="48" t="inlineStr">
        <is>
          <t>N-A</t>
        </is>
      </c>
      <c r="G1376" s="48" t="inlineStr">
        <is>
          <t>Pass</t>
        </is>
      </c>
      <c r="H1376" s="50" t="inlineStr">
        <is>
          <t>không có bảng sat_* nào đủ điều kiện đối chiếu (Select chỉ đọc 1 bảng)</t>
        </is>
      </c>
      <c r="I1376" s="50" t="inlineStr"/>
      <c r="J1376" s="48" t="inlineStr">
        <is>
          <t>069. OCB_GOLD_TCKH_LD_FTP_RATE_PHAT.xlsx [Script: LD_FTP_RATE]</t>
        </is>
      </c>
    </row>
    <row r="1377">
      <c r="A1377" s="48" t="inlineStr">
        <is>
          <t>TCKH.OPEX_DTL</t>
        </is>
      </c>
      <c r="B1377" s="48" t="inlineStr">
        <is>
          <t>GOLD_DERIVED</t>
        </is>
      </c>
      <c r="C1377" s="48" t="inlineStr">
        <is>
          <t>1.1</t>
        </is>
      </c>
      <c r="D1377" s="48" t="inlineStr">
        <is>
          <t>Nhom 1 - Mapping</t>
        </is>
      </c>
      <c r="E1377" s="48" t="inlineStr">
        <is>
          <t>Đầy đủ mapping từ Silver/manual sang Gold</t>
        </is>
      </c>
      <c r="F1377" s="49" t="inlineStr">
        <is>
          <t>PASS</t>
        </is>
      </c>
      <c r="G1377" s="48" t="inlineStr">
        <is>
          <t>Pass</t>
        </is>
      </c>
      <c r="H1377" s="50" t="inlineStr">
        <is>
          <t>workbook 070. OCB_GOLD_TCKH_OPEX_DTL_HOP.xlsx: thiết kế 21 field, SQL có 21 cột</t>
        </is>
      </c>
      <c r="I13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77" s="48" t="inlineStr">
        <is>
          <t>070. OCB_GOLD_TCKH_OPEX_DTL_HOP.xlsx [SCRIPT: OPEX_DTL]</t>
        </is>
      </c>
    </row>
    <row r="1378">
      <c r="A1378" s="48" t="inlineStr">
        <is>
          <t>TCKH.OPEX_DTL</t>
        </is>
      </c>
      <c r="B1378" s="48" t="inlineStr">
        <is>
          <t>GOLD_DERIVED</t>
        </is>
      </c>
      <c r="C1378" s="48" t="inlineStr">
        <is>
          <t>1.2</t>
        </is>
      </c>
      <c r="D1378" s="48" t="inlineStr">
        <is>
          <t>Nhom 1 - Mapping</t>
        </is>
      </c>
      <c r="E1378" s="48" t="inlineStr">
        <is>
          <t>Danh sách bảng/view Gold khớp tài liệu thiết kế đã duyệt</t>
        </is>
      </c>
      <c r="F1378" s="49" t="inlineStr">
        <is>
          <t>PASS</t>
        </is>
      </c>
      <c r="G1378" s="48" t="inlineStr">
        <is>
          <t>Pass</t>
        </is>
      </c>
      <c r="H1378" s="50" t="inlineStr">
        <is>
          <t>OPEX_DTL có workbook thiết kế: 070. OCB_GOLD_TCKH_OPEX_DTL_HOP.xlsx</t>
        </is>
      </c>
      <c r="I1378" s="50" t="inlineStr">
        <is>
          <t>Đảm bảo object có workbook thiết kế tương ứng trong thư mục --mapping-dir. Muốn đối chiếu với danh sách đã duyệt thì chạy thêm tham số --gold-list "&lt;file danh sách Gold&gt;.xlsx".</t>
        </is>
      </c>
      <c r="J1378" s="48" t="inlineStr">
        <is>
          <t>070. OCB_GOLD_TCKH_OPEX_DTL_HOP.xlsx [SCRIPT: OPEX_DTL]</t>
        </is>
      </c>
    </row>
    <row r="1379">
      <c r="A1379" s="48" t="inlineStr">
        <is>
          <t>TCKH.OPEX_DTL</t>
        </is>
      </c>
      <c r="B1379" s="48" t="inlineStr">
        <is>
          <t>GOLD_DERIVED</t>
        </is>
      </c>
      <c r="C1379" s="48" t="inlineStr">
        <is>
          <t>2.1</t>
        </is>
      </c>
      <c r="D1379" s="48" t="inlineStr">
        <is>
          <t>Nhom 2 - Logic</t>
        </is>
      </c>
      <c r="E1379" s="48" t="inlineStr">
        <is>
          <t>Chỉ lấy bản ghi active, loại bản ghi đã xóa (qua sts_hub)</t>
        </is>
      </c>
      <c r="F1379" s="48" t="inlineStr">
        <is>
          <t>N-A</t>
        </is>
      </c>
      <c r="G1379" s="48" t="inlineStr">
        <is>
          <t>Pass</t>
        </is>
      </c>
      <c r="H1379" s="50" t="inlineStr">
        <is>
          <t>khong ap dung cho profile GOLD_DERIVED</t>
        </is>
      </c>
      <c r="I13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79" s="48" t="inlineStr">
        <is>
          <t>070. OCB_GOLD_TCKH_OPEX_DTL_HOP.xlsx [SCRIPT: OPEX_DTL]</t>
        </is>
      </c>
    </row>
    <row r="1380">
      <c r="A1380" s="48" t="inlineStr">
        <is>
          <t>TCKH.OPEX_DTL</t>
        </is>
      </c>
      <c r="B1380" s="48" t="inlineStr">
        <is>
          <t>GOLD_DERIVED</t>
        </is>
      </c>
      <c r="C1380" s="48" t="inlineStr">
        <is>
          <t>2.2</t>
        </is>
      </c>
      <c r="D1380" s="48" t="inlineStr">
        <is>
          <t>Nhom 2 - Logic</t>
        </is>
      </c>
      <c r="E1380" s="48" t="inlineStr">
        <is>
          <t>Thống nhất MỘT pattern duy nhất xác định bản ghi active mới nhất</t>
        </is>
      </c>
      <c r="F1380" s="48" t="inlineStr">
        <is>
          <t>N-A</t>
        </is>
      </c>
      <c r="G1380" s="48" t="inlineStr">
        <is>
          <t>Pass</t>
        </is>
      </c>
      <c r="H1380" s="50" t="inlineStr">
        <is>
          <t>khong ap dung cho profile GOLD_DERIVED</t>
        </is>
      </c>
      <c r="I13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80" s="48" t="inlineStr">
        <is>
          <t>070. OCB_GOLD_TCKH_OPEX_DTL_HOP.xlsx [SCRIPT: OPEX_DTL]</t>
        </is>
      </c>
    </row>
    <row r="1381">
      <c r="A1381" s="48" t="inlineStr">
        <is>
          <t>TCKH.OPEX_DTL</t>
        </is>
      </c>
      <c r="B1381" s="48" t="inlineStr">
        <is>
          <t>GOLD_DERIVED</t>
        </is>
      </c>
      <c r="C1381" s="48" t="inlineStr">
        <is>
          <t>2.3</t>
        </is>
      </c>
      <c r="D1381" s="48" t="inlineStr">
        <is>
          <t>Nhom 2 - Logic</t>
        </is>
      </c>
      <c r="E1381" s="48" t="inlineStr">
        <is>
          <t>Điều kiện lọc trạng thái đặt SAU khi xác định bản ghi mới nhất</t>
        </is>
      </c>
      <c r="F1381" s="49" t="inlineStr">
        <is>
          <t>PASS</t>
        </is>
      </c>
      <c r="G1381" s="48" t="inlineStr">
        <is>
          <t>Pass</t>
        </is>
      </c>
      <c r="H1381" s="50" t="inlineStr">
        <is>
          <t>không có điều kiện trạng thái nào lồng trong JOIN ON</t>
        </is>
      </c>
      <c r="I13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81" s="48" t="inlineStr">
        <is>
          <t>070. OCB_GOLD_TCKH_OPEX_DTL_HOP.xlsx [SCRIPT: OPEX_DTL]</t>
        </is>
      </c>
    </row>
    <row r="1382">
      <c r="A1382" s="48" t="inlineStr">
        <is>
          <t>TCKH.OPEX_DTL</t>
        </is>
      </c>
      <c r="B1382" s="48" t="inlineStr">
        <is>
          <t>GOLD_DERIVED</t>
        </is>
      </c>
      <c r="C1382" s="48" t="inlineStr">
        <is>
          <t>2.4</t>
        </is>
      </c>
      <c r="D1382" s="48" t="inlineStr">
        <is>
          <t>Nhom 2 - Logic</t>
        </is>
      </c>
      <c r="E1382" s="48" t="inlineStr">
        <is>
          <t>source_event_date áp dụng đúng dạng theo loại bảng</t>
        </is>
      </c>
      <c r="F1382" s="48" t="inlineStr">
        <is>
          <t>N-A</t>
        </is>
      </c>
      <c r="G1382" s="48" t="inlineStr">
        <is>
          <t>Pass</t>
        </is>
      </c>
      <c r="H1382" s="50" t="inlineStr">
        <is>
          <t>khong ap dung cho profile GOLD_DERIVED</t>
        </is>
      </c>
      <c r="I13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82" s="48" t="inlineStr">
        <is>
          <t>070. OCB_GOLD_TCKH_OPEX_DTL_HOP.xlsx [SCRIPT: OPEX_DTL]</t>
        </is>
      </c>
    </row>
    <row r="1383">
      <c r="A1383" s="48" t="inlineStr">
        <is>
          <t>TCKH.OPEX_DTL</t>
        </is>
      </c>
      <c r="B1383" s="48" t="inlineStr">
        <is>
          <t>GOLD_DERIVED</t>
        </is>
      </c>
      <c r="C1383" s="48" t="inlineStr">
        <is>
          <t>2.5</t>
        </is>
      </c>
      <c r="D1383" s="48" t="inlineStr">
        <is>
          <t>Nhom 2 - Logic</t>
        </is>
      </c>
      <c r="E1383" s="48" t="inlineStr">
        <is>
          <t>Không lặp lại lỗi logic cũ đã được DA Data Vault fix</t>
        </is>
      </c>
      <c r="F1383" s="49" t="inlineStr">
        <is>
          <t>PASS</t>
        </is>
      </c>
      <c r="G1383" s="48" t="inlineStr">
        <is>
          <t>Pass</t>
        </is>
      </c>
      <c r="H1383" s="50" t="inlineStr">
        <is>
          <t>không trùng lỗi nào trong Issue log của DA Data Vault</t>
        </is>
      </c>
      <c r="I13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83" s="48" t="inlineStr">
        <is>
          <t>070. OCB_GOLD_TCKH_OPEX_DTL_HOP.xlsx [SCRIPT: OPEX_DTL]</t>
        </is>
      </c>
    </row>
    <row r="1384">
      <c r="A1384" s="48" t="inlineStr">
        <is>
          <t>TCKH.OPEX_DTL</t>
        </is>
      </c>
      <c r="B1384" s="48" t="inlineStr">
        <is>
          <t>GOLD_DERIVED</t>
        </is>
      </c>
      <c r="C1384" s="48" t="inlineStr">
        <is>
          <t>2.6</t>
        </is>
      </c>
      <c r="D1384" s="48" t="inlineStr">
        <is>
          <t>Nhom 2 - Logic</t>
        </is>
      </c>
      <c r="E1384" s="48" t="inlineStr">
        <is>
          <t>SCD Type 2 cho bảng DIM áp dụng đúng kỹ thuật đã thống nhất</t>
        </is>
      </c>
      <c r="F1384" s="48" t="inlineStr">
        <is>
          <t>N-A</t>
        </is>
      </c>
      <c r="G1384" s="48" t="inlineStr">
        <is>
          <t>Pass</t>
        </is>
      </c>
      <c r="H1384" s="50" t="inlineStr">
        <is>
          <t>object không phải bảng DIM nên không áp dụng SCD Type 2</t>
        </is>
      </c>
      <c r="I13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84" s="48" t="inlineStr">
        <is>
          <t>070. OCB_GOLD_TCKH_OPEX_DTL_HOP.xlsx [SCRIPT: OPEX_DTL]</t>
        </is>
      </c>
    </row>
    <row r="1385">
      <c r="A1385" s="48" t="inlineStr">
        <is>
          <t>TCKH.OPEX_DTL</t>
        </is>
      </c>
      <c r="B1385" s="48" t="inlineStr">
        <is>
          <t>GOLD_DERIVED</t>
        </is>
      </c>
      <c r="C1385" s="48" t="inlineStr">
        <is>
          <t>2.7</t>
        </is>
      </c>
      <c r="D1385" s="48" t="inlineStr">
        <is>
          <t>Nhom 2 - Logic</t>
        </is>
      </c>
      <c r="E1385" s="48" t="inlineStr">
        <is>
          <t>CASE WHEN cover đủ nhánh như job on-prem</t>
        </is>
      </c>
      <c r="F1385" s="48" t="inlineStr">
        <is>
          <t>N-A</t>
        </is>
      </c>
      <c r="G1385" s="48" t="inlineStr">
        <is>
          <t>Pass</t>
        </is>
      </c>
      <c r="H1385" s="50" t="inlineStr">
        <is>
          <t>script không có CASE WHEN nào</t>
        </is>
      </c>
      <c r="I1385" s="50" t="inlineStr">
        <is>
          <t>Mở job on-prem tương ứng (DataStage DSX hoặc SQL cũ), đối chiếu từng nhánh WHEN và cả nhánh ELSE. CASE không có ELSE sẽ trả NULL âm thầm — xác nhận đó là ý muốn hay thiếu nhánh.</t>
        </is>
      </c>
      <c r="J1385" s="48" t="inlineStr">
        <is>
          <t>070. OCB_GOLD_TCKH_OPEX_DTL_HOP.xlsx [SCRIPT: OPEX_DTL]</t>
        </is>
      </c>
    </row>
    <row r="1386">
      <c r="A1386" s="48" t="inlineStr">
        <is>
          <t>TCKH.OPEX_DTL</t>
        </is>
      </c>
      <c r="B1386" s="48" t="inlineStr">
        <is>
          <t>GOLD_DERIVED</t>
        </is>
      </c>
      <c r="C1386" s="48" t="inlineStr">
        <is>
          <t>2.8</t>
        </is>
      </c>
      <c r="D1386" s="48" t="inlineStr">
        <is>
          <t>Nhom 2 - Logic</t>
        </is>
      </c>
      <c r="E1386" s="48" t="inlineStr">
        <is>
          <t>Cột SUM/COUNT được COALESCE/NVL hợp lý</t>
        </is>
      </c>
      <c r="F1386" s="49" t="inlineStr">
        <is>
          <t>PASS</t>
        </is>
      </c>
      <c r="G1386" s="48" t="inlineStr">
        <is>
          <t>Pass</t>
        </is>
      </c>
      <c r="H1386" s="50" t="inlineStr">
        <is>
          <t>mọi SUM/COUNT đều đã coalesce (trực tiếp hoặc ở lớp ngoài)</t>
        </is>
      </c>
      <c r="I13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86" s="48" t="inlineStr">
        <is>
          <t>070. OCB_GOLD_TCKH_OPEX_DTL_HOP.xlsx [SCRIPT: OPEX_DTL]</t>
        </is>
      </c>
    </row>
    <row r="1387">
      <c r="A1387" s="48" t="inlineStr">
        <is>
          <t>TCKH.OPEX_DTL</t>
        </is>
      </c>
      <c r="B1387" s="48" t="inlineStr">
        <is>
          <t>GOLD_DERIVED</t>
        </is>
      </c>
      <c r="C1387" s="48" t="inlineStr">
        <is>
          <t>2.9</t>
        </is>
      </c>
      <c r="D1387" s="48" t="inlineStr">
        <is>
          <t>Nhom 2 - Logic</t>
        </is>
      </c>
      <c r="E1387" s="48" t="inlineStr">
        <is>
          <t>Subquery / custom function / điều kiện LIKE đúng ý nghĩa nghiệp vụ</t>
        </is>
      </c>
      <c r="F1387" s="48" t="inlineStr">
        <is>
          <t>N-A</t>
        </is>
      </c>
      <c r="G1387" s="48" t="inlineStr">
        <is>
          <t>Pass</t>
        </is>
      </c>
      <c r="H1387" s="50" t="inlineStr">
        <is>
          <t>script không có điều kiện LIKE hay scalar subquery nào</t>
        </is>
      </c>
      <c r="I1387" s="50" t="inlineStr">
        <is>
          <t>Đọc lại từng điều kiện LIKE và từng subquery, đối chiếu ý nghĩa nghiệp vụ với on-prem — đúng cú pháp không đủ. Chú ý pattern LIKE có ký tự % ở đầu/cuối và phân biệt chữ hoa/thường.</t>
        </is>
      </c>
      <c r="J1387" s="48" t="inlineStr">
        <is>
          <t>070. OCB_GOLD_TCKH_OPEX_DTL_HOP.xlsx [SCRIPT: OPEX_DTL]</t>
        </is>
      </c>
    </row>
    <row r="1388">
      <c r="A1388" s="48" t="inlineStr">
        <is>
          <t>TCKH.OPEX_DTL</t>
        </is>
      </c>
      <c r="B1388" s="48" t="inlineStr">
        <is>
          <t>GOLD_DERIVED</t>
        </is>
      </c>
      <c r="C1388" s="48" t="inlineStr">
        <is>
          <t>2.10</t>
        </is>
      </c>
      <c r="D1388" s="48" t="inlineStr">
        <is>
          <t>Nhom 2 - Logic</t>
        </is>
      </c>
      <c r="E1388" s="48" t="inlineStr">
        <is>
          <t>Aggregation kèm filter date range chính xác</t>
        </is>
      </c>
      <c r="F1388" s="49" t="inlineStr">
        <is>
          <t>PASS</t>
        </is>
      </c>
      <c r="G1388" s="48" t="inlineStr">
        <is>
          <t>Pass</t>
        </is>
      </c>
      <c r="H1388" s="50" t="inlineStr">
        <is>
          <t>mọi khối tổng hợp đều có điều kiện theo kỳ dữ liệu</t>
        </is>
      </c>
      <c r="I1388" s="50" t="inlineStr">
        <is>
          <t>Mỗi khối SUM/COUNT/AVG phải có điều kiện lọc theo kỳ dữ liệu (CDR_DT_ID, DATA_DATE, :DATADT…). Nếu điều kiện nằm ở CTE nguồn thì ghi rõ trong comment để người review không phải truy ngược.</t>
        </is>
      </c>
      <c r="J1388" s="48" t="inlineStr">
        <is>
          <t>070. OCB_GOLD_TCKH_OPEX_DTL_HOP.xlsx [SCRIPT: OPEX_DTL]</t>
        </is>
      </c>
    </row>
    <row r="1389">
      <c r="A1389" s="48" t="inlineStr">
        <is>
          <t>TCKH.OPEX_DTL</t>
        </is>
      </c>
      <c r="B1389" s="48" t="inlineStr">
        <is>
          <t>GOLD_DERIVED</t>
        </is>
      </c>
      <c r="C1389" s="48" t="inlineStr">
        <is>
          <t>2.11</t>
        </is>
      </c>
      <c r="D1389" s="48" t="inlineStr">
        <is>
          <t>Nhom 2 - Logic</t>
        </is>
      </c>
      <c r="E1389" s="48" t="inlineStr">
        <is>
          <t>Join dùng key hợp lý, không lạm dụng UNION ALL + EXISTS/NOT EXISTS</t>
        </is>
      </c>
      <c r="F1389" s="49" t="inlineStr">
        <is>
          <t>PASS</t>
        </is>
      </c>
      <c r="G1389" s="48" t="inlineStr">
        <is>
          <t>Pass</t>
        </is>
      </c>
      <c r="H1389" s="50" t="inlineStr">
        <is>
          <t>join đều theo điều kiện bằng, không lạm dụng UNION ALL + EXISTS</t>
        </is>
      </c>
      <c r="I1389" s="50" t="inlineStr">
        <is>
          <t>Ưu tiên LEFT JOIN theo business key hoặc hashkey. Xem lại các chỗ dùng UNION ALL kết hợp EXISTS/NOT EXISTS — thường thay được bằng một LEFT JOIN. Join không có điều kiện bằng (=) dễ tạo tích Descartes.</t>
        </is>
      </c>
      <c r="J1389" s="48" t="inlineStr">
        <is>
          <t>070. OCB_GOLD_TCKH_OPEX_DTL_HOP.xlsx [SCRIPT: OPEX_DTL]</t>
        </is>
      </c>
    </row>
    <row r="1390">
      <c r="A1390" s="48" t="inlineStr">
        <is>
          <t>TCKH.OPEX_DTL</t>
        </is>
      </c>
      <c r="B1390" s="48" t="inlineStr">
        <is>
          <t>GOLD_DERIVED</t>
        </is>
      </c>
      <c r="C1390" s="48" t="inlineStr">
        <is>
          <t>2.12</t>
        </is>
      </c>
      <c r="D1390" s="48" t="inlineStr">
        <is>
          <t>Nhom 2 - Logic</t>
        </is>
      </c>
      <c r="E1390" s="48" t="inlineStr">
        <is>
          <t>Build Gold từ CTE snapshot Silver, không build nhiều tầng chồng chéo</t>
        </is>
      </c>
      <c r="F1390" s="49" t="inlineStr">
        <is>
          <t>PASS</t>
        </is>
      </c>
      <c r="G1390" s="48" t="inlineStr">
        <is>
          <t>Pass</t>
        </is>
      </c>
      <c r="H1390" s="50" t="inlineStr">
        <is>
          <t>mỗi bảng nguồn chỉ đọc trong 1 khối SELECT</t>
        </is>
      </c>
      <c r="I13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90" s="48" t="inlineStr">
        <is>
          <t>070. OCB_GOLD_TCKH_OPEX_DTL_HOP.xlsx [SCRIPT: OPEX_DTL]</t>
        </is>
      </c>
    </row>
    <row r="1391">
      <c r="A1391" s="48" t="inlineStr">
        <is>
          <t>TCKH.OPEX_DTL</t>
        </is>
      </c>
      <c r="B1391" s="48" t="inlineStr">
        <is>
          <t>GOLD_DERIVED</t>
        </is>
      </c>
      <c r="C1391" s="48" t="inlineStr">
        <is>
          <t>3.1</t>
        </is>
      </c>
      <c r="D1391" s="48" t="inlineStr">
        <is>
          <t>Nhom 3 - Optimization</t>
        </is>
      </c>
      <c r="E1391" s="48" t="inlineStr">
        <is>
          <t>Không SELECT *</t>
        </is>
      </c>
      <c r="F1391" s="49" t="inlineStr">
        <is>
          <t>PASS</t>
        </is>
      </c>
      <c r="G1391" s="48" t="inlineStr">
        <is>
          <t>Pass</t>
        </is>
      </c>
      <c r="H1391" s="50" t="inlineStr">
        <is>
          <t>không dùng SELECT * ở đâu</t>
        </is>
      </c>
      <c r="I1391" s="50" t="inlineStr">
        <is>
          <t>Liệt kê tường minh các cột cần dùng, kể cả trong CTE trung gian. SELECT * làm tăng IO/memory và vỡ script khi bảng nguồn thêm cột.</t>
        </is>
      </c>
      <c r="J1391" s="48" t="inlineStr">
        <is>
          <t>070. OCB_GOLD_TCKH_OPEX_DTL_HOP.xlsx [SCRIPT: OPEX_DTL]</t>
        </is>
      </c>
    </row>
    <row r="1392">
      <c r="A1392" s="48" t="inlineStr">
        <is>
          <t>TCKH.OPEX_DTL</t>
        </is>
      </c>
      <c r="B1392" s="48" t="inlineStr">
        <is>
          <t>GOLD_DERIVED</t>
        </is>
      </c>
      <c r="C1392" s="48" t="inlineStr">
        <is>
          <t>3.2</t>
        </is>
      </c>
      <c r="D1392" s="48" t="inlineStr">
        <is>
          <t>Nhom 3 - Optimization</t>
        </is>
      </c>
      <c r="E1392" s="48" t="inlineStr">
        <is>
          <t>CTE không bị scan lại nhiều lần</t>
        </is>
      </c>
      <c r="F1392" s="49" t="inlineStr">
        <is>
          <t>PASS</t>
        </is>
      </c>
      <c r="G1392" s="48" t="inlineStr">
        <is>
          <t>Pass</t>
        </is>
      </c>
      <c r="H1392" s="50" t="inlineStr">
        <is>
          <t>không có CTE nào bị gọi lại</t>
        </is>
      </c>
      <c r="I1392" s="50" t="inlineStr">
        <is>
          <t>Với CTE nặng (đọc nhiều bảng Silver) bị tham chiếu từ 2 chỗ trở lên: gom lại còn một lần dùng, hoặc vật chất hóa (CACHE / bảng tạm). CTE nhẹ chỉ chứa tham số thì bỏ qua được — tự tick Pass.</t>
        </is>
      </c>
      <c r="J1392" s="48" t="inlineStr">
        <is>
          <t>070. OCB_GOLD_TCKH_OPEX_DTL_HOP.xlsx [SCRIPT: OPEX_DTL]</t>
        </is>
      </c>
    </row>
    <row r="1393">
      <c r="A1393" s="48" t="inlineStr">
        <is>
          <t>TCKH.OPEX_DTL</t>
        </is>
      </c>
      <c r="B1393" s="48" t="inlineStr">
        <is>
          <t>GOLD_DERIVED</t>
        </is>
      </c>
      <c r="C1393" s="48" t="inlineStr">
        <is>
          <t>3.3</t>
        </is>
      </c>
      <c r="D1393" s="48" t="inlineStr">
        <is>
          <t>Nhom 3 - Optimization</t>
        </is>
      </c>
      <c r="E1393" s="48" t="inlineStr">
        <is>
          <t>Filter trước khi join, tận dụng partition pruning</t>
        </is>
      </c>
      <c r="F1393" s="49" t="inlineStr">
        <is>
          <t>PASS</t>
        </is>
      </c>
      <c r="G1393" s="48" t="inlineStr">
        <is>
          <t>Pass</t>
        </is>
      </c>
      <c r="H1393" s="50" t="inlineStr">
        <is>
          <t>các bảng join đều được filter trước</t>
        </is>
      </c>
      <c r="I1393" s="50" t="inlineStr">
        <is>
          <t>Đưa điều kiện lọc (ngày dữ liệu, trạng thái) vào subquery của từng bảng TRƯỚC khi join, để tận dụng partition pruning. Bảng dim nhỏ không partition thì không cần — tự tick Pass.</t>
        </is>
      </c>
      <c r="J1393" s="48" t="inlineStr">
        <is>
          <t>070. OCB_GOLD_TCKH_OPEX_DTL_HOP.xlsx [SCRIPT: OPEX_DTL]</t>
        </is>
      </c>
    </row>
    <row r="1394">
      <c r="A1394" s="48" t="inlineStr">
        <is>
          <t>TCKH.OPEX_DTL</t>
        </is>
      </c>
      <c r="B1394" s="48" t="inlineStr">
        <is>
          <t>GOLD_DERIVED</t>
        </is>
      </c>
      <c r="C1394" s="48" t="inlineStr">
        <is>
          <t>3.4</t>
        </is>
      </c>
      <c r="D1394" s="48" t="inlineStr">
        <is>
          <t>Nhom 3 - Optimization</t>
        </is>
      </c>
      <c r="E1394" s="48" t="inlineStr">
        <is>
          <t>Sử dụng CACHE cho query lặp lại trong cùng luồng</t>
        </is>
      </c>
      <c r="F1394" s="48" t="inlineStr">
        <is>
          <t>N-A</t>
        </is>
      </c>
      <c r="G1394" s="48" t="inlineStr">
        <is>
          <t>Pass</t>
        </is>
      </c>
      <c r="H1394" s="50" t="inlineStr">
        <is>
          <t>không có kết quả nào được dùng lại nhiều lần nên chưa cần CACHE</t>
        </is>
      </c>
      <c r="I1394" s="50" t="inlineStr">
        <is>
          <t>Nếu một kết quả nặng được dùng lại nhiều bước trong cùng luồng, thêm CACHE TABLE / CACHE SELECT. Kết quả nhỏ thì cache còn chậm hơn — tự tick Pass.</t>
        </is>
      </c>
      <c r="J1394" s="48" t="inlineStr">
        <is>
          <t>070. OCB_GOLD_TCKH_OPEX_DTL_HOP.xlsx [SCRIPT: OPEX_DTL]</t>
        </is>
      </c>
    </row>
    <row r="1395">
      <c r="A1395" s="48" t="inlineStr">
        <is>
          <t>TCKH.OPEX_DTL</t>
        </is>
      </c>
      <c r="B1395" s="48" t="inlineStr">
        <is>
          <t>GOLD_DERIVED</t>
        </is>
      </c>
      <c r="C1395" s="48" t="inlineStr">
        <is>
          <t>3.5</t>
        </is>
      </c>
      <c r="D1395" s="48" t="inlineStr">
        <is>
          <t>Nhom 3 - Optimization</t>
        </is>
      </c>
      <c r="E1395" s="48" t="inlineStr">
        <is>
          <t>Ưu tiên MAX_BY + QUALIFY thay ROW_NUMBER() + WHERE rn = 1</t>
        </is>
      </c>
      <c r="F1395" s="48" t="inlineStr">
        <is>
          <t>N-A</t>
        </is>
      </c>
      <c r="G1395" s="48" t="inlineStr">
        <is>
          <t>Pass</t>
        </is>
      </c>
      <c r="H1395" s="50" t="inlineStr">
        <is>
          <t>script không dùng ROW_NUMBER, và MAX_BY (nếu có) không vượt quá 5 cột/khối</t>
        </is>
      </c>
      <c r="I13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95" s="48" t="inlineStr">
        <is>
          <t>070. OCB_GOLD_TCKH_OPEX_DTL_HOP.xlsx [SCRIPT: OPEX_DTL]</t>
        </is>
      </c>
    </row>
    <row r="1396">
      <c r="A1396" s="48" t="inlineStr">
        <is>
          <t>TCKH.OPEX_DTL</t>
        </is>
      </c>
      <c r="B1396" s="48" t="inlineStr">
        <is>
          <t>GOLD_DERIVED</t>
        </is>
      </c>
      <c r="C1396" s="48" t="inlineStr">
        <is>
          <t>3.6</t>
        </is>
      </c>
      <c r="D1396" s="48" t="inlineStr">
        <is>
          <t>Nhom 3 - Optimization</t>
        </is>
      </c>
      <c r="E1396" s="48" t="inlineStr">
        <is>
          <t>Không lạm dụng window function; có comment khi dùng</t>
        </is>
      </c>
      <c r="F1396" s="48" t="inlineStr">
        <is>
          <t>N-A</t>
        </is>
      </c>
      <c r="G1396" s="48" t="inlineStr">
        <is>
          <t>Pass</t>
        </is>
      </c>
      <c r="H1396" s="50" t="inlineStr">
        <is>
          <t>script không dùng window function</t>
        </is>
      </c>
      <c r="I1396" s="50" t="inlineStr">
        <is>
          <t>Mỗi window function cần một comment ngay trên khối CTE chứa nó, nói rõ vì sao không dùng được max_by/QUALIFY đơn giản hơn.</t>
        </is>
      </c>
      <c r="J1396" s="48" t="inlineStr">
        <is>
          <t>070. OCB_GOLD_TCKH_OPEX_DTL_HOP.xlsx [SCRIPT: OPEX_DTL]</t>
        </is>
      </c>
    </row>
    <row r="1397">
      <c r="A1397" s="48" t="inlineStr">
        <is>
          <t>TCKH.OPEX_DTL</t>
        </is>
      </c>
      <c r="B1397" s="48" t="inlineStr">
        <is>
          <t>GOLD_DERIVED</t>
        </is>
      </c>
      <c r="C1397" s="48" t="inlineStr">
        <is>
          <t>X.1</t>
        </is>
      </c>
      <c r="D1397" s="48" t="inlineStr">
        <is>
          <t>Nhom X - Bo sung Raffles</t>
        </is>
      </c>
      <c r="E1397" s="48" t="inlineStr">
        <is>
          <t>[Bổ sung] Link phải rút về current trước khi join (chống fan-out)</t>
        </is>
      </c>
      <c r="F1397" s="48" t="inlineStr">
        <is>
          <t>N-A</t>
        </is>
      </c>
      <c r="G1397" s="48" t="inlineStr">
        <is>
          <t>Pass</t>
        </is>
      </c>
      <c r="H1397" s="50" t="inlineStr">
        <is>
          <t>khong ap dung cho profile GOLD_DERIVED</t>
        </is>
      </c>
      <c r="I13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97" s="48" t="inlineStr">
        <is>
          <t>070. OCB_GOLD_TCKH_OPEX_DTL_HOP.xlsx [SCRIPT: OPEX_DTL]</t>
        </is>
      </c>
    </row>
    <row r="1398">
      <c r="A1398" s="48" t="inlineStr">
        <is>
          <t>TCKH.OPEX_DTL</t>
        </is>
      </c>
      <c r="B1398" s="48" t="inlineStr">
        <is>
          <t>GOLD_DERIVED</t>
        </is>
      </c>
      <c r="C1398" s="48" t="inlineStr">
        <is>
          <t>X.6</t>
        </is>
      </c>
      <c r="D1398" s="48" t="inlineStr">
        <is>
          <t>Nhom X - Bo sung Raffles</t>
        </is>
      </c>
      <c r="E1398" s="48" t="inlineStr">
        <is>
          <t>[Bổ sung] Satellite phải LEFT JOIN, không INNER JOIN</t>
        </is>
      </c>
      <c r="F1398" s="48" t="inlineStr">
        <is>
          <t>N-A</t>
        </is>
      </c>
      <c r="G1398" s="48" t="inlineStr">
        <is>
          <t>Pass</t>
        </is>
      </c>
      <c r="H1398" s="50" t="inlineStr">
        <is>
          <t>khong ap dung cho profile GOLD_DERIVED</t>
        </is>
      </c>
      <c r="I1398" s="50" t="inlineStr">
        <is>
          <t>Technical Document III.4.2.2 nguyên tắc 1: làm giàu thuộc tính luôn dùng LEFT JOIN. INNER JOIN satellite sẽ loại mất bản ghi Hub đang còn hiệu lực nhưng chưa có dòng satellite.</t>
        </is>
      </c>
      <c r="J1398" s="48" t="inlineStr">
        <is>
          <t>070. OCB_GOLD_TCKH_OPEX_DTL_HOP.xlsx [SCRIPT: OPEX_DTL]</t>
        </is>
      </c>
    </row>
    <row r="1399">
      <c r="A1399" s="48" t="inlineStr">
        <is>
          <t>TCKH.OPEX_DTL</t>
        </is>
      </c>
      <c r="B1399" s="48" t="inlineStr">
        <is>
          <t>GOLD_DERIVED</t>
        </is>
      </c>
      <c r="C1399" s="48" t="inlineStr">
        <is>
          <t>X.7</t>
        </is>
      </c>
      <c r="D1399" s="48" t="inlineStr">
        <is>
          <t>Nhom X - Bo sung Raffles</t>
        </is>
      </c>
      <c r="E1399" s="48" t="inlineStr">
        <is>
          <t>[Bổ sung] Không hard-code catalog, dùng biến môi trường</t>
        </is>
      </c>
      <c r="F1399" s="49" t="inlineStr">
        <is>
          <t>PASS</t>
        </is>
      </c>
      <c r="G1399" s="48" t="inlineStr">
        <is>
          <t>Pass</t>
        </is>
      </c>
      <c r="H1399" s="50" t="inlineStr">
        <is>
          <t>dùng biến môi trường cho catalog</t>
        </is>
      </c>
      <c r="I13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99" s="48" t="inlineStr">
        <is>
          <t>070. OCB_GOLD_TCKH_OPEX_DTL_HOP.xlsx [SCRIPT: OPEX_DTL]</t>
        </is>
      </c>
    </row>
    <row r="1400">
      <c r="A1400" s="48" t="inlineStr">
        <is>
          <t>TCKH.OPEX_DTL</t>
        </is>
      </c>
      <c r="B1400" s="48" t="inlineStr">
        <is>
          <t>GOLD_DERIVED</t>
        </is>
      </c>
      <c r="C1400" s="48" t="inlineStr">
        <is>
          <t>X.10</t>
        </is>
      </c>
      <c r="D1400" s="48" t="inlineStr">
        <is>
          <t>Nhom X - Bo sung Raffles</t>
        </is>
      </c>
      <c r="E1400" s="48" t="inlineStr">
        <is>
          <t>Bang raw_vault/business_vault duoc doc phai TON TAI THAT trong Data Vault model</t>
        </is>
      </c>
      <c r="F1400" s="48" t="inlineStr">
        <is>
          <t>N-A</t>
        </is>
      </c>
      <c r="G1400" s="48" t="inlineStr">
        <is>
          <t>Pass</t>
        </is>
      </c>
      <c r="H1400" s="50" t="inlineStr">
        <is>
          <t>script không đọc bảng raw_vault/business_vault nào</t>
        </is>
      </c>
      <c r="I1400" s="50" t="inlineStr"/>
      <c r="J1400" s="48" t="inlineStr">
        <is>
          <t>070. OCB_GOLD_TCKH_OPEX_DTL_HOP.xlsx [SCRIPT: OPEX_DTL]</t>
        </is>
      </c>
    </row>
    <row r="1401">
      <c r="A1401" s="48" t="inlineStr">
        <is>
          <t>TCKH.OPEX_DTL</t>
        </is>
      </c>
      <c r="B1401" s="48" t="inlineStr">
        <is>
          <t>GOLD_DERIVED</t>
        </is>
      </c>
      <c r="C1401" s="48" t="inlineStr">
        <is>
          <t>X.11</t>
        </is>
      </c>
      <c r="D1401" s="48" t="inlineStr">
        <is>
          <t>Nhom X - Bo sung Raffles</t>
        </is>
      </c>
      <c r="E1401" s="48" t="inlineStr">
        <is>
          <t>Cot doc tu satellite (sat_*) phai TON TAI THAT trong model</t>
        </is>
      </c>
      <c r="F1401" s="48" t="inlineStr">
        <is>
          <t>N-A</t>
        </is>
      </c>
      <c r="G1401" s="48" t="inlineStr">
        <is>
          <t>Pass</t>
        </is>
      </c>
      <c r="H1401" s="50" t="inlineStr">
        <is>
          <t>không có bảng sat_* nào đủ điều kiện đối chiếu (Select chỉ đọc 1 bảng)</t>
        </is>
      </c>
      <c r="I1401" s="50" t="inlineStr"/>
      <c r="J1401" s="48" t="inlineStr">
        <is>
          <t>070. OCB_GOLD_TCKH_OPEX_DTL_HOP.xlsx [SCRIPT: OPEX_DTL]</t>
        </is>
      </c>
    </row>
    <row r="1402">
      <c r="A1402" s="48" t="inlineStr">
        <is>
          <t>TCKH.PST_ENTR_FCT</t>
        </is>
      </c>
      <c r="B1402" s="48" t="inlineStr">
        <is>
          <t>SILVER_CONSUMER</t>
        </is>
      </c>
      <c r="C1402" s="48" t="inlineStr">
        <is>
          <t>1.1</t>
        </is>
      </c>
      <c r="D1402" s="48" t="inlineStr">
        <is>
          <t>Nhom 1 - Mapping</t>
        </is>
      </c>
      <c r="E1402" s="48" t="inlineStr">
        <is>
          <t>Đầy đủ mapping từ Silver/manual sang Gold</t>
        </is>
      </c>
      <c r="F1402" s="49" t="inlineStr">
        <is>
          <t>PASS</t>
        </is>
      </c>
      <c r="G1402" s="48" t="inlineStr">
        <is>
          <t>Pass</t>
        </is>
      </c>
      <c r="H1402" s="50" t="inlineStr">
        <is>
          <t>workbook 072. OCB_GOLD_TCKH_PST_ENTR_FCT_QUANG.xlsx: thiết kế 25 field, SQL có 25 cột</t>
        </is>
      </c>
      <c r="I14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02" s="48" t="inlineStr">
        <is>
          <t>072. OCB_GOLD_TCKH_PST_ENTR_FCT_QUANG.xlsx [Script: PST_ENTR_FCT]</t>
        </is>
      </c>
    </row>
    <row r="1403">
      <c r="A1403" s="48" t="inlineStr">
        <is>
          <t>TCKH.PST_ENTR_FCT</t>
        </is>
      </c>
      <c r="B1403" s="48" t="inlineStr">
        <is>
          <t>SILVER_CONSUMER</t>
        </is>
      </c>
      <c r="C1403" s="48" t="inlineStr">
        <is>
          <t>1.2</t>
        </is>
      </c>
      <c r="D1403" s="48" t="inlineStr">
        <is>
          <t>Nhom 1 - Mapping</t>
        </is>
      </c>
      <c r="E1403" s="48" t="inlineStr">
        <is>
          <t>Danh sách bảng/view Gold khớp tài liệu thiết kế đã duyệt</t>
        </is>
      </c>
      <c r="F1403" s="49" t="inlineStr">
        <is>
          <t>PASS</t>
        </is>
      </c>
      <c r="G1403" s="48" t="inlineStr">
        <is>
          <t>Pass</t>
        </is>
      </c>
      <c r="H1403" s="50" t="inlineStr">
        <is>
          <t>PST_ENTR_FCT có workbook thiết kế: 072. OCB_GOLD_TCKH_PST_ENTR_FCT_QUANG.xlsx</t>
        </is>
      </c>
      <c r="I1403" s="50" t="inlineStr">
        <is>
          <t>Đảm bảo object có workbook thiết kế tương ứng trong thư mục --mapping-dir. Muốn đối chiếu với danh sách đã duyệt thì chạy thêm tham số --gold-list "&lt;file danh sách Gold&gt;.xlsx".</t>
        </is>
      </c>
      <c r="J1403" s="48" t="inlineStr">
        <is>
          <t>072. OCB_GOLD_TCKH_PST_ENTR_FCT_QUANG.xlsx [Script: PST_ENTR_FCT]</t>
        </is>
      </c>
    </row>
    <row r="1404">
      <c r="A1404" s="48" t="inlineStr">
        <is>
          <t>TCKH.PST_ENTR_FCT</t>
        </is>
      </c>
      <c r="B1404" s="48" t="inlineStr">
        <is>
          <t>SILVER_CONSUMER</t>
        </is>
      </c>
      <c r="C1404" s="48" t="inlineStr">
        <is>
          <t>2.1</t>
        </is>
      </c>
      <c r="D1404" s="48" t="inlineStr">
        <is>
          <t>Nhom 2 - Logic</t>
        </is>
      </c>
      <c r="E1404" s="48" t="inlineStr">
        <is>
          <t>Chỉ lấy bản ghi active, loại bản ghi đã xóa (qua sts_hub)</t>
        </is>
      </c>
      <c r="F1404" s="49" t="inlineStr">
        <is>
          <t>PASS</t>
        </is>
      </c>
      <c r="G1404" s="48" t="inlineStr">
        <is>
          <t>Pass</t>
        </is>
      </c>
      <c r="H1404" s="50" t="inlineStr">
        <is>
          <t>8 sts_hub_* đọc đúng format</t>
        </is>
      </c>
      <c r="I14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04" s="48" t="inlineStr">
        <is>
          <t>072. OCB_GOLD_TCKH_PST_ENTR_FCT_QUANG.xlsx [Script: PST_ENTR_FCT]</t>
        </is>
      </c>
    </row>
    <row r="1405">
      <c r="A1405" s="48" t="inlineStr">
        <is>
          <t>TCKH.PST_ENTR_FCT</t>
        </is>
      </c>
      <c r="B1405" s="48" t="inlineStr">
        <is>
          <t>SILVER_CONSUMER</t>
        </is>
      </c>
      <c r="C1405" s="48" t="inlineStr">
        <is>
          <t>2.2</t>
        </is>
      </c>
      <c r="D1405" s="48" t="inlineStr">
        <is>
          <t>Nhom 2 - Logic</t>
        </is>
      </c>
      <c r="E1405" s="48" t="inlineStr">
        <is>
          <t>Thống nhất MỘT pattern duy nhất xác định bản ghi active mới nhất</t>
        </is>
      </c>
      <c r="F1405" s="49" t="inlineStr">
        <is>
          <t>PASS</t>
        </is>
      </c>
      <c r="G1405" s="48" t="inlineStr">
        <is>
          <t>Pass</t>
        </is>
      </c>
      <c r="H1405" s="50" t="inlineStr">
        <is>
          <t>file này dùng: ['MAX_BY']; toàn batch dùng: ['MAX_BY']</t>
        </is>
      </c>
      <c r="I14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05" s="48" t="inlineStr">
        <is>
          <t>072. OCB_GOLD_TCKH_PST_ENTR_FCT_QUANG.xlsx [Script: PST_ENTR_FCT]</t>
        </is>
      </c>
    </row>
    <row r="1406">
      <c r="A1406" s="48" t="inlineStr">
        <is>
          <t>TCKH.PST_ENTR_FCT</t>
        </is>
      </c>
      <c r="B1406" s="48" t="inlineStr">
        <is>
          <t>SILVER_CONSUMER</t>
        </is>
      </c>
      <c r="C1406" s="48" t="inlineStr">
        <is>
          <t>2.3</t>
        </is>
      </c>
      <c r="D1406" s="48" t="inlineStr">
        <is>
          <t>Nhom 2 - Logic</t>
        </is>
      </c>
      <c r="E1406" s="48" t="inlineStr">
        <is>
          <t>Điều kiện lọc trạng thái đặt SAU khi xác định bản ghi mới nhất</t>
        </is>
      </c>
      <c r="F1406" s="49" t="inlineStr">
        <is>
          <t>PASS</t>
        </is>
      </c>
      <c r="G1406" s="48" t="inlineStr">
        <is>
          <t>Pass</t>
        </is>
      </c>
      <c r="H1406" s="50" t="inlineStr">
        <is>
          <t>không có điều kiện trạng thái nào lồng trong JOIN ON</t>
        </is>
      </c>
      <c r="I14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06" s="48" t="inlineStr">
        <is>
          <t>072. OCB_GOLD_TCKH_PST_ENTR_FCT_QUANG.xlsx [Script: PST_ENTR_FCT]</t>
        </is>
      </c>
    </row>
    <row r="1407">
      <c r="A1407" s="48" t="inlineStr">
        <is>
          <t>TCKH.PST_ENTR_FCT</t>
        </is>
      </c>
      <c r="B1407" s="48" t="inlineStr">
        <is>
          <t>SILVER_CONSUMER</t>
        </is>
      </c>
      <c r="C1407" s="48" t="inlineStr">
        <is>
          <t>2.4</t>
        </is>
      </c>
      <c r="D1407" s="48" t="inlineStr">
        <is>
          <t>Nhom 2 - Logic</t>
        </is>
      </c>
      <c r="E1407" s="48" t="inlineStr">
        <is>
          <t>source_event_date áp dụng đúng dạng theo loại bảng</t>
        </is>
      </c>
      <c r="F1407" s="49" t="inlineStr">
        <is>
          <t>PASS</t>
        </is>
      </c>
      <c r="G1407" s="48" t="inlineStr">
        <is>
          <t>Pass</t>
        </is>
      </c>
      <c r="H1407" s="50" t="inlineStr">
        <is>
          <t>19 satellite đều đúng dạng điều kiện source_event_date</t>
        </is>
      </c>
      <c r="I14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07" s="48" t="inlineStr">
        <is>
          <t>072. OCB_GOLD_TCKH_PST_ENTR_FCT_QUANG.xlsx [Script: PST_ENTR_FCT]</t>
        </is>
      </c>
    </row>
    <row r="1408">
      <c r="A1408" s="48" t="inlineStr">
        <is>
          <t>TCKH.PST_ENTR_FCT</t>
        </is>
      </c>
      <c r="B1408" s="48" t="inlineStr">
        <is>
          <t>SILVER_CONSUMER</t>
        </is>
      </c>
      <c r="C1408" s="48" t="inlineStr">
        <is>
          <t>2.5</t>
        </is>
      </c>
      <c r="D1408" s="48" t="inlineStr">
        <is>
          <t>Nhom 2 - Logic</t>
        </is>
      </c>
      <c r="E1408" s="48" t="inlineStr">
        <is>
          <t>Không lặp lại lỗi logic cũ đã được DA Data Vault fix</t>
        </is>
      </c>
      <c r="F1408" s="49" t="inlineStr">
        <is>
          <t>PASS</t>
        </is>
      </c>
      <c r="G1408" s="48" t="inlineStr">
        <is>
          <t>Pass</t>
        </is>
      </c>
      <c r="H1408" s="50" t="inlineStr">
        <is>
          <t>không trùng lỗi nào trong Issue log của DA Data Vault</t>
        </is>
      </c>
      <c r="I14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08" s="48" t="inlineStr">
        <is>
          <t>072. OCB_GOLD_TCKH_PST_ENTR_FCT_QUANG.xlsx [Script: PST_ENTR_FCT]</t>
        </is>
      </c>
    </row>
    <row r="1409">
      <c r="A1409" s="48" t="inlineStr">
        <is>
          <t>TCKH.PST_ENTR_FCT</t>
        </is>
      </c>
      <c r="B1409" s="48" t="inlineStr">
        <is>
          <t>SILVER_CONSUMER</t>
        </is>
      </c>
      <c r="C1409" s="48" t="inlineStr">
        <is>
          <t>2.6</t>
        </is>
      </c>
      <c r="D1409" s="48" t="inlineStr">
        <is>
          <t>Nhom 2 - Logic</t>
        </is>
      </c>
      <c r="E1409" s="48" t="inlineStr">
        <is>
          <t>SCD Type 2 cho bảng DIM áp dụng đúng kỹ thuật đã thống nhất</t>
        </is>
      </c>
      <c r="F1409" s="48" t="inlineStr">
        <is>
          <t>N-A</t>
        </is>
      </c>
      <c r="G1409" s="48" t="inlineStr">
        <is>
          <t>Pass</t>
        </is>
      </c>
      <c r="H1409" s="50" t="inlineStr">
        <is>
          <t>object không phải bảng DIM nên không áp dụng SCD Type 2</t>
        </is>
      </c>
      <c r="I14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09" s="48" t="inlineStr">
        <is>
          <t>072. OCB_GOLD_TCKH_PST_ENTR_FCT_QUANG.xlsx [Script: PST_ENTR_FCT]</t>
        </is>
      </c>
    </row>
    <row r="1410">
      <c r="A1410" s="48" t="inlineStr">
        <is>
          <t>TCKH.PST_ENTR_FCT</t>
        </is>
      </c>
      <c r="B1410" s="48" t="inlineStr">
        <is>
          <t>SILVER_CONSUMER</t>
        </is>
      </c>
      <c r="C1410" s="48" t="inlineStr">
        <is>
          <t>2.7</t>
        </is>
      </c>
      <c r="D1410" s="48" t="inlineStr">
        <is>
          <t>Nhom 2 - Logic</t>
        </is>
      </c>
      <c r="E1410" s="48" t="inlineStr">
        <is>
          <t>CASE WHEN cover đủ nhánh như job on-prem</t>
        </is>
      </c>
      <c r="F1410" s="49" t="inlineStr">
        <is>
          <t>PASS</t>
        </is>
      </c>
      <c r="G1410" s="48" t="inlineStr">
        <is>
          <t>Pass</t>
        </is>
      </c>
      <c r="H1410" s="50" t="inlineStr">
        <is>
          <t>cả 24 CASE đều có nhánh ELSE</t>
        </is>
      </c>
      <c r="I1410" s="50" t="inlineStr">
        <is>
          <t>Mở job on-prem tương ứng (DataStage DSX hoặc SQL cũ), đối chiếu từng nhánh WHEN và cả nhánh ELSE. CASE không có ELSE sẽ trả NULL âm thầm — xác nhận đó là ý muốn hay thiếu nhánh.</t>
        </is>
      </c>
      <c r="J1410" s="48" t="inlineStr">
        <is>
          <t>072. OCB_GOLD_TCKH_PST_ENTR_FCT_QUANG.xlsx [Script: PST_ENTR_FCT]</t>
        </is>
      </c>
    </row>
    <row r="1411">
      <c r="A1411" s="48" t="inlineStr">
        <is>
          <t>TCKH.PST_ENTR_FCT</t>
        </is>
      </c>
      <c r="B1411" s="48" t="inlineStr">
        <is>
          <t>SILVER_CONSUMER</t>
        </is>
      </c>
      <c r="C1411" s="48" t="inlineStr">
        <is>
          <t>2.8</t>
        </is>
      </c>
      <c r="D1411" s="48" t="inlineStr">
        <is>
          <t>Nhom 2 - Logic</t>
        </is>
      </c>
      <c r="E1411" s="48" t="inlineStr">
        <is>
          <t>Cột SUM/COUNT được COALESCE/NVL hợp lý</t>
        </is>
      </c>
      <c r="F1411" s="49" t="inlineStr">
        <is>
          <t>PASS</t>
        </is>
      </c>
      <c r="G1411" s="48" t="inlineStr">
        <is>
          <t>Pass</t>
        </is>
      </c>
      <c r="H1411" s="50" t="inlineStr">
        <is>
          <t>mọi SUM/COUNT đều đã coalesce (trực tiếp hoặc ở lớp ngoài)</t>
        </is>
      </c>
      <c r="I14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11" s="48" t="inlineStr">
        <is>
          <t>072. OCB_GOLD_TCKH_PST_ENTR_FCT_QUANG.xlsx [Script: PST_ENTR_FCT]</t>
        </is>
      </c>
    </row>
    <row r="1412">
      <c r="A1412" s="48" t="inlineStr">
        <is>
          <t>TCKH.PST_ENTR_FCT</t>
        </is>
      </c>
      <c r="B1412" s="48" t="inlineStr">
        <is>
          <t>SILVER_CONSUMER</t>
        </is>
      </c>
      <c r="C1412" s="48" t="inlineStr">
        <is>
          <t>2.9</t>
        </is>
      </c>
      <c r="D1412" s="48" t="inlineStr">
        <is>
          <t>Nhom 2 - Logic</t>
        </is>
      </c>
      <c r="E1412" s="48" t="inlineStr">
        <is>
          <t>Subquery / custom function / điều kiện LIKE đúng ý nghĩa nghiệp vụ</t>
        </is>
      </c>
      <c r="F1412" s="49" t="inlineStr">
        <is>
          <t>PASS</t>
        </is>
      </c>
      <c r="G1412" s="48" t="inlineStr">
        <is>
          <t>Pass</t>
        </is>
      </c>
      <c r="H1412" s="50" t="inlineStr">
        <is>
          <t>15 điều kiện LIKE: c.t_narrative NOT LIKE 'EARLY REDEMPTION%' | c.t_narrative NOT LIKE 'PRE CLOSURE%' | hu.business_key LIKE '%ATM%' | hu.business_key LIKE '%BOSC%'; 13 subquery nằm trong điều kiện; cú pháp hợp lệ; ý nghĩa nghiệp vụ cần người review đối chiếu job on-prem</t>
        </is>
      </c>
      <c r="I1412" s="50" t="inlineStr">
        <is>
          <t>Đọc lại từng điều kiện LIKE và từng subquery, đối chiếu ý nghĩa nghiệp vụ với on-prem — đúng cú pháp không đủ. Chú ý pattern LIKE có ký tự % ở đầu/cuối và phân biệt chữ hoa/thường.</t>
        </is>
      </c>
      <c r="J1412" s="48" t="inlineStr">
        <is>
          <t>072. OCB_GOLD_TCKH_PST_ENTR_FCT_QUANG.xlsx [Script: PST_ENTR_FCT]</t>
        </is>
      </c>
    </row>
    <row r="1413">
      <c r="A1413" s="48" t="inlineStr">
        <is>
          <t>TCKH.PST_ENTR_FCT</t>
        </is>
      </c>
      <c r="B1413" s="48" t="inlineStr">
        <is>
          <t>SILVER_CONSUMER</t>
        </is>
      </c>
      <c r="C1413" s="48" t="inlineStr">
        <is>
          <t>2.10</t>
        </is>
      </c>
      <c r="D1413" s="48" t="inlineStr">
        <is>
          <t>Nhom 2 - Logic</t>
        </is>
      </c>
      <c r="E1413" s="48" t="inlineStr">
        <is>
          <t>Aggregation kèm filter date range chính xác</t>
        </is>
      </c>
      <c r="F1413" s="49" t="inlineStr">
        <is>
          <t>PASS</t>
        </is>
      </c>
      <c r="G1413" s="48" t="inlineStr">
        <is>
          <t>Pass</t>
        </is>
      </c>
      <c r="H1413" s="50" t="inlineStr">
        <is>
          <t>mọi khối tổng hợp đều có điều kiện theo kỳ dữ liệu</t>
        </is>
      </c>
      <c r="I1413" s="50" t="inlineStr">
        <is>
          <t>Mỗi khối SUM/COUNT/AVG phải có điều kiện lọc theo kỳ dữ liệu (CDR_DT_ID, DATA_DATE, :DATADT…). Nếu điều kiện nằm ở CTE nguồn thì ghi rõ trong comment để người review không phải truy ngược.</t>
        </is>
      </c>
      <c r="J1413" s="48" t="inlineStr">
        <is>
          <t>072. OCB_GOLD_TCKH_PST_ENTR_FCT_QUANG.xlsx [Script: PST_ENTR_FCT]</t>
        </is>
      </c>
    </row>
    <row r="1414">
      <c r="A1414" s="48" t="inlineStr">
        <is>
          <t>TCKH.PST_ENTR_FCT</t>
        </is>
      </c>
      <c r="B1414" s="48" t="inlineStr">
        <is>
          <t>SILVER_CONSUMER</t>
        </is>
      </c>
      <c r="C1414" s="48" t="inlineStr">
        <is>
          <t>2.11</t>
        </is>
      </c>
      <c r="D1414" s="48" t="inlineStr">
        <is>
          <t>Nhom 2 - Logic</t>
        </is>
      </c>
      <c r="E1414" s="48" t="inlineStr">
        <is>
          <t>Join dùng key hợp lý, không lạm dụng UNION ALL + EXISTS/NOT EXISTS</t>
        </is>
      </c>
      <c r="F1414" s="49" t="inlineStr">
        <is>
          <t>PASS</t>
        </is>
      </c>
      <c r="G1414" s="48" t="inlineStr">
        <is>
          <t>Pass</t>
        </is>
      </c>
      <c r="H1414" s="50" t="inlineStr">
        <is>
          <t>join đều theo điều kiện bằng, không lạm dụng UNION ALL + EXISTS</t>
        </is>
      </c>
      <c r="I1414" s="50" t="inlineStr">
        <is>
          <t>Ưu tiên LEFT JOIN theo business key hoặc hashkey. Xem lại các chỗ dùng UNION ALL kết hợp EXISTS/NOT EXISTS — thường thay được bằng một LEFT JOIN. Join không có điều kiện bằng (=) dễ tạo tích Descartes.</t>
        </is>
      </c>
      <c r="J1414" s="48" t="inlineStr">
        <is>
          <t>072. OCB_GOLD_TCKH_PST_ENTR_FCT_QUANG.xlsx [Script: PST_ENTR_FCT]</t>
        </is>
      </c>
    </row>
    <row r="1415">
      <c r="A1415" s="48" t="inlineStr">
        <is>
          <t>TCKH.PST_ENTR_FCT</t>
        </is>
      </c>
      <c r="B1415" s="48" t="inlineStr">
        <is>
          <t>SILVER_CONSUMER</t>
        </is>
      </c>
      <c r="C1415" s="48" t="inlineStr">
        <is>
          <t>2.12</t>
        </is>
      </c>
      <c r="D1415" s="48" t="inlineStr">
        <is>
          <t>Nhom 2 - Logic</t>
        </is>
      </c>
      <c r="E1415" s="48" t="inlineStr">
        <is>
          <t>Build Gold từ CTE snapshot Silver, không build nhiều tầng chồng chéo</t>
        </is>
      </c>
      <c r="F1415" s="49" t="inlineStr">
        <is>
          <t>PASS</t>
        </is>
      </c>
      <c r="G1415" s="48" t="inlineStr">
        <is>
          <t>Pass</t>
        </is>
      </c>
      <c r="H1415" s="50" t="inlineStr">
        <is>
          <t>mỗi bảng nguồn chỉ đọc trong 1 khối SELECT</t>
        </is>
      </c>
      <c r="I14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15" s="48" t="inlineStr">
        <is>
          <t>072. OCB_GOLD_TCKH_PST_ENTR_FCT_QUANG.xlsx [Script: PST_ENTR_FCT]</t>
        </is>
      </c>
    </row>
    <row r="1416">
      <c r="A1416" s="48" t="inlineStr">
        <is>
          <t>TCKH.PST_ENTR_FCT</t>
        </is>
      </c>
      <c r="B1416" s="48" t="inlineStr">
        <is>
          <t>SILVER_CONSUMER</t>
        </is>
      </c>
      <c r="C1416" s="48" t="inlineStr">
        <is>
          <t>3.1</t>
        </is>
      </c>
      <c r="D1416" s="48" t="inlineStr">
        <is>
          <t>Nhom 3 - Optimization</t>
        </is>
      </c>
      <c r="E1416" s="48" t="inlineStr">
        <is>
          <t>Không SELECT *</t>
        </is>
      </c>
      <c r="F1416" s="49" t="inlineStr">
        <is>
          <t>PASS</t>
        </is>
      </c>
      <c r="G1416" s="48" t="inlineStr">
        <is>
          <t>Pass</t>
        </is>
      </c>
      <c r="H1416" s="50" t="inlineStr">
        <is>
          <t>không dùng SELECT * ở đâu</t>
        </is>
      </c>
      <c r="I1416" s="50" t="inlineStr">
        <is>
          <t>Liệt kê tường minh các cột cần dùng, kể cả trong CTE trung gian. SELECT * làm tăng IO/memory và vỡ script khi bảng nguồn thêm cột.</t>
        </is>
      </c>
      <c r="J1416" s="48" t="inlineStr">
        <is>
          <t>072. OCB_GOLD_TCKH_PST_ENTR_FCT_QUANG.xlsx [Script: PST_ENTR_FCT]</t>
        </is>
      </c>
    </row>
    <row r="1417">
      <c r="A1417" s="48" t="inlineStr">
        <is>
          <t>TCKH.PST_ENTR_FCT</t>
        </is>
      </c>
      <c r="B1417" s="48" t="inlineStr">
        <is>
          <t>SILVER_CONSUMER</t>
        </is>
      </c>
      <c r="C1417" s="48" t="inlineStr">
        <is>
          <t>3.2</t>
        </is>
      </c>
      <c r="D1417" s="48" t="inlineStr">
        <is>
          <t>Nhom 3 - Optimization</t>
        </is>
      </c>
      <c r="E1417" s="48" t="inlineStr">
        <is>
          <t>CTE không bị scan lại nhiều lần</t>
        </is>
      </c>
      <c r="F1417" s="49" t="inlineStr">
        <is>
          <t>PASS</t>
        </is>
      </c>
      <c r="G1417" s="48" t="inlineStr">
        <is>
          <t>Pass</t>
        </is>
      </c>
      <c r="H1417" s="50" t="inlineStr">
        <is>
          <t>không có CTE nào bị gọi lại</t>
        </is>
      </c>
      <c r="I1417" s="50" t="inlineStr">
        <is>
          <t>Với CTE nặng (đọc nhiều bảng Silver) bị tham chiếu từ 2 chỗ trở lên: gom lại còn một lần dùng, hoặc vật chất hóa (CACHE / bảng tạm). CTE nhẹ chỉ chứa tham số thì bỏ qua được — tự tick Pass.</t>
        </is>
      </c>
      <c r="J1417" s="48" t="inlineStr">
        <is>
          <t>072. OCB_GOLD_TCKH_PST_ENTR_FCT_QUANG.xlsx [Script: PST_ENTR_FCT]</t>
        </is>
      </c>
    </row>
    <row r="1418">
      <c r="A1418" s="48" t="inlineStr">
        <is>
          <t>TCKH.PST_ENTR_FCT</t>
        </is>
      </c>
      <c r="B1418" s="48" t="inlineStr">
        <is>
          <t>SILVER_CONSUMER</t>
        </is>
      </c>
      <c r="C1418" s="48" t="inlineStr">
        <is>
          <t>3.3</t>
        </is>
      </c>
      <c r="D1418" s="48" t="inlineStr">
        <is>
          <t>Nhom 3 - Optimization</t>
        </is>
      </c>
      <c r="E1418" s="48" t="inlineStr">
        <is>
          <t>Filter trước khi join, tận dụng partition pruning</t>
        </is>
      </c>
      <c r="F1418" s="49" t="inlineStr">
        <is>
          <t>PASS</t>
        </is>
      </c>
      <c r="G1418" s="48" t="inlineStr">
        <is>
          <t>Pass</t>
        </is>
      </c>
      <c r="H1418" s="50" t="inlineStr">
        <is>
          <t>các bảng join đều được filter trước</t>
        </is>
      </c>
      <c r="I1418" s="50" t="inlineStr">
        <is>
          <t>Đưa điều kiện lọc (ngày dữ liệu, trạng thái) vào subquery của từng bảng TRƯỚC khi join, để tận dụng partition pruning. Bảng dim nhỏ không partition thì không cần — tự tick Pass.</t>
        </is>
      </c>
      <c r="J1418" s="48" t="inlineStr">
        <is>
          <t>072. OCB_GOLD_TCKH_PST_ENTR_FCT_QUANG.xlsx [Script: PST_ENTR_FCT]</t>
        </is>
      </c>
    </row>
    <row r="1419">
      <c r="A1419" s="48" t="inlineStr">
        <is>
          <t>TCKH.PST_ENTR_FCT</t>
        </is>
      </c>
      <c r="B1419" s="48" t="inlineStr">
        <is>
          <t>SILVER_CONSUMER</t>
        </is>
      </c>
      <c r="C1419" s="48" t="inlineStr">
        <is>
          <t>3.4</t>
        </is>
      </c>
      <c r="D1419" s="48" t="inlineStr">
        <is>
          <t>Nhom 3 - Optimization</t>
        </is>
      </c>
      <c r="E1419" s="48" t="inlineStr">
        <is>
          <t>Sử dụng CACHE cho query lặp lại trong cùng luồng</t>
        </is>
      </c>
      <c r="F1419" s="48" t="inlineStr">
        <is>
          <t>N-A</t>
        </is>
      </c>
      <c r="G1419" s="48" t="inlineStr">
        <is>
          <t>Pass</t>
        </is>
      </c>
      <c r="H1419" s="50" t="inlineStr">
        <is>
          <t>không có kết quả nào được dùng lại nhiều lần nên chưa cần CACHE</t>
        </is>
      </c>
      <c r="I1419" s="50" t="inlineStr">
        <is>
          <t>Nếu một kết quả nặng được dùng lại nhiều bước trong cùng luồng, thêm CACHE TABLE / CACHE SELECT. Kết quả nhỏ thì cache còn chậm hơn — tự tick Pass.</t>
        </is>
      </c>
      <c r="J1419" s="48" t="inlineStr">
        <is>
          <t>072. OCB_GOLD_TCKH_PST_ENTR_FCT_QUANG.xlsx [Script: PST_ENTR_FCT]</t>
        </is>
      </c>
    </row>
    <row r="1420">
      <c r="A1420" s="48" t="inlineStr">
        <is>
          <t>TCKH.PST_ENTR_FCT</t>
        </is>
      </c>
      <c r="B1420" s="48" t="inlineStr">
        <is>
          <t>SILVER_CONSUMER</t>
        </is>
      </c>
      <c r="C1420" s="48" t="inlineStr">
        <is>
          <t>3.5</t>
        </is>
      </c>
      <c r="D1420" s="48" t="inlineStr">
        <is>
          <t>Nhom 3 - Optimization</t>
        </is>
      </c>
      <c r="E1420" s="48" t="inlineStr">
        <is>
          <t>Ưu tiên MAX_BY + QUALIFY thay ROW_NUMBER() + WHERE rn = 1</t>
        </is>
      </c>
      <c r="F1420" s="48" t="inlineStr">
        <is>
          <t>N-A</t>
        </is>
      </c>
      <c r="G1420" s="48" t="inlineStr">
        <is>
          <t>Pass</t>
        </is>
      </c>
      <c r="H1420" s="50" t="inlineStr">
        <is>
          <t>script không dùng ROW_NUMBER, và MAX_BY (nếu có) không vượt quá 5 cột/khối</t>
        </is>
      </c>
      <c r="I14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20" s="48" t="inlineStr">
        <is>
          <t>072. OCB_GOLD_TCKH_PST_ENTR_FCT_QUANG.xlsx [Script: PST_ENTR_FCT]</t>
        </is>
      </c>
    </row>
    <row r="1421">
      <c r="A1421" s="48" t="inlineStr">
        <is>
          <t>TCKH.PST_ENTR_FCT</t>
        </is>
      </c>
      <c r="B1421" s="48" t="inlineStr">
        <is>
          <t>SILVER_CONSUMER</t>
        </is>
      </c>
      <c r="C1421" s="48" t="inlineStr">
        <is>
          <t>3.6</t>
        </is>
      </c>
      <c r="D1421" s="48" t="inlineStr">
        <is>
          <t>Nhom 3 - Optimization</t>
        </is>
      </c>
      <c r="E1421" s="48" t="inlineStr">
        <is>
          <t>Không lạm dụng window function; có comment khi dùng</t>
        </is>
      </c>
      <c r="F1421" s="48" t="inlineStr">
        <is>
          <t>N-A</t>
        </is>
      </c>
      <c r="G1421" s="48" t="inlineStr">
        <is>
          <t>Pass</t>
        </is>
      </c>
      <c r="H1421" s="50" t="inlineStr">
        <is>
          <t>script không dùng window function</t>
        </is>
      </c>
      <c r="I1421" s="50" t="inlineStr">
        <is>
          <t>Mỗi window function cần một comment ngay trên khối CTE chứa nó, nói rõ vì sao không dùng được max_by/QUALIFY đơn giản hơn.</t>
        </is>
      </c>
      <c r="J1421" s="48" t="inlineStr">
        <is>
          <t>072. OCB_GOLD_TCKH_PST_ENTR_FCT_QUANG.xlsx [Script: PST_ENTR_FCT]</t>
        </is>
      </c>
    </row>
    <row r="1422">
      <c r="A1422" s="48" t="inlineStr">
        <is>
          <t>TCKH.PST_ENTR_FCT</t>
        </is>
      </c>
      <c r="B1422" s="48" t="inlineStr">
        <is>
          <t>SILVER_CONSUMER</t>
        </is>
      </c>
      <c r="C1422" s="48" t="inlineStr">
        <is>
          <t>X.1</t>
        </is>
      </c>
      <c r="D1422" s="48" t="inlineStr">
        <is>
          <t>Nhom X - Bo sung Raffles</t>
        </is>
      </c>
      <c r="E1422" s="48" t="inlineStr">
        <is>
          <t>[Bổ sung] Link phải rút về current trước khi join (chống fan-out)</t>
        </is>
      </c>
      <c r="F1422" s="49" t="inlineStr">
        <is>
          <t>PASS</t>
        </is>
      </c>
      <c r="G1422" s="48" t="inlineStr">
        <is>
          <t>Pass</t>
        </is>
      </c>
      <c r="H1422" s="50" t="inlineStr">
        <is>
          <t>các bảng link_* đều được rút về current trước khi join</t>
        </is>
      </c>
      <c r="I14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22" s="48" t="inlineStr">
        <is>
          <t>072. OCB_GOLD_TCKH_PST_ENTR_FCT_QUANG.xlsx [Script: PST_ENTR_FCT]</t>
        </is>
      </c>
    </row>
    <row r="1423">
      <c r="A1423" s="48" t="inlineStr">
        <is>
          <t>TCKH.PST_ENTR_FCT</t>
        </is>
      </c>
      <c r="B1423" s="48" t="inlineStr">
        <is>
          <t>SILVER_CONSUMER</t>
        </is>
      </c>
      <c r="C1423" s="48" t="inlineStr">
        <is>
          <t>X.6</t>
        </is>
      </c>
      <c r="D1423" s="48" t="inlineStr">
        <is>
          <t>Nhom X - Bo sung Raffles</t>
        </is>
      </c>
      <c r="E1423" s="48" t="inlineStr">
        <is>
          <t>[Bổ sung] Satellite phải LEFT JOIN, không INNER JOIN</t>
        </is>
      </c>
      <c r="F1423" s="49" t="inlineStr">
        <is>
          <t>PASS</t>
        </is>
      </c>
      <c r="G1423" s="48" t="inlineStr">
        <is>
          <t>Pass</t>
        </is>
      </c>
      <c r="H1423" s="50" t="inlineStr">
        <is>
          <t>các satellite đều LEFT JOIN</t>
        </is>
      </c>
      <c r="I1423" s="50" t="inlineStr">
        <is>
          <t>Technical Document III.4.2.2 nguyên tắc 1: làm giàu thuộc tính luôn dùng LEFT JOIN. INNER JOIN satellite sẽ loại mất bản ghi Hub đang còn hiệu lực nhưng chưa có dòng satellite.</t>
        </is>
      </c>
      <c r="J1423" s="48" t="inlineStr">
        <is>
          <t>072. OCB_GOLD_TCKH_PST_ENTR_FCT_QUANG.xlsx [Script: PST_ENTR_FCT]</t>
        </is>
      </c>
    </row>
    <row r="1424">
      <c r="A1424" s="48" t="inlineStr">
        <is>
          <t>TCKH.PST_ENTR_FCT</t>
        </is>
      </c>
      <c r="B1424" s="48" t="inlineStr">
        <is>
          <t>SILVER_CONSUMER</t>
        </is>
      </c>
      <c r="C1424" s="48" t="inlineStr">
        <is>
          <t>X.7</t>
        </is>
      </c>
      <c r="D1424" s="48" t="inlineStr">
        <is>
          <t>Nhom X - Bo sung Raffles</t>
        </is>
      </c>
      <c r="E1424" s="48" t="inlineStr">
        <is>
          <t>[Bổ sung] Không hard-code catalog, dùng biến môi trường</t>
        </is>
      </c>
      <c r="F1424" s="49" t="inlineStr">
        <is>
          <t>PASS</t>
        </is>
      </c>
      <c r="G1424" s="48" t="inlineStr">
        <is>
          <t>Pass</t>
        </is>
      </c>
      <c r="H1424" s="50" t="inlineStr">
        <is>
          <t>dùng biến môi trường cho catalog</t>
        </is>
      </c>
      <c r="I14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24" s="48" t="inlineStr">
        <is>
          <t>072. OCB_GOLD_TCKH_PST_ENTR_FCT_QUANG.xlsx [Script: PST_ENTR_FCT]</t>
        </is>
      </c>
    </row>
    <row r="1425">
      <c r="A1425" s="48" t="inlineStr">
        <is>
          <t>TCKH.PST_ENTR_FCT</t>
        </is>
      </c>
      <c r="B1425" s="48" t="inlineStr">
        <is>
          <t>SILVER_CONSUMER</t>
        </is>
      </c>
      <c r="C1425" s="48" t="inlineStr">
        <is>
          <t>X.10</t>
        </is>
      </c>
      <c r="D1425" s="48" t="inlineStr">
        <is>
          <t>Nhom X - Bo sung Raffles</t>
        </is>
      </c>
      <c r="E1425" s="48" t="inlineStr">
        <is>
          <t>Bang raw_vault/business_vault duoc doc phai TON TAI THAT trong Data Vault model</t>
        </is>
      </c>
      <c r="F1425" s="49" t="inlineStr">
        <is>
          <t>PASS</t>
        </is>
      </c>
      <c r="G1425" s="48" t="inlineStr">
        <is>
          <t>Pass</t>
        </is>
      </c>
      <c r="H1425" s="50" t="inlineStr">
        <is>
          <t>56 bảng Silver đều có thật trong Data Vault model</t>
        </is>
      </c>
      <c r="I1425" s="50" t="inlineStr"/>
      <c r="J1425" s="48" t="inlineStr">
        <is>
          <t>072. OCB_GOLD_TCKH_PST_ENTR_FCT_QUANG.xlsx [Script: PST_ENTR_FCT]</t>
        </is>
      </c>
    </row>
    <row r="1426">
      <c r="A1426" s="48" t="inlineStr">
        <is>
          <t>TCKH.PST_ENTR_FCT</t>
        </is>
      </c>
      <c r="B1426" s="48" t="inlineStr">
        <is>
          <t>SILVER_CONSUMER</t>
        </is>
      </c>
      <c r="C1426" s="48" t="inlineStr">
        <is>
          <t>X.11</t>
        </is>
      </c>
      <c r="D1426" s="48" t="inlineStr">
        <is>
          <t>Nhom X - Bo sung Raffles</t>
        </is>
      </c>
      <c r="E1426" s="48" t="inlineStr">
        <is>
          <t>Cot doc tu satellite (sat_*) phai TON TAI THAT trong model</t>
        </is>
      </c>
      <c r="F1426" s="49" t="inlineStr">
        <is>
          <t>PASS</t>
        </is>
      </c>
      <c r="G1426" s="48" t="inlineStr">
        <is>
          <t>Pass</t>
        </is>
      </c>
      <c r="H1426" s="50" t="inlineStr">
        <is>
          <t>mọi cột đọc từ sat_* đều tồn tại trong model thật</t>
        </is>
      </c>
      <c r="I1426" s="50" t="inlineStr"/>
      <c r="J1426" s="48" t="inlineStr">
        <is>
          <t>072. OCB_GOLD_TCKH_PST_ENTR_FCT_QUANG.xlsx [Script: PST_ENTR_FCT]</t>
        </is>
      </c>
    </row>
    <row r="1427">
      <c r="A1427" s="48" t="inlineStr">
        <is>
          <t>TCKH.T24_USER</t>
        </is>
      </c>
      <c r="B1427" s="48" t="inlineStr">
        <is>
          <t>SILVER_CONSUMER</t>
        </is>
      </c>
      <c r="C1427" s="48" t="inlineStr">
        <is>
          <t>1.1</t>
        </is>
      </c>
      <c r="D1427" s="48" t="inlineStr">
        <is>
          <t>Nhom 1 - Mapping</t>
        </is>
      </c>
      <c r="E1427" s="48" t="inlineStr">
        <is>
          <t>Đầy đủ mapping từ Silver/manual sang Gold</t>
        </is>
      </c>
      <c r="F1427" s="49" t="inlineStr">
        <is>
          <t>PASS</t>
        </is>
      </c>
      <c r="G1427" s="48" t="inlineStr">
        <is>
          <t>Pass</t>
        </is>
      </c>
      <c r="H1427" s="50" t="inlineStr">
        <is>
          <t>workbook 073. OCB_GOLD_TCKH_T24_USER_BAOANH.xlsx: thiết kế 41 field, SQL có 41 cột</t>
        </is>
      </c>
      <c r="I14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27" s="48" t="inlineStr">
        <is>
          <t>073. OCB_GOLD_TCKH_T24_USER_BAOANH.xlsx [SCRIPT: T24_USER]</t>
        </is>
      </c>
    </row>
    <row r="1428">
      <c r="A1428" s="48" t="inlineStr">
        <is>
          <t>TCKH.T24_USER</t>
        </is>
      </c>
      <c r="B1428" s="48" t="inlineStr">
        <is>
          <t>SILVER_CONSUMER</t>
        </is>
      </c>
      <c r="C1428" s="48" t="inlineStr">
        <is>
          <t>1.2</t>
        </is>
      </c>
      <c r="D1428" s="48" t="inlineStr">
        <is>
          <t>Nhom 1 - Mapping</t>
        </is>
      </c>
      <c r="E1428" s="48" t="inlineStr">
        <is>
          <t>Danh sách bảng/view Gold khớp tài liệu thiết kế đã duyệt</t>
        </is>
      </c>
      <c r="F1428" s="49" t="inlineStr">
        <is>
          <t>PASS</t>
        </is>
      </c>
      <c r="G1428" s="48" t="inlineStr">
        <is>
          <t>Pass</t>
        </is>
      </c>
      <c r="H1428" s="50" t="inlineStr">
        <is>
          <t>T24_USER có workbook thiết kế: 073. OCB_GOLD_TCKH_T24_USER_BAOANH.xlsx</t>
        </is>
      </c>
      <c r="I1428" s="50" t="inlineStr">
        <is>
          <t>Đảm bảo object có workbook thiết kế tương ứng trong thư mục --mapping-dir. Muốn đối chiếu với danh sách đã duyệt thì chạy thêm tham số --gold-list "&lt;file danh sách Gold&gt;.xlsx".</t>
        </is>
      </c>
      <c r="J1428" s="48" t="inlineStr">
        <is>
          <t>073. OCB_GOLD_TCKH_T24_USER_BAOANH.xlsx [SCRIPT: T24_USER]</t>
        </is>
      </c>
    </row>
    <row r="1429">
      <c r="A1429" s="48" t="inlineStr">
        <is>
          <t>TCKH.T24_USER</t>
        </is>
      </c>
      <c r="B1429" s="48" t="inlineStr">
        <is>
          <t>SILVER_CONSUMER</t>
        </is>
      </c>
      <c r="C1429" s="48" t="inlineStr">
        <is>
          <t>2.1</t>
        </is>
      </c>
      <c r="D1429" s="48" t="inlineStr">
        <is>
          <t>Nhom 2 - Logic</t>
        </is>
      </c>
      <c r="E1429" s="48" t="inlineStr">
        <is>
          <t>Chỉ lấy bản ghi active, loại bản ghi đã xóa (qua sts_hub)</t>
        </is>
      </c>
      <c r="F1429" s="49" t="inlineStr">
        <is>
          <t>PASS</t>
        </is>
      </c>
      <c r="G1429" s="48" t="inlineStr">
        <is>
          <t>Pass</t>
        </is>
      </c>
      <c r="H1429" s="50" t="inlineStr">
        <is>
          <t>1 sts_hub_* đọc đúng format</t>
        </is>
      </c>
      <c r="I14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29" s="48" t="inlineStr">
        <is>
          <t>073. OCB_GOLD_TCKH_T24_USER_BAOANH.xlsx [SCRIPT: T24_USER]</t>
        </is>
      </c>
    </row>
    <row r="1430">
      <c r="A1430" s="48" t="inlineStr">
        <is>
          <t>TCKH.T24_USER</t>
        </is>
      </c>
      <c r="B1430" s="48" t="inlineStr">
        <is>
          <t>SILVER_CONSUMER</t>
        </is>
      </c>
      <c r="C1430" s="48" t="inlineStr">
        <is>
          <t>2.2</t>
        </is>
      </c>
      <c r="D1430" s="48" t="inlineStr">
        <is>
          <t>Nhom 2 - Logic</t>
        </is>
      </c>
      <c r="E1430" s="48" t="inlineStr">
        <is>
          <t>Thống nhất MỘT pattern duy nhất xác định bản ghi active mới nhất</t>
        </is>
      </c>
      <c r="F1430" s="49" t="inlineStr">
        <is>
          <t>PASS</t>
        </is>
      </c>
      <c r="G1430" s="48" t="inlineStr">
        <is>
          <t>Pass</t>
        </is>
      </c>
      <c r="H1430" s="50" t="inlineStr">
        <is>
          <t>file này dùng: ['MAX_BY']; toàn batch dùng: ['MAX_BY']</t>
        </is>
      </c>
      <c r="I14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30" s="48" t="inlineStr">
        <is>
          <t>073. OCB_GOLD_TCKH_T24_USER_BAOANH.xlsx [SCRIPT: T24_USER]</t>
        </is>
      </c>
    </row>
    <row r="1431">
      <c r="A1431" s="48" t="inlineStr">
        <is>
          <t>TCKH.T24_USER</t>
        </is>
      </c>
      <c r="B1431" s="48" t="inlineStr">
        <is>
          <t>SILVER_CONSUMER</t>
        </is>
      </c>
      <c r="C1431" s="48" t="inlineStr">
        <is>
          <t>2.3</t>
        </is>
      </c>
      <c r="D1431" s="48" t="inlineStr">
        <is>
          <t>Nhom 2 - Logic</t>
        </is>
      </c>
      <c r="E1431" s="48" t="inlineStr">
        <is>
          <t>Điều kiện lọc trạng thái đặt SAU khi xác định bản ghi mới nhất</t>
        </is>
      </c>
      <c r="F1431" s="49" t="inlineStr">
        <is>
          <t>PASS</t>
        </is>
      </c>
      <c r="G1431" s="48" t="inlineStr">
        <is>
          <t>Pass</t>
        </is>
      </c>
      <c r="H1431" s="50" t="inlineStr">
        <is>
          <t>không có điều kiện trạng thái nào lồng trong JOIN ON</t>
        </is>
      </c>
      <c r="I14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31" s="48" t="inlineStr">
        <is>
          <t>073. OCB_GOLD_TCKH_T24_USER_BAOANH.xlsx [SCRIPT: T24_USER]</t>
        </is>
      </c>
    </row>
    <row r="1432">
      <c r="A1432" s="48" t="inlineStr">
        <is>
          <t>TCKH.T24_USER</t>
        </is>
      </c>
      <c r="B1432" s="48" t="inlineStr">
        <is>
          <t>SILVER_CONSUMER</t>
        </is>
      </c>
      <c r="C1432" s="48" t="inlineStr">
        <is>
          <t>2.4</t>
        </is>
      </c>
      <c r="D1432" s="48" t="inlineStr">
        <is>
          <t>Nhom 2 - Logic</t>
        </is>
      </c>
      <c r="E1432" s="48" t="inlineStr">
        <is>
          <t>source_event_date áp dụng đúng dạng theo loại bảng</t>
        </is>
      </c>
      <c r="F1432" s="49" t="inlineStr">
        <is>
          <t>PASS</t>
        </is>
      </c>
      <c r="G1432" s="48" t="inlineStr">
        <is>
          <t>Pass</t>
        </is>
      </c>
      <c r="H1432" s="50" t="inlineStr">
        <is>
          <t>3 satellite đều đúng dạng điều kiện source_event_date</t>
        </is>
      </c>
      <c r="I14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32" s="48" t="inlineStr">
        <is>
          <t>073. OCB_GOLD_TCKH_T24_USER_BAOANH.xlsx [SCRIPT: T24_USER]</t>
        </is>
      </c>
    </row>
    <row r="1433">
      <c r="A1433" s="48" t="inlineStr">
        <is>
          <t>TCKH.T24_USER</t>
        </is>
      </c>
      <c r="B1433" s="48" t="inlineStr">
        <is>
          <t>SILVER_CONSUMER</t>
        </is>
      </c>
      <c r="C1433" s="48" t="inlineStr">
        <is>
          <t>2.5</t>
        </is>
      </c>
      <c r="D1433" s="48" t="inlineStr">
        <is>
          <t>Nhom 2 - Logic</t>
        </is>
      </c>
      <c r="E1433" s="48" t="inlineStr">
        <is>
          <t>Không lặp lại lỗi logic cũ đã được DA Data Vault fix</t>
        </is>
      </c>
      <c r="F1433" s="49" t="inlineStr">
        <is>
          <t>PASS</t>
        </is>
      </c>
      <c r="G1433" s="48" t="inlineStr">
        <is>
          <t>Pass</t>
        </is>
      </c>
      <c r="H1433" s="50" t="inlineStr">
        <is>
          <t>không trùng lỗi nào trong Issue log của DA Data Vault</t>
        </is>
      </c>
      <c r="I14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33" s="48" t="inlineStr">
        <is>
          <t>073. OCB_GOLD_TCKH_T24_USER_BAOANH.xlsx [SCRIPT: T24_USER]</t>
        </is>
      </c>
    </row>
    <row r="1434">
      <c r="A1434" s="48" t="inlineStr">
        <is>
          <t>TCKH.T24_USER</t>
        </is>
      </c>
      <c r="B1434" s="48" t="inlineStr">
        <is>
          <t>SILVER_CONSUMER</t>
        </is>
      </c>
      <c r="C1434" s="48" t="inlineStr">
        <is>
          <t>2.6</t>
        </is>
      </c>
      <c r="D1434" s="48" t="inlineStr">
        <is>
          <t>Nhom 2 - Logic</t>
        </is>
      </c>
      <c r="E1434" s="48" t="inlineStr">
        <is>
          <t>SCD Type 2 cho bảng DIM áp dụng đúng kỹ thuật đã thống nhất</t>
        </is>
      </c>
      <c r="F1434" s="48" t="inlineStr">
        <is>
          <t>N-A</t>
        </is>
      </c>
      <c r="G1434" s="48" t="inlineStr">
        <is>
          <t>Pass</t>
        </is>
      </c>
      <c r="H1434" s="50" t="inlineStr">
        <is>
          <t>object không phải bảng DIM nên không áp dụng SCD Type 2</t>
        </is>
      </c>
      <c r="I14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34" s="48" t="inlineStr">
        <is>
          <t>073. OCB_GOLD_TCKH_T24_USER_BAOANH.xlsx [SCRIPT: T24_USER]</t>
        </is>
      </c>
    </row>
    <row r="1435">
      <c r="A1435" s="48" t="inlineStr">
        <is>
          <t>TCKH.T24_USER</t>
        </is>
      </c>
      <c r="B1435" s="48" t="inlineStr">
        <is>
          <t>SILVER_CONSUMER</t>
        </is>
      </c>
      <c r="C1435" s="48" t="inlineStr">
        <is>
          <t>2.7</t>
        </is>
      </c>
      <c r="D1435" s="48" t="inlineStr">
        <is>
          <t>Nhom 2 - Logic</t>
        </is>
      </c>
      <c r="E1435" s="48" t="inlineStr">
        <is>
          <t>CASE WHEN cover đủ nhánh như job on-prem</t>
        </is>
      </c>
      <c r="F1435" s="48" t="inlineStr">
        <is>
          <t>N-A</t>
        </is>
      </c>
      <c r="G1435" s="48" t="inlineStr">
        <is>
          <t>Pass</t>
        </is>
      </c>
      <c r="H1435" s="50" t="inlineStr">
        <is>
          <t>script không có CASE WHEN nào</t>
        </is>
      </c>
      <c r="I1435" s="50" t="inlineStr">
        <is>
          <t>Mở job on-prem tương ứng (DataStage DSX hoặc SQL cũ), đối chiếu từng nhánh WHEN và cả nhánh ELSE. CASE không có ELSE sẽ trả NULL âm thầm — xác nhận đó là ý muốn hay thiếu nhánh.</t>
        </is>
      </c>
      <c r="J1435" s="48" t="inlineStr">
        <is>
          <t>073. OCB_GOLD_TCKH_T24_USER_BAOANH.xlsx [SCRIPT: T24_USER]</t>
        </is>
      </c>
    </row>
    <row r="1436">
      <c r="A1436" s="48" t="inlineStr">
        <is>
          <t>TCKH.T24_USER</t>
        </is>
      </c>
      <c r="B1436" s="48" t="inlineStr">
        <is>
          <t>SILVER_CONSUMER</t>
        </is>
      </c>
      <c r="C1436" s="48" t="inlineStr">
        <is>
          <t>2.8</t>
        </is>
      </c>
      <c r="D1436" s="48" t="inlineStr">
        <is>
          <t>Nhom 2 - Logic</t>
        </is>
      </c>
      <c r="E1436" s="48" t="inlineStr">
        <is>
          <t>Cột SUM/COUNT được COALESCE/NVL hợp lý</t>
        </is>
      </c>
      <c r="F1436" s="49" t="inlineStr">
        <is>
          <t>PASS</t>
        </is>
      </c>
      <c r="G1436" s="48" t="inlineStr">
        <is>
          <t>Pass</t>
        </is>
      </c>
      <c r="H1436" s="50" t="inlineStr">
        <is>
          <t>mọi SUM/COUNT đều đã coalesce (trực tiếp hoặc ở lớp ngoài)</t>
        </is>
      </c>
      <c r="I14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36" s="48" t="inlineStr">
        <is>
          <t>073. OCB_GOLD_TCKH_T24_USER_BAOANH.xlsx [SCRIPT: T24_USER]</t>
        </is>
      </c>
    </row>
    <row r="1437">
      <c r="A1437" s="48" t="inlineStr">
        <is>
          <t>TCKH.T24_USER</t>
        </is>
      </c>
      <c r="B1437" s="48" t="inlineStr">
        <is>
          <t>SILVER_CONSUMER</t>
        </is>
      </c>
      <c r="C1437" s="48" t="inlineStr">
        <is>
          <t>2.9</t>
        </is>
      </c>
      <c r="D1437" s="48" t="inlineStr">
        <is>
          <t>Nhom 2 - Logic</t>
        </is>
      </c>
      <c r="E1437" s="48" t="inlineStr">
        <is>
          <t>Subquery / custom function / điều kiện LIKE đúng ý nghĩa nghiệp vụ</t>
        </is>
      </c>
      <c r="F1437" s="48" t="inlineStr">
        <is>
          <t>N-A</t>
        </is>
      </c>
      <c r="G1437" s="48" t="inlineStr">
        <is>
          <t>Pass</t>
        </is>
      </c>
      <c r="H1437" s="50" t="inlineStr">
        <is>
          <t>script không có điều kiện LIKE hay scalar subquery nào</t>
        </is>
      </c>
      <c r="I1437" s="50" t="inlineStr">
        <is>
          <t>Đọc lại từng điều kiện LIKE và từng subquery, đối chiếu ý nghĩa nghiệp vụ với on-prem — đúng cú pháp không đủ. Chú ý pattern LIKE có ký tự % ở đầu/cuối và phân biệt chữ hoa/thường.</t>
        </is>
      </c>
      <c r="J1437" s="48" t="inlineStr">
        <is>
          <t>073. OCB_GOLD_TCKH_T24_USER_BAOANH.xlsx [SCRIPT: T24_USER]</t>
        </is>
      </c>
    </row>
    <row r="1438">
      <c r="A1438" s="48" t="inlineStr">
        <is>
          <t>TCKH.T24_USER</t>
        </is>
      </c>
      <c r="B1438" s="48" t="inlineStr">
        <is>
          <t>SILVER_CONSUMER</t>
        </is>
      </c>
      <c r="C1438" s="48" t="inlineStr">
        <is>
          <t>2.10</t>
        </is>
      </c>
      <c r="D1438" s="48" t="inlineStr">
        <is>
          <t>Nhom 2 - Logic</t>
        </is>
      </c>
      <c r="E1438" s="48" t="inlineStr">
        <is>
          <t>Aggregation kèm filter date range chính xác</t>
        </is>
      </c>
      <c r="F1438" s="49" t="inlineStr">
        <is>
          <t>PASS</t>
        </is>
      </c>
      <c r="G1438" s="48" t="inlineStr">
        <is>
          <t>Pass</t>
        </is>
      </c>
      <c r="H1438" s="50" t="inlineStr">
        <is>
          <t>mọi khối tổng hợp đều có điều kiện theo kỳ dữ liệu</t>
        </is>
      </c>
      <c r="I1438" s="50" t="inlineStr">
        <is>
          <t>Mỗi khối SUM/COUNT/AVG phải có điều kiện lọc theo kỳ dữ liệu (CDR_DT_ID, DATA_DATE, :DATADT…). Nếu điều kiện nằm ở CTE nguồn thì ghi rõ trong comment để người review không phải truy ngược.</t>
        </is>
      </c>
      <c r="J1438" s="48" t="inlineStr">
        <is>
          <t>073. OCB_GOLD_TCKH_T24_USER_BAOANH.xlsx [SCRIPT: T24_USER]</t>
        </is>
      </c>
    </row>
    <row r="1439">
      <c r="A1439" s="48" t="inlineStr">
        <is>
          <t>TCKH.T24_USER</t>
        </is>
      </c>
      <c r="B1439" s="48" t="inlineStr">
        <is>
          <t>SILVER_CONSUMER</t>
        </is>
      </c>
      <c r="C1439" s="48" t="inlineStr">
        <is>
          <t>2.11</t>
        </is>
      </c>
      <c r="D1439" s="48" t="inlineStr">
        <is>
          <t>Nhom 2 - Logic</t>
        </is>
      </c>
      <c r="E1439" s="48" t="inlineStr">
        <is>
          <t>Join dùng key hợp lý, không lạm dụng UNION ALL + EXISTS/NOT EXISTS</t>
        </is>
      </c>
      <c r="F1439" s="49" t="inlineStr">
        <is>
          <t>PASS</t>
        </is>
      </c>
      <c r="G1439" s="48" t="inlineStr">
        <is>
          <t>Pass</t>
        </is>
      </c>
      <c r="H1439" s="50" t="inlineStr">
        <is>
          <t>join đều theo điều kiện bằng, không lạm dụng UNION ALL + EXISTS</t>
        </is>
      </c>
      <c r="I1439" s="50" t="inlineStr">
        <is>
          <t>Ưu tiên LEFT JOIN theo business key hoặc hashkey. Xem lại các chỗ dùng UNION ALL kết hợp EXISTS/NOT EXISTS — thường thay được bằng một LEFT JOIN. Join không có điều kiện bằng (=) dễ tạo tích Descartes.</t>
        </is>
      </c>
      <c r="J1439" s="48" t="inlineStr">
        <is>
          <t>073. OCB_GOLD_TCKH_T24_USER_BAOANH.xlsx [SCRIPT: T24_USER]</t>
        </is>
      </c>
    </row>
    <row r="1440">
      <c r="A1440" s="48" t="inlineStr">
        <is>
          <t>TCKH.T24_USER</t>
        </is>
      </c>
      <c r="B1440" s="48" t="inlineStr">
        <is>
          <t>SILVER_CONSUMER</t>
        </is>
      </c>
      <c r="C1440" s="48" t="inlineStr">
        <is>
          <t>2.12</t>
        </is>
      </c>
      <c r="D1440" s="48" t="inlineStr">
        <is>
          <t>Nhom 2 - Logic</t>
        </is>
      </c>
      <c r="E1440" s="48" t="inlineStr">
        <is>
          <t>Build Gold từ CTE snapshot Silver, không build nhiều tầng chồng chéo</t>
        </is>
      </c>
      <c r="F1440" s="49" t="inlineStr">
        <is>
          <t>PASS</t>
        </is>
      </c>
      <c r="G1440" s="48" t="inlineStr">
        <is>
          <t>Pass</t>
        </is>
      </c>
      <c r="H1440" s="50" t="inlineStr">
        <is>
          <t>mỗi bảng nguồn chỉ đọc trong 1 khối SELECT</t>
        </is>
      </c>
      <c r="I14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40" s="48" t="inlineStr">
        <is>
          <t>073. OCB_GOLD_TCKH_T24_USER_BAOANH.xlsx [SCRIPT: T24_USER]</t>
        </is>
      </c>
    </row>
    <row r="1441">
      <c r="A1441" s="48" t="inlineStr">
        <is>
          <t>TCKH.T24_USER</t>
        </is>
      </c>
      <c r="B1441" s="48" t="inlineStr">
        <is>
          <t>SILVER_CONSUMER</t>
        </is>
      </c>
      <c r="C1441" s="48" t="inlineStr">
        <is>
          <t>3.1</t>
        </is>
      </c>
      <c r="D1441" s="48" t="inlineStr">
        <is>
          <t>Nhom 3 - Optimization</t>
        </is>
      </c>
      <c r="E1441" s="48" t="inlineStr">
        <is>
          <t>Không SELECT *</t>
        </is>
      </c>
      <c r="F1441" s="49" t="inlineStr">
        <is>
          <t>PASS</t>
        </is>
      </c>
      <c r="G1441" s="48" t="inlineStr">
        <is>
          <t>Pass</t>
        </is>
      </c>
      <c r="H1441" s="50" t="inlineStr">
        <is>
          <t>không dùng SELECT * ở đâu</t>
        </is>
      </c>
      <c r="I1441" s="50" t="inlineStr">
        <is>
          <t>Liệt kê tường minh các cột cần dùng, kể cả trong CTE trung gian. SELECT * làm tăng IO/memory và vỡ script khi bảng nguồn thêm cột.</t>
        </is>
      </c>
      <c r="J1441" s="48" t="inlineStr">
        <is>
          <t>073. OCB_GOLD_TCKH_T24_USER_BAOANH.xlsx [SCRIPT: T24_USER]</t>
        </is>
      </c>
    </row>
    <row r="1442">
      <c r="A1442" s="48" t="inlineStr">
        <is>
          <t>TCKH.T24_USER</t>
        </is>
      </c>
      <c r="B1442" s="48" t="inlineStr">
        <is>
          <t>SILVER_CONSUMER</t>
        </is>
      </c>
      <c r="C1442" s="48" t="inlineStr">
        <is>
          <t>3.2</t>
        </is>
      </c>
      <c r="D1442" s="48" t="inlineStr">
        <is>
          <t>Nhom 3 - Optimization</t>
        </is>
      </c>
      <c r="E1442" s="48" t="inlineStr">
        <is>
          <t>CTE không bị scan lại nhiều lần</t>
        </is>
      </c>
      <c r="F1442" s="49" t="inlineStr">
        <is>
          <t>PASS</t>
        </is>
      </c>
      <c r="G1442" s="48" t="inlineStr">
        <is>
          <t>Pass</t>
        </is>
      </c>
      <c r="H1442" s="50" t="inlineStr">
        <is>
          <t>không có CTE nào bị gọi lại</t>
        </is>
      </c>
      <c r="I1442" s="50" t="inlineStr">
        <is>
          <t>Với CTE nặng (đọc nhiều bảng Silver) bị tham chiếu từ 2 chỗ trở lên: gom lại còn một lần dùng, hoặc vật chất hóa (CACHE / bảng tạm). CTE nhẹ chỉ chứa tham số thì bỏ qua được — tự tick Pass.</t>
        </is>
      </c>
      <c r="J1442" s="48" t="inlineStr">
        <is>
          <t>073. OCB_GOLD_TCKH_T24_USER_BAOANH.xlsx [SCRIPT: T24_USER]</t>
        </is>
      </c>
    </row>
    <row r="1443">
      <c r="A1443" s="48" t="inlineStr">
        <is>
          <t>TCKH.T24_USER</t>
        </is>
      </c>
      <c r="B1443" s="48" t="inlineStr">
        <is>
          <t>SILVER_CONSUMER</t>
        </is>
      </c>
      <c r="C1443" s="48" t="inlineStr">
        <is>
          <t>3.3</t>
        </is>
      </c>
      <c r="D1443" s="48" t="inlineStr">
        <is>
          <t>Nhom 3 - Optimization</t>
        </is>
      </c>
      <c r="E1443" s="48" t="inlineStr">
        <is>
          <t>Filter trước khi join, tận dụng partition pruning</t>
        </is>
      </c>
      <c r="F1443" s="49" t="inlineStr">
        <is>
          <t>PASS</t>
        </is>
      </c>
      <c r="G1443" s="48" t="inlineStr">
        <is>
          <t>Pass</t>
        </is>
      </c>
      <c r="H1443" s="50" t="inlineStr">
        <is>
          <t>các bảng join đều được filter trước</t>
        </is>
      </c>
      <c r="I1443" s="50" t="inlineStr">
        <is>
          <t>Đưa điều kiện lọc (ngày dữ liệu, trạng thái) vào subquery của từng bảng TRƯỚC khi join, để tận dụng partition pruning. Bảng dim nhỏ không partition thì không cần — tự tick Pass.</t>
        </is>
      </c>
      <c r="J1443" s="48" t="inlineStr">
        <is>
          <t>073. OCB_GOLD_TCKH_T24_USER_BAOANH.xlsx [SCRIPT: T24_USER]</t>
        </is>
      </c>
    </row>
    <row r="1444">
      <c r="A1444" s="48" t="inlineStr">
        <is>
          <t>TCKH.T24_USER</t>
        </is>
      </c>
      <c r="B1444" s="48" t="inlineStr">
        <is>
          <t>SILVER_CONSUMER</t>
        </is>
      </c>
      <c r="C1444" s="48" t="inlineStr">
        <is>
          <t>3.4</t>
        </is>
      </c>
      <c r="D1444" s="48" t="inlineStr">
        <is>
          <t>Nhom 3 - Optimization</t>
        </is>
      </c>
      <c r="E1444" s="48" t="inlineStr">
        <is>
          <t>Sử dụng CACHE cho query lặp lại trong cùng luồng</t>
        </is>
      </c>
      <c r="F1444" s="48" t="inlineStr">
        <is>
          <t>N-A</t>
        </is>
      </c>
      <c r="G1444" s="48" t="inlineStr">
        <is>
          <t>Pass</t>
        </is>
      </c>
      <c r="H1444" s="50" t="inlineStr">
        <is>
          <t>không có kết quả nào được dùng lại nhiều lần nên chưa cần CACHE</t>
        </is>
      </c>
      <c r="I1444" s="50" t="inlineStr">
        <is>
          <t>Nếu một kết quả nặng được dùng lại nhiều bước trong cùng luồng, thêm CACHE TABLE / CACHE SELECT. Kết quả nhỏ thì cache còn chậm hơn — tự tick Pass.</t>
        </is>
      </c>
      <c r="J1444" s="48" t="inlineStr">
        <is>
          <t>073. OCB_GOLD_TCKH_T24_USER_BAOANH.xlsx [SCRIPT: T24_USER]</t>
        </is>
      </c>
    </row>
    <row r="1445">
      <c r="A1445" s="48" t="inlineStr">
        <is>
          <t>TCKH.T24_USER</t>
        </is>
      </c>
      <c r="B1445" s="48" t="inlineStr">
        <is>
          <t>SILVER_CONSUMER</t>
        </is>
      </c>
      <c r="C1445" s="48" t="inlineStr">
        <is>
          <t>3.5</t>
        </is>
      </c>
      <c r="D1445" s="48" t="inlineStr">
        <is>
          <t>Nhom 3 - Optimization</t>
        </is>
      </c>
      <c r="E1445" s="48" t="inlineStr">
        <is>
          <t>Ưu tiên MAX_BY + QUALIFY thay ROW_NUMBER() + WHERE rn = 1</t>
        </is>
      </c>
      <c r="F1445" s="49" t="inlineStr">
        <is>
          <t>PASS</t>
        </is>
      </c>
      <c r="G1445" s="48" t="inlineStr">
        <is>
          <t>Pass</t>
        </is>
      </c>
      <c r="H1445" s="50" t="inlineStr">
        <is>
          <t>MAX_BY/ROW_NUMBER đang dùng đúng theo số cột (≤5 cột dùng MAX_BY, &gt;5 cột dùng ROW_NUMBER)</t>
        </is>
      </c>
      <c r="I14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45" s="48" t="inlineStr">
        <is>
          <t>073. OCB_GOLD_TCKH_T24_USER_BAOANH.xlsx [SCRIPT: T24_USER]</t>
        </is>
      </c>
    </row>
    <row r="1446">
      <c r="A1446" s="48" t="inlineStr">
        <is>
          <t>TCKH.T24_USER</t>
        </is>
      </c>
      <c r="B1446" s="48" t="inlineStr">
        <is>
          <t>SILVER_CONSUMER</t>
        </is>
      </c>
      <c r="C1446" s="48" t="inlineStr">
        <is>
          <t>3.6</t>
        </is>
      </c>
      <c r="D1446" s="48" t="inlineStr">
        <is>
          <t>Nhom 3 - Optimization</t>
        </is>
      </c>
      <c r="E1446" s="48" t="inlineStr">
        <is>
          <t>Không lạm dụng window function; có comment khi dùng</t>
        </is>
      </c>
      <c r="F1446" s="49" t="inlineStr">
        <is>
          <t>PASS</t>
        </is>
      </c>
      <c r="G1446" s="48" t="inlineStr">
        <is>
          <t>Pass</t>
        </is>
      </c>
      <c r="H1446" s="50" t="inlineStr">
        <is>
          <t>2 window function đều có comment</t>
        </is>
      </c>
      <c r="I1446" s="50" t="inlineStr">
        <is>
          <t>Mỗi window function cần một comment ngay trên khối CTE chứa nó, nói rõ vì sao không dùng được max_by/QUALIFY đơn giản hơn.</t>
        </is>
      </c>
      <c r="J1446" s="48" t="inlineStr">
        <is>
          <t>073. OCB_GOLD_TCKH_T24_USER_BAOANH.xlsx [SCRIPT: T24_USER]</t>
        </is>
      </c>
    </row>
    <row r="1447">
      <c r="A1447" s="48" t="inlineStr">
        <is>
          <t>TCKH.T24_USER</t>
        </is>
      </c>
      <c r="B1447" s="48" t="inlineStr">
        <is>
          <t>SILVER_CONSUMER</t>
        </is>
      </c>
      <c r="C1447" s="48" t="inlineStr">
        <is>
          <t>X.1</t>
        </is>
      </c>
      <c r="D1447" s="48" t="inlineStr">
        <is>
          <t>Nhom X - Bo sung Raffles</t>
        </is>
      </c>
      <c r="E1447" s="48" t="inlineStr">
        <is>
          <t>[Bổ sung] Link phải rút về current trước khi join (chống fan-out)</t>
        </is>
      </c>
      <c r="F1447" s="49" t="inlineStr">
        <is>
          <t>PASS</t>
        </is>
      </c>
      <c r="G1447" s="48" t="inlineStr">
        <is>
          <t>Pass</t>
        </is>
      </c>
      <c r="H1447" s="50" t="inlineStr">
        <is>
          <t>các bảng link_* đều được rút về current trước khi join</t>
        </is>
      </c>
      <c r="I14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47" s="48" t="inlineStr">
        <is>
          <t>073. OCB_GOLD_TCKH_T24_USER_BAOANH.xlsx [SCRIPT: T24_USER]</t>
        </is>
      </c>
    </row>
    <row r="1448">
      <c r="A1448" s="48" t="inlineStr">
        <is>
          <t>TCKH.T24_USER</t>
        </is>
      </c>
      <c r="B1448" s="48" t="inlineStr">
        <is>
          <t>SILVER_CONSUMER</t>
        </is>
      </c>
      <c r="C1448" s="48" t="inlineStr">
        <is>
          <t>X.6</t>
        </is>
      </c>
      <c r="D1448" s="48" t="inlineStr">
        <is>
          <t>Nhom X - Bo sung Raffles</t>
        </is>
      </c>
      <c r="E1448" s="48" t="inlineStr">
        <is>
          <t>[Bổ sung] Satellite phải LEFT JOIN, không INNER JOIN</t>
        </is>
      </c>
      <c r="F1448" s="49" t="inlineStr">
        <is>
          <t>PASS</t>
        </is>
      </c>
      <c r="G1448" s="48" t="inlineStr">
        <is>
          <t>Pass</t>
        </is>
      </c>
      <c r="H1448" s="50" t="inlineStr">
        <is>
          <t>các satellite đều LEFT JOIN</t>
        </is>
      </c>
      <c r="I1448" s="50" t="inlineStr">
        <is>
          <t>Technical Document III.4.2.2 nguyên tắc 1: làm giàu thuộc tính luôn dùng LEFT JOIN. INNER JOIN satellite sẽ loại mất bản ghi Hub đang còn hiệu lực nhưng chưa có dòng satellite.</t>
        </is>
      </c>
      <c r="J1448" s="48" t="inlineStr">
        <is>
          <t>073. OCB_GOLD_TCKH_T24_USER_BAOANH.xlsx [SCRIPT: T24_USER]</t>
        </is>
      </c>
    </row>
    <row r="1449">
      <c r="A1449" s="48" t="inlineStr">
        <is>
          <t>TCKH.T24_USER</t>
        </is>
      </c>
      <c r="B1449" s="48" t="inlineStr">
        <is>
          <t>SILVER_CONSUMER</t>
        </is>
      </c>
      <c r="C1449" s="48" t="inlineStr">
        <is>
          <t>X.7</t>
        </is>
      </c>
      <c r="D1449" s="48" t="inlineStr">
        <is>
          <t>Nhom X - Bo sung Raffles</t>
        </is>
      </c>
      <c r="E1449" s="48" t="inlineStr">
        <is>
          <t>[Bổ sung] Không hard-code catalog, dùng biến môi trường</t>
        </is>
      </c>
      <c r="F1449" s="49" t="inlineStr">
        <is>
          <t>PASS</t>
        </is>
      </c>
      <c r="G1449" s="48" t="inlineStr">
        <is>
          <t>Pass</t>
        </is>
      </c>
      <c r="H1449" s="50" t="inlineStr">
        <is>
          <t>dùng biến môi trường cho catalog</t>
        </is>
      </c>
      <c r="I14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49" s="48" t="inlineStr">
        <is>
          <t>073. OCB_GOLD_TCKH_T24_USER_BAOANH.xlsx [SCRIPT: T24_USER]</t>
        </is>
      </c>
    </row>
    <row r="1450">
      <c r="A1450" s="48" t="inlineStr">
        <is>
          <t>TCKH.T24_USER</t>
        </is>
      </c>
      <c r="B1450" s="48" t="inlineStr">
        <is>
          <t>SILVER_CONSUMER</t>
        </is>
      </c>
      <c r="C1450" s="48" t="inlineStr">
        <is>
          <t>X.10</t>
        </is>
      </c>
      <c r="D1450" s="48" t="inlineStr">
        <is>
          <t>Nhom X - Bo sung Raffles</t>
        </is>
      </c>
      <c r="E1450" s="48" t="inlineStr">
        <is>
          <t>Bang raw_vault/business_vault duoc doc phai TON TAI THAT trong Data Vault model</t>
        </is>
      </c>
      <c r="F1450" s="49" t="inlineStr">
        <is>
          <t>PASS</t>
        </is>
      </c>
      <c r="G1450" s="48" t="inlineStr">
        <is>
          <t>Pass</t>
        </is>
      </c>
      <c r="H1450" s="50" t="inlineStr">
        <is>
          <t>5 bảng Silver đều có thật trong Data Vault model</t>
        </is>
      </c>
      <c r="I1450" s="50" t="inlineStr"/>
      <c r="J1450" s="48" t="inlineStr">
        <is>
          <t>073. OCB_GOLD_TCKH_T24_USER_BAOANH.xlsx [SCRIPT: T24_USER]</t>
        </is>
      </c>
    </row>
    <row r="1451">
      <c r="A1451" s="48" t="inlineStr">
        <is>
          <t>TCKH.T24_USER</t>
        </is>
      </c>
      <c r="B1451" s="48" t="inlineStr">
        <is>
          <t>SILVER_CONSUMER</t>
        </is>
      </c>
      <c r="C1451" s="48" t="inlineStr">
        <is>
          <t>X.11</t>
        </is>
      </c>
      <c r="D1451" s="48" t="inlineStr">
        <is>
          <t>Nhom X - Bo sung Raffles</t>
        </is>
      </c>
      <c r="E1451" s="48" t="inlineStr">
        <is>
          <t>Cot doc tu satellite (sat_*) phai TON TAI THAT trong model</t>
        </is>
      </c>
      <c r="F1451" s="49" t="inlineStr">
        <is>
          <t>PASS</t>
        </is>
      </c>
      <c r="G1451" s="48" t="inlineStr">
        <is>
          <t>Pass</t>
        </is>
      </c>
      <c r="H1451" s="50" t="inlineStr">
        <is>
          <t>mọi cột đọc từ sat_* đều tồn tại trong model thật</t>
        </is>
      </c>
      <c r="I1451" s="50" t="inlineStr"/>
      <c r="J1451" s="48" t="inlineStr">
        <is>
          <t>073. OCB_GOLD_TCKH_T24_USER_BAOANH.xlsx [SCRIPT: T24_USER]</t>
        </is>
      </c>
    </row>
    <row r="1452">
      <c r="A1452" s="48" t="inlineStr">
        <is>
          <t>TCKH.TB_BCN085_THUNO_DTL</t>
        </is>
      </c>
      <c r="B1452" s="48" t="inlineStr">
        <is>
          <t>SILVER_CONSUMER</t>
        </is>
      </c>
      <c r="C1452" s="48" t="inlineStr">
        <is>
          <t>1.1</t>
        </is>
      </c>
      <c r="D1452" s="48" t="inlineStr">
        <is>
          <t>Nhom 1 - Mapping</t>
        </is>
      </c>
      <c r="E1452" s="48" t="inlineStr">
        <is>
          <t>Đầy đủ mapping từ Silver/manual sang Gold</t>
        </is>
      </c>
      <c r="F1452" s="49" t="inlineStr">
        <is>
          <t>PASS</t>
        </is>
      </c>
      <c r="G1452" s="48" t="inlineStr">
        <is>
          <t>Pass</t>
        </is>
      </c>
      <c r="H1452" s="50" t="inlineStr">
        <is>
          <t>workbook 074. OCB_GOLD_TCKH_TB_BCN085_THUNO_DTL_QUANG.xlsx: thiết kế 26 field, SQL có 26 cột</t>
        </is>
      </c>
      <c r="I14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52" s="48" t="inlineStr">
        <is>
          <t>074. OCB_GOLD_TCKH_TB_BCN085_THUNO_DTL_QUANG.xlsx [Script: TB_BCN085_THUNO_DTL]</t>
        </is>
      </c>
    </row>
    <row r="1453">
      <c r="A1453" s="48" t="inlineStr">
        <is>
          <t>TCKH.TB_BCN085_THUNO_DTL</t>
        </is>
      </c>
      <c r="B1453" s="48" t="inlineStr">
        <is>
          <t>SILVER_CONSUMER</t>
        </is>
      </c>
      <c r="C1453" s="48" t="inlineStr">
        <is>
          <t>1.2</t>
        </is>
      </c>
      <c r="D1453" s="48" t="inlineStr">
        <is>
          <t>Nhom 1 - Mapping</t>
        </is>
      </c>
      <c r="E1453" s="48" t="inlineStr">
        <is>
          <t>Danh sách bảng/view Gold khớp tài liệu thiết kế đã duyệt</t>
        </is>
      </c>
      <c r="F1453" s="49" t="inlineStr">
        <is>
          <t>PASS</t>
        </is>
      </c>
      <c r="G1453" s="48" t="inlineStr">
        <is>
          <t>Pass</t>
        </is>
      </c>
      <c r="H1453" s="50" t="inlineStr">
        <is>
          <t>TB_BCN085_THUNO_DTL có workbook thiết kế: 074. OCB_GOLD_TCKH_TB_BCN085_THUNO_DTL_QUANG.xlsx</t>
        </is>
      </c>
      <c r="I1453" s="50" t="inlineStr">
        <is>
          <t>Đảm bảo object có workbook thiết kế tương ứng trong thư mục --mapping-dir. Muốn đối chiếu với danh sách đã duyệt thì chạy thêm tham số --gold-list "&lt;file danh sách Gold&gt;.xlsx".</t>
        </is>
      </c>
      <c r="J1453" s="48" t="inlineStr">
        <is>
          <t>074. OCB_GOLD_TCKH_TB_BCN085_THUNO_DTL_QUANG.xlsx [Script: TB_BCN085_THUNO_DTL]</t>
        </is>
      </c>
    </row>
    <row r="1454">
      <c r="A1454" s="48" t="inlineStr">
        <is>
          <t>TCKH.TB_BCN085_THUNO_DTL</t>
        </is>
      </c>
      <c r="B1454" s="48" t="inlineStr">
        <is>
          <t>SILVER_CONSUMER</t>
        </is>
      </c>
      <c r="C1454" s="48" t="inlineStr">
        <is>
          <t>2.1</t>
        </is>
      </c>
      <c r="D1454" s="48" t="inlineStr">
        <is>
          <t>Nhom 2 - Logic</t>
        </is>
      </c>
      <c r="E1454" s="48" t="inlineStr">
        <is>
          <t>Chỉ lấy bản ghi active, loại bản ghi đã xóa (qua sts_hub)</t>
        </is>
      </c>
      <c r="F1454" s="49" t="inlineStr">
        <is>
          <t>PASS</t>
        </is>
      </c>
      <c r="G1454" s="48" t="inlineStr">
        <is>
          <t>Pass</t>
        </is>
      </c>
      <c r="H1454" s="50" t="inlineStr">
        <is>
          <t>4 sts_hub_* đọc đúng format</t>
        </is>
      </c>
      <c r="I14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54" s="48" t="inlineStr">
        <is>
          <t>074. OCB_GOLD_TCKH_TB_BCN085_THUNO_DTL_QUANG.xlsx [Script: TB_BCN085_THUNO_DTL]</t>
        </is>
      </c>
    </row>
    <row r="1455">
      <c r="A1455" s="48" t="inlineStr">
        <is>
          <t>TCKH.TB_BCN085_THUNO_DTL</t>
        </is>
      </c>
      <c r="B1455" s="48" t="inlineStr">
        <is>
          <t>SILVER_CONSUMER</t>
        </is>
      </c>
      <c r="C1455" s="48" t="inlineStr">
        <is>
          <t>2.2</t>
        </is>
      </c>
      <c r="D1455" s="48" t="inlineStr">
        <is>
          <t>Nhom 2 - Logic</t>
        </is>
      </c>
      <c r="E1455" s="48" t="inlineStr">
        <is>
          <t>Thống nhất MỘT pattern duy nhất xác định bản ghi active mới nhất</t>
        </is>
      </c>
      <c r="F1455" s="49" t="inlineStr">
        <is>
          <t>PASS</t>
        </is>
      </c>
      <c r="G1455" s="48" t="inlineStr">
        <is>
          <t>Pass</t>
        </is>
      </c>
      <c r="H1455" s="50" t="inlineStr">
        <is>
          <t>file này dùng: ['MAX_BY']; toàn batch dùng: ['MAX_BY']</t>
        </is>
      </c>
      <c r="I14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55" s="48" t="inlineStr">
        <is>
          <t>074. OCB_GOLD_TCKH_TB_BCN085_THUNO_DTL_QUANG.xlsx [Script: TB_BCN085_THUNO_DTL]</t>
        </is>
      </c>
    </row>
    <row r="1456">
      <c r="A1456" s="48" t="inlineStr">
        <is>
          <t>TCKH.TB_BCN085_THUNO_DTL</t>
        </is>
      </c>
      <c r="B1456" s="48" t="inlineStr">
        <is>
          <t>SILVER_CONSUMER</t>
        </is>
      </c>
      <c r="C1456" s="48" t="inlineStr">
        <is>
          <t>2.3</t>
        </is>
      </c>
      <c r="D1456" s="48" t="inlineStr">
        <is>
          <t>Nhom 2 - Logic</t>
        </is>
      </c>
      <c r="E1456" s="48" t="inlineStr">
        <is>
          <t>Điều kiện lọc trạng thái đặt SAU khi xác định bản ghi mới nhất</t>
        </is>
      </c>
      <c r="F1456" s="49" t="inlineStr">
        <is>
          <t>PASS</t>
        </is>
      </c>
      <c r="G1456" s="48" t="inlineStr">
        <is>
          <t>Pass</t>
        </is>
      </c>
      <c r="H1456" s="50" t="inlineStr">
        <is>
          <t>không có điều kiện trạng thái nào lồng trong JOIN ON</t>
        </is>
      </c>
      <c r="I14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56" s="48" t="inlineStr">
        <is>
          <t>074. OCB_GOLD_TCKH_TB_BCN085_THUNO_DTL_QUANG.xlsx [Script: TB_BCN085_THUNO_DTL]</t>
        </is>
      </c>
    </row>
    <row r="1457">
      <c r="A1457" s="48" t="inlineStr">
        <is>
          <t>TCKH.TB_BCN085_THUNO_DTL</t>
        </is>
      </c>
      <c r="B1457" s="48" t="inlineStr">
        <is>
          <t>SILVER_CONSUMER</t>
        </is>
      </c>
      <c r="C1457" s="48" t="inlineStr">
        <is>
          <t>2.4</t>
        </is>
      </c>
      <c r="D1457" s="48" t="inlineStr">
        <is>
          <t>Nhom 2 - Logic</t>
        </is>
      </c>
      <c r="E1457" s="48" t="inlineStr">
        <is>
          <t>source_event_date áp dụng đúng dạng theo loại bảng</t>
        </is>
      </c>
      <c r="F1457" s="49" t="inlineStr">
        <is>
          <t>PASS</t>
        </is>
      </c>
      <c r="G1457" s="48" t="inlineStr">
        <is>
          <t>Pass</t>
        </is>
      </c>
      <c r="H1457" s="50" t="inlineStr">
        <is>
          <t>8 satellite đều đúng dạng điều kiện source_event_date</t>
        </is>
      </c>
      <c r="I14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57" s="48" t="inlineStr">
        <is>
          <t>074. OCB_GOLD_TCKH_TB_BCN085_THUNO_DTL_QUANG.xlsx [Script: TB_BCN085_THUNO_DTL]</t>
        </is>
      </c>
    </row>
    <row r="1458">
      <c r="A1458" s="48" t="inlineStr">
        <is>
          <t>TCKH.TB_BCN085_THUNO_DTL</t>
        </is>
      </c>
      <c r="B1458" s="48" t="inlineStr">
        <is>
          <t>SILVER_CONSUMER</t>
        </is>
      </c>
      <c r="C1458" s="48" t="inlineStr">
        <is>
          <t>2.5</t>
        </is>
      </c>
      <c r="D1458" s="48" t="inlineStr">
        <is>
          <t>Nhom 2 - Logic</t>
        </is>
      </c>
      <c r="E1458" s="48" t="inlineStr">
        <is>
          <t>Không lặp lại lỗi logic cũ đã được DA Data Vault fix</t>
        </is>
      </c>
      <c r="F1458" s="49" t="inlineStr">
        <is>
          <t>PASS</t>
        </is>
      </c>
      <c r="G1458" s="48" t="inlineStr">
        <is>
          <t>Pass</t>
        </is>
      </c>
      <c r="H1458" s="50" t="inlineStr">
        <is>
          <t>không trùng lỗi nào trong Issue log của DA Data Vault</t>
        </is>
      </c>
      <c r="I14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58" s="48" t="inlineStr">
        <is>
          <t>074. OCB_GOLD_TCKH_TB_BCN085_THUNO_DTL_QUANG.xlsx [Script: TB_BCN085_THUNO_DTL]</t>
        </is>
      </c>
    </row>
    <row r="1459">
      <c r="A1459" s="48" t="inlineStr">
        <is>
          <t>TCKH.TB_BCN085_THUNO_DTL</t>
        </is>
      </c>
      <c r="B1459" s="48" t="inlineStr">
        <is>
          <t>SILVER_CONSUMER</t>
        </is>
      </c>
      <c r="C1459" s="48" t="inlineStr">
        <is>
          <t>2.6</t>
        </is>
      </c>
      <c r="D1459" s="48" t="inlineStr">
        <is>
          <t>Nhom 2 - Logic</t>
        </is>
      </c>
      <c r="E1459" s="48" t="inlineStr">
        <is>
          <t>SCD Type 2 cho bảng DIM áp dụng đúng kỹ thuật đã thống nhất</t>
        </is>
      </c>
      <c r="F1459" s="48" t="inlineStr">
        <is>
          <t>N-A</t>
        </is>
      </c>
      <c r="G1459" s="48" t="inlineStr">
        <is>
          <t>Pass</t>
        </is>
      </c>
      <c r="H1459" s="50" t="inlineStr">
        <is>
          <t>object không phải bảng DIM nên không áp dụng SCD Type 2</t>
        </is>
      </c>
      <c r="I14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59" s="48" t="inlineStr">
        <is>
          <t>074. OCB_GOLD_TCKH_TB_BCN085_THUNO_DTL_QUANG.xlsx [Script: TB_BCN085_THUNO_DTL]</t>
        </is>
      </c>
    </row>
    <row r="1460">
      <c r="A1460" s="48" t="inlineStr">
        <is>
          <t>TCKH.TB_BCN085_THUNO_DTL</t>
        </is>
      </c>
      <c r="B1460" s="48" t="inlineStr">
        <is>
          <t>SILVER_CONSUMER</t>
        </is>
      </c>
      <c r="C1460" s="48" t="inlineStr">
        <is>
          <t>2.7</t>
        </is>
      </c>
      <c r="D1460" s="48" t="inlineStr">
        <is>
          <t>Nhom 2 - Logic</t>
        </is>
      </c>
      <c r="E1460" s="48" t="inlineStr">
        <is>
          <t>CASE WHEN cover đủ nhánh như job on-prem</t>
        </is>
      </c>
      <c r="F1460" s="49" t="inlineStr">
        <is>
          <t>PASS</t>
        </is>
      </c>
      <c r="G1460" s="48" t="inlineStr">
        <is>
          <t>Pass</t>
        </is>
      </c>
      <c r="H1460" s="50" t="inlineStr">
        <is>
          <t>cả 11 CASE đều có nhánh ELSE</t>
        </is>
      </c>
      <c r="I1460" s="50" t="inlineStr">
        <is>
          <t>Mở job on-prem tương ứng (DataStage DSX hoặc SQL cũ), đối chiếu từng nhánh WHEN và cả nhánh ELSE. CASE không có ELSE sẽ trả NULL âm thầm — xác nhận đó là ý muốn hay thiếu nhánh.</t>
        </is>
      </c>
      <c r="J1460" s="48" t="inlineStr">
        <is>
          <t>074. OCB_GOLD_TCKH_TB_BCN085_THUNO_DTL_QUANG.xlsx [Script: TB_BCN085_THUNO_DTL]</t>
        </is>
      </c>
    </row>
    <row r="1461">
      <c r="A1461" s="48" t="inlineStr">
        <is>
          <t>TCKH.TB_BCN085_THUNO_DTL</t>
        </is>
      </c>
      <c r="B1461" s="48" t="inlineStr">
        <is>
          <t>SILVER_CONSUMER</t>
        </is>
      </c>
      <c r="C1461" s="48" t="inlineStr">
        <is>
          <t>2.8</t>
        </is>
      </c>
      <c r="D1461" s="48" t="inlineStr">
        <is>
          <t>Nhom 2 - Logic</t>
        </is>
      </c>
      <c r="E1461" s="48" t="inlineStr">
        <is>
          <t>Cột SUM/COUNT được COALESCE/NVL hợp lý</t>
        </is>
      </c>
      <c r="F1461" s="49" t="inlineStr">
        <is>
          <t>PASS</t>
        </is>
      </c>
      <c r="G1461" s="48" t="inlineStr">
        <is>
          <t>Pass</t>
        </is>
      </c>
      <c r="H1461" s="50" t="inlineStr">
        <is>
          <t>mọi SUM/COUNT đều đã coalesce (trực tiếp hoặc ở lớp ngoài)</t>
        </is>
      </c>
      <c r="I14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61" s="48" t="inlineStr">
        <is>
          <t>074. OCB_GOLD_TCKH_TB_BCN085_THUNO_DTL_QUANG.xlsx [Script: TB_BCN085_THUNO_DTL]</t>
        </is>
      </c>
    </row>
    <row r="1462">
      <c r="A1462" s="48" t="inlineStr">
        <is>
          <t>TCKH.TB_BCN085_THUNO_DTL</t>
        </is>
      </c>
      <c r="B1462" s="48" t="inlineStr">
        <is>
          <t>SILVER_CONSUMER</t>
        </is>
      </c>
      <c r="C1462" s="48" t="inlineStr">
        <is>
          <t>2.9</t>
        </is>
      </c>
      <c r="D1462" s="48" t="inlineStr">
        <is>
          <t>Nhom 2 - Logic</t>
        </is>
      </c>
      <c r="E1462" s="48" t="inlineStr">
        <is>
          <t>Subquery / custom function / điều kiện LIKE đúng ý nghĩa nghiệp vụ</t>
        </is>
      </c>
      <c r="F1462" s="48" t="inlineStr">
        <is>
          <t>N-A</t>
        </is>
      </c>
      <c r="G1462" s="48" t="inlineStr">
        <is>
          <t>Pass</t>
        </is>
      </c>
      <c r="H1462" s="50" t="inlineStr">
        <is>
          <t>script không có điều kiện LIKE hay scalar subquery nào</t>
        </is>
      </c>
      <c r="I1462" s="50" t="inlineStr">
        <is>
          <t>Đọc lại từng điều kiện LIKE và từng subquery, đối chiếu ý nghĩa nghiệp vụ với on-prem — đúng cú pháp không đủ. Chú ý pattern LIKE có ký tự % ở đầu/cuối và phân biệt chữ hoa/thường.</t>
        </is>
      </c>
      <c r="J1462" s="48" t="inlineStr">
        <is>
          <t>074. OCB_GOLD_TCKH_TB_BCN085_THUNO_DTL_QUANG.xlsx [Script: TB_BCN085_THUNO_DTL]</t>
        </is>
      </c>
    </row>
    <row r="1463">
      <c r="A1463" s="48" t="inlineStr">
        <is>
          <t>TCKH.TB_BCN085_THUNO_DTL</t>
        </is>
      </c>
      <c r="B1463" s="48" t="inlineStr">
        <is>
          <t>SILVER_CONSUMER</t>
        </is>
      </c>
      <c r="C1463" s="48" t="inlineStr">
        <is>
          <t>2.10</t>
        </is>
      </c>
      <c r="D1463" s="48" t="inlineStr">
        <is>
          <t>Nhom 2 - Logic</t>
        </is>
      </c>
      <c r="E1463" s="48" t="inlineStr">
        <is>
          <t>Aggregation kèm filter date range chính xác</t>
        </is>
      </c>
      <c r="F1463" s="49" t="inlineStr">
        <is>
          <t>PASS</t>
        </is>
      </c>
      <c r="G1463" s="48" t="inlineStr">
        <is>
          <t>Pass</t>
        </is>
      </c>
      <c r="H1463" s="50" t="inlineStr">
        <is>
          <t>mọi khối tổng hợp đều có điều kiện theo kỳ dữ liệu</t>
        </is>
      </c>
      <c r="I1463" s="50" t="inlineStr">
        <is>
          <t>Mỗi khối SUM/COUNT/AVG phải có điều kiện lọc theo kỳ dữ liệu (CDR_DT_ID, DATA_DATE, :DATADT…). Nếu điều kiện nằm ở CTE nguồn thì ghi rõ trong comment để người review không phải truy ngược.</t>
        </is>
      </c>
      <c r="J1463" s="48" t="inlineStr">
        <is>
          <t>074. OCB_GOLD_TCKH_TB_BCN085_THUNO_DTL_QUANG.xlsx [Script: TB_BCN085_THUNO_DTL]</t>
        </is>
      </c>
    </row>
    <row r="1464">
      <c r="A1464" s="48" t="inlineStr">
        <is>
          <t>TCKH.TB_BCN085_THUNO_DTL</t>
        </is>
      </c>
      <c r="B1464" s="48" t="inlineStr">
        <is>
          <t>SILVER_CONSUMER</t>
        </is>
      </c>
      <c r="C1464" s="48" t="inlineStr">
        <is>
          <t>2.11</t>
        </is>
      </c>
      <c r="D1464" s="48" t="inlineStr">
        <is>
          <t>Nhom 2 - Logic</t>
        </is>
      </c>
      <c r="E1464" s="48" t="inlineStr">
        <is>
          <t>Join dùng key hợp lý, không lạm dụng UNION ALL + EXISTS/NOT EXISTS</t>
        </is>
      </c>
      <c r="F1464" s="49" t="inlineStr">
        <is>
          <t>PASS</t>
        </is>
      </c>
      <c r="G1464" s="48" t="inlineStr">
        <is>
          <t>Pass</t>
        </is>
      </c>
      <c r="H1464" s="50" t="inlineStr">
        <is>
          <t>join đều theo điều kiện bằng, không lạm dụng UNION ALL + EXISTS</t>
        </is>
      </c>
      <c r="I1464" s="50" t="inlineStr">
        <is>
          <t>Ưu tiên LEFT JOIN theo business key hoặc hashkey. Xem lại các chỗ dùng UNION ALL kết hợp EXISTS/NOT EXISTS — thường thay được bằng một LEFT JOIN. Join không có điều kiện bằng (=) dễ tạo tích Descartes.</t>
        </is>
      </c>
      <c r="J1464" s="48" t="inlineStr">
        <is>
          <t>074. OCB_GOLD_TCKH_TB_BCN085_THUNO_DTL_QUANG.xlsx [Script: TB_BCN085_THUNO_DTL]</t>
        </is>
      </c>
    </row>
    <row r="1465">
      <c r="A1465" s="48" t="inlineStr">
        <is>
          <t>TCKH.TB_BCN085_THUNO_DTL</t>
        </is>
      </c>
      <c r="B1465" s="48" t="inlineStr">
        <is>
          <t>SILVER_CONSUMER</t>
        </is>
      </c>
      <c r="C1465" s="48" t="inlineStr">
        <is>
          <t>2.12</t>
        </is>
      </c>
      <c r="D1465" s="48" t="inlineStr">
        <is>
          <t>Nhom 2 - Logic</t>
        </is>
      </c>
      <c r="E1465" s="48" t="inlineStr">
        <is>
          <t>Build Gold từ CTE snapshot Silver, không build nhiều tầng chồng chéo</t>
        </is>
      </c>
      <c r="F1465" s="49" t="inlineStr">
        <is>
          <t>PASS</t>
        </is>
      </c>
      <c r="G1465" s="48" t="inlineStr">
        <is>
          <t>Pass</t>
        </is>
      </c>
      <c r="H1465" s="50" t="inlineStr">
        <is>
          <t>mỗi bảng nguồn chỉ đọc trong 1 khối SELECT</t>
        </is>
      </c>
      <c r="I14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65" s="48" t="inlineStr">
        <is>
          <t>074. OCB_GOLD_TCKH_TB_BCN085_THUNO_DTL_QUANG.xlsx [Script: TB_BCN085_THUNO_DTL]</t>
        </is>
      </c>
    </row>
    <row r="1466">
      <c r="A1466" s="48" t="inlineStr">
        <is>
          <t>TCKH.TB_BCN085_THUNO_DTL</t>
        </is>
      </c>
      <c r="B1466" s="48" t="inlineStr">
        <is>
          <t>SILVER_CONSUMER</t>
        </is>
      </c>
      <c r="C1466" s="48" t="inlineStr">
        <is>
          <t>3.1</t>
        </is>
      </c>
      <c r="D1466" s="48" t="inlineStr">
        <is>
          <t>Nhom 3 - Optimization</t>
        </is>
      </c>
      <c r="E1466" s="48" t="inlineStr">
        <is>
          <t>Không SELECT *</t>
        </is>
      </c>
      <c r="F1466" s="49" t="inlineStr">
        <is>
          <t>PASS</t>
        </is>
      </c>
      <c r="G1466" s="48" t="inlineStr">
        <is>
          <t>Pass</t>
        </is>
      </c>
      <c r="H1466" s="50" t="inlineStr">
        <is>
          <t>không dùng SELECT * ở đâu</t>
        </is>
      </c>
      <c r="I1466" s="50" t="inlineStr">
        <is>
          <t>Liệt kê tường minh các cột cần dùng, kể cả trong CTE trung gian. SELECT * làm tăng IO/memory và vỡ script khi bảng nguồn thêm cột.</t>
        </is>
      </c>
      <c r="J1466" s="48" t="inlineStr">
        <is>
          <t>074. OCB_GOLD_TCKH_TB_BCN085_THUNO_DTL_QUANG.xlsx [Script: TB_BCN085_THUNO_DTL]</t>
        </is>
      </c>
    </row>
    <row r="1467">
      <c r="A1467" s="48" t="inlineStr">
        <is>
          <t>TCKH.TB_BCN085_THUNO_DTL</t>
        </is>
      </c>
      <c r="B1467" s="48" t="inlineStr">
        <is>
          <t>SILVER_CONSUMER</t>
        </is>
      </c>
      <c r="C1467" s="48" t="inlineStr">
        <is>
          <t>3.2</t>
        </is>
      </c>
      <c r="D1467" s="48" t="inlineStr">
        <is>
          <t>Nhom 3 - Optimization</t>
        </is>
      </c>
      <c r="E1467" s="48" t="inlineStr">
        <is>
          <t>CTE không bị scan lại nhiều lần</t>
        </is>
      </c>
      <c r="F1467" s="51" t="inlineStr">
        <is>
          <t>WARN</t>
        </is>
      </c>
      <c r="G1467" s="48" t="inlineStr">
        <is>
          <t>WARN</t>
        </is>
      </c>
      <c r="H1467" s="50" t="inlineStr">
        <is>
          <t>CTE bị tham chiếu lại nhiều lần: prev_wd x7, br_raw x2, cust_grp x2, lsl_snap x4</t>
        </is>
      </c>
      <c r="I1467" s="50" t="inlineStr">
        <is>
          <t>Với CTE nặng (đọc nhiều bảng Silver) bị tham chiếu từ 2 chỗ trở lên: gom lại còn một lần dùng, hoặc vật chất hóa (CACHE / bảng tạm). CTE nhẹ chỉ chứa tham số thì bỏ qua được — tự tick Pass.</t>
        </is>
      </c>
      <c r="J1467" s="48" t="inlineStr">
        <is>
          <t>074. OCB_GOLD_TCKH_TB_BCN085_THUNO_DTL_QUANG.xlsx [Script: TB_BCN085_THUNO_DTL]</t>
        </is>
      </c>
    </row>
    <row r="1468">
      <c r="A1468" s="48" t="inlineStr">
        <is>
          <t>TCKH.TB_BCN085_THUNO_DTL</t>
        </is>
      </c>
      <c r="B1468" s="48" t="inlineStr">
        <is>
          <t>SILVER_CONSUMER</t>
        </is>
      </c>
      <c r="C1468" s="48" t="inlineStr">
        <is>
          <t>3.3</t>
        </is>
      </c>
      <c r="D1468" s="48" t="inlineStr">
        <is>
          <t>Nhom 3 - Optimization</t>
        </is>
      </c>
      <c r="E1468" s="48" t="inlineStr">
        <is>
          <t>Filter trước khi join, tận dụng partition pruning</t>
        </is>
      </c>
      <c r="F1468" s="51" t="inlineStr">
        <is>
          <t>WARN</t>
        </is>
      </c>
      <c r="G1468" s="48" t="inlineStr">
        <is>
          <t>WARN</t>
        </is>
      </c>
      <c r="H1468" s="50" t="inlineStr">
        <is>
          <t>1 bảng join trực tiếp mà không có filter riêng: customer_custgroup_map (m)</t>
        </is>
      </c>
      <c r="I1468" s="50" t="inlineStr">
        <is>
          <t>Đưa điều kiện lọc (ngày dữ liệu, trạng thái) vào subquery của từng bảng TRƯỚC khi join, để tận dụng partition pruning. Bảng dim nhỏ không partition thì không cần — tự tick Pass.</t>
        </is>
      </c>
      <c r="J1468" s="48" t="inlineStr">
        <is>
          <t>074. OCB_GOLD_TCKH_TB_BCN085_THUNO_DTL_QUANG.xlsx [Script: TB_BCN085_THUNO_DTL]</t>
        </is>
      </c>
    </row>
    <row r="1469">
      <c r="A1469" s="48" t="inlineStr">
        <is>
          <t>TCKH.TB_BCN085_THUNO_DTL</t>
        </is>
      </c>
      <c r="B1469" s="48" t="inlineStr">
        <is>
          <t>SILVER_CONSUMER</t>
        </is>
      </c>
      <c r="C1469" s="48" t="inlineStr">
        <is>
          <t>3.4</t>
        </is>
      </c>
      <c r="D1469" s="48" t="inlineStr">
        <is>
          <t>Nhom 3 - Optimization</t>
        </is>
      </c>
      <c r="E1469" s="48" t="inlineStr">
        <is>
          <t>Sử dụng CACHE cho query lặp lại trong cùng luồng</t>
        </is>
      </c>
      <c r="F1469" s="51" t="inlineStr">
        <is>
          <t>WARN</t>
        </is>
      </c>
      <c r="G1469" s="48" t="inlineStr">
        <is>
          <t>WARN</t>
        </is>
      </c>
      <c r="H1469" s="50" t="inlineStr">
        <is>
          <t>4 CTE nặng dùng lại &gt;= 2 lần mà không có CACHE: br_raw, cust_grp, lsl_snap, prev_wd</t>
        </is>
      </c>
      <c r="I1469" s="50" t="inlineStr">
        <is>
          <t>Nếu một kết quả nặng được dùng lại nhiều bước trong cùng luồng, thêm CACHE TABLE / CACHE SELECT. Kết quả nhỏ thì cache còn chậm hơn — tự tick Pass.</t>
        </is>
      </c>
      <c r="J1469" s="48" t="inlineStr">
        <is>
          <t>074. OCB_GOLD_TCKH_TB_BCN085_THUNO_DTL_QUANG.xlsx [Script: TB_BCN085_THUNO_DTL]</t>
        </is>
      </c>
    </row>
    <row r="1470">
      <c r="A1470" s="48" t="inlineStr">
        <is>
          <t>TCKH.TB_BCN085_THUNO_DTL</t>
        </is>
      </c>
      <c r="B1470" s="48" t="inlineStr">
        <is>
          <t>SILVER_CONSUMER</t>
        </is>
      </c>
      <c r="C1470" s="48" t="inlineStr">
        <is>
          <t>3.5</t>
        </is>
      </c>
      <c r="D1470" s="48" t="inlineStr">
        <is>
          <t>Nhom 3 - Optimization</t>
        </is>
      </c>
      <c r="E1470" s="48" t="inlineStr">
        <is>
          <t>Ưu tiên MAX_BY + QUALIFY thay ROW_NUMBER() + WHERE rn = 1</t>
        </is>
      </c>
      <c r="F1470" s="49" t="inlineStr">
        <is>
          <t>PASS</t>
        </is>
      </c>
      <c r="G1470" s="48" t="inlineStr">
        <is>
          <t>Pass</t>
        </is>
      </c>
      <c r="H1470" s="50" t="inlineStr">
        <is>
          <t>1 ROW_NUMBER không phải dạng lấy dòng mới nhất, đã có comment giải thích mục đích</t>
        </is>
      </c>
      <c r="I14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70" s="48" t="inlineStr">
        <is>
          <t>074. OCB_GOLD_TCKH_TB_BCN085_THUNO_DTL_QUANG.xlsx [Script: TB_BCN085_THUNO_DTL]</t>
        </is>
      </c>
    </row>
    <row r="1471">
      <c r="A1471" s="48" t="inlineStr">
        <is>
          <t>TCKH.TB_BCN085_THUNO_DTL</t>
        </is>
      </c>
      <c r="B1471" s="48" t="inlineStr">
        <is>
          <t>SILVER_CONSUMER</t>
        </is>
      </c>
      <c r="C1471" s="48" t="inlineStr">
        <is>
          <t>3.6</t>
        </is>
      </c>
      <c r="D1471" s="48" t="inlineStr">
        <is>
          <t>Nhom 3 - Optimization</t>
        </is>
      </c>
      <c r="E1471" s="48" t="inlineStr">
        <is>
          <t>Không lạm dụng window function; có comment khi dùng</t>
        </is>
      </c>
      <c r="F1471" s="49" t="inlineStr">
        <is>
          <t>PASS</t>
        </is>
      </c>
      <c r="G1471" s="48" t="inlineStr">
        <is>
          <t>Pass</t>
        </is>
      </c>
      <c r="H1471" s="50" t="inlineStr">
        <is>
          <t>1 window function đều có comment</t>
        </is>
      </c>
      <c r="I1471" s="50" t="inlineStr">
        <is>
          <t>Mỗi window function cần một comment ngay trên khối CTE chứa nó, nói rõ vì sao không dùng được max_by/QUALIFY đơn giản hơn.</t>
        </is>
      </c>
      <c r="J1471" s="48" t="inlineStr">
        <is>
          <t>074. OCB_GOLD_TCKH_TB_BCN085_THUNO_DTL_QUANG.xlsx [Script: TB_BCN085_THUNO_DTL]</t>
        </is>
      </c>
    </row>
    <row r="1472">
      <c r="A1472" s="48" t="inlineStr">
        <is>
          <t>TCKH.TB_BCN085_THUNO_DTL</t>
        </is>
      </c>
      <c r="B1472" s="48" t="inlineStr">
        <is>
          <t>SILVER_CONSUMER</t>
        </is>
      </c>
      <c r="C1472" s="48" t="inlineStr">
        <is>
          <t>X.1</t>
        </is>
      </c>
      <c r="D1472" s="48" t="inlineStr">
        <is>
          <t>Nhom X - Bo sung Raffles</t>
        </is>
      </c>
      <c r="E1472" s="48" t="inlineStr">
        <is>
          <t>[Bổ sung] Link phải rút về current trước khi join (chống fan-out)</t>
        </is>
      </c>
      <c r="F1472" s="49" t="inlineStr">
        <is>
          <t>PASS</t>
        </is>
      </c>
      <c r="G1472" s="48" t="inlineStr">
        <is>
          <t>Pass</t>
        </is>
      </c>
      <c r="H1472" s="50" t="inlineStr">
        <is>
          <t>các bảng link_* đều được rút về current trước khi join</t>
        </is>
      </c>
      <c r="I14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72" s="48" t="inlineStr">
        <is>
          <t>074. OCB_GOLD_TCKH_TB_BCN085_THUNO_DTL_QUANG.xlsx [Script: TB_BCN085_THUNO_DTL]</t>
        </is>
      </c>
    </row>
    <row r="1473">
      <c r="A1473" s="48" t="inlineStr">
        <is>
          <t>TCKH.TB_BCN085_THUNO_DTL</t>
        </is>
      </c>
      <c r="B1473" s="48" t="inlineStr">
        <is>
          <t>SILVER_CONSUMER</t>
        </is>
      </c>
      <c r="C1473" s="48" t="inlineStr">
        <is>
          <t>X.6</t>
        </is>
      </c>
      <c r="D1473" s="48" t="inlineStr">
        <is>
          <t>Nhom X - Bo sung Raffles</t>
        </is>
      </c>
      <c r="E1473" s="48" t="inlineStr">
        <is>
          <t>[Bổ sung] Satellite phải LEFT JOIN, không INNER JOIN</t>
        </is>
      </c>
      <c r="F1473" s="49" t="inlineStr">
        <is>
          <t>PASS</t>
        </is>
      </c>
      <c r="G1473" s="48" t="inlineStr">
        <is>
          <t>Pass</t>
        </is>
      </c>
      <c r="H1473" s="50" t="inlineStr">
        <is>
          <t>các satellite đều LEFT JOIN</t>
        </is>
      </c>
      <c r="I1473" s="50" t="inlineStr">
        <is>
          <t>Technical Document III.4.2.2 nguyên tắc 1: làm giàu thuộc tính luôn dùng LEFT JOIN. INNER JOIN satellite sẽ loại mất bản ghi Hub đang còn hiệu lực nhưng chưa có dòng satellite.</t>
        </is>
      </c>
      <c r="J1473" s="48" t="inlineStr">
        <is>
          <t>074. OCB_GOLD_TCKH_TB_BCN085_THUNO_DTL_QUANG.xlsx [Script: TB_BCN085_THUNO_DTL]</t>
        </is>
      </c>
    </row>
    <row r="1474">
      <c r="A1474" s="48" t="inlineStr">
        <is>
          <t>TCKH.TB_BCN085_THUNO_DTL</t>
        </is>
      </c>
      <c r="B1474" s="48" t="inlineStr">
        <is>
          <t>SILVER_CONSUMER</t>
        </is>
      </c>
      <c r="C1474" s="48" t="inlineStr">
        <is>
          <t>X.7</t>
        </is>
      </c>
      <c r="D1474" s="48" t="inlineStr">
        <is>
          <t>Nhom X - Bo sung Raffles</t>
        </is>
      </c>
      <c r="E1474" s="48" t="inlineStr">
        <is>
          <t>[Bổ sung] Không hard-code catalog, dùng biến môi trường</t>
        </is>
      </c>
      <c r="F1474" s="49" t="inlineStr">
        <is>
          <t>PASS</t>
        </is>
      </c>
      <c r="G1474" s="48" t="inlineStr">
        <is>
          <t>Pass</t>
        </is>
      </c>
      <c r="H1474" s="50" t="inlineStr">
        <is>
          <t>dùng biến môi trường cho catalog</t>
        </is>
      </c>
      <c r="I14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74" s="48" t="inlineStr">
        <is>
          <t>074. OCB_GOLD_TCKH_TB_BCN085_THUNO_DTL_QUANG.xlsx [Script: TB_BCN085_THUNO_DTL]</t>
        </is>
      </c>
    </row>
    <row r="1475">
      <c r="A1475" s="48" t="inlineStr">
        <is>
          <t>TCKH.TB_BCN085_THUNO_DTL</t>
        </is>
      </c>
      <c r="B1475" s="48" t="inlineStr">
        <is>
          <t>SILVER_CONSUMER</t>
        </is>
      </c>
      <c r="C1475" s="48" t="inlineStr">
        <is>
          <t>X.10</t>
        </is>
      </c>
      <c r="D1475" s="48" t="inlineStr">
        <is>
          <t>Nhom X - Bo sung Raffles</t>
        </is>
      </c>
      <c r="E1475" s="48" t="inlineStr">
        <is>
          <t>Bang raw_vault/business_vault duoc doc phai TON TAI THAT trong Data Vault model</t>
        </is>
      </c>
      <c r="F1475" s="49" t="inlineStr">
        <is>
          <t>PASS</t>
        </is>
      </c>
      <c r="G1475" s="48" t="inlineStr">
        <is>
          <t>Pass</t>
        </is>
      </c>
      <c r="H1475" s="50" t="inlineStr">
        <is>
          <t>21 bảng Silver đều có thật trong Data Vault model</t>
        </is>
      </c>
      <c r="I1475" s="50" t="inlineStr"/>
      <c r="J1475" s="48" t="inlineStr">
        <is>
          <t>074. OCB_GOLD_TCKH_TB_BCN085_THUNO_DTL_QUANG.xlsx [Script: TB_BCN085_THUNO_DTL]</t>
        </is>
      </c>
    </row>
    <row r="1476">
      <c r="A1476" s="48" t="inlineStr">
        <is>
          <t>TCKH.TB_BCN085_THUNO_DTL</t>
        </is>
      </c>
      <c r="B1476" s="48" t="inlineStr">
        <is>
          <t>SILVER_CONSUMER</t>
        </is>
      </c>
      <c r="C1476" s="48" t="inlineStr">
        <is>
          <t>X.11</t>
        </is>
      </c>
      <c r="D1476" s="48" t="inlineStr">
        <is>
          <t>Nhom X - Bo sung Raffles</t>
        </is>
      </c>
      <c r="E1476" s="48" t="inlineStr">
        <is>
          <t>Cot doc tu satellite (sat_*) phai TON TAI THAT trong model</t>
        </is>
      </c>
      <c r="F1476" s="49" t="inlineStr">
        <is>
          <t>PASS</t>
        </is>
      </c>
      <c r="G1476" s="48" t="inlineStr">
        <is>
          <t>Pass</t>
        </is>
      </c>
      <c r="H1476" s="50" t="inlineStr">
        <is>
          <t>mọi cột đọc từ sat_* đều tồn tại trong model thật</t>
        </is>
      </c>
      <c r="I1476" s="50" t="inlineStr"/>
      <c r="J1476" s="48" t="inlineStr">
        <is>
          <t>074. OCB_GOLD_TCKH_TB_BCN085_THUNO_DTL_QUANG.xlsx [Script: TB_BCN085_THUNO_DTL]</t>
        </is>
      </c>
    </row>
    <row r="1477">
      <c r="A1477" s="48" t="inlineStr">
        <is>
          <t>TCKH.TXN_TP_DIM</t>
        </is>
      </c>
      <c r="B1477" s="48" t="inlineStr">
        <is>
          <t>SILVER_CONSUMER</t>
        </is>
      </c>
      <c r="C1477" s="48" t="inlineStr">
        <is>
          <t>1.1</t>
        </is>
      </c>
      <c r="D1477" s="48" t="inlineStr">
        <is>
          <t>Nhom 1 - Mapping</t>
        </is>
      </c>
      <c r="E1477" s="48" t="inlineStr">
        <is>
          <t>Đầy đủ mapping từ Silver/manual sang Gold</t>
        </is>
      </c>
      <c r="F1477" s="49" t="inlineStr">
        <is>
          <t>PASS</t>
        </is>
      </c>
      <c r="G1477" s="48" t="inlineStr">
        <is>
          <t>Pass</t>
        </is>
      </c>
      <c r="H1477" s="50" t="inlineStr">
        <is>
          <t>workbook 075. OCB_GOLD_TCKH_TXN_TP_DIM_HOP.xlsx: thiết kế 4 field, SQL có 4 cột</t>
        </is>
      </c>
      <c r="I14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77" s="48" t="inlineStr">
        <is>
          <t>075. OCB_GOLD_TCKH_TXN_TP_DIM_HOP.xlsx [SCRIPT: TXN_TP_DIM]</t>
        </is>
      </c>
    </row>
    <row r="1478">
      <c r="A1478" s="48" t="inlineStr">
        <is>
          <t>TCKH.TXN_TP_DIM</t>
        </is>
      </c>
      <c r="B1478" s="48" t="inlineStr">
        <is>
          <t>SILVER_CONSUMER</t>
        </is>
      </c>
      <c r="C1478" s="48" t="inlineStr">
        <is>
          <t>1.2</t>
        </is>
      </c>
      <c r="D1478" s="48" t="inlineStr">
        <is>
          <t>Nhom 1 - Mapping</t>
        </is>
      </c>
      <c r="E1478" s="48" t="inlineStr">
        <is>
          <t>Danh sách bảng/view Gold khớp tài liệu thiết kế đã duyệt</t>
        </is>
      </c>
      <c r="F1478" s="49" t="inlineStr">
        <is>
          <t>PASS</t>
        </is>
      </c>
      <c r="G1478" s="48" t="inlineStr">
        <is>
          <t>Pass</t>
        </is>
      </c>
      <c r="H1478" s="50" t="inlineStr">
        <is>
          <t>TXN_TP_DIM có workbook thiết kế: 075. OCB_GOLD_TCKH_TXN_TP_DIM_HOP.xlsx</t>
        </is>
      </c>
      <c r="I1478" s="50" t="inlineStr">
        <is>
          <t>Đảm bảo object có workbook thiết kế tương ứng trong thư mục --mapping-dir. Muốn đối chiếu với danh sách đã duyệt thì chạy thêm tham số --gold-list "&lt;file danh sách Gold&gt;.xlsx".</t>
        </is>
      </c>
      <c r="J1478" s="48" t="inlineStr">
        <is>
          <t>075. OCB_GOLD_TCKH_TXN_TP_DIM_HOP.xlsx [SCRIPT: TXN_TP_DIM]</t>
        </is>
      </c>
    </row>
    <row r="1479">
      <c r="A1479" s="48" t="inlineStr">
        <is>
          <t>TCKH.TXN_TP_DIM</t>
        </is>
      </c>
      <c r="B1479" s="48" t="inlineStr">
        <is>
          <t>SILVER_CONSUMER</t>
        </is>
      </c>
      <c r="C1479" s="48" t="inlineStr">
        <is>
          <t>2.1</t>
        </is>
      </c>
      <c r="D1479" s="48" t="inlineStr">
        <is>
          <t>Nhom 2 - Logic</t>
        </is>
      </c>
      <c r="E1479" s="48" t="inlineStr">
        <is>
          <t>Chỉ lấy bản ghi active, loại bản ghi đã xóa (qua sts_hub)</t>
        </is>
      </c>
      <c r="F1479" s="48" t="inlineStr">
        <is>
          <t>N-A</t>
        </is>
      </c>
      <c r="G1479" s="48" t="inlineStr">
        <is>
          <t>Pass</t>
        </is>
      </c>
      <c r="H1479" s="50" t="inlineStr">
        <is>
          <t>script không đọc sts_hub/satellite nào nên không có bản ghi xóa để lọc</t>
        </is>
      </c>
      <c r="I14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79" s="48" t="inlineStr">
        <is>
          <t>075. OCB_GOLD_TCKH_TXN_TP_DIM_HOP.xlsx [SCRIPT: TXN_TP_DIM]</t>
        </is>
      </c>
    </row>
    <row r="1480">
      <c r="A1480" s="48" t="inlineStr">
        <is>
          <t>TCKH.TXN_TP_DIM</t>
        </is>
      </c>
      <c r="B1480" s="48" t="inlineStr">
        <is>
          <t>SILVER_CONSUMER</t>
        </is>
      </c>
      <c r="C1480" s="48" t="inlineStr">
        <is>
          <t>2.2</t>
        </is>
      </c>
      <c r="D1480" s="48" t="inlineStr">
        <is>
          <t>Nhom 2 - Logic</t>
        </is>
      </c>
      <c r="E1480" s="48" t="inlineStr">
        <is>
          <t>Thống nhất MỘT pattern duy nhất xác định bản ghi active mới nhất</t>
        </is>
      </c>
      <c r="F1480" s="48" t="inlineStr">
        <is>
          <t>N-A</t>
        </is>
      </c>
      <c r="G1480" s="48" t="inlineStr">
        <is>
          <t>Pass</t>
        </is>
      </c>
      <c r="H1480" s="50" t="inlineStr">
        <is>
          <t>script không có bước lấy bản ghi mới nhất nào tính là bất nhất (không dùng, hoặc chỉ dùng ROW_NUMBER cho block &gt;5 cột - đã miễn trừ)</t>
        </is>
      </c>
      <c r="I14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80" s="48" t="inlineStr">
        <is>
          <t>075. OCB_GOLD_TCKH_TXN_TP_DIM_HOP.xlsx [SCRIPT: TXN_TP_DIM]</t>
        </is>
      </c>
    </row>
    <row r="1481">
      <c r="A1481" s="48" t="inlineStr">
        <is>
          <t>TCKH.TXN_TP_DIM</t>
        </is>
      </c>
      <c r="B1481" s="48" t="inlineStr">
        <is>
          <t>SILVER_CONSUMER</t>
        </is>
      </c>
      <c r="C1481" s="48" t="inlineStr">
        <is>
          <t>2.3</t>
        </is>
      </c>
      <c r="D1481" s="48" t="inlineStr">
        <is>
          <t>Nhom 2 - Logic</t>
        </is>
      </c>
      <c r="E1481" s="48" t="inlineStr">
        <is>
          <t>Điều kiện lọc trạng thái đặt SAU khi xác định bản ghi mới nhất</t>
        </is>
      </c>
      <c r="F1481" s="49" t="inlineStr">
        <is>
          <t>PASS</t>
        </is>
      </c>
      <c r="G1481" s="48" t="inlineStr">
        <is>
          <t>Pass</t>
        </is>
      </c>
      <c r="H1481" s="50" t="inlineStr">
        <is>
          <t>không có điều kiện trạng thái nào lồng trong JOIN ON</t>
        </is>
      </c>
      <c r="I14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81" s="48" t="inlineStr">
        <is>
          <t>075. OCB_GOLD_TCKH_TXN_TP_DIM_HOP.xlsx [SCRIPT: TXN_TP_DIM]</t>
        </is>
      </c>
    </row>
    <row r="1482">
      <c r="A1482" s="48" t="inlineStr">
        <is>
          <t>TCKH.TXN_TP_DIM</t>
        </is>
      </c>
      <c r="B1482" s="48" t="inlineStr">
        <is>
          <t>SILVER_CONSUMER</t>
        </is>
      </c>
      <c r="C1482" s="48" t="inlineStr">
        <is>
          <t>2.4</t>
        </is>
      </c>
      <c r="D1482" s="48" t="inlineStr">
        <is>
          <t>Nhom 2 - Logic</t>
        </is>
      </c>
      <c r="E1482" s="48" t="inlineStr">
        <is>
          <t>source_event_date áp dụng đúng dạng theo loại bảng</t>
        </is>
      </c>
      <c r="F1482" s="48" t="inlineStr">
        <is>
          <t>N-A</t>
        </is>
      </c>
      <c r="G1482" s="48" t="inlineStr">
        <is>
          <t>Pass</t>
        </is>
      </c>
      <c r="H1482" s="50" t="inlineStr">
        <is>
          <t>script không đọc satellite nào</t>
        </is>
      </c>
      <c r="I14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82" s="48" t="inlineStr">
        <is>
          <t>075. OCB_GOLD_TCKH_TXN_TP_DIM_HOP.xlsx [SCRIPT: TXN_TP_DIM]</t>
        </is>
      </c>
    </row>
    <row r="1483">
      <c r="A1483" s="48" t="inlineStr">
        <is>
          <t>TCKH.TXN_TP_DIM</t>
        </is>
      </c>
      <c r="B1483" s="48" t="inlineStr">
        <is>
          <t>SILVER_CONSUMER</t>
        </is>
      </c>
      <c r="C1483" s="48" t="inlineStr">
        <is>
          <t>2.5</t>
        </is>
      </c>
      <c r="D1483" s="48" t="inlineStr">
        <is>
          <t>Nhom 2 - Logic</t>
        </is>
      </c>
      <c r="E1483" s="48" t="inlineStr">
        <is>
          <t>Không lặp lại lỗi logic cũ đã được DA Data Vault fix</t>
        </is>
      </c>
      <c r="F1483" s="49" t="inlineStr">
        <is>
          <t>PASS</t>
        </is>
      </c>
      <c r="G1483" s="48" t="inlineStr">
        <is>
          <t>Pass</t>
        </is>
      </c>
      <c r="H1483" s="50" t="inlineStr">
        <is>
          <t>không trùng lỗi nào trong Issue log của DA Data Vault</t>
        </is>
      </c>
      <c r="I14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83" s="48" t="inlineStr">
        <is>
          <t>075. OCB_GOLD_TCKH_TXN_TP_DIM_HOP.xlsx [SCRIPT: TXN_TP_DIM]</t>
        </is>
      </c>
    </row>
    <row r="1484">
      <c r="A1484" s="48" t="inlineStr">
        <is>
          <t>TCKH.TXN_TP_DIM</t>
        </is>
      </c>
      <c r="B1484" s="48" t="inlineStr">
        <is>
          <t>SILVER_CONSUMER</t>
        </is>
      </c>
      <c r="C1484" s="48" t="inlineStr">
        <is>
          <t>2.6</t>
        </is>
      </c>
      <c r="D1484" s="48" t="inlineStr">
        <is>
          <t>Nhom 2 - Logic</t>
        </is>
      </c>
      <c r="E1484" s="48" t="inlineStr">
        <is>
          <t>SCD Type 2 cho bảng DIM áp dụng đúng kỹ thuật đã thống nhất</t>
        </is>
      </c>
      <c r="F1484" s="48" t="inlineStr">
        <is>
          <t>N-A</t>
        </is>
      </c>
      <c r="G1484" s="48" t="inlineStr">
        <is>
          <t>Pass</t>
        </is>
      </c>
      <c r="H1484" s="50" t="inlineStr">
        <is>
          <t>TRUNCATE + INSERT toàn bộ mỗi lần chạy (không MERGE) - thiết kế Type 1 'current-only', không áp dụng được SCD Type 2 (mỗi lần chạy đã xóa hết lịch sử cũ)</t>
        </is>
      </c>
      <c r="I14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84" s="48" t="inlineStr">
        <is>
          <t>075. OCB_GOLD_TCKH_TXN_TP_DIM_HOP.xlsx [SCRIPT: TXN_TP_DIM]</t>
        </is>
      </c>
    </row>
    <row r="1485">
      <c r="A1485" s="48" t="inlineStr">
        <is>
          <t>TCKH.TXN_TP_DIM</t>
        </is>
      </c>
      <c r="B1485" s="48" t="inlineStr">
        <is>
          <t>SILVER_CONSUMER</t>
        </is>
      </c>
      <c r="C1485" s="48" t="inlineStr">
        <is>
          <t>2.7</t>
        </is>
      </c>
      <c r="D1485" s="48" t="inlineStr">
        <is>
          <t>Nhom 2 - Logic</t>
        </is>
      </c>
      <c r="E1485" s="48" t="inlineStr">
        <is>
          <t>CASE WHEN cover đủ nhánh như job on-prem</t>
        </is>
      </c>
      <c r="F1485" s="49" t="inlineStr">
        <is>
          <t>PASS</t>
        </is>
      </c>
      <c r="G1485" s="48" t="inlineStr">
        <is>
          <t>Pass</t>
        </is>
      </c>
      <c r="H1485" s="50" t="inlineStr">
        <is>
          <t>cả 2 CASE đều có nhánh ELSE</t>
        </is>
      </c>
      <c r="I1485" s="50" t="inlineStr">
        <is>
          <t>Mở job on-prem tương ứng (DataStage DSX hoặc SQL cũ), đối chiếu từng nhánh WHEN và cả nhánh ELSE. CASE không có ELSE sẽ trả NULL âm thầm — xác nhận đó là ý muốn hay thiếu nhánh.</t>
        </is>
      </c>
      <c r="J1485" s="48" t="inlineStr">
        <is>
          <t>075. OCB_GOLD_TCKH_TXN_TP_DIM_HOP.xlsx [SCRIPT: TXN_TP_DIM]</t>
        </is>
      </c>
    </row>
    <row r="1486">
      <c r="A1486" s="48" t="inlineStr">
        <is>
          <t>TCKH.TXN_TP_DIM</t>
        </is>
      </c>
      <c r="B1486" s="48" t="inlineStr">
        <is>
          <t>SILVER_CONSUMER</t>
        </is>
      </c>
      <c r="C1486" s="48" t="inlineStr">
        <is>
          <t>2.8</t>
        </is>
      </c>
      <c r="D1486" s="48" t="inlineStr">
        <is>
          <t>Nhom 2 - Logic</t>
        </is>
      </c>
      <c r="E1486" s="48" t="inlineStr">
        <is>
          <t>Cột SUM/COUNT được COALESCE/NVL hợp lý</t>
        </is>
      </c>
      <c r="F1486" s="49" t="inlineStr">
        <is>
          <t>PASS</t>
        </is>
      </c>
      <c r="G1486" s="48" t="inlineStr">
        <is>
          <t>Pass</t>
        </is>
      </c>
      <c r="H1486" s="50" t="inlineStr">
        <is>
          <t>mọi SUM/COUNT đều đã coalesce (trực tiếp hoặc ở lớp ngoài)</t>
        </is>
      </c>
      <c r="I14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86" s="48" t="inlineStr">
        <is>
          <t>075. OCB_GOLD_TCKH_TXN_TP_DIM_HOP.xlsx [SCRIPT: TXN_TP_DIM]</t>
        </is>
      </c>
    </row>
    <row r="1487">
      <c r="A1487" s="48" t="inlineStr">
        <is>
          <t>TCKH.TXN_TP_DIM</t>
        </is>
      </c>
      <c r="B1487" s="48" t="inlineStr">
        <is>
          <t>SILVER_CONSUMER</t>
        </is>
      </c>
      <c r="C1487" s="48" t="inlineStr">
        <is>
          <t>2.9</t>
        </is>
      </c>
      <c r="D1487" s="48" t="inlineStr">
        <is>
          <t>Nhom 2 - Logic</t>
        </is>
      </c>
      <c r="E1487" s="48" t="inlineStr">
        <is>
          <t>Subquery / custom function / điều kiện LIKE đúng ý nghĩa nghiệp vụ</t>
        </is>
      </c>
      <c r="F1487" s="48" t="inlineStr">
        <is>
          <t>N-A</t>
        </is>
      </c>
      <c r="G1487" s="48" t="inlineStr">
        <is>
          <t>Pass</t>
        </is>
      </c>
      <c r="H1487" s="50" t="inlineStr">
        <is>
          <t>script không có điều kiện LIKE hay scalar subquery nào</t>
        </is>
      </c>
      <c r="I1487" s="50" t="inlineStr">
        <is>
          <t>Đọc lại từng điều kiện LIKE và từng subquery, đối chiếu ý nghĩa nghiệp vụ với on-prem — đúng cú pháp không đủ. Chú ý pattern LIKE có ký tự % ở đầu/cuối và phân biệt chữ hoa/thường.</t>
        </is>
      </c>
      <c r="J1487" s="48" t="inlineStr">
        <is>
          <t>075. OCB_GOLD_TCKH_TXN_TP_DIM_HOP.xlsx [SCRIPT: TXN_TP_DIM]</t>
        </is>
      </c>
    </row>
    <row r="1488">
      <c r="A1488" s="48" t="inlineStr">
        <is>
          <t>TCKH.TXN_TP_DIM</t>
        </is>
      </c>
      <c r="B1488" s="48" t="inlineStr">
        <is>
          <t>SILVER_CONSUMER</t>
        </is>
      </c>
      <c r="C1488" s="48" t="inlineStr">
        <is>
          <t>2.10</t>
        </is>
      </c>
      <c r="D1488" s="48" t="inlineStr">
        <is>
          <t>Nhom 2 - Logic</t>
        </is>
      </c>
      <c r="E1488" s="48" t="inlineStr">
        <is>
          <t>Aggregation kèm filter date range chính xác</t>
        </is>
      </c>
      <c r="F1488" s="49" t="inlineStr">
        <is>
          <t>PASS</t>
        </is>
      </c>
      <c r="G1488" s="48" t="inlineStr">
        <is>
          <t>Pass</t>
        </is>
      </c>
      <c r="H1488" s="50" t="inlineStr">
        <is>
          <t>mọi khối tổng hợp đều có điều kiện theo kỳ dữ liệu</t>
        </is>
      </c>
      <c r="I1488" s="50" t="inlineStr">
        <is>
          <t>Mỗi khối SUM/COUNT/AVG phải có điều kiện lọc theo kỳ dữ liệu (CDR_DT_ID, DATA_DATE, :DATADT…). Nếu điều kiện nằm ở CTE nguồn thì ghi rõ trong comment để người review không phải truy ngược.</t>
        </is>
      </c>
      <c r="J1488" s="48" t="inlineStr">
        <is>
          <t>075. OCB_GOLD_TCKH_TXN_TP_DIM_HOP.xlsx [SCRIPT: TXN_TP_DIM]</t>
        </is>
      </c>
    </row>
    <row r="1489">
      <c r="A1489" s="48" t="inlineStr">
        <is>
          <t>TCKH.TXN_TP_DIM</t>
        </is>
      </c>
      <c r="B1489" s="48" t="inlineStr">
        <is>
          <t>SILVER_CONSUMER</t>
        </is>
      </c>
      <c r="C1489" s="48" t="inlineStr">
        <is>
          <t>2.11</t>
        </is>
      </c>
      <c r="D1489" s="48" t="inlineStr">
        <is>
          <t>Nhom 2 - Logic</t>
        </is>
      </c>
      <c r="E1489" s="48" t="inlineStr">
        <is>
          <t>Join dùng key hợp lý, không lạm dụng UNION ALL + EXISTS/NOT EXISTS</t>
        </is>
      </c>
      <c r="F1489" s="49" t="inlineStr">
        <is>
          <t>PASS</t>
        </is>
      </c>
      <c r="G1489" s="48" t="inlineStr">
        <is>
          <t>Pass</t>
        </is>
      </c>
      <c r="H1489" s="50" t="inlineStr">
        <is>
          <t>join đều theo điều kiện bằng, không lạm dụng UNION ALL + EXISTS</t>
        </is>
      </c>
      <c r="I1489" s="50" t="inlineStr">
        <is>
          <t>Ưu tiên LEFT JOIN theo business key hoặc hashkey. Xem lại các chỗ dùng UNION ALL kết hợp EXISTS/NOT EXISTS — thường thay được bằng một LEFT JOIN. Join không có điều kiện bằng (=) dễ tạo tích Descartes.</t>
        </is>
      </c>
      <c r="J1489" s="48" t="inlineStr">
        <is>
          <t>075. OCB_GOLD_TCKH_TXN_TP_DIM_HOP.xlsx [SCRIPT: TXN_TP_DIM]</t>
        </is>
      </c>
    </row>
    <row r="1490">
      <c r="A1490" s="48" t="inlineStr">
        <is>
          <t>TCKH.TXN_TP_DIM</t>
        </is>
      </c>
      <c r="B1490" s="48" t="inlineStr">
        <is>
          <t>SILVER_CONSUMER</t>
        </is>
      </c>
      <c r="C1490" s="48" t="inlineStr">
        <is>
          <t>2.12</t>
        </is>
      </c>
      <c r="D1490" s="48" t="inlineStr">
        <is>
          <t>Nhom 2 - Logic</t>
        </is>
      </c>
      <c r="E1490" s="48" t="inlineStr">
        <is>
          <t>Build Gold từ CTE snapshot Silver, không build nhiều tầng chồng chéo</t>
        </is>
      </c>
      <c r="F1490" s="49" t="inlineStr">
        <is>
          <t>PASS</t>
        </is>
      </c>
      <c r="G1490" s="48" t="inlineStr">
        <is>
          <t>Pass</t>
        </is>
      </c>
      <c r="H1490" s="50" t="inlineStr">
        <is>
          <t>mỗi bảng nguồn chỉ đọc trong 1 khối SELECT</t>
        </is>
      </c>
      <c r="I14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90" s="48" t="inlineStr">
        <is>
          <t>075. OCB_GOLD_TCKH_TXN_TP_DIM_HOP.xlsx [SCRIPT: TXN_TP_DIM]</t>
        </is>
      </c>
    </row>
    <row r="1491">
      <c r="A1491" s="48" t="inlineStr">
        <is>
          <t>TCKH.TXN_TP_DIM</t>
        </is>
      </c>
      <c r="B1491" s="48" t="inlineStr">
        <is>
          <t>SILVER_CONSUMER</t>
        </is>
      </c>
      <c r="C1491" s="48" t="inlineStr">
        <is>
          <t>3.1</t>
        </is>
      </c>
      <c r="D1491" s="48" t="inlineStr">
        <is>
          <t>Nhom 3 - Optimization</t>
        </is>
      </c>
      <c r="E1491" s="48" t="inlineStr">
        <is>
          <t>Không SELECT *</t>
        </is>
      </c>
      <c r="F1491" s="49" t="inlineStr">
        <is>
          <t>PASS</t>
        </is>
      </c>
      <c r="G1491" s="48" t="inlineStr">
        <is>
          <t>Pass</t>
        </is>
      </c>
      <c r="H1491" s="50" t="inlineStr">
        <is>
          <t>không dùng SELECT * ở đâu</t>
        </is>
      </c>
      <c r="I1491" s="50" t="inlineStr">
        <is>
          <t>Liệt kê tường minh các cột cần dùng, kể cả trong CTE trung gian. SELECT * làm tăng IO/memory và vỡ script khi bảng nguồn thêm cột.</t>
        </is>
      </c>
      <c r="J1491" s="48" t="inlineStr">
        <is>
          <t>075. OCB_GOLD_TCKH_TXN_TP_DIM_HOP.xlsx [SCRIPT: TXN_TP_DIM]</t>
        </is>
      </c>
    </row>
    <row r="1492">
      <c r="A1492" s="48" t="inlineStr">
        <is>
          <t>TCKH.TXN_TP_DIM</t>
        </is>
      </c>
      <c r="B1492" s="48" t="inlineStr">
        <is>
          <t>SILVER_CONSUMER</t>
        </is>
      </c>
      <c r="C1492" s="48" t="inlineStr">
        <is>
          <t>3.2</t>
        </is>
      </c>
      <c r="D1492" s="48" t="inlineStr">
        <is>
          <t>Nhom 3 - Optimization</t>
        </is>
      </c>
      <c r="E1492" s="48" t="inlineStr">
        <is>
          <t>CTE không bị scan lại nhiều lần</t>
        </is>
      </c>
      <c r="F1492" s="49" t="inlineStr">
        <is>
          <t>PASS</t>
        </is>
      </c>
      <c r="G1492" s="48" t="inlineStr">
        <is>
          <t>Pass</t>
        </is>
      </c>
      <c r="H1492" s="50" t="inlineStr">
        <is>
          <t>không có CTE nào bị gọi lại</t>
        </is>
      </c>
      <c r="I1492" s="50" t="inlineStr">
        <is>
          <t>Với CTE nặng (đọc nhiều bảng Silver) bị tham chiếu từ 2 chỗ trở lên: gom lại còn một lần dùng, hoặc vật chất hóa (CACHE / bảng tạm). CTE nhẹ chỉ chứa tham số thì bỏ qua được — tự tick Pass.</t>
        </is>
      </c>
      <c r="J1492" s="48" t="inlineStr">
        <is>
          <t>075. OCB_GOLD_TCKH_TXN_TP_DIM_HOP.xlsx [SCRIPT: TXN_TP_DIM]</t>
        </is>
      </c>
    </row>
    <row r="1493">
      <c r="A1493" s="48" t="inlineStr">
        <is>
          <t>TCKH.TXN_TP_DIM</t>
        </is>
      </c>
      <c r="B1493" s="48" t="inlineStr">
        <is>
          <t>SILVER_CONSUMER</t>
        </is>
      </c>
      <c r="C1493" s="48" t="inlineStr">
        <is>
          <t>3.3</t>
        </is>
      </c>
      <c r="D1493" s="48" t="inlineStr">
        <is>
          <t>Nhom 3 - Optimization</t>
        </is>
      </c>
      <c r="E1493" s="48" t="inlineStr">
        <is>
          <t>Filter trước khi join, tận dụng partition pruning</t>
        </is>
      </c>
      <c r="F1493" s="49" t="inlineStr">
        <is>
          <t>PASS</t>
        </is>
      </c>
      <c r="G1493" s="48" t="inlineStr">
        <is>
          <t>Pass</t>
        </is>
      </c>
      <c r="H1493" s="50" t="inlineStr">
        <is>
          <t>các bảng join đều được filter trước</t>
        </is>
      </c>
      <c r="I1493" s="50" t="inlineStr">
        <is>
          <t>Đưa điều kiện lọc (ngày dữ liệu, trạng thái) vào subquery của từng bảng TRƯỚC khi join, để tận dụng partition pruning. Bảng dim nhỏ không partition thì không cần — tự tick Pass.</t>
        </is>
      </c>
      <c r="J1493" s="48" t="inlineStr">
        <is>
          <t>075. OCB_GOLD_TCKH_TXN_TP_DIM_HOP.xlsx [SCRIPT: TXN_TP_DIM]</t>
        </is>
      </c>
    </row>
    <row r="1494">
      <c r="A1494" s="48" t="inlineStr">
        <is>
          <t>TCKH.TXN_TP_DIM</t>
        </is>
      </c>
      <c r="B1494" s="48" t="inlineStr">
        <is>
          <t>SILVER_CONSUMER</t>
        </is>
      </c>
      <c r="C1494" s="48" t="inlineStr">
        <is>
          <t>3.4</t>
        </is>
      </c>
      <c r="D1494" s="48" t="inlineStr">
        <is>
          <t>Nhom 3 - Optimization</t>
        </is>
      </c>
      <c r="E1494" s="48" t="inlineStr">
        <is>
          <t>Sử dụng CACHE cho query lặp lại trong cùng luồng</t>
        </is>
      </c>
      <c r="F1494" s="48" t="inlineStr">
        <is>
          <t>N-A</t>
        </is>
      </c>
      <c r="G1494" s="48" t="inlineStr">
        <is>
          <t>Pass</t>
        </is>
      </c>
      <c r="H1494" s="50" t="inlineStr">
        <is>
          <t>không có kết quả nào được dùng lại nhiều lần nên chưa cần CACHE</t>
        </is>
      </c>
      <c r="I1494" s="50" t="inlineStr">
        <is>
          <t>Nếu một kết quả nặng được dùng lại nhiều bước trong cùng luồng, thêm CACHE TABLE / CACHE SELECT. Kết quả nhỏ thì cache còn chậm hơn — tự tick Pass.</t>
        </is>
      </c>
      <c r="J1494" s="48" t="inlineStr">
        <is>
          <t>075. OCB_GOLD_TCKH_TXN_TP_DIM_HOP.xlsx [SCRIPT: TXN_TP_DIM]</t>
        </is>
      </c>
    </row>
    <row r="1495">
      <c r="A1495" s="48" t="inlineStr">
        <is>
          <t>TCKH.TXN_TP_DIM</t>
        </is>
      </c>
      <c r="B1495" s="48" t="inlineStr">
        <is>
          <t>SILVER_CONSUMER</t>
        </is>
      </c>
      <c r="C1495" s="48" t="inlineStr">
        <is>
          <t>3.5</t>
        </is>
      </c>
      <c r="D1495" s="48" t="inlineStr">
        <is>
          <t>Nhom 3 - Optimization</t>
        </is>
      </c>
      <c r="E1495" s="48" t="inlineStr">
        <is>
          <t>Ưu tiên MAX_BY + QUALIFY thay ROW_NUMBER() + WHERE rn = 1</t>
        </is>
      </c>
      <c r="F1495" s="48" t="inlineStr">
        <is>
          <t>N-A</t>
        </is>
      </c>
      <c r="G1495" s="48" t="inlineStr">
        <is>
          <t>Pass</t>
        </is>
      </c>
      <c r="H1495" s="50" t="inlineStr">
        <is>
          <t>script không dùng ROW_NUMBER, và MAX_BY (nếu có) không vượt quá 5 cột/khối</t>
        </is>
      </c>
      <c r="I14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95" s="48" t="inlineStr">
        <is>
          <t>075. OCB_GOLD_TCKH_TXN_TP_DIM_HOP.xlsx [SCRIPT: TXN_TP_DIM]</t>
        </is>
      </c>
    </row>
    <row r="1496">
      <c r="A1496" s="48" t="inlineStr">
        <is>
          <t>TCKH.TXN_TP_DIM</t>
        </is>
      </c>
      <c r="B1496" s="48" t="inlineStr">
        <is>
          <t>SILVER_CONSUMER</t>
        </is>
      </c>
      <c r="C1496" s="48" t="inlineStr">
        <is>
          <t>3.6</t>
        </is>
      </c>
      <c r="D1496" s="48" t="inlineStr">
        <is>
          <t>Nhom 3 - Optimization</t>
        </is>
      </c>
      <c r="E1496" s="48" t="inlineStr">
        <is>
          <t>Không lạm dụng window function; có comment khi dùng</t>
        </is>
      </c>
      <c r="F1496" s="48" t="inlineStr">
        <is>
          <t>N-A</t>
        </is>
      </c>
      <c r="G1496" s="48" t="inlineStr">
        <is>
          <t>Pass</t>
        </is>
      </c>
      <c r="H1496" s="50" t="inlineStr">
        <is>
          <t>script không dùng window function</t>
        </is>
      </c>
      <c r="I1496" s="50" t="inlineStr">
        <is>
          <t>Mỗi window function cần một comment ngay trên khối CTE chứa nó, nói rõ vì sao không dùng được max_by/QUALIFY đơn giản hơn.</t>
        </is>
      </c>
      <c r="J1496" s="48" t="inlineStr">
        <is>
          <t>075. OCB_GOLD_TCKH_TXN_TP_DIM_HOP.xlsx [SCRIPT: TXN_TP_DIM]</t>
        </is>
      </c>
    </row>
    <row r="1497">
      <c r="A1497" s="48" t="inlineStr">
        <is>
          <t>TCKH.TXN_TP_DIM</t>
        </is>
      </c>
      <c r="B1497" s="48" t="inlineStr">
        <is>
          <t>SILVER_CONSUMER</t>
        </is>
      </c>
      <c r="C1497" s="48" t="inlineStr">
        <is>
          <t>X.1</t>
        </is>
      </c>
      <c r="D1497" s="48" t="inlineStr">
        <is>
          <t>Nhom X - Bo sung Raffles</t>
        </is>
      </c>
      <c r="E1497" s="48" t="inlineStr">
        <is>
          <t>[Bổ sung] Link phải rút về current trước khi join (chống fan-out)</t>
        </is>
      </c>
      <c r="F1497" s="49" t="inlineStr">
        <is>
          <t>PASS</t>
        </is>
      </c>
      <c r="G1497" s="48" t="inlineStr">
        <is>
          <t>Pass</t>
        </is>
      </c>
      <c r="H1497" s="50" t="inlineStr">
        <is>
          <t>các bảng link_* đều được rút về current trước khi join</t>
        </is>
      </c>
      <c r="I14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97" s="48" t="inlineStr">
        <is>
          <t>075. OCB_GOLD_TCKH_TXN_TP_DIM_HOP.xlsx [SCRIPT: TXN_TP_DIM]</t>
        </is>
      </c>
    </row>
    <row r="1498">
      <c r="A1498" s="48" t="inlineStr">
        <is>
          <t>TCKH.TXN_TP_DIM</t>
        </is>
      </c>
      <c r="B1498" s="48" t="inlineStr">
        <is>
          <t>SILVER_CONSUMER</t>
        </is>
      </c>
      <c r="C1498" s="48" t="inlineStr">
        <is>
          <t>X.6</t>
        </is>
      </c>
      <c r="D1498" s="48" t="inlineStr">
        <is>
          <t>Nhom X - Bo sung Raffles</t>
        </is>
      </c>
      <c r="E1498" s="48" t="inlineStr">
        <is>
          <t>[Bổ sung] Satellite phải LEFT JOIN, không INNER JOIN</t>
        </is>
      </c>
      <c r="F1498" s="48" t="inlineStr">
        <is>
          <t>N-A</t>
        </is>
      </c>
      <c r="G1498" s="48" t="inlineStr">
        <is>
          <t>Pass</t>
        </is>
      </c>
      <c r="H1498" s="50" t="inlineStr">
        <is>
          <t>không join satellite trực tiếp</t>
        </is>
      </c>
      <c r="I1498" s="50" t="inlineStr">
        <is>
          <t>Technical Document III.4.2.2 nguyên tắc 1: làm giàu thuộc tính luôn dùng LEFT JOIN. INNER JOIN satellite sẽ loại mất bản ghi Hub đang còn hiệu lực nhưng chưa có dòng satellite.</t>
        </is>
      </c>
      <c r="J1498" s="48" t="inlineStr">
        <is>
          <t>075. OCB_GOLD_TCKH_TXN_TP_DIM_HOP.xlsx [SCRIPT: TXN_TP_DIM]</t>
        </is>
      </c>
    </row>
    <row r="1499">
      <c r="A1499" s="48" t="inlineStr">
        <is>
          <t>TCKH.TXN_TP_DIM</t>
        </is>
      </c>
      <c r="B1499" s="48" t="inlineStr">
        <is>
          <t>SILVER_CONSUMER</t>
        </is>
      </c>
      <c r="C1499" s="48" t="inlineStr">
        <is>
          <t>X.7</t>
        </is>
      </c>
      <c r="D1499" s="48" t="inlineStr">
        <is>
          <t>Nhom X - Bo sung Raffles</t>
        </is>
      </c>
      <c r="E1499" s="48" t="inlineStr">
        <is>
          <t>[Bổ sung] Không hard-code catalog, dùng biến môi trường</t>
        </is>
      </c>
      <c r="F1499" s="49" t="inlineStr">
        <is>
          <t>PASS</t>
        </is>
      </c>
      <c r="G1499" s="48" t="inlineStr">
        <is>
          <t>Pass</t>
        </is>
      </c>
      <c r="H1499" s="50" t="inlineStr">
        <is>
          <t>dùng biến môi trường cho catalog</t>
        </is>
      </c>
      <c r="I14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99" s="48" t="inlineStr">
        <is>
          <t>075. OCB_GOLD_TCKH_TXN_TP_DIM_HOP.xlsx [SCRIPT: TXN_TP_DIM]</t>
        </is>
      </c>
    </row>
    <row r="1500">
      <c r="A1500" s="48" t="inlineStr">
        <is>
          <t>TCKH.TXN_TP_DIM</t>
        </is>
      </c>
      <c r="B1500" s="48" t="inlineStr">
        <is>
          <t>SILVER_CONSUMER</t>
        </is>
      </c>
      <c r="C1500" s="48" t="inlineStr">
        <is>
          <t>X.10</t>
        </is>
      </c>
      <c r="D1500" s="48" t="inlineStr">
        <is>
          <t>Nhom X - Bo sung Raffles</t>
        </is>
      </c>
      <c r="E1500" s="48" t="inlineStr">
        <is>
          <t>Bang raw_vault/business_vault duoc doc phai TON TAI THAT trong Data Vault model</t>
        </is>
      </c>
      <c r="F1500" s="49" t="inlineStr">
        <is>
          <t>PASS</t>
        </is>
      </c>
      <c r="G1500" s="48" t="inlineStr">
        <is>
          <t>Pass</t>
        </is>
      </c>
      <c r="H1500" s="50" t="inlineStr">
        <is>
          <t>1 bảng Silver đều có thật trong Data Vault model</t>
        </is>
      </c>
      <c r="I1500" s="50" t="inlineStr"/>
      <c r="J1500" s="48" t="inlineStr">
        <is>
          <t>075. OCB_GOLD_TCKH_TXN_TP_DIM_HOP.xlsx [SCRIPT: TXN_TP_DIM]</t>
        </is>
      </c>
    </row>
    <row r="1501">
      <c r="A1501" s="48" t="inlineStr">
        <is>
          <t>TCKH.TXN_TP_DIM</t>
        </is>
      </c>
      <c r="B1501" s="48" t="inlineStr">
        <is>
          <t>SILVER_CONSUMER</t>
        </is>
      </c>
      <c r="C1501" s="48" t="inlineStr">
        <is>
          <t>X.11</t>
        </is>
      </c>
      <c r="D1501" s="48" t="inlineStr">
        <is>
          <t>Nhom X - Bo sung Raffles</t>
        </is>
      </c>
      <c r="E1501" s="48" t="inlineStr">
        <is>
          <t>Cot doc tu satellite (sat_*) phai TON TAI THAT trong model</t>
        </is>
      </c>
      <c r="F1501" s="48" t="inlineStr">
        <is>
          <t>N-A</t>
        </is>
      </c>
      <c r="G1501" s="48" t="inlineStr">
        <is>
          <t>Pass</t>
        </is>
      </c>
      <c r="H1501" s="50" t="inlineStr">
        <is>
          <t>không có bảng sat_* nào đủ điều kiện đối chiếu (Select chỉ đọc 1 bảng)</t>
        </is>
      </c>
      <c r="I1501" s="50" t="inlineStr"/>
      <c r="J1501" s="48" t="inlineStr">
        <is>
          <t>075. OCB_GOLD_TCKH_TXN_TP_DIM_HOP.xlsx [SCRIPT: TXN_TP_DIM]</t>
        </is>
      </c>
    </row>
    <row r="1502">
      <c r="A1502" s="48" t="inlineStr">
        <is>
          <t>TCKH.LOAN_SUMMARY_LIST</t>
        </is>
      </c>
      <c r="B1502" s="48" t="inlineStr">
        <is>
          <t>SILVER_CONSUMER</t>
        </is>
      </c>
      <c r="C1502" s="48" t="inlineStr">
        <is>
          <t>1.1</t>
        </is>
      </c>
      <c r="D1502" s="48" t="inlineStr">
        <is>
          <t>Nhom 1 - Mapping</t>
        </is>
      </c>
      <c r="E1502" s="48" t="inlineStr">
        <is>
          <t>Đầy đủ mapping từ Silver/manual sang Gold</t>
        </is>
      </c>
      <c r="F1502" s="49" t="inlineStr">
        <is>
          <t>PASS</t>
        </is>
      </c>
      <c r="G1502" s="48" t="inlineStr">
        <is>
          <t>Pass</t>
        </is>
      </c>
      <c r="H1502" s="50" t="inlineStr">
        <is>
          <t>workbook 077. OCB_GOLD_TCKH_LOAN_SUMMARY_LIST_PHAT.xlsx: thiết kế 110 field, SQL có 110 cột</t>
        </is>
      </c>
      <c r="I15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02" s="48" t="inlineStr">
        <is>
          <t>077. OCB_GOLD_TCKH_LOAN_SUMMARY_LIST_PHAT.xlsx [Script: LOAN_SUMMARY_LIST]</t>
        </is>
      </c>
    </row>
    <row r="1503">
      <c r="A1503" s="48" t="inlineStr">
        <is>
          <t>TCKH.LOAN_SUMMARY_LIST</t>
        </is>
      </c>
      <c r="B1503" s="48" t="inlineStr">
        <is>
          <t>SILVER_CONSUMER</t>
        </is>
      </c>
      <c r="C1503" s="48" t="inlineStr">
        <is>
          <t>1.2</t>
        </is>
      </c>
      <c r="D1503" s="48" t="inlineStr">
        <is>
          <t>Nhom 1 - Mapping</t>
        </is>
      </c>
      <c r="E1503" s="48" t="inlineStr">
        <is>
          <t>Danh sách bảng/view Gold khớp tài liệu thiết kế đã duyệt</t>
        </is>
      </c>
      <c r="F1503" s="49" t="inlineStr">
        <is>
          <t>PASS</t>
        </is>
      </c>
      <c r="G1503" s="48" t="inlineStr">
        <is>
          <t>Pass</t>
        </is>
      </c>
      <c r="H1503" s="50" t="inlineStr">
        <is>
          <t>LOAN_SUMMARY_LIST có workbook thiết kế: 077. OCB_GOLD_TCKH_LOAN_SUMMARY_LIST_PHAT.xlsx</t>
        </is>
      </c>
      <c r="I1503" s="50" t="inlineStr">
        <is>
          <t>Đảm bảo object có workbook thiết kế tương ứng trong thư mục --mapping-dir. Muốn đối chiếu với danh sách đã duyệt thì chạy thêm tham số --gold-list "&lt;file danh sách Gold&gt;.xlsx".</t>
        </is>
      </c>
      <c r="J1503" s="48" t="inlineStr">
        <is>
          <t>077. OCB_GOLD_TCKH_LOAN_SUMMARY_LIST_PHAT.xlsx [Script: LOAN_SUMMARY_LIST]</t>
        </is>
      </c>
    </row>
    <row r="1504">
      <c r="A1504" s="48" t="inlineStr">
        <is>
          <t>TCKH.LOAN_SUMMARY_LIST</t>
        </is>
      </c>
      <c r="B1504" s="48" t="inlineStr">
        <is>
          <t>SILVER_CONSUMER</t>
        </is>
      </c>
      <c r="C1504" s="48" t="inlineStr">
        <is>
          <t>2.1</t>
        </is>
      </c>
      <c r="D1504" s="48" t="inlineStr">
        <is>
          <t>Nhom 2 - Logic</t>
        </is>
      </c>
      <c r="E1504" s="48" t="inlineStr">
        <is>
          <t>Chỉ lấy bản ghi active, loại bản ghi đã xóa (qua sts_hub)</t>
        </is>
      </c>
      <c r="F1504" s="49" t="inlineStr">
        <is>
          <t>PASS</t>
        </is>
      </c>
      <c r="G1504" s="48" t="inlineStr">
        <is>
          <t>Pass</t>
        </is>
      </c>
      <c r="H1504" s="50" t="inlineStr">
        <is>
          <t>11 sts_hub_* đọc đúng format</t>
        </is>
      </c>
      <c r="I15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04" s="48" t="inlineStr">
        <is>
          <t>077. OCB_GOLD_TCKH_LOAN_SUMMARY_LIST_PHAT.xlsx [Script: LOAN_SUMMARY_LIST]</t>
        </is>
      </c>
    </row>
    <row r="1505">
      <c r="A1505" s="48" t="inlineStr">
        <is>
          <t>TCKH.LOAN_SUMMARY_LIST</t>
        </is>
      </c>
      <c r="B1505" s="48" t="inlineStr">
        <is>
          <t>SILVER_CONSUMER</t>
        </is>
      </c>
      <c r="C1505" s="48" t="inlineStr">
        <is>
          <t>2.2</t>
        </is>
      </c>
      <c r="D1505" s="48" t="inlineStr">
        <is>
          <t>Nhom 2 - Logic</t>
        </is>
      </c>
      <c r="E1505" s="48" t="inlineStr">
        <is>
          <t>Thống nhất MỘT pattern duy nhất xác định bản ghi active mới nhất</t>
        </is>
      </c>
      <c r="F1505" s="49" t="inlineStr">
        <is>
          <t>PASS</t>
        </is>
      </c>
      <c r="G1505" s="48" t="inlineStr">
        <is>
          <t>Pass</t>
        </is>
      </c>
      <c r="H1505" s="50" t="inlineStr">
        <is>
          <t>file này dùng: ['MAX_BY']; toàn batch dùng: ['MAX_BY']</t>
        </is>
      </c>
      <c r="I15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05" s="48" t="inlineStr">
        <is>
          <t>077. OCB_GOLD_TCKH_LOAN_SUMMARY_LIST_PHAT.xlsx [Script: LOAN_SUMMARY_LIST]</t>
        </is>
      </c>
    </row>
    <row r="1506">
      <c r="A1506" s="48" t="inlineStr">
        <is>
          <t>TCKH.LOAN_SUMMARY_LIST</t>
        </is>
      </c>
      <c r="B1506" s="48" t="inlineStr">
        <is>
          <t>SILVER_CONSUMER</t>
        </is>
      </c>
      <c r="C1506" s="48" t="inlineStr">
        <is>
          <t>2.3</t>
        </is>
      </c>
      <c r="D1506" s="48" t="inlineStr">
        <is>
          <t>Nhom 2 - Logic</t>
        </is>
      </c>
      <c r="E1506" s="48" t="inlineStr">
        <is>
          <t>Điều kiện lọc trạng thái đặt SAU khi xác định bản ghi mới nhất</t>
        </is>
      </c>
      <c r="F1506" s="49" t="inlineStr">
        <is>
          <t>PASS</t>
        </is>
      </c>
      <c r="G1506" s="48" t="inlineStr">
        <is>
          <t>Pass</t>
        </is>
      </c>
      <c r="H1506" s="50" t="inlineStr">
        <is>
          <t>không có điều kiện trạng thái nào lồng trong JOIN ON</t>
        </is>
      </c>
      <c r="I15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06" s="48" t="inlineStr">
        <is>
          <t>077. OCB_GOLD_TCKH_LOAN_SUMMARY_LIST_PHAT.xlsx [Script: LOAN_SUMMARY_LIST]</t>
        </is>
      </c>
    </row>
    <row r="1507">
      <c r="A1507" s="48" t="inlineStr">
        <is>
          <t>TCKH.LOAN_SUMMARY_LIST</t>
        </is>
      </c>
      <c r="B1507" s="48" t="inlineStr">
        <is>
          <t>SILVER_CONSUMER</t>
        </is>
      </c>
      <c r="C1507" s="48" t="inlineStr">
        <is>
          <t>2.4</t>
        </is>
      </c>
      <c r="D1507" s="48" t="inlineStr">
        <is>
          <t>Nhom 2 - Logic</t>
        </is>
      </c>
      <c r="E1507" s="48" t="inlineStr">
        <is>
          <t>source_event_date áp dụng đúng dạng theo loại bảng</t>
        </is>
      </c>
      <c r="F1507" s="49" t="inlineStr">
        <is>
          <t>PASS</t>
        </is>
      </c>
      <c r="G1507" s="48" t="inlineStr">
        <is>
          <t>Pass</t>
        </is>
      </c>
      <c r="H1507" s="50" t="inlineStr">
        <is>
          <t>20 satellite đều đúng dạng điều kiện source_event_date</t>
        </is>
      </c>
      <c r="I15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07" s="48" t="inlineStr">
        <is>
          <t>077. OCB_GOLD_TCKH_LOAN_SUMMARY_LIST_PHAT.xlsx [Script: LOAN_SUMMARY_LIST]</t>
        </is>
      </c>
    </row>
    <row r="1508">
      <c r="A1508" s="48" t="inlineStr">
        <is>
          <t>TCKH.LOAN_SUMMARY_LIST</t>
        </is>
      </c>
      <c r="B1508" s="48" t="inlineStr">
        <is>
          <t>SILVER_CONSUMER</t>
        </is>
      </c>
      <c r="C1508" s="48" t="inlineStr">
        <is>
          <t>2.5</t>
        </is>
      </c>
      <c r="D1508" s="48" t="inlineStr">
        <is>
          <t>Nhom 2 - Logic</t>
        </is>
      </c>
      <c r="E1508" s="48" t="inlineStr">
        <is>
          <t>Không lặp lại lỗi logic cũ đã được DA Data Vault fix</t>
        </is>
      </c>
      <c r="F1508" s="49" t="inlineStr">
        <is>
          <t>PASS</t>
        </is>
      </c>
      <c r="G1508" s="48" t="inlineStr">
        <is>
          <t>Pass</t>
        </is>
      </c>
      <c r="H1508" s="50" t="inlineStr">
        <is>
          <t>không trùng lỗi nào trong Issue log của DA Data Vault</t>
        </is>
      </c>
      <c r="I15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08" s="48" t="inlineStr">
        <is>
          <t>077. OCB_GOLD_TCKH_LOAN_SUMMARY_LIST_PHAT.xlsx [Script: LOAN_SUMMARY_LIST]</t>
        </is>
      </c>
    </row>
    <row r="1509">
      <c r="A1509" s="48" t="inlineStr">
        <is>
          <t>TCKH.LOAN_SUMMARY_LIST</t>
        </is>
      </c>
      <c r="B1509" s="48" t="inlineStr">
        <is>
          <t>SILVER_CONSUMER</t>
        </is>
      </c>
      <c r="C1509" s="48" t="inlineStr">
        <is>
          <t>2.6</t>
        </is>
      </c>
      <c r="D1509" s="48" t="inlineStr">
        <is>
          <t>Nhom 2 - Logic</t>
        </is>
      </c>
      <c r="E1509" s="48" t="inlineStr">
        <is>
          <t>SCD Type 2 cho bảng DIM áp dụng đúng kỹ thuật đã thống nhất</t>
        </is>
      </c>
      <c r="F1509" s="48" t="inlineStr">
        <is>
          <t>N-A</t>
        </is>
      </c>
      <c r="G1509" s="48" t="inlineStr">
        <is>
          <t>Pass</t>
        </is>
      </c>
      <c r="H1509" s="50" t="inlineStr">
        <is>
          <t>object không phải bảng DIM nên không áp dụng SCD Type 2</t>
        </is>
      </c>
      <c r="I15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09" s="48" t="inlineStr">
        <is>
          <t>077. OCB_GOLD_TCKH_LOAN_SUMMARY_LIST_PHAT.xlsx [Script: LOAN_SUMMARY_LIST]</t>
        </is>
      </c>
    </row>
    <row r="1510">
      <c r="A1510" s="48" t="inlineStr">
        <is>
          <t>TCKH.LOAN_SUMMARY_LIST</t>
        </is>
      </c>
      <c r="B1510" s="48" t="inlineStr">
        <is>
          <t>SILVER_CONSUMER</t>
        </is>
      </c>
      <c r="C1510" s="48" t="inlineStr">
        <is>
          <t>2.7</t>
        </is>
      </c>
      <c r="D1510" s="48" t="inlineStr">
        <is>
          <t>Nhom 2 - Logic</t>
        </is>
      </c>
      <c r="E1510" s="48" t="inlineStr">
        <is>
          <t>CASE WHEN cover đủ nhánh như job on-prem</t>
        </is>
      </c>
      <c r="F1510" s="49" t="inlineStr">
        <is>
          <t>PASS</t>
        </is>
      </c>
      <c r="G1510" s="48" t="inlineStr">
        <is>
          <t>Pass</t>
        </is>
      </c>
      <c r="H1510" s="50" t="inlineStr">
        <is>
          <t>cả 54 CASE đều có nhánh ELSE</t>
        </is>
      </c>
      <c r="I1510" s="50" t="inlineStr">
        <is>
          <t>Mở job on-prem tương ứng (DataStage DSX hoặc SQL cũ), đối chiếu từng nhánh WHEN và cả nhánh ELSE. CASE không có ELSE sẽ trả NULL âm thầm — xác nhận đó là ý muốn hay thiếu nhánh.</t>
        </is>
      </c>
      <c r="J1510" s="48" t="inlineStr">
        <is>
          <t>077. OCB_GOLD_TCKH_LOAN_SUMMARY_LIST_PHAT.xlsx [Script: LOAN_SUMMARY_LIST]</t>
        </is>
      </c>
    </row>
    <row r="1511">
      <c r="A1511" s="48" t="inlineStr">
        <is>
          <t>TCKH.LOAN_SUMMARY_LIST</t>
        </is>
      </c>
      <c r="B1511" s="48" t="inlineStr">
        <is>
          <t>SILVER_CONSUMER</t>
        </is>
      </c>
      <c r="C1511" s="48" t="inlineStr">
        <is>
          <t>2.8</t>
        </is>
      </c>
      <c r="D1511" s="48" t="inlineStr">
        <is>
          <t>Nhom 2 - Logic</t>
        </is>
      </c>
      <c r="E1511" s="48" t="inlineStr">
        <is>
          <t>Cột SUM/COUNT được COALESCE/NVL hợp lý</t>
        </is>
      </c>
      <c r="F1511" s="49" t="inlineStr">
        <is>
          <t>PASS</t>
        </is>
      </c>
      <c r="G1511" s="48" t="inlineStr">
        <is>
          <t>Pass</t>
        </is>
      </c>
      <c r="H1511" s="50" t="inlineStr">
        <is>
          <t>mọi SUM/COUNT đều đã coalesce (trực tiếp hoặc ở lớp ngoài)</t>
        </is>
      </c>
      <c r="I15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511" s="48" t="inlineStr">
        <is>
          <t>077. OCB_GOLD_TCKH_LOAN_SUMMARY_LIST_PHAT.xlsx [Script: LOAN_SUMMARY_LIST]</t>
        </is>
      </c>
    </row>
    <row r="1512">
      <c r="A1512" s="48" t="inlineStr">
        <is>
          <t>TCKH.LOAN_SUMMARY_LIST</t>
        </is>
      </c>
      <c r="B1512" s="48" t="inlineStr">
        <is>
          <t>SILVER_CONSUMER</t>
        </is>
      </c>
      <c r="C1512" s="48" t="inlineStr">
        <is>
          <t>2.9</t>
        </is>
      </c>
      <c r="D1512" s="48" t="inlineStr">
        <is>
          <t>Nhom 2 - Logic</t>
        </is>
      </c>
      <c r="E1512" s="48" t="inlineStr">
        <is>
          <t>Subquery / custom function / điều kiện LIKE đúng ý nghĩa nghiệp vụ</t>
        </is>
      </c>
      <c r="F1512" s="48" t="inlineStr">
        <is>
          <t>N-A</t>
        </is>
      </c>
      <c r="G1512" s="48" t="inlineStr">
        <is>
          <t>Pass</t>
        </is>
      </c>
      <c r="H1512" s="50" t="inlineStr">
        <is>
          <t>script không có điều kiện LIKE hay scalar subquery nào</t>
        </is>
      </c>
      <c r="I1512" s="50" t="inlineStr">
        <is>
          <t>Đọc lại từng điều kiện LIKE và từng subquery, đối chiếu ý nghĩa nghiệp vụ với on-prem — đúng cú pháp không đủ. Chú ý pattern LIKE có ký tự % ở đầu/cuối và phân biệt chữ hoa/thường.</t>
        </is>
      </c>
      <c r="J1512" s="48" t="inlineStr">
        <is>
          <t>077. OCB_GOLD_TCKH_LOAN_SUMMARY_LIST_PHAT.xlsx [Script: LOAN_SUMMARY_LIST]</t>
        </is>
      </c>
    </row>
    <row r="1513">
      <c r="A1513" s="48" t="inlineStr">
        <is>
          <t>TCKH.LOAN_SUMMARY_LIST</t>
        </is>
      </c>
      <c r="B1513" s="48" t="inlineStr">
        <is>
          <t>SILVER_CONSUMER</t>
        </is>
      </c>
      <c r="C1513" s="48" t="inlineStr">
        <is>
          <t>2.10</t>
        </is>
      </c>
      <c r="D1513" s="48" t="inlineStr">
        <is>
          <t>Nhom 2 - Logic</t>
        </is>
      </c>
      <c r="E1513" s="48" t="inlineStr">
        <is>
          <t>Aggregation kèm filter date range chính xác</t>
        </is>
      </c>
      <c r="F1513" s="51" t="inlineStr">
        <is>
          <t>WARN</t>
        </is>
      </c>
      <c r="G1513" s="48" t="inlineStr">
        <is>
          <t>WARN</t>
        </is>
      </c>
      <c r="H1513" s="50" t="inlineStr">
        <is>
          <t>2 khối tổng hợp không thấy filter theo ngày/tham số: payment_due_sv, avi</t>
        </is>
      </c>
      <c r="I1513" s="50" t="inlineStr">
        <is>
          <t>Mỗi khối SUM/COUNT/AVG phải có điều kiện lọc theo kỳ dữ liệu (CDR_DT_ID, DATA_DATE, :DATADT…). Nếu điều kiện nằm ở CTE nguồn thì ghi rõ trong comment để người review không phải truy ngược.</t>
        </is>
      </c>
      <c r="J1513" s="48" t="inlineStr">
        <is>
          <t>077. OCB_GOLD_TCKH_LOAN_SUMMARY_LIST_PHAT.xlsx [Script: LOAN_SUMMARY_LIST]</t>
        </is>
      </c>
    </row>
    <row r="1514">
      <c r="A1514" s="48" t="inlineStr">
        <is>
          <t>TCKH.LOAN_SUMMARY_LIST</t>
        </is>
      </c>
      <c r="B1514" s="48" t="inlineStr">
        <is>
          <t>SILVER_CONSUMER</t>
        </is>
      </c>
      <c r="C1514" s="48" t="inlineStr">
        <is>
          <t>2.11</t>
        </is>
      </c>
      <c r="D1514" s="48" t="inlineStr">
        <is>
          <t>Nhom 2 - Logic</t>
        </is>
      </c>
      <c r="E1514" s="48" t="inlineStr">
        <is>
          <t>Join dùng key hợp lý, không lạm dụng UNION ALL + EXISTS/NOT EXISTS</t>
        </is>
      </c>
      <c r="F1514" s="49" t="inlineStr">
        <is>
          <t>PASS</t>
        </is>
      </c>
      <c r="G1514" s="48" t="inlineStr">
        <is>
          <t>Pass</t>
        </is>
      </c>
      <c r="H1514" s="50" t="inlineStr">
        <is>
          <t>join đều theo điều kiện bằng, không lạm dụng UNION ALL + EXISTS</t>
        </is>
      </c>
      <c r="I1514" s="50" t="inlineStr">
        <is>
          <t>Ưu tiên LEFT JOIN theo business key hoặc hashkey. Xem lại các chỗ dùng UNION ALL kết hợp EXISTS/NOT EXISTS — thường thay được bằng một LEFT JOIN. Join không có điều kiện bằng (=) dễ tạo tích Descartes.</t>
        </is>
      </c>
      <c r="J1514" s="48" t="inlineStr">
        <is>
          <t>077. OCB_GOLD_TCKH_LOAN_SUMMARY_LIST_PHAT.xlsx [Script: LOAN_SUMMARY_LIST]</t>
        </is>
      </c>
    </row>
    <row r="1515">
      <c r="A1515" s="48" t="inlineStr">
        <is>
          <t>TCKH.LOAN_SUMMARY_LIST</t>
        </is>
      </c>
      <c r="B1515" s="48" t="inlineStr">
        <is>
          <t>SILVER_CONSUMER</t>
        </is>
      </c>
      <c r="C1515" s="48" t="inlineStr">
        <is>
          <t>2.12</t>
        </is>
      </c>
      <c r="D1515" s="48" t="inlineStr">
        <is>
          <t>Nhom 2 - Logic</t>
        </is>
      </c>
      <c r="E1515" s="48" t="inlineStr">
        <is>
          <t>Build Gold từ CTE snapshot Silver, không build nhiều tầng chồng chéo</t>
        </is>
      </c>
      <c r="F1515" s="49" t="inlineStr">
        <is>
          <t>PASS</t>
        </is>
      </c>
      <c r="G1515" s="48" t="inlineStr">
        <is>
          <t>Pass</t>
        </is>
      </c>
      <c r="H1515" s="50" t="inlineStr">
        <is>
          <t>mỗi bảng nguồn chỉ đọc trong 1 khối SELECT</t>
        </is>
      </c>
      <c r="I15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15" s="48" t="inlineStr">
        <is>
          <t>077. OCB_GOLD_TCKH_LOAN_SUMMARY_LIST_PHAT.xlsx [Script: LOAN_SUMMARY_LIST]</t>
        </is>
      </c>
    </row>
    <row r="1516">
      <c r="A1516" s="48" t="inlineStr">
        <is>
          <t>TCKH.LOAN_SUMMARY_LIST</t>
        </is>
      </c>
      <c r="B1516" s="48" t="inlineStr">
        <is>
          <t>SILVER_CONSUMER</t>
        </is>
      </c>
      <c r="C1516" s="48" t="inlineStr">
        <is>
          <t>3.1</t>
        </is>
      </c>
      <c r="D1516" s="48" t="inlineStr">
        <is>
          <t>Nhom 3 - Optimization</t>
        </is>
      </c>
      <c r="E1516" s="48" t="inlineStr">
        <is>
          <t>Không SELECT *</t>
        </is>
      </c>
      <c r="F1516" s="49" t="inlineStr">
        <is>
          <t>PASS</t>
        </is>
      </c>
      <c r="G1516" s="48" t="inlineStr">
        <is>
          <t>Pass</t>
        </is>
      </c>
      <c r="H1516" s="50" t="inlineStr">
        <is>
          <t>không dùng SELECT * ở đâu</t>
        </is>
      </c>
      <c r="I1516" s="50" t="inlineStr">
        <is>
          <t>Liệt kê tường minh các cột cần dùng, kể cả trong CTE trung gian. SELECT * làm tăng IO/memory và vỡ script khi bảng nguồn thêm cột.</t>
        </is>
      </c>
      <c r="J1516" s="48" t="inlineStr">
        <is>
          <t>077. OCB_GOLD_TCKH_LOAN_SUMMARY_LIST_PHAT.xlsx [Script: LOAN_SUMMARY_LIST]</t>
        </is>
      </c>
    </row>
    <row r="1517">
      <c r="A1517" s="48" t="inlineStr">
        <is>
          <t>TCKH.LOAN_SUMMARY_LIST</t>
        </is>
      </c>
      <c r="B1517" s="48" t="inlineStr">
        <is>
          <t>SILVER_CONSUMER</t>
        </is>
      </c>
      <c r="C1517" s="48" t="inlineStr">
        <is>
          <t>3.2</t>
        </is>
      </c>
      <c r="D1517" s="48" t="inlineStr">
        <is>
          <t>Nhom 3 - Optimization</t>
        </is>
      </c>
      <c r="E1517" s="48" t="inlineStr">
        <is>
          <t>CTE không bị scan lại nhiều lần</t>
        </is>
      </c>
      <c r="F1517" s="51" t="inlineStr">
        <is>
          <t>WARN</t>
        </is>
      </c>
      <c r="G1517" s="48" t="inlineStr">
        <is>
          <t>WARN</t>
        </is>
      </c>
      <c r="H1517" s="50" t="inlineStr">
        <is>
          <t>CTE bị tham chiếu lại nhiều lần: del_limit x5, del_collateral x2, del_collateral_right x2, customer_active x4, cust_cls_cur x3, ln_cust_cur x2, ofcr_active x2, ofcr_info_cur x2, ln_limit_cur x2, limit_info_cur x2, pd_over_cur x2, ln_pd_cur x2, comb_hub_raw x2, coll_rl_cur x2, coll_cr_cur x2, coll_info_cur x2, sched_cur x2, rt_base x2, ld_hub x4, ou x7, cust x2, exg x2, ref_category x2, ref_purpose x3, ref_custgroup x2, ref_sector x2, ref_industry x4</t>
        </is>
      </c>
      <c r="I1517" s="50" t="inlineStr">
        <is>
          <t>Với CTE nặng (đọc nhiều bảng Silver) bị tham chiếu từ 2 chỗ trở lên: gom lại còn một lần dùng, hoặc vật chất hóa (CACHE / bảng tạm). CTE nhẹ chỉ chứa tham số thì bỏ qua được — tự tick Pass.</t>
        </is>
      </c>
      <c r="J1517" s="48" t="inlineStr">
        <is>
          <t>077. OCB_GOLD_TCKH_LOAN_SUMMARY_LIST_PHAT.xlsx [Script: LOAN_SUMMARY_LIST]</t>
        </is>
      </c>
    </row>
    <row r="1518">
      <c r="A1518" s="48" t="inlineStr">
        <is>
          <t>TCKH.LOAN_SUMMARY_LIST</t>
        </is>
      </c>
      <c r="B1518" s="48" t="inlineStr">
        <is>
          <t>SILVER_CONSUMER</t>
        </is>
      </c>
      <c r="C1518" s="48" t="inlineStr">
        <is>
          <t>3.3</t>
        </is>
      </c>
      <c r="D1518" s="48" t="inlineStr">
        <is>
          <t>Nhom 3 - Optimization</t>
        </is>
      </c>
      <c r="E1518" s="48" t="inlineStr">
        <is>
          <t>Filter trước khi join, tận dụng partition pruning</t>
        </is>
      </c>
      <c r="F1518" s="49" t="inlineStr">
        <is>
          <t>PASS</t>
        </is>
      </c>
      <c r="G1518" s="48" t="inlineStr">
        <is>
          <t>Pass</t>
        </is>
      </c>
      <c r="H1518" s="50" t="inlineStr">
        <is>
          <t>các bảng join đều được filter trước</t>
        </is>
      </c>
      <c r="I1518" s="50" t="inlineStr">
        <is>
          <t>Đưa điều kiện lọc (ngày dữ liệu, trạng thái) vào subquery của từng bảng TRƯỚC khi join, để tận dụng partition pruning. Bảng dim nhỏ không partition thì không cần — tự tick Pass.</t>
        </is>
      </c>
      <c r="J1518" s="48" t="inlineStr">
        <is>
          <t>077. OCB_GOLD_TCKH_LOAN_SUMMARY_LIST_PHAT.xlsx [Script: LOAN_SUMMARY_LIST]</t>
        </is>
      </c>
    </row>
    <row r="1519">
      <c r="A1519" s="48" t="inlineStr">
        <is>
          <t>TCKH.LOAN_SUMMARY_LIST</t>
        </is>
      </c>
      <c r="B1519" s="48" t="inlineStr">
        <is>
          <t>SILVER_CONSUMER</t>
        </is>
      </c>
      <c r="C1519" s="48" t="inlineStr">
        <is>
          <t>3.4</t>
        </is>
      </c>
      <c r="D1519" s="48" t="inlineStr">
        <is>
          <t>Nhom 3 - Optimization</t>
        </is>
      </c>
      <c r="E1519" s="48" t="inlineStr">
        <is>
          <t>Sử dụng CACHE cho query lặp lại trong cùng luồng</t>
        </is>
      </c>
      <c r="F1519" s="51" t="inlineStr">
        <is>
          <t>WARN</t>
        </is>
      </c>
      <c r="G1519" s="48" t="inlineStr">
        <is>
          <t>WARN</t>
        </is>
      </c>
      <c r="H1519" s="50" t="inlineStr">
        <is>
          <t>27 CTE nặng dùng lại &gt;= 2 lần mà không có CACHE: coll_cr_cur, coll_info_cur, coll_rl_cur, comb_hub_raw, cust, cust_cls_cur, customer_active, del_collateral, del_collateral_right, del_limit, exg, ld_hub, limit_info_cur, ln_cust_cur, ln_limit_cur, ln_pd_cur, ofcr_active, ofcr_info_cur, ou, pd_over_cur, ref_category, ref_custgroup, ref_industry, ref_purpose, ref_sector, rt_base, sched_cur</t>
        </is>
      </c>
      <c r="I1519" s="50" t="inlineStr">
        <is>
          <t>Nếu một kết quả nặng được dùng lại nhiều bước trong cùng luồng, thêm CACHE TABLE / CACHE SELECT. Kết quả nhỏ thì cache còn chậm hơn — tự tick Pass.</t>
        </is>
      </c>
      <c r="J1519" s="48" t="inlineStr">
        <is>
          <t>077. OCB_GOLD_TCKH_LOAN_SUMMARY_LIST_PHAT.xlsx [Script: LOAN_SUMMARY_LIST]</t>
        </is>
      </c>
    </row>
    <row r="1520">
      <c r="A1520" s="48" t="inlineStr">
        <is>
          <t>TCKH.LOAN_SUMMARY_LIST</t>
        </is>
      </c>
      <c r="B1520" s="48" t="inlineStr">
        <is>
          <t>SILVER_CONSUMER</t>
        </is>
      </c>
      <c r="C1520" s="48" t="inlineStr">
        <is>
          <t>3.5</t>
        </is>
      </c>
      <c r="D1520" s="48" t="inlineStr">
        <is>
          <t>Nhom 3 - Optimization</t>
        </is>
      </c>
      <c r="E1520" s="48" t="inlineStr">
        <is>
          <t>Ưu tiên MAX_BY + QUALIFY thay ROW_NUMBER() + WHERE rn = 1</t>
        </is>
      </c>
      <c r="F1520" s="52" t="inlineStr">
        <is>
          <t>FAIL</t>
        </is>
      </c>
      <c r="G1520" s="48" t="inlineStr">
        <is>
          <t>Fail</t>
        </is>
      </c>
      <c r="H1520" s="50" t="inlineStr">
        <is>
          <t>2 block ≤5 cột vẫn dùng ROW_NUMBER=1 (dòng [248]) — ít cột thì MAX_BY đơn giản hơn, pattern chuẩn đã chốt là MAX_BY (Issue log #5)</t>
        </is>
      </c>
      <c r="I15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520" s="48" t="inlineStr">
        <is>
          <t>077. OCB_GOLD_TCKH_LOAN_SUMMARY_LIST_PHAT.xlsx [Script: LOAN_SUMMARY_LIST]</t>
        </is>
      </c>
    </row>
    <row r="1521">
      <c r="A1521" s="48" t="inlineStr">
        <is>
          <t>TCKH.LOAN_SUMMARY_LIST</t>
        </is>
      </c>
      <c r="B1521" s="48" t="inlineStr">
        <is>
          <t>SILVER_CONSUMER</t>
        </is>
      </c>
      <c r="C1521" s="48" t="inlineStr">
        <is>
          <t>3.6</t>
        </is>
      </c>
      <c r="D1521" s="48" t="inlineStr">
        <is>
          <t>Nhom 3 - Optimization</t>
        </is>
      </c>
      <c r="E1521" s="48" t="inlineStr">
        <is>
          <t>Không lạm dụng window function; có comment khi dùng</t>
        </is>
      </c>
      <c r="F1521" s="51" t="inlineStr">
        <is>
          <t>WARN</t>
        </is>
      </c>
      <c r="G1521" s="48" t="inlineStr">
        <is>
          <t>WARN</t>
        </is>
      </c>
      <c r="H1521" s="50" t="inlineStr">
        <is>
          <t>5/5 window function không có comment giải thích, ở dòng [248, 258, 667, 669, 782]</t>
        </is>
      </c>
      <c r="I1521" s="50" t="inlineStr">
        <is>
          <t>Mỗi window function cần một comment ngay trên khối CTE chứa nó, nói rõ vì sao không dùng được max_by/QUALIFY đơn giản hơn.</t>
        </is>
      </c>
      <c r="J1521" s="48" t="inlineStr">
        <is>
          <t>077. OCB_GOLD_TCKH_LOAN_SUMMARY_LIST_PHAT.xlsx [Script: LOAN_SUMMARY_LIST]</t>
        </is>
      </c>
    </row>
    <row r="1522">
      <c r="A1522" s="48" t="inlineStr">
        <is>
          <t>TCKH.LOAN_SUMMARY_LIST</t>
        </is>
      </c>
      <c r="B1522" s="48" t="inlineStr">
        <is>
          <t>SILVER_CONSUMER</t>
        </is>
      </c>
      <c r="C1522" s="48" t="inlineStr">
        <is>
          <t>X.1</t>
        </is>
      </c>
      <c r="D1522" s="48" t="inlineStr">
        <is>
          <t>Nhom X - Bo sung Raffles</t>
        </is>
      </c>
      <c r="E1522" s="48" t="inlineStr">
        <is>
          <t>[Bổ sung] Link phải rút về current trước khi join (chống fan-out)</t>
        </is>
      </c>
      <c r="F1522" s="49" t="inlineStr">
        <is>
          <t>PASS</t>
        </is>
      </c>
      <c r="G1522" s="48" t="inlineStr">
        <is>
          <t>Pass</t>
        </is>
      </c>
      <c r="H1522" s="50" t="inlineStr">
        <is>
          <t>các bảng link_* đều được rút về current trước khi join</t>
        </is>
      </c>
      <c r="I15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522" s="48" t="inlineStr">
        <is>
          <t>077. OCB_GOLD_TCKH_LOAN_SUMMARY_LIST_PHAT.xlsx [Script: LOAN_SUMMARY_LIST]</t>
        </is>
      </c>
    </row>
    <row r="1523">
      <c r="A1523" s="48" t="inlineStr">
        <is>
          <t>TCKH.LOAN_SUMMARY_LIST</t>
        </is>
      </c>
      <c r="B1523" s="48" t="inlineStr">
        <is>
          <t>SILVER_CONSUMER</t>
        </is>
      </c>
      <c r="C1523" s="48" t="inlineStr">
        <is>
          <t>X.6</t>
        </is>
      </c>
      <c r="D1523" s="48" t="inlineStr">
        <is>
          <t>Nhom X - Bo sung Raffles</t>
        </is>
      </c>
      <c r="E1523" s="48" t="inlineStr">
        <is>
          <t>[Bổ sung] Satellite phải LEFT JOIN, không INNER JOIN</t>
        </is>
      </c>
      <c r="F1523" s="49" t="inlineStr">
        <is>
          <t>PASS</t>
        </is>
      </c>
      <c r="G1523" s="48" t="inlineStr">
        <is>
          <t>Pass</t>
        </is>
      </c>
      <c r="H1523" s="50" t="inlineStr">
        <is>
          <t>các satellite đều LEFT JOIN</t>
        </is>
      </c>
      <c r="I1523" s="50" t="inlineStr">
        <is>
          <t>Technical Document III.4.2.2 nguyên tắc 1: làm giàu thuộc tính luôn dùng LEFT JOIN. INNER JOIN satellite sẽ loại mất bản ghi Hub đang còn hiệu lực nhưng chưa có dòng satellite.</t>
        </is>
      </c>
      <c r="J1523" s="48" t="inlineStr">
        <is>
          <t>077. OCB_GOLD_TCKH_LOAN_SUMMARY_LIST_PHAT.xlsx [Script: LOAN_SUMMARY_LIST]</t>
        </is>
      </c>
    </row>
    <row r="1524">
      <c r="A1524" s="48" t="inlineStr">
        <is>
          <t>TCKH.LOAN_SUMMARY_LIST</t>
        </is>
      </c>
      <c r="B1524" s="48" t="inlineStr">
        <is>
          <t>SILVER_CONSUMER</t>
        </is>
      </c>
      <c r="C1524" s="48" t="inlineStr">
        <is>
          <t>X.7</t>
        </is>
      </c>
      <c r="D1524" s="48" t="inlineStr">
        <is>
          <t>Nhom X - Bo sung Raffles</t>
        </is>
      </c>
      <c r="E1524" s="48" t="inlineStr">
        <is>
          <t>[Bổ sung] Không hard-code catalog, dùng biến môi trường</t>
        </is>
      </c>
      <c r="F1524" s="49" t="inlineStr">
        <is>
          <t>PASS</t>
        </is>
      </c>
      <c r="G1524" s="48" t="inlineStr">
        <is>
          <t>Pass</t>
        </is>
      </c>
      <c r="H1524" s="50" t="inlineStr">
        <is>
          <t>dùng biến môi trường cho catalog</t>
        </is>
      </c>
      <c r="I15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524" s="48" t="inlineStr">
        <is>
          <t>077. OCB_GOLD_TCKH_LOAN_SUMMARY_LIST_PHAT.xlsx [Script: LOAN_SUMMARY_LIST]</t>
        </is>
      </c>
    </row>
    <row r="1525">
      <c r="A1525" s="48" t="inlineStr">
        <is>
          <t>TCKH.LOAN_SUMMARY_LIST</t>
        </is>
      </c>
      <c r="B1525" s="48" t="inlineStr">
        <is>
          <t>SILVER_CONSUMER</t>
        </is>
      </c>
      <c r="C1525" s="48" t="inlineStr">
        <is>
          <t>X.10</t>
        </is>
      </c>
      <c r="D1525" s="48" t="inlineStr">
        <is>
          <t>Nhom X - Bo sung Raffles</t>
        </is>
      </c>
      <c r="E1525" s="48" t="inlineStr">
        <is>
          <t>Bang raw_vault/business_vault duoc doc phai TON TAI THAT trong Data Vault model</t>
        </is>
      </c>
      <c r="F1525" s="49" t="inlineStr">
        <is>
          <t>PASS</t>
        </is>
      </c>
      <c r="G1525" s="48" t="inlineStr">
        <is>
          <t>Pass</t>
        </is>
      </c>
      <c r="H1525" s="50" t="inlineStr">
        <is>
          <t>59 bảng Silver đều có thật trong Data Vault model</t>
        </is>
      </c>
      <c r="I1525" s="50" t="inlineStr"/>
      <c r="J1525" s="48" t="inlineStr">
        <is>
          <t>077. OCB_GOLD_TCKH_LOAN_SUMMARY_LIST_PHAT.xlsx [Script: LOAN_SUMMARY_LIST]</t>
        </is>
      </c>
    </row>
    <row r="1526">
      <c r="A1526" s="48" t="inlineStr">
        <is>
          <t>TCKH.LOAN_SUMMARY_LIST</t>
        </is>
      </c>
      <c r="B1526" s="48" t="inlineStr">
        <is>
          <t>SILVER_CONSUMER</t>
        </is>
      </c>
      <c r="C1526" s="48" t="inlineStr">
        <is>
          <t>X.11</t>
        </is>
      </c>
      <c r="D1526" s="48" t="inlineStr">
        <is>
          <t>Nhom X - Bo sung Raffles</t>
        </is>
      </c>
      <c r="E1526" s="48" t="inlineStr">
        <is>
          <t>Cot doc tu satellite (sat_*) phai TON TAI THAT trong model</t>
        </is>
      </c>
      <c r="F1526" s="49" t="inlineStr">
        <is>
          <t>PASS</t>
        </is>
      </c>
      <c r="G1526" s="48" t="inlineStr">
        <is>
          <t>Pass</t>
        </is>
      </c>
      <c r="H1526" s="50" t="inlineStr">
        <is>
          <t>mọi cột đọc từ sat_* đều tồn tại trong model thật</t>
        </is>
      </c>
      <c r="I1526" s="50" t="inlineStr"/>
      <c r="J1526" s="48" t="inlineStr">
        <is>
          <t>077. OCB_GOLD_TCKH_LOAN_SUMMARY_LIST_PHAT.xlsx [Script: LOAN_SUMMARY_LIST]</t>
        </is>
      </c>
    </row>
    <row r="1527">
      <c r="A1527" s="48" t="inlineStr">
        <is>
          <t>TCKH.CB_OU_DIM</t>
        </is>
      </c>
      <c r="B1527" s="48" t="inlineStr">
        <is>
          <t>SILVER_CONSUMER</t>
        </is>
      </c>
      <c r="C1527" s="48" t="inlineStr">
        <is>
          <t>1.1</t>
        </is>
      </c>
      <c r="D1527" s="48" t="inlineStr">
        <is>
          <t>Nhom 1 - Mapping</t>
        </is>
      </c>
      <c r="E1527" s="48" t="inlineStr">
        <is>
          <t>Đầy đủ mapping từ Silver/manual sang Gold</t>
        </is>
      </c>
      <c r="F1527" s="49" t="inlineStr">
        <is>
          <t>PASS</t>
        </is>
      </c>
      <c r="G1527" s="48" t="inlineStr">
        <is>
          <t>Pass</t>
        </is>
      </c>
      <c r="H1527" s="50" t="inlineStr">
        <is>
          <t>workbook 078. OCB_GOLD_TCKH_CB_OU_DIM_HOP.xlsx: thiết kế 15 field, SQL có 15 cột</t>
        </is>
      </c>
      <c r="I15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27" s="48" t="inlineStr">
        <is>
          <t>078. OCB_GOLD_TCKH_CB_OU_DIM_HOP.xlsx [SCRIPT: CB_OU_DIM]</t>
        </is>
      </c>
    </row>
    <row r="1528">
      <c r="A1528" s="48" t="inlineStr">
        <is>
          <t>TCKH.CB_OU_DIM</t>
        </is>
      </c>
      <c r="B1528" s="48" t="inlineStr">
        <is>
          <t>SILVER_CONSUMER</t>
        </is>
      </c>
      <c r="C1528" s="48" t="inlineStr">
        <is>
          <t>1.2</t>
        </is>
      </c>
      <c r="D1528" s="48" t="inlineStr">
        <is>
          <t>Nhom 1 - Mapping</t>
        </is>
      </c>
      <c r="E1528" s="48" t="inlineStr">
        <is>
          <t>Danh sách bảng/view Gold khớp tài liệu thiết kế đã duyệt</t>
        </is>
      </c>
      <c r="F1528" s="49" t="inlineStr">
        <is>
          <t>PASS</t>
        </is>
      </c>
      <c r="G1528" s="48" t="inlineStr">
        <is>
          <t>Pass</t>
        </is>
      </c>
      <c r="H1528" s="50" t="inlineStr">
        <is>
          <t>CB_OU_DIM có workbook thiết kế: 078. OCB_GOLD_TCKH_CB_OU_DIM_HOP.xlsx</t>
        </is>
      </c>
      <c r="I1528" s="50" t="inlineStr">
        <is>
          <t>Đảm bảo object có workbook thiết kế tương ứng trong thư mục --mapping-dir. Muốn đối chiếu với danh sách đã duyệt thì chạy thêm tham số --gold-list "&lt;file danh sách Gold&gt;.xlsx".</t>
        </is>
      </c>
      <c r="J1528" s="48" t="inlineStr">
        <is>
          <t>078. OCB_GOLD_TCKH_CB_OU_DIM_HOP.xlsx [SCRIPT: CB_OU_DIM]</t>
        </is>
      </c>
    </row>
    <row r="1529">
      <c r="A1529" s="48" t="inlineStr">
        <is>
          <t>TCKH.CB_OU_DIM</t>
        </is>
      </c>
      <c r="B1529" s="48" t="inlineStr">
        <is>
          <t>SILVER_CONSUMER</t>
        </is>
      </c>
      <c r="C1529" s="48" t="inlineStr">
        <is>
          <t>2.1</t>
        </is>
      </c>
      <c r="D1529" s="48" t="inlineStr">
        <is>
          <t>Nhom 2 - Logic</t>
        </is>
      </c>
      <c r="E1529" s="48" t="inlineStr">
        <is>
          <t>Chỉ lấy bản ghi active, loại bản ghi đã xóa (qua sts_hub)</t>
        </is>
      </c>
      <c r="F1529" s="49" t="inlineStr">
        <is>
          <t>PASS</t>
        </is>
      </c>
      <c r="G1529" s="48" t="inlineStr">
        <is>
          <t>Pass</t>
        </is>
      </c>
      <c r="H1529" s="50" t="inlineStr">
        <is>
          <t>1 sts_hub_* đọc đúng format</t>
        </is>
      </c>
      <c r="I15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29" s="48" t="inlineStr">
        <is>
          <t>078. OCB_GOLD_TCKH_CB_OU_DIM_HOP.xlsx [SCRIPT: CB_OU_DIM]</t>
        </is>
      </c>
    </row>
    <row r="1530">
      <c r="A1530" s="48" t="inlineStr">
        <is>
          <t>TCKH.CB_OU_DIM</t>
        </is>
      </c>
      <c r="B1530" s="48" t="inlineStr">
        <is>
          <t>SILVER_CONSUMER</t>
        </is>
      </c>
      <c r="C1530" s="48" t="inlineStr">
        <is>
          <t>2.2</t>
        </is>
      </c>
      <c r="D1530" s="48" t="inlineStr">
        <is>
          <t>Nhom 2 - Logic</t>
        </is>
      </c>
      <c r="E1530" s="48" t="inlineStr">
        <is>
          <t>Thống nhất MỘT pattern duy nhất xác định bản ghi active mới nhất</t>
        </is>
      </c>
      <c r="F1530" s="49" t="inlineStr">
        <is>
          <t>PASS</t>
        </is>
      </c>
      <c r="G1530" s="48" t="inlineStr">
        <is>
          <t>Pass</t>
        </is>
      </c>
      <c r="H1530" s="50" t="inlineStr">
        <is>
          <t>file này dùng: ['MAX_BY']; toàn batch dùng: ['MAX_BY']</t>
        </is>
      </c>
      <c r="I15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30" s="48" t="inlineStr">
        <is>
          <t>078. OCB_GOLD_TCKH_CB_OU_DIM_HOP.xlsx [SCRIPT: CB_OU_DIM]</t>
        </is>
      </c>
    </row>
    <row r="1531">
      <c r="A1531" s="48" t="inlineStr">
        <is>
          <t>TCKH.CB_OU_DIM</t>
        </is>
      </c>
      <c r="B1531" s="48" t="inlineStr">
        <is>
          <t>SILVER_CONSUMER</t>
        </is>
      </c>
      <c r="C1531" s="48" t="inlineStr">
        <is>
          <t>2.3</t>
        </is>
      </c>
      <c r="D1531" s="48" t="inlineStr">
        <is>
          <t>Nhom 2 - Logic</t>
        </is>
      </c>
      <c r="E1531" s="48" t="inlineStr">
        <is>
          <t>Điều kiện lọc trạng thái đặt SAU khi xác định bản ghi mới nhất</t>
        </is>
      </c>
      <c r="F1531" s="49" t="inlineStr">
        <is>
          <t>PASS</t>
        </is>
      </c>
      <c r="G1531" s="48" t="inlineStr">
        <is>
          <t>Pass</t>
        </is>
      </c>
      <c r="H1531" s="50" t="inlineStr">
        <is>
          <t>không có điều kiện trạng thái nào lồng trong JOIN ON</t>
        </is>
      </c>
      <c r="I15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31" s="48" t="inlineStr">
        <is>
          <t>078. OCB_GOLD_TCKH_CB_OU_DIM_HOP.xlsx [SCRIPT: CB_OU_DIM]</t>
        </is>
      </c>
    </row>
    <row r="1532">
      <c r="A1532" s="48" t="inlineStr">
        <is>
          <t>TCKH.CB_OU_DIM</t>
        </is>
      </c>
      <c r="B1532" s="48" t="inlineStr">
        <is>
          <t>SILVER_CONSUMER</t>
        </is>
      </c>
      <c r="C1532" s="48" t="inlineStr">
        <is>
          <t>2.4</t>
        </is>
      </c>
      <c r="D1532" s="48" t="inlineStr">
        <is>
          <t>Nhom 2 - Logic</t>
        </is>
      </c>
      <c r="E1532" s="48" t="inlineStr">
        <is>
          <t>source_event_date áp dụng đúng dạng theo loại bảng</t>
        </is>
      </c>
      <c r="F1532" s="49" t="inlineStr">
        <is>
          <t>PASS</t>
        </is>
      </c>
      <c r="G1532" s="48" t="inlineStr">
        <is>
          <t>Pass</t>
        </is>
      </c>
      <c r="H1532" s="50" t="inlineStr">
        <is>
          <t>2 satellite đều đúng dạng điều kiện source_event_date</t>
        </is>
      </c>
      <c r="I15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32" s="48" t="inlineStr">
        <is>
          <t>078. OCB_GOLD_TCKH_CB_OU_DIM_HOP.xlsx [SCRIPT: CB_OU_DIM]</t>
        </is>
      </c>
    </row>
    <row r="1533">
      <c r="A1533" s="48" t="inlineStr">
        <is>
          <t>TCKH.CB_OU_DIM</t>
        </is>
      </c>
      <c r="B1533" s="48" t="inlineStr">
        <is>
          <t>SILVER_CONSUMER</t>
        </is>
      </c>
      <c r="C1533" s="48" t="inlineStr">
        <is>
          <t>2.5</t>
        </is>
      </c>
      <c r="D1533" s="48" t="inlineStr">
        <is>
          <t>Nhom 2 - Logic</t>
        </is>
      </c>
      <c r="E1533" s="48" t="inlineStr">
        <is>
          <t>Không lặp lại lỗi logic cũ đã được DA Data Vault fix</t>
        </is>
      </c>
      <c r="F1533" s="49" t="inlineStr">
        <is>
          <t>PASS</t>
        </is>
      </c>
      <c r="G1533" s="48" t="inlineStr">
        <is>
          <t>Pass</t>
        </is>
      </c>
      <c r="H1533" s="50" t="inlineStr">
        <is>
          <t>không trùng lỗi nào trong Issue log của DA Data Vault</t>
        </is>
      </c>
      <c r="I15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33" s="48" t="inlineStr">
        <is>
          <t>078. OCB_GOLD_TCKH_CB_OU_DIM_HOP.xlsx [SCRIPT: CB_OU_DIM]</t>
        </is>
      </c>
    </row>
    <row r="1534">
      <c r="A1534" s="48" t="inlineStr">
        <is>
          <t>TCKH.CB_OU_DIM</t>
        </is>
      </c>
      <c r="B1534" s="48" t="inlineStr">
        <is>
          <t>SILVER_CONSUMER</t>
        </is>
      </c>
      <c r="C1534" s="48" t="inlineStr">
        <is>
          <t>2.6</t>
        </is>
      </c>
      <c r="D1534" s="48" t="inlineStr">
        <is>
          <t>Nhom 2 - Logic</t>
        </is>
      </c>
      <c r="E1534" s="48" t="inlineStr">
        <is>
          <t>SCD Type 2 cho bảng DIM áp dụng đúng kỹ thuật đã thống nhất</t>
        </is>
      </c>
      <c r="F1534" s="49" t="inlineStr">
        <is>
          <t>PASS</t>
        </is>
      </c>
      <c r="G1534" s="48" t="inlineStr">
        <is>
          <t>Pass</t>
        </is>
      </c>
      <c r="H1534" s="50" t="inlineStr">
        <is>
          <t>có cột hiệu lực và không dùng MAX(ID)+ROW_NUMBER</t>
        </is>
      </c>
      <c r="I15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34" s="48" t="inlineStr">
        <is>
          <t>078. OCB_GOLD_TCKH_CB_OU_DIM_HOP.xlsx [SCRIPT: CB_OU_DIM]</t>
        </is>
      </c>
    </row>
    <row r="1535">
      <c r="A1535" s="48" t="inlineStr">
        <is>
          <t>TCKH.CB_OU_DIM</t>
        </is>
      </c>
      <c r="B1535" s="48" t="inlineStr">
        <is>
          <t>SILVER_CONSUMER</t>
        </is>
      </c>
      <c r="C1535" s="48" t="inlineStr">
        <is>
          <t>2.7</t>
        </is>
      </c>
      <c r="D1535" s="48" t="inlineStr">
        <is>
          <t>Nhom 2 - Logic</t>
        </is>
      </c>
      <c r="E1535" s="48" t="inlineStr">
        <is>
          <t>CASE WHEN cover đủ nhánh như job on-prem</t>
        </is>
      </c>
      <c r="F1535" s="49" t="inlineStr">
        <is>
          <t>PASS</t>
        </is>
      </c>
      <c r="G1535" s="48" t="inlineStr">
        <is>
          <t>Pass</t>
        </is>
      </c>
      <c r="H1535" s="50" t="inlineStr">
        <is>
          <t>cả 1 CASE đều có nhánh ELSE</t>
        </is>
      </c>
      <c r="I1535" s="50" t="inlineStr">
        <is>
          <t>Mở job on-prem tương ứng (DataStage DSX hoặc SQL cũ), đối chiếu từng nhánh WHEN và cả nhánh ELSE. CASE không có ELSE sẽ trả NULL âm thầm — xác nhận đó là ý muốn hay thiếu nhánh.</t>
        </is>
      </c>
      <c r="J1535" s="48" t="inlineStr">
        <is>
          <t>078. OCB_GOLD_TCKH_CB_OU_DIM_HOP.xlsx [SCRIPT: CB_OU_DIM]</t>
        </is>
      </c>
    </row>
    <row r="1536">
      <c r="A1536" s="48" t="inlineStr">
        <is>
          <t>TCKH.CB_OU_DIM</t>
        </is>
      </c>
      <c r="B1536" s="48" t="inlineStr">
        <is>
          <t>SILVER_CONSUMER</t>
        </is>
      </c>
      <c r="C1536" s="48" t="inlineStr">
        <is>
          <t>2.8</t>
        </is>
      </c>
      <c r="D1536" s="48" t="inlineStr">
        <is>
          <t>Nhom 2 - Logic</t>
        </is>
      </c>
      <c r="E1536" s="48" t="inlineStr">
        <is>
          <t>Cột SUM/COUNT được COALESCE/NVL hợp lý</t>
        </is>
      </c>
      <c r="F1536" s="49" t="inlineStr">
        <is>
          <t>PASS</t>
        </is>
      </c>
      <c r="G1536" s="48" t="inlineStr">
        <is>
          <t>Pass</t>
        </is>
      </c>
      <c r="H1536" s="50" t="inlineStr">
        <is>
          <t>mọi SUM/COUNT đều đã coalesce (trực tiếp hoặc ở lớp ngoài)</t>
        </is>
      </c>
      <c r="I15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536" s="48" t="inlineStr">
        <is>
          <t>078. OCB_GOLD_TCKH_CB_OU_DIM_HOP.xlsx [SCRIPT: CB_OU_DIM]</t>
        </is>
      </c>
    </row>
    <row r="1537">
      <c r="A1537" s="48" t="inlineStr">
        <is>
          <t>TCKH.CB_OU_DIM</t>
        </is>
      </c>
      <c r="B1537" s="48" t="inlineStr">
        <is>
          <t>SILVER_CONSUMER</t>
        </is>
      </c>
      <c r="C1537" s="48" t="inlineStr">
        <is>
          <t>2.9</t>
        </is>
      </c>
      <c r="D1537" s="48" t="inlineStr">
        <is>
          <t>Nhom 2 - Logic</t>
        </is>
      </c>
      <c r="E1537" s="48" t="inlineStr">
        <is>
          <t>Subquery / custom function / điều kiện LIKE đúng ý nghĩa nghiệp vụ</t>
        </is>
      </c>
      <c r="F1537" s="49" t="inlineStr">
        <is>
          <t>PASS</t>
        </is>
      </c>
      <c r="G1537" s="48" t="inlineStr">
        <is>
          <t>Pass</t>
        </is>
      </c>
      <c r="H1537" s="50" t="inlineStr">
        <is>
          <t>2 subquery nằm trong điều kiện; cú pháp hợp lệ; ý nghĩa nghiệp vụ cần người review đối chiếu job on-prem</t>
        </is>
      </c>
      <c r="I1537" s="50" t="inlineStr">
        <is>
          <t>Đọc lại từng điều kiện LIKE và từng subquery, đối chiếu ý nghĩa nghiệp vụ với on-prem — đúng cú pháp không đủ. Chú ý pattern LIKE có ký tự % ở đầu/cuối và phân biệt chữ hoa/thường.</t>
        </is>
      </c>
      <c r="J1537" s="48" t="inlineStr">
        <is>
          <t>078. OCB_GOLD_TCKH_CB_OU_DIM_HOP.xlsx [SCRIPT: CB_OU_DIM]</t>
        </is>
      </c>
    </row>
    <row r="1538">
      <c r="A1538" s="48" t="inlineStr">
        <is>
          <t>TCKH.CB_OU_DIM</t>
        </is>
      </c>
      <c r="B1538" s="48" t="inlineStr">
        <is>
          <t>SILVER_CONSUMER</t>
        </is>
      </c>
      <c r="C1538" s="48" t="inlineStr">
        <is>
          <t>2.10</t>
        </is>
      </c>
      <c r="D1538" s="48" t="inlineStr">
        <is>
          <t>Nhom 2 - Logic</t>
        </is>
      </c>
      <c r="E1538" s="48" t="inlineStr">
        <is>
          <t>Aggregation kèm filter date range chính xác</t>
        </is>
      </c>
      <c r="F1538" s="49" t="inlineStr">
        <is>
          <t>PASS</t>
        </is>
      </c>
      <c r="G1538" s="48" t="inlineStr">
        <is>
          <t>Pass</t>
        </is>
      </c>
      <c r="H1538" s="50" t="inlineStr">
        <is>
          <t>mọi khối tổng hợp đều có điều kiện theo kỳ dữ liệu</t>
        </is>
      </c>
      <c r="I1538" s="50" t="inlineStr">
        <is>
          <t>Mỗi khối SUM/COUNT/AVG phải có điều kiện lọc theo kỳ dữ liệu (CDR_DT_ID, DATA_DATE, :DATADT…). Nếu điều kiện nằm ở CTE nguồn thì ghi rõ trong comment để người review không phải truy ngược.</t>
        </is>
      </c>
      <c r="J1538" s="48" t="inlineStr">
        <is>
          <t>078. OCB_GOLD_TCKH_CB_OU_DIM_HOP.xlsx [SCRIPT: CB_OU_DIM]</t>
        </is>
      </c>
    </row>
    <row r="1539">
      <c r="A1539" s="48" t="inlineStr">
        <is>
          <t>TCKH.CB_OU_DIM</t>
        </is>
      </c>
      <c r="B1539" s="48" t="inlineStr">
        <is>
          <t>SILVER_CONSUMER</t>
        </is>
      </c>
      <c r="C1539" s="48" t="inlineStr">
        <is>
          <t>2.11</t>
        </is>
      </c>
      <c r="D1539" s="48" t="inlineStr">
        <is>
          <t>Nhom 2 - Logic</t>
        </is>
      </c>
      <c r="E1539" s="48" t="inlineStr">
        <is>
          <t>Join dùng key hợp lý, không lạm dụng UNION ALL + EXISTS/NOT EXISTS</t>
        </is>
      </c>
      <c r="F1539" s="49" t="inlineStr">
        <is>
          <t>PASS</t>
        </is>
      </c>
      <c r="G1539" s="48" t="inlineStr">
        <is>
          <t>Pass</t>
        </is>
      </c>
      <c r="H1539" s="50" t="inlineStr">
        <is>
          <t>join đều theo điều kiện bằng, không lạm dụng UNION ALL + EXISTS</t>
        </is>
      </c>
      <c r="I1539" s="50" t="inlineStr">
        <is>
          <t>Ưu tiên LEFT JOIN theo business key hoặc hashkey. Xem lại các chỗ dùng UNION ALL kết hợp EXISTS/NOT EXISTS — thường thay được bằng một LEFT JOIN. Join không có điều kiện bằng (=) dễ tạo tích Descartes.</t>
        </is>
      </c>
      <c r="J1539" s="48" t="inlineStr">
        <is>
          <t>078. OCB_GOLD_TCKH_CB_OU_DIM_HOP.xlsx [SCRIPT: CB_OU_DIM]</t>
        </is>
      </c>
    </row>
    <row r="1540">
      <c r="A1540" s="48" t="inlineStr">
        <is>
          <t>TCKH.CB_OU_DIM</t>
        </is>
      </c>
      <c r="B1540" s="48" t="inlineStr">
        <is>
          <t>SILVER_CONSUMER</t>
        </is>
      </c>
      <c r="C1540" s="48" t="inlineStr">
        <is>
          <t>2.12</t>
        </is>
      </c>
      <c r="D1540" s="48" t="inlineStr">
        <is>
          <t>Nhom 2 - Logic</t>
        </is>
      </c>
      <c r="E1540" s="48" t="inlineStr">
        <is>
          <t>Build Gold từ CTE snapshot Silver, không build nhiều tầng chồng chéo</t>
        </is>
      </c>
      <c r="F1540" s="49" t="inlineStr">
        <is>
          <t>PASS</t>
        </is>
      </c>
      <c r="G1540" s="48" t="inlineStr">
        <is>
          <t>Pass</t>
        </is>
      </c>
      <c r="H1540" s="50" t="inlineStr">
        <is>
          <t>mỗi bảng nguồn chỉ đọc trong 1 khối SELECT</t>
        </is>
      </c>
      <c r="I15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40" s="48" t="inlineStr">
        <is>
          <t>078. OCB_GOLD_TCKH_CB_OU_DIM_HOP.xlsx [SCRIPT: CB_OU_DIM]</t>
        </is>
      </c>
    </row>
    <row r="1541">
      <c r="A1541" s="48" t="inlineStr">
        <is>
          <t>TCKH.CB_OU_DIM</t>
        </is>
      </c>
      <c r="B1541" s="48" t="inlineStr">
        <is>
          <t>SILVER_CONSUMER</t>
        </is>
      </c>
      <c r="C1541" s="48" t="inlineStr">
        <is>
          <t>3.1</t>
        </is>
      </c>
      <c r="D1541" s="48" t="inlineStr">
        <is>
          <t>Nhom 3 - Optimization</t>
        </is>
      </c>
      <c r="E1541" s="48" t="inlineStr">
        <is>
          <t>Không SELECT *</t>
        </is>
      </c>
      <c r="F1541" s="49" t="inlineStr">
        <is>
          <t>PASS</t>
        </is>
      </c>
      <c r="G1541" s="48" t="inlineStr">
        <is>
          <t>Pass</t>
        </is>
      </c>
      <c r="H1541" s="50" t="inlineStr">
        <is>
          <t>không dùng SELECT * ở đâu</t>
        </is>
      </c>
      <c r="I1541" s="50" t="inlineStr">
        <is>
          <t>Liệt kê tường minh các cột cần dùng, kể cả trong CTE trung gian. SELECT * làm tăng IO/memory và vỡ script khi bảng nguồn thêm cột.</t>
        </is>
      </c>
      <c r="J1541" s="48" t="inlineStr">
        <is>
          <t>078. OCB_GOLD_TCKH_CB_OU_DIM_HOP.xlsx [SCRIPT: CB_OU_DIM]</t>
        </is>
      </c>
    </row>
    <row r="1542">
      <c r="A1542" s="48" t="inlineStr">
        <is>
          <t>TCKH.CB_OU_DIM</t>
        </is>
      </c>
      <c r="B1542" s="48" t="inlineStr">
        <is>
          <t>SILVER_CONSUMER</t>
        </is>
      </c>
      <c r="C1542" s="48" t="inlineStr">
        <is>
          <t>3.2</t>
        </is>
      </c>
      <c r="D1542" s="48" t="inlineStr">
        <is>
          <t>Nhom 3 - Optimization</t>
        </is>
      </c>
      <c r="E1542" s="48" t="inlineStr">
        <is>
          <t>CTE không bị scan lại nhiều lần</t>
        </is>
      </c>
      <c r="F1542" s="51" t="inlineStr">
        <is>
          <t>WARN</t>
        </is>
      </c>
      <c r="G1542" s="48" t="inlineStr">
        <is>
          <t>WARN</t>
        </is>
      </c>
      <c r="H1542" s="50" t="inlineStr">
        <is>
          <t>CTE bị tham chiếu lại nhiều lần: hub_active x2, sat_latest x2, changed x2</t>
        </is>
      </c>
      <c r="I1542" s="50" t="inlineStr">
        <is>
          <t>Với CTE nặng (đọc nhiều bảng Silver) bị tham chiếu từ 2 chỗ trở lên: gom lại còn một lần dùng, hoặc vật chất hóa (CACHE / bảng tạm). CTE nhẹ chỉ chứa tham số thì bỏ qua được — tự tick Pass.</t>
        </is>
      </c>
      <c r="J1542" s="48" t="inlineStr">
        <is>
          <t>078. OCB_GOLD_TCKH_CB_OU_DIM_HOP.xlsx [SCRIPT: CB_OU_DIM]</t>
        </is>
      </c>
    </row>
    <row r="1543">
      <c r="A1543" s="48" t="inlineStr">
        <is>
          <t>TCKH.CB_OU_DIM</t>
        </is>
      </c>
      <c r="B1543" s="48" t="inlineStr">
        <is>
          <t>SILVER_CONSUMER</t>
        </is>
      </c>
      <c r="C1543" s="48" t="inlineStr">
        <is>
          <t>3.3</t>
        </is>
      </c>
      <c r="D1543" s="48" t="inlineStr">
        <is>
          <t>Nhom 3 - Optimization</t>
        </is>
      </c>
      <c r="E1543" s="48" t="inlineStr">
        <is>
          <t>Filter trước khi join, tận dụng partition pruning</t>
        </is>
      </c>
      <c r="F1543" s="49" t="inlineStr">
        <is>
          <t>PASS</t>
        </is>
      </c>
      <c r="G1543" s="48" t="inlineStr">
        <is>
          <t>Pass</t>
        </is>
      </c>
      <c r="H1543" s="50" t="inlineStr">
        <is>
          <t>các bảng join đều được filter trước</t>
        </is>
      </c>
      <c r="I1543" s="50" t="inlineStr">
        <is>
          <t>Đưa điều kiện lọc (ngày dữ liệu, trạng thái) vào subquery của từng bảng TRƯỚC khi join, để tận dụng partition pruning. Bảng dim nhỏ không partition thì không cần — tự tick Pass.</t>
        </is>
      </c>
      <c r="J1543" s="48" t="inlineStr">
        <is>
          <t>078. OCB_GOLD_TCKH_CB_OU_DIM_HOP.xlsx [SCRIPT: CB_OU_DIM]</t>
        </is>
      </c>
    </row>
    <row r="1544">
      <c r="A1544" s="48" t="inlineStr">
        <is>
          <t>TCKH.CB_OU_DIM</t>
        </is>
      </c>
      <c r="B1544" s="48" t="inlineStr">
        <is>
          <t>SILVER_CONSUMER</t>
        </is>
      </c>
      <c r="C1544" s="48" t="inlineStr">
        <is>
          <t>3.4</t>
        </is>
      </c>
      <c r="D1544" s="48" t="inlineStr">
        <is>
          <t>Nhom 3 - Optimization</t>
        </is>
      </c>
      <c r="E1544" s="48" t="inlineStr">
        <is>
          <t>Sử dụng CACHE cho query lặp lại trong cùng luồng</t>
        </is>
      </c>
      <c r="F1544" s="51" t="inlineStr">
        <is>
          <t>WARN</t>
        </is>
      </c>
      <c r="G1544" s="48" t="inlineStr">
        <is>
          <t>WARN</t>
        </is>
      </c>
      <c r="H1544" s="50" t="inlineStr">
        <is>
          <t>3 CTE nặng dùng lại &gt;= 2 lần mà không có CACHE: changed, hub_active, sat_latest</t>
        </is>
      </c>
      <c r="I1544" s="50" t="inlineStr">
        <is>
          <t>Nếu một kết quả nặng được dùng lại nhiều bước trong cùng luồng, thêm CACHE TABLE / CACHE SELECT. Kết quả nhỏ thì cache còn chậm hơn — tự tick Pass.</t>
        </is>
      </c>
      <c r="J1544" s="48" t="inlineStr">
        <is>
          <t>078. OCB_GOLD_TCKH_CB_OU_DIM_HOP.xlsx [SCRIPT: CB_OU_DIM]</t>
        </is>
      </c>
    </row>
    <row r="1545">
      <c r="A1545" s="48" t="inlineStr">
        <is>
          <t>TCKH.CB_OU_DIM</t>
        </is>
      </c>
      <c r="B1545" s="48" t="inlineStr">
        <is>
          <t>SILVER_CONSUMER</t>
        </is>
      </c>
      <c r="C1545" s="48" t="inlineStr">
        <is>
          <t>3.5</t>
        </is>
      </c>
      <c r="D1545" s="48" t="inlineStr">
        <is>
          <t>Nhom 3 - Optimization</t>
        </is>
      </c>
      <c r="E1545" s="48" t="inlineStr">
        <is>
          <t>Ưu tiên MAX_BY + QUALIFY thay ROW_NUMBER() + WHERE rn = 1</t>
        </is>
      </c>
      <c r="F1545" s="48" t="inlineStr">
        <is>
          <t>N-A</t>
        </is>
      </c>
      <c r="G1545" s="48" t="inlineStr">
        <is>
          <t>Pass</t>
        </is>
      </c>
      <c r="H1545" s="50" t="inlineStr">
        <is>
          <t>script không dùng ROW_NUMBER, và MAX_BY (nếu có) không vượt quá 5 cột/khối</t>
        </is>
      </c>
      <c r="I15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545" s="48" t="inlineStr">
        <is>
          <t>078. OCB_GOLD_TCKH_CB_OU_DIM_HOP.xlsx [SCRIPT: CB_OU_DIM]</t>
        </is>
      </c>
    </row>
    <row r="1546">
      <c r="A1546" s="48" t="inlineStr">
        <is>
          <t>TCKH.CB_OU_DIM</t>
        </is>
      </c>
      <c r="B1546" s="48" t="inlineStr">
        <is>
          <t>SILVER_CONSUMER</t>
        </is>
      </c>
      <c r="C1546" s="48" t="inlineStr">
        <is>
          <t>3.6</t>
        </is>
      </c>
      <c r="D1546" s="48" t="inlineStr">
        <is>
          <t>Nhom 3 - Optimization</t>
        </is>
      </c>
      <c r="E1546" s="48" t="inlineStr">
        <is>
          <t>Không lạm dụng window function; có comment khi dùng</t>
        </is>
      </c>
      <c r="F1546" s="48" t="inlineStr">
        <is>
          <t>N-A</t>
        </is>
      </c>
      <c r="G1546" s="48" t="inlineStr">
        <is>
          <t>Pass</t>
        </is>
      </c>
      <c r="H1546" s="50" t="inlineStr">
        <is>
          <t>script không dùng window function</t>
        </is>
      </c>
      <c r="I1546" s="50" t="inlineStr">
        <is>
          <t>Mỗi window function cần một comment ngay trên khối CTE chứa nó, nói rõ vì sao không dùng được max_by/QUALIFY đơn giản hơn.</t>
        </is>
      </c>
      <c r="J1546" s="48" t="inlineStr">
        <is>
          <t>078. OCB_GOLD_TCKH_CB_OU_DIM_HOP.xlsx [SCRIPT: CB_OU_DIM]</t>
        </is>
      </c>
    </row>
    <row r="1547">
      <c r="A1547" s="48" t="inlineStr">
        <is>
          <t>TCKH.CB_OU_DIM</t>
        </is>
      </c>
      <c r="B1547" s="48" t="inlineStr">
        <is>
          <t>SILVER_CONSUMER</t>
        </is>
      </c>
      <c r="C1547" s="48" t="inlineStr">
        <is>
          <t>X.1</t>
        </is>
      </c>
      <c r="D1547" s="48" t="inlineStr">
        <is>
          <t>Nhom X - Bo sung Raffles</t>
        </is>
      </c>
      <c r="E1547" s="48" t="inlineStr">
        <is>
          <t>[Bổ sung] Link phải rút về current trước khi join (chống fan-out)</t>
        </is>
      </c>
      <c r="F1547" s="49" t="inlineStr">
        <is>
          <t>PASS</t>
        </is>
      </c>
      <c r="G1547" s="48" t="inlineStr">
        <is>
          <t>Pass</t>
        </is>
      </c>
      <c r="H1547" s="50" t="inlineStr">
        <is>
          <t>các bảng link_* đều được rút về current trước khi join</t>
        </is>
      </c>
      <c r="I15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547" s="48" t="inlineStr">
        <is>
          <t>078. OCB_GOLD_TCKH_CB_OU_DIM_HOP.xlsx [SCRIPT: CB_OU_DIM]</t>
        </is>
      </c>
    </row>
    <row r="1548">
      <c r="A1548" s="48" t="inlineStr">
        <is>
          <t>TCKH.CB_OU_DIM</t>
        </is>
      </c>
      <c r="B1548" s="48" t="inlineStr">
        <is>
          <t>SILVER_CONSUMER</t>
        </is>
      </c>
      <c r="C1548" s="48" t="inlineStr">
        <is>
          <t>X.6</t>
        </is>
      </c>
      <c r="D1548" s="48" t="inlineStr">
        <is>
          <t>Nhom X - Bo sung Raffles</t>
        </is>
      </c>
      <c r="E1548" s="48" t="inlineStr">
        <is>
          <t>[Bổ sung] Satellite phải LEFT JOIN, không INNER JOIN</t>
        </is>
      </c>
      <c r="F1548" s="49" t="inlineStr">
        <is>
          <t>PASS</t>
        </is>
      </c>
      <c r="G1548" s="48" t="inlineStr">
        <is>
          <t>Pass</t>
        </is>
      </c>
      <c r="H1548" s="50" t="inlineStr">
        <is>
          <t>các satellite đều LEFT JOIN</t>
        </is>
      </c>
      <c r="I1548" s="50" t="inlineStr">
        <is>
          <t>Technical Document III.4.2.2 nguyên tắc 1: làm giàu thuộc tính luôn dùng LEFT JOIN. INNER JOIN satellite sẽ loại mất bản ghi Hub đang còn hiệu lực nhưng chưa có dòng satellite.</t>
        </is>
      </c>
      <c r="J1548" s="48" t="inlineStr">
        <is>
          <t>078. OCB_GOLD_TCKH_CB_OU_DIM_HOP.xlsx [SCRIPT: CB_OU_DIM]</t>
        </is>
      </c>
    </row>
    <row r="1549">
      <c r="A1549" s="48" t="inlineStr">
        <is>
          <t>TCKH.CB_OU_DIM</t>
        </is>
      </c>
      <c r="B1549" s="48" t="inlineStr">
        <is>
          <t>SILVER_CONSUMER</t>
        </is>
      </c>
      <c r="C1549" s="48" t="inlineStr">
        <is>
          <t>X.7</t>
        </is>
      </c>
      <c r="D1549" s="48" t="inlineStr">
        <is>
          <t>Nhom X - Bo sung Raffles</t>
        </is>
      </c>
      <c r="E1549" s="48" t="inlineStr">
        <is>
          <t>[Bổ sung] Không hard-code catalog, dùng biến môi trường</t>
        </is>
      </c>
      <c r="F1549" s="49" t="inlineStr">
        <is>
          <t>PASS</t>
        </is>
      </c>
      <c r="G1549" s="48" t="inlineStr">
        <is>
          <t>Pass</t>
        </is>
      </c>
      <c r="H1549" s="50" t="inlineStr">
        <is>
          <t>dùng biến môi trường cho catalog</t>
        </is>
      </c>
      <c r="I15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549" s="48" t="inlineStr">
        <is>
          <t>078. OCB_GOLD_TCKH_CB_OU_DIM_HOP.xlsx [SCRIPT: CB_OU_DIM]</t>
        </is>
      </c>
    </row>
    <row r="1550">
      <c r="A1550" s="48" t="inlineStr">
        <is>
          <t>TCKH.CB_OU_DIM</t>
        </is>
      </c>
      <c r="B1550" s="48" t="inlineStr">
        <is>
          <t>SILVER_CONSUMER</t>
        </is>
      </c>
      <c r="C1550" s="48" t="inlineStr">
        <is>
          <t>X.10</t>
        </is>
      </c>
      <c r="D1550" s="48" t="inlineStr">
        <is>
          <t>Nhom X - Bo sung Raffles</t>
        </is>
      </c>
      <c r="E1550" s="48" t="inlineStr">
        <is>
          <t>Bang raw_vault/business_vault duoc doc phai TON TAI THAT trong Data Vault model</t>
        </is>
      </c>
      <c r="F1550" s="49" t="inlineStr">
        <is>
          <t>PASS</t>
        </is>
      </c>
      <c r="G1550" s="48" t="inlineStr">
        <is>
          <t>Pass</t>
        </is>
      </c>
      <c r="H1550" s="50" t="inlineStr">
        <is>
          <t>4 bảng Silver đều có thật trong Data Vault model</t>
        </is>
      </c>
      <c r="I1550" s="50" t="inlineStr"/>
      <c r="J1550" s="48" t="inlineStr">
        <is>
          <t>078. OCB_GOLD_TCKH_CB_OU_DIM_HOP.xlsx [SCRIPT: CB_OU_DIM]</t>
        </is>
      </c>
    </row>
    <row r="1551">
      <c r="A1551" s="48" t="inlineStr">
        <is>
          <t>TCKH.CB_OU_DIM</t>
        </is>
      </c>
      <c r="B1551" s="48" t="inlineStr">
        <is>
          <t>SILVER_CONSUMER</t>
        </is>
      </c>
      <c r="C1551" s="48" t="inlineStr">
        <is>
          <t>X.11</t>
        </is>
      </c>
      <c r="D1551" s="48" t="inlineStr">
        <is>
          <t>Nhom X - Bo sung Raffles</t>
        </is>
      </c>
      <c r="E1551" s="48" t="inlineStr">
        <is>
          <t>Cot doc tu satellite (sat_*) phai TON TAI THAT trong model</t>
        </is>
      </c>
      <c r="F1551" s="49" t="inlineStr">
        <is>
          <t>PASS</t>
        </is>
      </c>
      <c r="G1551" s="48" t="inlineStr">
        <is>
          <t>Pass</t>
        </is>
      </c>
      <c r="H1551" s="50" t="inlineStr">
        <is>
          <t>mọi cột đọc từ sat_* đều tồn tại trong model thật</t>
        </is>
      </c>
      <c r="I1551" s="50" t="inlineStr"/>
      <c r="J1551" s="48" t="inlineStr">
        <is>
          <t>078. OCB_GOLD_TCKH_CB_OU_DIM_HOP.xlsx [SCRIPT: CB_OU_DIM]</t>
        </is>
      </c>
    </row>
    <row r="1552">
      <c r="A1552" s="48" t="inlineStr">
        <is>
          <t>TCKH.V_DATE_OF_WORK</t>
        </is>
      </c>
      <c r="B1552" s="48" t="inlineStr">
        <is>
          <t>SILVER_CONSUMER</t>
        </is>
      </c>
      <c r="C1552" s="48" t="inlineStr">
        <is>
          <t>1.1</t>
        </is>
      </c>
      <c r="D1552" s="48" t="inlineStr">
        <is>
          <t>Nhom 1 - Mapping</t>
        </is>
      </c>
      <c r="E1552" s="48" t="inlineStr">
        <is>
          <t>Đầy đủ mapping từ Silver/manual sang Gold</t>
        </is>
      </c>
      <c r="F1552" s="49" t="inlineStr">
        <is>
          <t>PASS</t>
        </is>
      </c>
      <c r="G1552" s="48" t="inlineStr">
        <is>
          <t>Pass</t>
        </is>
      </c>
      <c r="H1552" s="50" t="inlineStr">
        <is>
          <t>workbook 079. OCB_GOLD_TCKH_V_DATE_OF_WORK_HOP.xlsx: thiết kế 20 field, SQL có 20 cột</t>
        </is>
      </c>
      <c r="I15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52" s="48" t="inlineStr">
        <is>
          <t>079. OCB_GOLD_TCKH_V_DATE_OF_WORK_HOP.xlsx [SCRIPT: V_DATE_OF_WORK]</t>
        </is>
      </c>
    </row>
    <row r="1553">
      <c r="A1553" s="48" t="inlineStr">
        <is>
          <t>TCKH.V_DATE_OF_WORK</t>
        </is>
      </c>
      <c r="B1553" s="48" t="inlineStr">
        <is>
          <t>SILVER_CONSUMER</t>
        </is>
      </c>
      <c r="C1553" s="48" t="inlineStr">
        <is>
          <t>1.2</t>
        </is>
      </c>
      <c r="D1553" s="48" t="inlineStr">
        <is>
          <t>Nhom 1 - Mapping</t>
        </is>
      </c>
      <c r="E1553" s="48" t="inlineStr">
        <is>
          <t>Danh sách bảng/view Gold khớp tài liệu thiết kế đã duyệt</t>
        </is>
      </c>
      <c r="F1553" s="49" t="inlineStr">
        <is>
          <t>PASS</t>
        </is>
      </c>
      <c r="G1553" s="48" t="inlineStr">
        <is>
          <t>Pass</t>
        </is>
      </c>
      <c r="H1553" s="50" t="inlineStr">
        <is>
          <t>V_DATE_OF_WORK có workbook thiết kế: 079. OCB_GOLD_TCKH_V_DATE_OF_WORK_HOP.xlsx</t>
        </is>
      </c>
      <c r="I1553" s="50" t="inlineStr">
        <is>
          <t>Đảm bảo object có workbook thiết kế tương ứng trong thư mục --mapping-dir. Muốn đối chiếu với danh sách đã duyệt thì chạy thêm tham số --gold-list "&lt;file danh sách Gold&gt;.xlsx".</t>
        </is>
      </c>
      <c r="J1553" s="48" t="inlineStr">
        <is>
          <t>079. OCB_GOLD_TCKH_V_DATE_OF_WORK_HOP.xlsx [SCRIPT: V_DATE_OF_WORK]</t>
        </is>
      </c>
    </row>
    <row r="1554">
      <c r="A1554" s="48" t="inlineStr">
        <is>
          <t>TCKH.V_DATE_OF_WORK</t>
        </is>
      </c>
      <c r="B1554" s="48" t="inlineStr">
        <is>
          <t>SILVER_CONSUMER</t>
        </is>
      </c>
      <c r="C1554" s="48" t="inlineStr">
        <is>
          <t>2.1</t>
        </is>
      </c>
      <c r="D1554" s="48" t="inlineStr">
        <is>
          <t>Nhom 2 - Logic</t>
        </is>
      </c>
      <c r="E1554" s="48" t="inlineStr">
        <is>
          <t>Chỉ lấy bản ghi active, loại bản ghi đã xóa (qua sts_hub)</t>
        </is>
      </c>
      <c r="F1554" s="48" t="inlineStr">
        <is>
          <t>N-A</t>
        </is>
      </c>
      <c r="G1554" s="48" t="inlineStr">
        <is>
          <t>Pass</t>
        </is>
      </c>
      <c r="H1554" s="50" t="inlineStr">
        <is>
          <t>script không đọc sts_hub/satellite nào nên không có bản ghi xóa để lọc</t>
        </is>
      </c>
      <c r="I15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54" s="48" t="inlineStr">
        <is>
          <t>079. OCB_GOLD_TCKH_V_DATE_OF_WORK_HOP.xlsx [SCRIPT: V_DATE_OF_WORK]</t>
        </is>
      </c>
    </row>
    <row r="1555">
      <c r="A1555" s="48" t="inlineStr">
        <is>
          <t>TCKH.V_DATE_OF_WORK</t>
        </is>
      </c>
      <c r="B1555" s="48" t="inlineStr">
        <is>
          <t>SILVER_CONSUMER</t>
        </is>
      </c>
      <c r="C1555" s="48" t="inlineStr">
        <is>
          <t>2.2</t>
        </is>
      </c>
      <c r="D1555" s="48" t="inlineStr">
        <is>
          <t>Nhom 2 - Logic</t>
        </is>
      </c>
      <c r="E1555" s="48" t="inlineStr">
        <is>
          <t>Thống nhất MỘT pattern duy nhất xác định bản ghi active mới nhất</t>
        </is>
      </c>
      <c r="F1555" s="48" t="inlineStr">
        <is>
          <t>N-A</t>
        </is>
      </c>
      <c r="G1555" s="48" t="inlineStr">
        <is>
          <t>Pass</t>
        </is>
      </c>
      <c r="H1555" s="50" t="inlineStr">
        <is>
          <t>script không có bước lấy bản ghi mới nhất nào tính là bất nhất (không dùng, hoặc chỉ dùng ROW_NUMBER cho block &gt;5 cột - đã miễn trừ)</t>
        </is>
      </c>
      <c r="I15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55" s="48" t="inlineStr">
        <is>
          <t>079. OCB_GOLD_TCKH_V_DATE_OF_WORK_HOP.xlsx [SCRIPT: V_DATE_OF_WORK]</t>
        </is>
      </c>
    </row>
    <row r="1556">
      <c r="A1556" s="48" t="inlineStr">
        <is>
          <t>TCKH.V_DATE_OF_WORK</t>
        </is>
      </c>
      <c r="B1556" s="48" t="inlineStr">
        <is>
          <t>SILVER_CONSUMER</t>
        </is>
      </c>
      <c r="C1556" s="48" t="inlineStr">
        <is>
          <t>2.3</t>
        </is>
      </c>
      <c r="D1556" s="48" t="inlineStr">
        <is>
          <t>Nhom 2 - Logic</t>
        </is>
      </c>
      <c r="E1556" s="48" t="inlineStr">
        <is>
          <t>Điều kiện lọc trạng thái đặt SAU khi xác định bản ghi mới nhất</t>
        </is>
      </c>
      <c r="F1556" s="49" t="inlineStr">
        <is>
          <t>PASS</t>
        </is>
      </c>
      <c r="G1556" s="48" t="inlineStr">
        <is>
          <t>Pass</t>
        </is>
      </c>
      <c r="H1556" s="50" t="inlineStr">
        <is>
          <t>không có điều kiện trạng thái nào lồng trong JOIN ON</t>
        </is>
      </c>
      <c r="I15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56" s="48" t="inlineStr">
        <is>
          <t>079. OCB_GOLD_TCKH_V_DATE_OF_WORK_HOP.xlsx [SCRIPT: V_DATE_OF_WORK]</t>
        </is>
      </c>
    </row>
    <row r="1557">
      <c r="A1557" s="48" t="inlineStr">
        <is>
          <t>TCKH.V_DATE_OF_WORK</t>
        </is>
      </c>
      <c r="B1557" s="48" t="inlineStr">
        <is>
          <t>SILVER_CONSUMER</t>
        </is>
      </c>
      <c r="C1557" s="48" t="inlineStr">
        <is>
          <t>2.4</t>
        </is>
      </c>
      <c r="D1557" s="48" t="inlineStr">
        <is>
          <t>Nhom 2 - Logic</t>
        </is>
      </c>
      <c r="E1557" s="48" t="inlineStr">
        <is>
          <t>source_event_date áp dụng đúng dạng theo loại bảng</t>
        </is>
      </c>
      <c r="F1557" s="48" t="inlineStr">
        <is>
          <t>N-A</t>
        </is>
      </c>
      <c r="G1557" s="48" t="inlineStr">
        <is>
          <t>Pass</t>
        </is>
      </c>
      <c r="H1557" s="50" t="inlineStr">
        <is>
          <t>script không đọc satellite nào</t>
        </is>
      </c>
      <c r="I15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57" s="48" t="inlineStr">
        <is>
          <t>079. OCB_GOLD_TCKH_V_DATE_OF_WORK_HOP.xlsx [SCRIPT: V_DATE_OF_WORK]</t>
        </is>
      </c>
    </row>
    <row r="1558">
      <c r="A1558" s="48" t="inlineStr">
        <is>
          <t>TCKH.V_DATE_OF_WORK</t>
        </is>
      </c>
      <c r="B1558" s="48" t="inlineStr">
        <is>
          <t>SILVER_CONSUMER</t>
        </is>
      </c>
      <c r="C1558" s="48" t="inlineStr">
        <is>
          <t>2.5</t>
        </is>
      </c>
      <c r="D1558" s="48" t="inlineStr">
        <is>
          <t>Nhom 2 - Logic</t>
        </is>
      </c>
      <c r="E1558" s="48" t="inlineStr">
        <is>
          <t>Không lặp lại lỗi logic cũ đã được DA Data Vault fix</t>
        </is>
      </c>
      <c r="F1558" s="49" t="inlineStr">
        <is>
          <t>PASS</t>
        </is>
      </c>
      <c r="G1558" s="48" t="inlineStr">
        <is>
          <t>Pass</t>
        </is>
      </c>
      <c r="H1558" s="50" t="inlineStr">
        <is>
          <t>không trùng lỗi nào trong Issue log của DA Data Vault</t>
        </is>
      </c>
      <c r="I15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58" s="48" t="inlineStr">
        <is>
          <t>079. OCB_GOLD_TCKH_V_DATE_OF_WORK_HOP.xlsx [SCRIPT: V_DATE_OF_WORK]</t>
        </is>
      </c>
    </row>
    <row r="1559">
      <c r="A1559" s="48" t="inlineStr">
        <is>
          <t>TCKH.V_DATE_OF_WORK</t>
        </is>
      </c>
      <c r="B1559" s="48" t="inlineStr">
        <is>
          <t>SILVER_CONSUMER</t>
        </is>
      </c>
      <c r="C1559" s="48" t="inlineStr">
        <is>
          <t>2.6</t>
        </is>
      </c>
      <c r="D1559" s="48" t="inlineStr">
        <is>
          <t>Nhom 2 - Logic</t>
        </is>
      </c>
      <c r="E1559" s="48" t="inlineStr">
        <is>
          <t>SCD Type 2 cho bảng DIM áp dụng đúng kỹ thuật đã thống nhất</t>
        </is>
      </c>
      <c r="F1559" s="48" t="inlineStr">
        <is>
          <t>N-A</t>
        </is>
      </c>
      <c r="G1559" s="48" t="inlineStr">
        <is>
          <t>Pass</t>
        </is>
      </c>
      <c r="H1559" s="50" t="inlineStr">
        <is>
          <t>object không phải bảng DIM nên không áp dụng SCD Type 2</t>
        </is>
      </c>
      <c r="I15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59" s="48" t="inlineStr">
        <is>
          <t>079. OCB_GOLD_TCKH_V_DATE_OF_WORK_HOP.xlsx [SCRIPT: V_DATE_OF_WORK]</t>
        </is>
      </c>
    </row>
    <row r="1560">
      <c r="A1560" s="48" t="inlineStr">
        <is>
          <t>TCKH.V_DATE_OF_WORK</t>
        </is>
      </c>
      <c r="B1560" s="48" t="inlineStr">
        <is>
          <t>SILVER_CONSUMER</t>
        </is>
      </c>
      <c r="C1560" s="48" t="inlineStr">
        <is>
          <t>2.7</t>
        </is>
      </c>
      <c r="D1560" s="48" t="inlineStr">
        <is>
          <t>Nhom 2 - Logic</t>
        </is>
      </c>
      <c r="E1560" s="48" t="inlineStr">
        <is>
          <t>CASE WHEN cover đủ nhánh như job on-prem</t>
        </is>
      </c>
      <c r="F1560" s="48" t="inlineStr">
        <is>
          <t>N-A</t>
        </is>
      </c>
      <c r="G1560" s="48" t="inlineStr">
        <is>
          <t>Pass</t>
        </is>
      </c>
      <c r="H1560" s="50" t="inlineStr">
        <is>
          <t>script không có CASE WHEN nào</t>
        </is>
      </c>
      <c r="I1560" s="50" t="inlineStr">
        <is>
          <t>Mở job on-prem tương ứng (DataStage DSX hoặc SQL cũ), đối chiếu từng nhánh WHEN và cả nhánh ELSE. CASE không có ELSE sẽ trả NULL âm thầm — xác nhận đó là ý muốn hay thiếu nhánh.</t>
        </is>
      </c>
      <c r="J1560" s="48" t="inlineStr">
        <is>
          <t>079. OCB_GOLD_TCKH_V_DATE_OF_WORK_HOP.xlsx [SCRIPT: V_DATE_OF_WORK]</t>
        </is>
      </c>
    </row>
    <row r="1561">
      <c r="A1561" s="48" t="inlineStr">
        <is>
          <t>TCKH.V_DATE_OF_WORK</t>
        </is>
      </c>
      <c r="B1561" s="48" t="inlineStr">
        <is>
          <t>SILVER_CONSUMER</t>
        </is>
      </c>
      <c r="C1561" s="48" t="inlineStr">
        <is>
          <t>2.8</t>
        </is>
      </c>
      <c r="D1561" s="48" t="inlineStr">
        <is>
          <t>Nhom 2 - Logic</t>
        </is>
      </c>
      <c r="E1561" s="48" t="inlineStr">
        <is>
          <t>Cột SUM/COUNT được COALESCE/NVL hợp lý</t>
        </is>
      </c>
      <c r="F1561" s="49" t="inlineStr">
        <is>
          <t>PASS</t>
        </is>
      </c>
      <c r="G1561" s="48" t="inlineStr">
        <is>
          <t>Pass</t>
        </is>
      </c>
      <c r="H1561" s="50" t="inlineStr">
        <is>
          <t>mọi SUM/COUNT đều đã coalesce (trực tiếp hoặc ở lớp ngoài)</t>
        </is>
      </c>
      <c r="I15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561" s="48" t="inlineStr">
        <is>
          <t>079. OCB_GOLD_TCKH_V_DATE_OF_WORK_HOP.xlsx [SCRIPT: V_DATE_OF_WORK]</t>
        </is>
      </c>
    </row>
    <row r="1562">
      <c r="A1562" s="48" t="inlineStr">
        <is>
          <t>TCKH.V_DATE_OF_WORK</t>
        </is>
      </c>
      <c r="B1562" s="48" t="inlineStr">
        <is>
          <t>SILVER_CONSUMER</t>
        </is>
      </c>
      <c r="C1562" s="48" t="inlineStr">
        <is>
          <t>2.9</t>
        </is>
      </c>
      <c r="D1562" s="48" t="inlineStr">
        <is>
          <t>Nhom 2 - Logic</t>
        </is>
      </c>
      <c r="E1562" s="48" t="inlineStr">
        <is>
          <t>Subquery / custom function / điều kiện LIKE đúng ý nghĩa nghiệp vụ</t>
        </is>
      </c>
      <c r="F1562" s="48" t="inlineStr">
        <is>
          <t>N-A</t>
        </is>
      </c>
      <c r="G1562" s="48" t="inlineStr">
        <is>
          <t>Pass</t>
        </is>
      </c>
      <c r="H1562" s="50" t="inlineStr">
        <is>
          <t>script không có điều kiện LIKE hay scalar subquery nào</t>
        </is>
      </c>
      <c r="I1562" s="50" t="inlineStr">
        <is>
          <t>Đọc lại từng điều kiện LIKE và từng subquery, đối chiếu ý nghĩa nghiệp vụ với on-prem — đúng cú pháp không đủ. Chú ý pattern LIKE có ký tự % ở đầu/cuối và phân biệt chữ hoa/thường.</t>
        </is>
      </c>
      <c r="J1562" s="48" t="inlineStr">
        <is>
          <t>079. OCB_GOLD_TCKH_V_DATE_OF_WORK_HOP.xlsx [SCRIPT: V_DATE_OF_WORK]</t>
        </is>
      </c>
    </row>
    <row r="1563">
      <c r="A1563" s="48" t="inlineStr">
        <is>
          <t>TCKH.V_DATE_OF_WORK</t>
        </is>
      </c>
      <c r="B1563" s="48" t="inlineStr">
        <is>
          <t>SILVER_CONSUMER</t>
        </is>
      </c>
      <c r="C1563" s="48" t="inlineStr">
        <is>
          <t>2.10</t>
        </is>
      </c>
      <c r="D1563" s="48" t="inlineStr">
        <is>
          <t>Nhom 2 - Logic</t>
        </is>
      </c>
      <c r="E1563" s="48" t="inlineStr">
        <is>
          <t>Aggregation kèm filter date range chính xác</t>
        </is>
      </c>
      <c r="F1563" s="49" t="inlineStr">
        <is>
          <t>PASS</t>
        </is>
      </c>
      <c r="G1563" s="48" t="inlineStr">
        <is>
          <t>Pass</t>
        </is>
      </c>
      <c r="H1563" s="50" t="inlineStr">
        <is>
          <t>mọi khối tổng hợp đều có điều kiện theo kỳ dữ liệu</t>
        </is>
      </c>
      <c r="I1563" s="50" t="inlineStr">
        <is>
          <t>Mỗi khối SUM/COUNT/AVG phải có điều kiện lọc theo kỳ dữ liệu (CDR_DT_ID, DATA_DATE, :DATADT…). Nếu điều kiện nằm ở CTE nguồn thì ghi rõ trong comment để người review không phải truy ngược.</t>
        </is>
      </c>
      <c r="J1563" s="48" t="inlineStr">
        <is>
          <t>079. OCB_GOLD_TCKH_V_DATE_OF_WORK_HOP.xlsx [SCRIPT: V_DATE_OF_WORK]</t>
        </is>
      </c>
    </row>
    <row r="1564">
      <c r="A1564" s="48" t="inlineStr">
        <is>
          <t>TCKH.V_DATE_OF_WORK</t>
        </is>
      </c>
      <c r="B1564" s="48" t="inlineStr">
        <is>
          <t>SILVER_CONSUMER</t>
        </is>
      </c>
      <c r="C1564" s="48" t="inlineStr">
        <is>
          <t>2.11</t>
        </is>
      </c>
      <c r="D1564" s="48" t="inlineStr">
        <is>
          <t>Nhom 2 - Logic</t>
        </is>
      </c>
      <c r="E1564" s="48" t="inlineStr">
        <is>
          <t>Join dùng key hợp lý, không lạm dụng UNION ALL + EXISTS/NOT EXISTS</t>
        </is>
      </c>
      <c r="F1564" s="49" t="inlineStr">
        <is>
          <t>PASS</t>
        </is>
      </c>
      <c r="G1564" s="48" t="inlineStr">
        <is>
          <t>Pass</t>
        </is>
      </c>
      <c r="H1564" s="50" t="inlineStr">
        <is>
          <t>join đều theo điều kiện bằng, không lạm dụng UNION ALL + EXISTS</t>
        </is>
      </c>
      <c r="I1564" s="50" t="inlineStr">
        <is>
          <t>Ưu tiên LEFT JOIN theo business key hoặc hashkey. Xem lại các chỗ dùng UNION ALL kết hợp EXISTS/NOT EXISTS — thường thay được bằng một LEFT JOIN. Join không có điều kiện bằng (=) dễ tạo tích Descartes.</t>
        </is>
      </c>
      <c r="J1564" s="48" t="inlineStr">
        <is>
          <t>079. OCB_GOLD_TCKH_V_DATE_OF_WORK_HOP.xlsx [SCRIPT: V_DATE_OF_WORK]</t>
        </is>
      </c>
    </row>
    <row r="1565">
      <c r="A1565" s="48" t="inlineStr">
        <is>
          <t>TCKH.V_DATE_OF_WORK</t>
        </is>
      </c>
      <c r="B1565" s="48" t="inlineStr">
        <is>
          <t>SILVER_CONSUMER</t>
        </is>
      </c>
      <c r="C1565" s="48" t="inlineStr">
        <is>
          <t>2.12</t>
        </is>
      </c>
      <c r="D1565" s="48" t="inlineStr">
        <is>
          <t>Nhom 2 - Logic</t>
        </is>
      </c>
      <c r="E1565" s="48" t="inlineStr">
        <is>
          <t>Build Gold từ CTE snapshot Silver, không build nhiều tầng chồng chéo</t>
        </is>
      </c>
      <c r="F1565" s="49" t="inlineStr">
        <is>
          <t>PASS</t>
        </is>
      </c>
      <c r="G1565" s="48" t="inlineStr">
        <is>
          <t>Pass</t>
        </is>
      </c>
      <c r="H1565" s="50" t="inlineStr">
        <is>
          <t>mỗi bảng nguồn chỉ đọc trong 1 khối SELECT</t>
        </is>
      </c>
      <c r="I15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65" s="48" t="inlineStr">
        <is>
          <t>079. OCB_GOLD_TCKH_V_DATE_OF_WORK_HOP.xlsx [SCRIPT: V_DATE_OF_WORK]</t>
        </is>
      </c>
    </row>
    <row r="1566">
      <c r="A1566" s="48" t="inlineStr">
        <is>
          <t>TCKH.V_DATE_OF_WORK</t>
        </is>
      </c>
      <c r="B1566" s="48" t="inlineStr">
        <is>
          <t>SILVER_CONSUMER</t>
        </is>
      </c>
      <c r="C1566" s="48" t="inlineStr">
        <is>
          <t>3.1</t>
        </is>
      </c>
      <c r="D1566" s="48" t="inlineStr">
        <is>
          <t>Nhom 3 - Optimization</t>
        </is>
      </c>
      <c r="E1566" s="48" t="inlineStr">
        <is>
          <t>Không SELECT *</t>
        </is>
      </c>
      <c r="F1566" s="49" t="inlineStr">
        <is>
          <t>PASS</t>
        </is>
      </c>
      <c r="G1566" s="48" t="inlineStr">
        <is>
          <t>Pass</t>
        </is>
      </c>
      <c r="H1566" s="50" t="inlineStr">
        <is>
          <t>không dùng SELECT * ở đâu</t>
        </is>
      </c>
      <c r="I1566" s="50" t="inlineStr">
        <is>
          <t>Liệt kê tường minh các cột cần dùng, kể cả trong CTE trung gian. SELECT * làm tăng IO/memory và vỡ script khi bảng nguồn thêm cột.</t>
        </is>
      </c>
      <c r="J1566" s="48" t="inlineStr">
        <is>
          <t>079. OCB_GOLD_TCKH_V_DATE_OF_WORK_HOP.xlsx [SCRIPT: V_DATE_OF_WORK]</t>
        </is>
      </c>
    </row>
    <row r="1567">
      <c r="A1567" s="48" t="inlineStr">
        <is>
          <t>TCKH.V_DATE_OF_WORK</t>
        </is>
      </c>
      <c r="B1567" s="48" t="inlineStr">
        <is>
          <t>SILVER_CONSUMER</t>
        </is>
      </c>
      <c r="C1567" s="48" t="inlineStr">
        <is>
          <t>3.2</t>
        </is>
      </c>
      <c r="D1567" s="48" t="inlineStr">
        <is>
          <t>Nhom 3 - Optimization</t>
        </is>
      </c>
      <c r="E1567" s="48" t="inlineStr">
        <is>
          <t>CTE không bị scan lại nhiều lần</t>
        </is>
      </c>
      <c r="F1567" s="49" t="inlineStr">
        <is>
          <t>PASS</t>
        </is>
      </c>
      <c r="G1567" s="48" t="inlineStr">
        <is>
          <t>Pass</t>
        </is>
      </c>
      <c r="H1567" s="50" t="inlineStr">
        <is>
          <t>không có CTE nào bị gọi lại</t>
        </is>
      </c>
      <c r="I1567" s="50" t="inlineStr">
        <is>
          <t>Với CTE nặng (đọc nhiều bảng Silver) bị tham chiếu từ 2 chỗ trở lên: gom lại còn một lần dùng, hoặc vật chất hóa (CACHE / bảng tạm). CTE nhẹ chỉ chứa tham số thì bỏ qua được — tự tick Pass.</t>
        </is>
      </c>
      <c r="J1567" s="48" t="inlineStr">
        <is>
          <t>079. OCB_GOLD_TCKH_V_DATE_OF_WORK_HOP.xlsx [SCRIPT: V_DATE_OF_WORK]</t>
        </is>
      </c>
    </row>
    <row r="1568">
      <c r="A1568" s="48" t="inlineStr">
        <is>
          <t>TCKH.V_DATE_OF_WORK</t>
        </is>
      </c>
      <c r="B1568" s="48" t="inlineStr">
        <is>
          <t>SILVER_CONSUMER</t>
        </is>
      </c>
      <c r="C1568" s="48" t="inlineStr">
        <is>
          <t>3.3</t>
        </is>
      </c>
      <c r="D1568" s="48" t="inlineStr">
        <is>
          <t>Nhom 3 - Optimization</t>
        </is>
      </c>
      <c r="E1568" s="48" t="inlineStr">
        <is>
          <t>Filter trước khi join, tận dụng partition pruning</t>
        </is>
      </c>
      <c r="F1568" s="49" t="inlineStr">
        <is>
          <t>PASS</t>
        </is>
      </c>
      <c r="G1568" s="48" t="inlineStr">
        <is>
          <t>Pass</t>
        </is>
      </c>
      <c r="H1568" s="50" t="inlineStr">
        <is>
          <t>các bảng join đều được filter trước</t>
        </is>
      </c>
      <c r="I1568" s="50" t="inlineStr">
        <is>
          <t>Đưa điều kiện lọc (ngày dữ liệu, trạng thái) vào subquery của từng bảng TRƯỚC khi join, để tận dụng partition pruning. Bảng dim nhỏ không partition thì không cần — tự tick Pass.</t>
        </is>
      </c>
      <c r="J1568" s="48" t="inlineStr">
        <is>
          <t>079. OCB_GOLD_TCKH_V_DATE_OF_WORK_HOP.xlsx [SCRIPT: V_DATE_OF_WORK]</t>
        </is>
      </c>
    </row>
    <row r="1569">
      <c r="A1569" s="48" t="inlineStr">
        <is>
          <t>TCKH.V_DATE_OF_WORK</t>
        </is>
      </c>
      <c r="B1569" s="48" t="inlineStr">
        <is>
          <t>SILVER_CONSUMER</t>
        </is>
      </c>
      <c r="C1569" s="48" t="inlineStr">
        <is>
          <t>3.4</t>
        </is>
      </c>
      <c r="D1569" s="48" t="inlineStr">
        <is>
          <t>Nhom 3 - Optimization</t>
        </is>
      </c>
      <c r="E1569" s="48" t="inlineStr">
        <is>
          <t>Sử dụng CACHE cho query lặp lại trong cùng luồng</t>
        </is>
      </c>
      <c r="F1569" s="48" t="inlineStr">
        <is>
          <t>N-A</t>
        </is>
      </c>
      <c r="G1569" s="48" t="inlineStr">
        <is>
          <t>Pass</t>
        </is>
      </c>
      <c r="H1569" s="50" t="inlineStr">
        <is>
          <t>không có kết quả nào được dùng lại nhiều lần nên chưa cần CACHE</t>
        </is>
      </c>
      <c r="I1569" s="50" t="inlineStr">
        <is>
          <t>Nếu một kết quả nặng được dùng lại nhiều bước trong cùng luồng, thêm CACHE TABLE / CACHE SELECT. Kết quả nhỏ thì cache còn chậm hơn — tự tick Pass.</t>
        </is>
      </c>
      <c r="J1569" s="48" t="inlineStr">
        <is>
          <t>079. OCB_GOLD_TCKH_V_DATE_OF_WORK_HOP.xlsx [SCRIPT: V_DATE_OF_WORK]</t>
        </is>
      </c>
    </row>
    <row r="1570">
      <c r="A1570" s="48" t="inlineStr">
        <is>
          <t>TCKH.V_DATE_OF_WORK</t>
        </is>
      </c>
      <c r="B1570" s="48" t="inlineStr">
        <is>
          <t>SILVER_CONSUMER</t>
        </is>
      </c>
      <c r="C1570" s="48" t="inlineStr">
        <is>
          <t>3.5</t>
        </is>
      </c>
      <c r="D1570" s="48" t="inlineStr">
        <is>
          <t>Nhom 3 - Optimization</t>
        </is>
      </c>
      <c r="E1570" s="48" t="inlineStr">
        <is>
          <t>Ưu tiên MAX_BY + QUALIFY thay ROW_NUMBER() + WHERE rn = 1</t>
        </is>
      </c>
      <c r="F1570" s="48" t="inlineStr">
        <is>
          <t>N-A</t>
        </is>
      </c>
      <c r="G1570" s="48" t="inlineStr">
        <is>
          <t>Pass</t>
        </is>
      </c>
      <c r="H1570" s="50" t="inlineStr">
        <is>
          <t>script không dùng ROW_NUMBER, và MAX_BY (nếu có) không vượt quá 5 cột/khối</t>
        </is>
      </c>
      <c r="I15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570" s="48" t="inlineStr">
        <is>
          <t>079. OCB_GOLD_TCKH_V_DATE_OF_WORK_HOP.xlsx [SCRIPT: V_DATE_OF_WORK]</t>
        </is>
      </c>
    </row>
    <row r="1571">
      <c r="A1571" s="48" t="inlineStr">
        <is>
          <t>TCKH.V_DATE_OF_WORK</t>
        </is>
      </c>
      <c r="B1571" s="48" t="inlineStr">
        <is>
          <t>SILVER_CONSUMER</t>
        </is>
      </c>
      <c r="C1571" s="48" t="inlineStr">
        <is>
          <t>3.6</t>
        </is>
      </c>
      <c r="D1571" s="48" t="inlineStr">
        <is>
          <t>Nhom 3 - Optimization</t>
        </is>
      </c>
      <c r="E1571" s="48" t="inlineStr">
        <is>
          <t>Không lạm dụng window function; có comment khi dùng</t>
        </is>
      </c>
      <c r="F1571" s="48" t="inlineStr">
        <is>
          <t>N-A</t>
        </is>
      </c>
      <c r="G1571" s="48" t="inlineStr">
        <is>
          <t>Pass</t>
        </is>
      </c>
      <c r="H1571" s="50" t="inlineStr">
        <is>
          <t>script không dùng window function</t>
        </is>
      </c>
      <c r="I1571" s="50" t="inlineStr">
        <is>
          <t>Mỗi window function cần một comment ngay trên khối CTE chứa nó, nói rõ vì sao không dùng được max_by/QUALIFY đơn giản hơn.</t>
        </is>
      </c>
      <c r="J1571" s="48" t="inlineStr">
        <is>
          <t>079. OCB_GOLD_TCKH_V_DATE_OF_WORK_HOP.xlsx [SCRIPT: V_DATE_OF_WORK]</t>
        </is>
      </c>
    </row>
    <row r="1572">
      <c r="A1572" s="48" t="inlineStr">
        <is>
          <t>TCKH.V_DATE_OF_WORK</t>
        </is>
      </c>
      <c r="B1572" s="48" t="inlineStr">
        <is>
          <t>SILVER_CONSUMER</t>
        </is>
      </c>
      <c r="C1572" s="48" t="inlineStr">
        <is>
          <t>X.1</t>
        </is>
      </c>
      <c r="D1572" s="48" t="inlineStr">
        <is>
          <t>Nhom X - Bo sung Raffles</t>
        </is>
      </c>
      <c r="E1572" s="48" t="inlineStr">
        <is>
          <t>[Bổ sung] Link phải rút về current trước khi join (chống fan-out)</t>
        </is>
      </c>
      <c r="F1572" s="49" t="inlineStr">
        <is>
          <t>PASS</t>
        </is>
      </c>
      <c r="G1572" s="48" t="inlineStr">
        <is>
          <t>Pass</t>
        </is>
      </c>
      <c r="H1572" s="50" t="inlineStr">
        <is>
          <t>các bảng link_* đều được rút về current trước khi join</t>
        </is>
      </c>
      <c r="I15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572" s="48" t="inlineStr">
        <is>
          <t>079. OCB_GOLD_TCKH_V_DATE_OF_WORK_HOP.xlsx [SCRIPT: V_DATE_OF_WORK]</t>
        </is>
      </c>
    </row>
    <row r="1573">
      <c r="A1573" s="48" t="inlineStr">
        <is>
          <t>TCKH.V_DATE_OF_WORK</t>
        </is>
      </c>
      <c r="B1573" s="48" t="inlineStr">
        <is>
          <t>SILVER_CONSUMER</t>
        </is>
      </c>
      <c r="C1573" s="48" t="inlineStr">
        <is>
          <t>X.6</t>
        </is>
      </c>
      <c r="D1573" s="48" t="inlineStr">
        <is>
          <t>Nhom X - Bo sung Raffles</t>
        </is>
      </c>
      <c r="E1573" s="48" t="inlineStr">
        <is>
          <t>[Bổ sung] Satellite phải LEFT JOIN, không INNER JOIN</t>
        </is>
      </c>
      <c r="F1573" s="48" t="inlineStr">
        <is>
          <t>N-A</t>
        </is>
      </c>
      <c r="G1573" s="48" t="inlineStr">
        <is>
          <t>Pass</t>
        </is>
      </c>
      <c r="H1573" s="50" t="inlineStr">
        <is>
          <t>không join satellite trực tiếp</t>
        </is>
      </c>
      <c r="I1573" s="50" t="inlineStr">
        <is>
          <t>Technical Document III.4.2.2 nguyên tắc 1: làm giàu thuộc tính luôn dùng LEFT JOIN. INNER JOIN satellite sẽ loại mất bản ghi Hub đang còn hiệu lực nhưng chưa có dòng satellite.</t>
        </is>
      </c>
      <c r="J1573" s="48" t="inlineStr">
        <is>
          <t>079. OCB_GOLD_TCKH_V_DATE_OF_WORK_HOP.xlsx [SCRIPT: V_DATE_OF_WORK]</t>
        </is>
      </c>
    </row>
    <row r="1574">
      <c r="A1574" s="48" t="inlineStr">
        <is>
          <t>TCKH.V_DATE_OF_WORK</t>
        </is>
      </c>
      <c r="B1574" s="48" t="inlineStr">
        <is>
          <t>SILVER_CONSUMER</t>
        </is>
      </c>
      <c r="C1574" s="48" t="inlineStr">
        <is>
          <t>X.7</t>
        </is>
      </c>
      <c r="D1574" s="48" t="inlineStr">
        <is>
          <t>Nhom X - Bo sung Raffles</t>
        </is>
      </c>
      <c r="E1574" s="48" t="inlineStr">
        <is>
          <t>[Bổ sung] Không hard-code catalog, dùng biến môi trường</t>
        </is>
      </c>
      <c r="F1574" s="49" t="inlineStr">
        <is>
          <t>PASS</t>
        </is>
      </c>
      <c r="G1574" s="48" t="inlineStr">
        <is>
          <t>Pass</t>
        </is>
      </c>
      <c r="H1574" s="50" t="inlineStr">
        <is>
          <t>dùng biến môi trường cho catalog</t>
        </is>
      </c>
      <c r="I15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574" s="48" t="inlineStr">
        <is>
          <t>079. OCB_GOLD_TCKH_V_DATE_OF_WORK_HOP.xlsx [SCRIPT: V_DATE_OF_WORK]</t>
        </is>
      </c>
    </row>
    <row r="1575">
      <c r="A1575" s="48" t="inlineStr">
        <is>
          <t>TCKH.V_DATE_OF_WORK</t>
        </is>
      </c>
      <c r="B1575" s="48" t="inlineStr">
        <is>
          <t>SILVER_CONSUMER</t>
        </is>
      </c>
      <c r="C1575" s="48" t="inlineStr">
        <is>
          <t>X.10</t>
        </is>
      </c>
      <c r="D1575" s="48" t="inlineStr">
        <is>
          <t>Nhom X - Bo sung Raffles</t>
        </is>
      </c>
      <c r="E1575" s="48" t="inlineStr">
        <is>
          <t>Bang raw_vault/business_vault duoc doc phai TON TAI THAT trong Data Vault model</t>
        </is>
      </c>
      <c r="F1575" s="49" t="inlineStr">
        <is>
          <t>PASS</t>
        </is>
      </c>
      <c r="G1575" s="48" t="inlineStr">
        <is>
          <t>Pass</t>
        </is>
      </c>
      <c r="H1575" s="50" t="inlineStr">
        <is>
          <t>1 bảng Silver đều có thật trong Data Vault model</t>
        </is>
      </c>
      <c r="I1575" s="50" t="inlineStr"/>
      <c r="J1575" s="48" t="inlineStr">
        <is>
          <t>079. OCB_GOLD_TCKH_V_DATE_OF_WORK_HOP.xlsx [SCRIPT: V_DATE_OF_WORK]</t>
        </is>
      </c>
    </row>
    <row r="1576">
      <c r="A1576" s="48" t="inlineStr">
        <is>
          <t>TCKH.V_DATE_OF_WORK</t>
        </is>
      </c>
      <c r="B1576" s="48" t="inlineStr">
        <is>
          <t>SILVER_CONSUMER</t>
        </is>
      </c>
      <c r="C1576" s="48" t="inlineStr">
        <is>
          <t>X.11</t>
        </is>
      </c>
      <c r="D1576" s="48" t="inlineStr">
        <is>
          <t>Nhom X - Bo sung Raffles</t>
        </is>
      </c>
      <c r="E1576" s="48" t="inlineStr">
        <is>
          <t>Cot doc tu satellite (sat_*) phai TON TAI THAT trong model</t>
        </is>
      </c>
      <c r="F1576" s="48" t="inlineStr">
        <is>
          <t>N-A</t>
        </is>
      </c>
      <c r="G1576" s="48" t="inlineStr">
        <is>
          <t>Pass</t>
        </is>
      </c>
      <c r="H1576" s="50" t="inlineStr">
        <is>
          <t>không có bảng sat_* nào đủ điều kiện đối chiếu (Select chỉ đọc 1 bảng)</t>
        </is>
      </c>
      <c r="I1576" s="50" t="inlineStr"/>
      <c r="J1576" s="48" t="inlineStr">
        <is>
          <t>079. OCB_GOLD_TCKH_V_DATE_OF_WORK_HOP.xlsx [SCRIPT: V_DATE_OF_WORK]</t>
        </is>
      </c>
    </row>
    <row r="1577">
      <c r="A1577" s="48" t="inlineStr">
        <is>
          <t>TCKH.V_LD_FTP_RATE</t>
        </is>
      </c>
      <c r="B1577" s="48" t="inlineStr">
        <is>
          <t>GOLD_DERIVED</t>
        </is>
      </c>
      <c r="C1577" s="48" t="inlineStr">
        <is>
          <t>1.1</t>
        </is>
      </c>
      <c r="D1577" s="48" t="inlineStr">
        <is>
          <t>Nhom 1 - Mapping</t>
        </is>
      </c>
      <c r="E1577" s="48" t="inlineStr">
        <is>
          <t>Đầy đủ mapping từ Silver/manual sang Gold</t>
        </is>
      </c>
      <c r="F1577" s="49" t="inlineStr">
        <is>
          <t>PASS</t>
        </is>
      </c>
      <c r="G1577" s="48" t="inlineStr">
        <is>
          <t>Pass</t>
        </is>
      </c>
      <c r="H1577" s="50" t="inlineStr">
        <is>
          <t>workbook 080. OCB_GOLD_TCKH_V_LD_FTP_RATE_PHAT.xlsx: thiết kế 6 field, SQL có 6 cột</t>
        </is>
      </c>
      <c r="I15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77" s="48" t="inlineStr">
        <is>
          <t>080. OCB_GOLD_TCKH_V_LD_FTP_RATE_PHAT.xlsx [Script: V_LD_FTP_RATE]</t>
        </is>
      </c>
    </row>
    <row r="1578">
      <c r="A1578" s="48" t="inlineStr">
        <is>
          <t>TCKH.V_LD_FTP_RATE</t>
        </is>
      </c>
      <c r="B1578" s="48" t="inlineStr">
        <is>
          <t>GOLD_DERIVED</t>
        </is>
      </c>
      <c r="C1578" s="48" t="inlineStr">
        <is>
          <t>1.2</t>
        </is>
      </c>
      <c r="D1578" s="48" t="inlineStr">
        <is>
          <t>Nhom 1 - Mapping</t>
        </is>
      </c>
      <c r="E1578" s="48" t="inlineStr">
        <is>
          <t>Danh sách bảng/view Gold khớp tài liệu thiết kế đã duyệt</t>
        </is>
      </c>
      <c r="F1578" s="49" t="inlineStr">
        <is>
          <t>PASS</t>
        </is>
      </c>
      <c r="G1578" s="48" t="inlineStr">
        <is>
          <t>Pass</t>
        </is>
      </c>
      <c r="H1578" s="50" t="inlineStr">
        <is>
          <t>V_LD_FTP_RATE có workbook thiết kế: 080. OCB_GOLD_TCKH_V_LD_FTP_RATE_PHAT.xlsx</t>
        </is>
      </c>
      <c r="I1578" s="50" t="inlineStr">
        <is>
          <t>Đảm bảo object có workbook thiết kế tương ứng trong thư mục --mapping-dir. Muốn đối chiếu với danh sách đã duyệt thì chạy thêm tham số --gold-list "&lt;file danh sách Gold&gt;.xlsx".</t>
        </is>
      </c>
      <c r="J1578" s="48" t="inlineStr">
        <is>
          <t>080. OCB_GOLD_TCKH_V_LD_FTP_RATE_PHAT.xlsx [Script: V_LD_FTP_RATE]</t>
        </is>
      </c>
    </row>
    <row r="1579">
      <c r="A1579" s="48" t="inlineStr">
        <is>
          <t>TCKH.V_LD_FTP_RATE</t>
        </is>
      </c>
      <c r="B1579" s="48" t="inlineStr">
        <is>
          <t>GOLD_DERIVED</t>
        </is>
      </c>
      <c r="C1579" s="48" t="inlineStr">
        <is>
          <t>2.1</t>
        </is>
      </c>
      <c r="D1579" s="48" t="inlineStr">
        <is>
          <t>Nhom 2 - Logic</t>
        </is>
      </c>
      <c r="E1579" s="48" t="inlineStr">
        <is>
          <t>Chỉ lấy bản ghi active, loại bản ghi đã xóa (qua sts_hub)</t>
        </is>
      </c>
      <c r="F1579" s="48" t="inlineStr">
        <is>
          <t>N-A</t>
        </is>
      </c>
      <c r="G1579" s="48" t="inlineStr">
        <is>
          <t>Pass</t>
        </is>
      </c>
      <c r="H1579" s="50" t="inlineStr">
        <is>
          <t>khong ap dung cho profile GOLD_DERIVED</t>
        </is>
      </c>
      <c r="I15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79" s="48" t="inlineStr">
        <is>
          <t>080. OCB_GOLD_TCKH_V_LD_FTP_RATE_PHAT.xlsx [Script: V_LD_FTP_RATE]</t>
        </is>
      </c>
    </row>
    <row r="1580">
      <c r="A1580" s="48" t="inlineStr">
        <is>
          <t>TCKH.V_LD_FTP_RATE</t>
        </is>
      </c>
      <c r="B1580" s="48" t="inlineStr">
        <is>
          <t>GOLD_DERIVED</t>
        </is>
      </c>
      <c r="C1580" s="48" t="inlineStr">
        <is>
          <t>2.2</t>
        </is>
      </c>
      <c r="D1580" s="48" t="inlineStr">
        <is>
          <t>Nhom 2 - Logic</t>
        </is>
      </c>
      <c r="E1580" s="48" t="inlineStr">
        <is>
          <t>Thống nhất MỘT pattern duy nhất xác định bản ghi active mới nhất</t>
        </is>
      </c>
      <c r="F1580" s="48" t="inlineStr">
        <is>
          <t>N-A</t>
        </is>
      </c>
      <c r="G1580" s="48" t="inlineStr">
        <is>
          <t>Pass</t>
        </is>
      </c>
      <c r="H1580" s="50" t="inlineStr">
        <is>
          <t>khong ap dung cho profile GOLD_DERIVED</t>
        </is>
      </c>
      <c r="I15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80" s="48" t="inlineStr">
        <is>
          <t>080. OCB_GOLD_TCKH_V_LD_FTP_RATE_PHAT.xlsx [Script: V_LD_FTP_RATE]</t>
        </is>
      </c>
    </row>
    <row r="1581">
      <c r="A1581" s="48" t="inlineStr">
        <is>
          <t>TCKH.V_LD_FTP_RATE</t>
        </is>
      </c>
      <c r="B1581" s="48" t="inlineStr">
        <is>
          <t>GOLD_DERIVED</t>
        </is>
      </c>
      <c r="C1581" s="48" t="inlineStr">
        <is>
          <t>2.3</t>
        </is>
      </c>
      <c r="D1581" s="48" t="inlineStr">
        <is>
          <t>Nhom 2 - Logic</t>
        </is>
      </c>
      <c r="E1581" s="48" t="inlineStr">
        <is>
          <t>Điều kiện lọc trạng thái đặt SAU khi xác định bản ghi mới nhất</t>
        </is>
      </c>
      <c r="F1581" s="49" t="inlineStr">
        <is>
          <t>PASS</t>
        </is>
      </c>
      <c r="G1581" s="48" t="inlineStr">
        <is>
          <t>Pass</t>
        </is>
      </c>
      <c r="H1581" s="50" t="inlineStr">
        <is>
          <t>không có điều kiện trạng thái nào lồng trong JOIN ON</t>
        </is>
      </c>
      <c r="I15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81" s="48" t="inlineStr">
        <is>
          <t>080. OCB_GOLD_TCKH_V_LD_FTP_RATE_PHAT.xlsx [Script: V_LD_FTP_RATE]</t>
        </is>
      </c>
    </row>
    <row r="1582">
      <c r="A1582" s="48" t="inlineStr">
        <is>
          <t>TCKH.V_LD_FTP_RATE</t>
        </is>
      </c>
      <c r="B1582" s="48" t="inlineStr">
        <is>
          <t>GOLD_DERIVED</t>
        </is>
      </c>
      <c r="C1582" s="48" t="inlineStr">
        <is>
          <t>2.4</t>
        </is>
      </c>
      <c r="D1582" s="48" t="inlineStr">
        <is>
          <t>Nhom 2 - Logic</t>
        </is>
      </c>
      <c r="E1582" s="48" t="inlineStr">
        <is>
          <t>source_event_date áp dụng đúng dạng theo loại bảng</t>
        </is>
      </c>
      <c r="F1582" s="48" t="inlineStr">
        <is>
          <t>N-A</t>
        </is>
      </c>
      <c r="G1582" s="48" t="inlineStr">
        <is>
          <t>Pass</t>
        </is>
      </c>
      <c r="H1582" s="50" t="inlineStr">
        <is>
          <t>khong ap dung cho profile GOLD_DERIVED</t>
        </is>
      </c>
      <c r="I15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82" s="48" t="inlineStr">
        <is>
          <t>080. OCB_GOLD_TCKH_V_LD_FTP_RATE_PHAT.xlsx [Script: V_LD_FTP_RATE]</t>
        </is>
      </c>
    </row>
    <row r="1583">
      <c r="A1583" s="48" t="inlineStr">
        <is>
          <t>TCKH.V_LD_FTP_RATE</t>
        </is>
      </c>
      <c r="B1583" s="48" t="inlineStr">
        <is>
          <t>GOLD_DERIVED</t>
        </is>
      </c>
      <c r="C1583" s="48" t="inlineStr">
        <is>
          <t>2.5</t>
        </is>
      </c>
      <c r="D1583" s="48" t="inlineStr">
        <is>
          <t>Nhom 2 - Logic</t>
        </is>
      </c>
      <c r="E1583" s="48" t="inlineStr">
        <is>
          <t>Không lặp lại lỗi logic cũ đã được DA Data Vault fix</t>
        </is>
      </c>
      <c r="F1583" s="49" t="inlineStr">
        <is>
          <t>PASS</t>
        </is>
      </c>
      <c r="G1583" s="48" t="inlineStr">
        <is>
          <t>Pass</t>
        </is>
      </c>
      <c r="H1583" s="50" t="inlineStr">
        <is>
          <t>không trùng lỗi nào trong Issue log của DA Data Vault</t>
        </is>
      </c>
      <c r="I15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83" s="48" t="inlineStr">
        <is>
          <t>080. OCB_GOLD_TCKH_V_LD_FTP_RATE_PHAT.xlsx [Script: V_LD_FTP_RATE]</t>
        </is>
      </c>
    </row>
    <row r="1584">
      <c r="A1584" s="48" t="inlineStr">
        <is>
          <t>TCKH.V_LD_FTP_RATE</t>
        </is>
      </c>
      <c r="B1584" s="48" t="inlineStr">
        <is>
          <t>GOLD_DERIVED</t>
        </is>
      </c>
      <c r="C1584" s="48" t="inlineStr">
        <is>
          <t>2.6</t>
        </is>
      </c>
      <c r="D1584" s="48" t="inlineStr">
        <is>
          <t>Nhom 2 - Logic</t>
        </is>
      </c>
      <c r="E1584" s="48" t="inlineStr">
        <is>
          <t>SCD Type 2 cho bảng DIM áp dụng đúng kỹ thuật đã thống nhất</t>
        </is>
      </c>
      <c r="F1584" s="48" t="inlineStr">
        <is>
          <t>N-A</t>
        </is>
      </c>
      <c r="G1584" s="48" t="inlineStr">
        <is>
          <t>Pass</t>
        </is>
      </c>
      <c r="H1584" s="50" t="inlineStr">
        <is>
          <t>object không phải bảng DIM nên không áp dụng SCD Type 2</t>
        </is>
      </c>
      <c r="I15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84" s="48" t="inlineStr">
        <is>
          <t>080. OCB_GOLD_TCKH_V_LD_FTP_RATE_PHAT.xlsx [Script: V_LD_FTP_RATE]</t>
        </is>
      </c>
    </row>
    <row r="1585">
      <c r="A1585" s="48" t="inlineStr">
        <is>
          <t>TCKH.V_LD_FTP_RATE</t>
        </is>
      </c>
      <c r="B1585" s="48" t="inlineStr">
        <is>
          <t>GOLD_DERIVED</t>
        </is>
      </c>
      <c r="C1585" s="48" t="inlineStr">
        <is>
          <t>2.7</t>
        </is>
      </c>
      <c r="D1585" s="48" t="inlineStr">
        <is>
          <t>Nhom 2 - Logic</t>
        </is>
      </c>
      <c r="E1585" s="48" t="inlineStr">
        <is>
          <t>CASE WHEN cover đủ nhánh như job on-prem</t>
        </is>
      </c>
      <c r="F1585" s="49" t="inlineStr">
        <is>
          <t>PASS</t>
        </is>
      </c>
      <c r="G1585" s="48" t="inlineStr">
        <is>
          <t>Pass</t>
        </is>
      </c>
      <c r="H1585" s="50" t="inlineStr">
        <is>
          <t>cả 2 CASE đều có nhánh ELSE</t>
        </is>
      </c>
      <c r="I1585" s="50" t="inlineStr">
        <is>
          <t>Mở job on-prem tương ứng (DataStage DSX hoặc SQL cũ), đối chiếu từng nhánh WHEN và cả nhánh ELSE. CASE không có ELSE sẽ trả NULL âm thầm — xác nhận đó là ý muốn hay thiếu nhánh.</t>
        </is>
      </c>
      <c r="J1585" s="48" t="inlineStr">
        <is>
          <t>080. OCB_GOLD_TCKH_V_LD_FTP_RATE_PHAT.xlsx [Script: V_LD_FTP_RATE]</t>
        </is>
      </c>
    </row>
    <row r="1586">
      <c r="A1586" s="48" t="inlineStr">
        <is>
          <t>TCKH.V_LD_FTP_RATE</t>
        </is>
      </c>
      <c r="B1586" s="48" t="inlineStr">
        <is>
          <t>GOLD_DERIVED</t>
        </is>
      </c>
      <c r="C1586" s="48" t="inlineStr">
        <is>
          <t>2.8</t>
        </is>
      </c>
      <c r="D1586" s="48" t="inlineStr">
        <is>
          <t>Nhom 2 - Logic</t>
        </is>
      </c>
      <c r="E1586" s="48" t="inlineStr">
        <is>
          <t>Cột SUM/COUNT được COALESCE/NVL hợp lý</t>
        </is>
      </c>
      <c r="F1586" s="51" t="inlineStr">
        <is>
          <t>WARN</t>
        </is>
      </c>
      <c r="G1586" s="48" t="inlineStr">
        <is>
          <t>WARN</t>
        </is>
      </c>
      <c r="H1586" s="50" t="inlineStr">
        <is>
          <t>2 biểu thức tổng hợp chưa coalesce: SUM(CASE WHEN SUBSTRING(h.REF_NO, 1, 2) &lt;&gt; 'PD' AND h.SYSTEM; SUM(CASE WHEN SUBSTRING(h.REF_NO, 1, 2) = 'PD' THEN 0 ELSE h; khi đối soát với hệ thống cũ phải bọc NVL/ISNULL CẢ HAI phía để không lệch khi trừ (Checklist RVN-OCB #11)</t>
        </is>
      </c>
      <c r="I15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586" s="48" t="inlineStr">
        <is>
          <t>080. OCB_GOLD_TCKH_V_LD_FTP_RATE_PHAT.xlsx [Script: V_LD_FTP_RATE]</t>
        </is>
      </c>
    </row>
    <row r="1587">
      <c r="A1587" s="48" t="inlineStr">
        <is>
          <t>TCKH.V_LD_FTP_RATE</t>
        </is>
      </c>
      <c r="B1587" s="48" t="inlineStr">
        <is>
          <t>GOLD_DERIVED</t>
        </is>
      </c>
      <c r="C1587" s="48" t="inlineStr">
        <is>
          <t>2.9</t>
        </is>
      </c>
      <c r="D1587" s="48" t="inlineStr">
        <is>
          <t>Nhom 2 - Logic</t>
        </is>
      </c>
      <c r="E1587" s="48" t="inlineStr">
        <is>
          <t>Subquery / custom function / điều kiện LIKE đúng ý nghĩa nghiệp vụ</t>
        </is>
      </c>
      <c r="F1587" s="48" t="inlineStr">
        <is>
          <t>N-A</t>
        </is>
      </c>
      <c r="G1587" s="48" t="inlineStr">
        <is>
          <t>Pass</t>
        </is>
      </c>
      <c r="H1587" s="50" t="inlineStr">
        <is>
          <t>script không có điều kiện LIKE hay scalar subquery nào</t>
        </is>
      </c>
      <c r="I1587" s="50" t="inlineStr">
        <is>
          <t>Đọc lại từng điều kiện LIKE và từng subquery, đối chiếu ý nghĩa nghiệp vụ với on-prem — đúng cú pháp không đủ. Chú ý pattern LIKE có ký tự % ở đầu/cuối và phân biệt chữ hoa/thường.</t>
        </is>
      </c>
      <c r="J1587" s="48" t="inlineStr">
        <is>
          <t>080. OCB_GOLD_TCKH_V_LD_FTP_RATE_PHAT.xlsx [Script: V_LD_FTP_RATE]</t>
        </is>
      </c>
    </row>
    <row r="1588">
      <c r="A1588" s="48" t="inlineStr">
        <is>
          <t>TCKH.V_LD_FTP_RATE</t>
        </is>
      </c>
      <c r="B1588" s="48" t="inlineStr">
        <is>
          <t>GOLD_DERIVED</t>
        </is>
      </c>
      <c r="C1588" s="48" t="inlineStr">
        <is>
          <t>2.10</t>
        </is>
      </c>
      <c r="D1588" s="48" t="inlineStr">
        <is>
          <t>Nhom 2 - Logic</t>
        </is>
      </c>
      <c r="E1588" s="48" t="inlineStr">
        <is>
          <t>Aggregation kèm filter date range chính xác</t>
        </is>
      </c>
      <c r="F1588" s="51" t="inlineStr">
        <is>
          <t>WARN</t>
        </is>
      </c>
      <c r="G1588" s="48" t="inlineStr">
        <is>
          <t>WARN</t>
        </is>
      </c>
      <c r="H1588" s="50" t="inlineStr">
        <is>
          <t>1 khối tổng hợp không thấy filter theo ngày/tham số: SELECT tu FTP_CONTRACT_HIST</t>
        </is>
      </c>
      <c r="I1588" s="50" t="inlineStr">
        <is>
          <t>Mỗi khối SUM/COUNT/AVG phải có điều kiện lọc theo kỳ dữ liệu (CDR_DT_ID, DATA_DATE, :DATADT…). Nếu điều kiện nằm ở CTE nguồn thì ghi rõ trong comment để người review không phải truy ngược.</t>
        </is>
      </c>
      <c r="J1588" s="48" t="inlineStr">
        <is>
          <t>080. OCB_GOLD_TCKH_V_LD_FTP_RATE_PHAT.xlsx [Script: V_LD_FTP_RATE]</t>
        </is>
      </c>
    </row>
    <row r="1589">
      <c r="A1589" s="48" t="inlineStr">
        <is>
          <t>TCKH.V_LD_FTP_RATE</t>
        </is>
      </c>
      <c r="B1589" s="48" t="inlineStr">
        <is>
          <t>GOLD_DERIVED</t>
        </is>
      </c>
      <c r="C1589" s="48" t="inlineStr">
        <is>
          <t>2.11</t>
        </is>
      </c>
      <c r="D1589" s="48" t="inlineStr">
        <is>
          <t>Nhom 2 - Logic</t>
        </is>
      </c>
      <c r="E1589" s="48" t="inlineStr">
        <is>
          <t>Join dùng key hợp lý, không lạm dụng UNION ALL + EXISTS/NOT EXISTS</t>
        </is>
      </c>
      <c r="F1589" s="49" t="inlineStr">
        <is>
          <t>PASS</t>
        </is>
      </c>
      <c r="G1589" s="48" t="inlineStr">
        <is>
          <t>Pass</t>
        </is>
      </c>
      <c r="H1589" s="50" t="inlineStr">
        <is>
          <t>join đều theo điều kiện bằng, không lạm dụng UNION ALL + EXISTS</t>
        </is>
      </c>
      <c r="I1589" s="50" t="inlineStr">
        <is>
          <t>Ưu tiên LEFT JOIN theo business key hoặc hashkey. Xem lại các chỗ dùng UNION ALL kết hợp EXISTS/NOT EXISTS — thường thay được bằng một LEFT JOIN. Join không có điều kiện bằng (=) dễ tạo tích Descartes.</t>
        </is>
      </c>
      <c r="J1589" s="48" t="inlineStr">
        <is>
          <t>080. OCB_GOLD_TCKH_V_LD_FTP_RATE_PHAT.xlsx [Script: V_LD_FTP_RATE]</t>
        </is>
      </c>
    </row>
    <row r="1590">
      <c r="A1590" s="48" t="inlineStr">
        <is>
          <t>TCKH.V_LD_FTP_RATE</t>
        </is>
      </c>
      <c r="B1590" s="48" t="inlineStr">
        <is>
          <t>GOLD_DERIVED</t>
        </is>
      </c>
      <c r="C1590" s="48" t="inlineStr">
        <is>
          <t>2.12</t>
        </is>
      </c>
      <c r="D1590" s="48" t="inlineStr">
        <is>
          <t>Nhom 2 - Logic</t>
        </is>
      </c>
      <c r="E1590" s="48" t="inlineStr">
        <is>
          <t>Build Gold từ CTE snapshot Silver, không build nhiều tầng chồng chéo</t>
        </is>
      </c>
      <c r="F1590" s="49" t="inlineStr">
        <is>
          <t>PASS</t>
        </is>
      </c>
      <c r="G1590" s="48" t="inlineStr">
        <is>
          <t>Pass</t>
        </is>
      </c>
      <c r="H1590" s="50" t="inlineStr">
        <is>
          <t>mỗi bảng nguồn chỉ đọc trong 1 khối SELECT</t>
        </is>
      </c>
      <c r="I15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90" s="48" t="inlineStr">
        <is>
          <t>080. OCB_GOLD_TCKH_V_LD_FTP_RATE_PHAT.xlsx [Script: V_LD_FTP_RATE]</t>
        </is>
      </c>
    </row>
    <row r="1591">
      <c r="A1591" s="48" t="inlineStr">
        <is>
          <t>TCKH.V_LD_FTP_RATE</t>
        </is>
      </c>
      <c r="B1591" s="48" t="inlineStr">
        <is>
          <t>GOLD_DERIVED</t>
        </is>
      </c>
      <c r="C1591" s="48" t="inlineStr">
        <is>
          <t>3.1</t>
        </is>
      </c>
      <c r="D1591" s="48" t="inlineStr">
        <is>
          <t>Nhom 3 - Optimization</t>
        </is>
      </c>
      <c r="E1591" s="48" t="inlineStr">
        <is>
          <t>Không SELECT *</t>
        </is>
      </c>
      <c r="F1591" s="49" t="inlineStr">
        <is>
          <t>PASS</t>
        </is>
      </c>
      <c r="G1591" s="48" t="inlineStr">
        <is>
          <t>Pass</t>
        </is>
      </c>
      <c r="H1591" s="50" t="inlineStr">
        <is>
          <t>không dùng SELECT * ở đâu</t>
        </is>
      </c>
      <c r="I1591" s="50" t="inlineStr">
        <is>
          <t>Liệt kê tường minh các cột cần dùng, kể cả trong CTE trung gian. SELECT * làm tăng IO/memory và vỡ script khi bảng nguồn thêm cột.</t>
        </is>
      </c>
      <c r="J1591" s="48" t="inlineStr">
        <is>
          <t>080. OCB_GOLD_TCKH_V_LD_FTP_RATE_PHAT.xlsx [Script: V_LD_FTP_RATE]</t>
        </is>
      </c>
    </row>
    <row r="1592">
      <c r="A1592" s="48" t="inlineStr">
        <is>
          <t>TCKH.V_LD_FTP_RATE</t>
        </is>
      </c>
      <c r="B1592" s="48" t="inlineStr">
        <is>
          <t>GOLD_DERIVED</t>
        </is>
      </c>
      <c r="C1592" s="48" t="inlineStr">
        <is>
          <t>3.2</t>
        </is>
      </c>
      <c r="D1592" s="48" t="inlineStr">
        <is>
          <t>Nhom 3 - Optimization</t>
        </is>
      </c>
      <c r="E1592" s="48" t="inlineStr">
        <is>
          <t>CTE không bị scan lại nhiều lần</t>
        </is>
      </c>
      <c r="F1592" s="49" t="inlineStr">
        <is>
          <t>PASS</t>
        </is>
      </c>
      <c r="G1592" s="48" t="inlineStr">
        <is>
          <t>Pass</t>
        </is>
      </c>
      <c r="H1592" s="50" t="inlineStr">
        <is>
          <t>không có CTE nào bị gọi lại</t>
        </is>
      </c>
      <c r="I1592" s="50" t="inlineStr">
        <is>
          <t>Với CTE nặng (đọc nhiều bảng Silver) bị tham chiếu từ 2 chỗ trở lên: gom lại còn một lần dùng, hoặc vật chất hóa (CACHE / bảng tạm). CTE nhẹ chỉ chứa tham số thì bỏ qua được — tự tick Pass.</t>
        </is>
      </c>
      <c r="J1592" s="48" t="inlineStr">
        <is>
          <t>080. OCB_GOLD_TCKH_V_LD_FTP_RATE_PHAT.xlsx [Script: V_LD_FTP_RATE]</t>
        </is>
      </c>
    </row>
    <row r="1593">
      <c r="A1593" s="48" t="inlineStr">
        <is>
          <t>TCKH.V_LD_FTP_RATE</t>
        </is>
      </c>
      <c r="B1593" s="48" t="inlineStr">
        <is>
          <t>GOLD_DERIVED</t>
        </is>
      </c>
      <c r="C1593" s="48" t="inlineStr">
        <is>
          <t>3.3</t>
        </is>
      </c>
      <c r="D1593" s="48" t="inlineStr">
        <is>
          <t>Nhom 3 - Optimization</t>
        </is>
      </c>
      <c r="E1593" s="48" t="inlineStr">
        <is>
          <t>Filter trước khi join, tận dụng partition pruning</t>
        </is>
      </c>
      <c r="F1593" s="49" t="inlineStr">
        <is>
          <t>PASS</t>
        </is>
      </c>
      <c r="G1593" s="48" t="inlineStr">
        <is>
          <t>Pass</t>
        </is>
      </c>
      <c r="H1593" s="50" t="inlineStr">
        <is>
          <t>các bảng join đều được filter trước</t>
        </is>
      </c>
      <c r="I1593" s="50" t="inlineStr">
        <is>
          <t>Đưa điều kiện lọc (ngày dữ liệu, trạng thái) vào subquery của từng bảng TRƯỚC khi join, để tận dụng partition pruning. Bảng dim nhỏ không partition thì không cần — tự tick Pass.</t>
        </is>
      </c>
      <c r="J1593" s="48" t="inlineStr">
        <is>
          <t>080. OCB_GOLD_TCKH_V_LD_FTP_RATE_PHAT.xlsx [Script: V_LD_FTP_RATE]</t>
        </is>
      </c>
    </row>
    <row r="1594">
      <c r="A1594" s="48" t="inlineStr">
        <is>
          <t>TCKH.V_LD_FTP_RATE</t>
        </is>
      </c>
      <c r="B1594" s="48" t="inlineStr">
        <is>
          <t>GOLD_DERIVED</t>
        </is>
      </c>
      <c r="C1594" s="48" t="inlineStr">
        <is>
          <t>3.4</t>
        </is>
      </c>
      <c r="D1594" s="48" t="inlineStr">
        <is>
          <t>Nhom 3 - Optimization</t>
        </is>
      </c>
      <c r="E1594" s="48" t="inlineStr">
        <is>
          <t>Sử dụng CACHE cho query lặp lại trong cùng luồng</t>
        </is>
      </c>
      <c r="F1594" s="48" t="inlineStr">
        <is>
          <t>N-A</t>
        </is>
      </c>
      <c r="G1594" s="48" t="inlineStr">
        <is>
          <t>Pass</t>
        </is>
      </c>
      <c r="H1594" s="50" t="inlineStr">
        <is>
          <t>không có kết quả nào được dùng lại nhiều lần nên chưa cần CACHE</t>
        </is>
      </c>
      <c r="I1594" s="50" t="inlineStr">
        <is>
          <t>Nếu một kết quả nặng được dùng lại nhiều bước trong cùng luồng, thêm CACHE TABLE / CACHE SELECT. Kết quả nhỏ thì cache còn chậm hơn — tự tick Pass.</t>
        </is>
      </c>
      <c r="J1594" s="48" t="inlineStr">
        <is>
          <t>080. OCB_GOLD_TCKH_V_LD_FTP_RATE_PHAT.xlsx [Script: V_LD_FTP_RATE]</t>
        </is>
      </c>
    </row>
    <row r="1595">
      <c r="A1595" s="48" t="inlineStr">
        <is>
          <t>TCKH.V_LD_FTP_RATE</t>
        </is>
      </c>
      <c r="B1595" s="48" t="inlineStr">
        <is>
          <t>GOLD_DERIVED</t>
        </is>
      </c>
      <c r="C1595" s="48" t="inlineStr">
        <is>
          <t>3.5</t>
        </is>
      </c>
      <c r="D1595" s="48" t="inlineStr">
        <is>
          <t>Nhom 3 - Optimization</t>
        </is>
      </c>
      <c r="E1595" s="48" t="inlineStr">
        <is>
          <t>Ưu tiên MAX_BY + QUALIFY thay ROW_NUMBER() + WHERE rn = 1</t>
        </is>
      </c>
      <c r="F1595" s="48" t="inlineStr">
        <is>
          <t>N-A</t>
        </is>
      </c>
      <c r="G1595" s="48" t="inlineStr">
        <is>
          <t>Pass</t>
        </is>
      </c>
      <c r="H1595" s="50" t="inlineStr">
        <is>
          <t>script không dùng ROW_NUMBER, và MAX_BY (nếu có) không vượt quá 5 cột/khối</t>
        </is>
      </c>
      <c r="I15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595" s="48" t="inlineStr">
        <is>
          <t>080. OCB_GOLD_TCKH_V_LD_FTP_RATE_PHAT.xlsx [Script: V_LD_FTP_RATE]</t>
        </is>
      </c>
    </row>
    <row r="1596">
      <c r="A1596" s="48" t="inlineStr">
        <is>
          <t>TCKH.V_LD_FTP_RATE</t>
        </is>
      </c>
      <c r="B1596" s="48" t="inlineStr">
        <is>
          <t>GOLD_DERIVED</t>
        </is>
      </c>
      <c r="C1596" s="48" t="inlineStr">
        <is>
          <t>3.6</t>
        </is>
      </c>
      <c r="D1596" s="48" t="inlineStr">
        <is>
          <t>Nhom 3 - Optimization</t>
        </is>
      </c>
      <c r="E1596" s="48" t="inlineStr">
        <is>
          <t>Không lạm dụng window function; có comment khi dùng</t>
        </is>
      </c>
      <c r="F1596" s="48" t="inlineStr">
        <is>
          <t>N-A</t>
        </is>
      </c>
      <c r="G1596" s="48" t="inlineStr">
        <is>
          <t>Pass</t>
        </is>
      </c>
      <c r="H1596" s="50" t="inlineStr">
        <is>
          <t>script không dùng window function</t>
        </is>
      </c>
      <c r="I1596" s="50" t="inlineStr">
        <is>
          <t>Mỗi window function cần một comment ngay trên khối CTE chứa nó, nói rõ vì sao không dùng được max_by/QUALIFY đơn giản hơn.</t>
        </is>
      </c>
      <c r="J1596" s="48" t="inlineStr">
        <is>
          <t>080. OCB_GOLD_TCKH_V_LD_FTP_RATE_PHAT.xlsx [Script: V_LD_FTP_RATE]</t>
        </is>
      </c>
    </row>
    <row r="1597">
      <c r="A1597" s="48" t="inlineStr">
        <is>
          <t>TCKH.V_LD_FTP_RATE</t>
        </is>
      </c>
      <c r="B1597" s="48" t="inlineStr">
        <is>
          <t>GOLD_DERIVED</t>
        </is>
      </c>
      <c r="C1597" s="48" t="inlineStr">
        <is>
          <t>X.1</t>
        </is>
      </c>
      <c r="D1597" s="48" t="inlineStr">
        <is>
          <t>Nhom X - Bo sung Raffles</t>
        </is>
      </c>
      <c r="E1597" s="48" t="inlineStr">
        <is>
          <t>[Bổ sung] Link phải rút về current trước khi join (chống fan-out)</t>
        </is>
      </c>
      <c r="F1597" s="48" t="inlineStr">
        <is>
          <t>N-A</t>
        </is>
      </c>
      <c r="G1597" s="48" t="inlineStr">
        <is>
          <t>Pass</t>
        </is>
      </c>
      <c r="H1597" s="50" t="inlineStr">
        <is>
          <t>khong ap dung cho profile GOLD_DERIVED</t>
        </is>
      </c>
      <c r="I15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597" s="48" t="inlineStr">
        <is>
          <t>080. OCB_GOLD_TCKH_V_LD_FTP_RATE_PHAT.xlsx [Script: V_LD_FTP_RATE]</t>
        </is>
      </c>
    </row>
    <row r="1598">
      <c r="A1598" s="48" t="inlineStr">
        <is>
          <t>TCKH.V_LD_FTP_RATE</t>
        </is>
      </c>
      <c r="B1598" s="48" t="inlineStr">
        <is>
          <t>GOLD_DERIVED</t>
        </is>
      </c>
      <c r="C1598" s="48" t="inlineStr">
        <is>
          <t>X.6</t>
        </is>
      </c>
      <c r="D1598" s="48" t="inlineStr">
        <is>
          <t>Nhom X - Bo sung Raffles</t>
        </is>
      </c>
      <c r="E1598" s="48" t="inlineStr">
        <is>
          <t>[Bổ sung] Satellite phải LEFT JOIN, không INNER JOIN</t>
        </is>
      </c>
      <c r="F1598" s="48" t="inlineStr">
        <is>
          <t>N-A</t>
        </is>
      </c>
      <c r="G1598" s="48" t="inlineStr">
        <is>
          <t>Pass</t>
        </is>
      </c>
      <c r="H1598" s="50" t="inlineStr">
        <is>
          <t>khong ap dung cho profile GOLD_DERIVED</t>
        </is>
      </c>
      <c r="I1598" s="50" t="inlineStr">
        <is>
          <t>Technical Document III.4.2.2 nguyên tắc 1: làm giàu thuộc tính luôn dùng LEFT JOIN. INNER JOIN satellite sẽ loại mất bản ghi Hub đang còn hiệu lực nhưng chưa có dòng satellite.</t>
        </is>
      </c>
      <c r="J1598" s="48" t="inlineStr">
        <is>
          <t>080. OCB_GOLD_TCKH_V_LD_FTP_RATE_PHAT.xlsx [Script: V_LD_FTP_RATE]</t>
        </is>
      </c>
    </row>
    <row r="1599">
      <c r="A1599" s="48" t="inlineStr">
        <is>
          <t>TCKH.V_LD_FTP_RATE</t>
        </is>
      </c>
      <c r="B1599" s="48" t="inlineStr">
        <is>
          <t>GOLD_DERIVED</t>
        </is>
      </c>
      <c r="C1599" s="48" t="inlineStr">
        <is>
          <t>X.7</t>
        </is>
      </c>
      <c r="D1599" s="48" t="inlineStr">
        <is>
          <t>Nhom X - Bo sung Raffles</t>
        </is>
      </c>
      <c r="E1599" s="48" t="inlineStr">
        <is>
          <t>[Bổ sung] Không hard-code catalog, dùng biến môi trường</t>
        </is>
      </c>
      <c r="F1599" s="49" t="inlineStr">
        <is>
          <t>PASS</t>
        </is>
      </c>
      <c r="G1599" s="48" t="inlineStr">
        <is>
          <t>Pass</t>
        </is>
      </c>
      <c r="H1599" s="50" t="inlineStr">
        <is>
          <t>dùng biến môi trường cho catalog</t>
        </is>
      </c>
      <c r="I15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599" s="48" t="inlineStr">
        <is>
          <t>080. OCB_GOLD_TCKH_V_LD_FTP_RATE_PHAT.xlsx [Script: V_LD_FTP_RATE]</t>
        </is>
      </c>
    </row>
    <row r="1600">
      <c r="A1600" s="48" t="inlineStr">
        <is>
          <t>TCKH.V_LD_FTP_RATE</t>
        </is>
      </c>
      <c r="B1600" s="48" t="inlineStr">
        <is>
          <t>GOLD_DERIVED</t>
        </is>
      </c>
      <c r="C1600" s="48" t="inlineStr">
        <is>
          <t>X.10</t>
        </is>
      </c>
      <c r="D1600" s="48" t="inlineStr">
        <is>
          <t>Nhom X - Bo sung Raffles</t>
        </is>
      </c>
      <c r="E1600" s="48" t="inlineStr">
        <is>
          <t>Bang raw_vault/business_vault duoc doc phai TON TAI THAT trong Data Vault model</t>
        </is>
      </c>
      <c r="F1600" s="48" t="inlineStr">
        <is>
          <t>N-A</t>
        </is>
      </c>
      <c r="G1600" s="48" t="inlineStr">
        <is>
          <t>Pass</t>
        </is>
      </c>
      <c r="H1600" s="50" t="inlineStr">
        <is>
          <t>script không đọc bảng raw_vault/business_vault nào</t>
        </is>
      </c>
      <c r="I1600" s="50" t="inlineStr"/>
      <c r="J1600" s="48" t="inlineStr">
        <is>
          <t>080. OCB_GOLD_TCKH_V_LD_FTP_RATE_PHAT.xlsx [Script: V_LD_FTP_RATE]</t>
        </is>
      </c>
    </row>
    <row r="1601">
      <c r="A1601" s="48" t="inlineStr">
        <is>
          <t>TCKH.V_LD_FTP_RATE</t>
        </is>
      </c>
      <c r="B1601" s="48" t="inlineStr">
        <is>
          <t>GOLD_DERIVED</t>
        </is>
      </c>
      <c r="C1601" s="48" t="inlineStr">
        <is>
          <t>X.11</t>
        </is>
      </c>
      <c r="D1601" s="48" t="inlineStr">
        <is>
          <t>Nhom X - Bo sung Raffles</t>
        </is>
      </c>
      <c r="E1601" s="48" t="inlineStr">
        <is>
          <t>Cot doc tu satellite (sat_*) phai TON TAI THAT trong model</t>
        </is>
      </c>
      <c r="F1601" s="48" t="inlineStr">
        <is>
          <t>N-A</t>
        </is>
      </c>
      <c r="G1601" s="48" t="inlineStr">
        <is>
          <t>Pass</t>
        </is>
      </c>
      <c r="H1601" s="50" t="inlineStr">
        <is>
          <t>không có bảng sat_* nào đủ điều kiện đối chiếu (Select chỉ đọc 1 bảng)</t>
        </is>
      </c>
      <c r="I1601" s="50" t="inlineStr"/>
      <c r="J1601" s="48" t="inlineStr">
        <is>
          <t>080. OCB_GOLD_TCKH_V_LD_FTP_RATE_PHAT.xlsx [Script: V_LD_FTP_RATE]</t>
        </is>
      </c>
    </row>
    <row r="1602">
      <c r="A1602" s="48" t="inlineStr">
        <is>
          <t>GSTX.GSTX_INTF_DUPL_CIF</t>
        </is>
      </c>
      <c r="B1602" s="48" t="inlineStr">
        <is>
          <t>SILVER_CONSUMER</t>
        </is>
      </c>
      <c r="C1602" s="48" t="inlineStr">
        <is>
          <t>1.1</t>
        </is>
      </c>
      <c r="D1602" s="48" t="inlineStr">
        <is>
          <t>Nhom 1 - Mapping</t>
        </is>
      </c>
      <c r="E1602" s="48" t="inlineStr">
        <is>
          <t>Đầy đủ mapping từ Silver/manual sang Gold</t>
        </is>
      </c>
      <c r="F1602" s="49" t="inlineStr">
        <is>
          <t>PASS</t>
        </is>
      </c>
      <c r="G1602" s="48" t="inlineStr">
        <is>
          <t>Pass</t>
        </is>
      </c>
      <c r="H1602" s="50" t="inlineStr">
        <is>
          <t>workbook 081. OCB_GOLD_TTDL_GSTX_INTF_DUPL_CIF_Huy.xlsx: thiết kế 44 field, SQL có 44 cột</t>
        </is>
      </c>
      <c r="I16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602" s="48" t="inlineStr">
        <is>
          <t>081. OCB_GOLD_TTDL_GSTX_INTF_DUPL_CIF_Huy.xlsx [Script SQL: GSTX_INTF_DUPL_CIF]</t>
        </is>
      </c>
    </row>
    <row r="1603">
      <c r="A1603" s="48" t="inlineStr">
        <is>
          <t>GSTX.GSTX_INTF_DUPL_CIF</t>
        </is>
      </c>
      <c r="B1603" s="48" t="inlineStr">
        <is>
          <t>SILVER_CONSUMER</t>
        </is>
      </c>
      <c r="C1603" s="48" t="inlineStr">
        <is>
          <t>1.2</t>
        </is>
      </c>
      <c r="D1603" s="48" t="inlineStr">
        <is>
          <t>Nhom 1 - Mapping</t>
        </is>
      </c>
      <c r="E1603" s="48" t="inlineStr">
        <is>
          <t>Danh sách bảng/view Gold khớp tài liệu thiết kế đã duyệt</t>
        </is>
      </c>
      <c r="F1603" s="49" t="inlineStr">
        <is>
          <t>PASS</t>
        </is>
      </c>
      <c r="G1603" s="48" t="inlineStr">
        <is>
          <t>Pass</t>
        </is>
      </c>
      <c r="H1603" s="50" t="inlineStr">
        <is>
          <t>GSTX_INTF_DUPL_CIF có workbook thiết kế: 081. OCB_GOLD_TTDL_GSTX_INTF_DUPL_CIF_Huy.xlsx</t>
        </is>
      </c>
      <c r="I1603" s="50" t="inlineStr">
        <is>
          <t>Đảm bảo object có workbook thiết kế tương ứng trong thư mục --mapping-dir. Muốn đối chiếu với danh sách đã duyệt thì chạy thêm tham số --gold-list "&lt;file danh sách Gold&gt;.xlsx".</t>
        </is>
      </c>
      <c r="J1603" s="48" t="inlineStr">
        <is>
          <t>081. OCB_GOLD_TTDL_GSTX_INTF_DUPL_CIF_Huy.xlsx [Script SQL: GSTX_INTF_DUPL_CIF]</t>
        </is>
      </c>
    </row>
    <row r="1604">
      <c r="A1604" s="48" t="inlineStr">
        <is>
          <t>GSTX.GSTX_INTF_DUPL_CIF</t>
        </is>
      </c>
      <c r="B1604" s="48" t="inlineStr">
        <is>
          <t>SILVER_CONSUMER</t>
        </is>
      </c>
      <c r="C1604" s="48" t="inlineStr">
        <is>
          <t>2.1</t>
        </is>
      </c>
      <c r="D1604" s="48" t="inlineStr">
        <is>
          <t>Nhom 2 - Logic</t>
        </is>
      </c>
      <c r="E1604" s="48" t="inlineStr">
        <is>
          <t>Chỉ lấy bản ghi active, loại bản ghi đã xóa (qua sts_hub)</t>
        </is>
      </c>
      <c r="F1604" s="49" t="inlineStr">
        <is>
          <t>PASS</t>
        </is>
      </c>
      <c r="G1604" s="48" t="inlineStr">
        <is>
          <t>Pass</t>
        </is>
      </c>
      <c r="H1604" s="50" t="inlineStr">
        <is>
          <t>1 sts_hub_* đọc đúng format</t>
        </is>
      </c>
      <c r="I16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604" s="48" t="inlineStr">
        <is>
          <t>081. OCB_GOLD_TTDL_GSTX_INTF_DUPL_CIF_Huy.xlsx [Script SQL: GSTX_INTF_DUPL_CIF]</t>
        </is>
      </c>
    </row>
    <row r="1605">
      <c r="A1605" s="48" t="inlineStr">
        <is>
          <t>GSTX.GSTX_INTF_DUPL_CIF</t>
        </is>
      </c>
      <c r="B1605" s="48" t="inlineStr">
        <is>
          <t>SILVER_CONSUMER</t>
        </is>
      </c>
      <c r="C1605" s="48" t="inlineStr">
        <is>
          <t>2.2</t>
        </is>
      </c>
      <c r="D1605" s="48" t="inlineStr">
        <is>
          <t>Nhom 2 - Logic</t>
        </is>
      </c>
      <c r="E1605" s="48" t="inlineStr">
        <is>
          <t>Thống nhất MỘT pattern duy nhất xác định bản ghi active mới nhất</t>
        </is>
      </c>
      <c r="F1605" s="49" t="inlineStr">
        <is>
          <t>PASS</t>
        </is>
      </c>
      <c r="G1605" s="48" t="inlineStr">
        <is>
          <t>Pass</t>
        </is>
      </c>
      <c r="H1605" s="50" t="inlineStr">
        <is>
          <t>file này dùng: ['MAX_BY']; toàn batch dùng: ['MAX_BY']</t>
        </is>
      </c>
      <c r="I16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605" s="48" t="inlineStr">
        <is>
          <t>081. OCB_GOLD_TTDL_GSTX_INTF_DUPL_CIF_Huy.xlsx [Script SQL: GSTX_INTF_DUPL_CIF]</t>
        </is>
      </c>
    </row>
    <row r="1606">
      <c r="A1606" s="48" t="inlineStr">
        <is>
          <t>GSTX.GSTX_INTF_DUPL_CIF</t>
        </is>
      </c>
      <c r="B1606" s="48" t="inlineStr">
        <is>
          <t>SILVER_CONSUMER</t>
        </is>
      </c>
      <c r="C1606" s="48" t="inlineStr">
        <is>
          <t>2.3</t>
        </is>
      </c>
      <c r="D1606" s="48" t="inlineStr">
        <is>
          <t>Nhom 2 - Logic</t>
        </is>
      </c>
      <c r="E1606" s="48" t="inlineStr">
        <is>
          <t>Điều kiện lọc trạng thái đặt SAU khi xác định bản ghi mới nhất</t>
        </is>
      </c>
      <c r="F1606" s="49" t="inlineStr">
        <is>
          <t>PASS</t>
        </is>
      </c>
      <c r="G1606" s="48" t="inlineStr">
        <is>
          <t>Pass</t>
        </is>
      </c>
      <c r="H1606" s="50" t="inlineStr">
        <is>
          <t>không có điều kiện trạng thái nào lồng trong JOIN ON</t>
        </is>
      </c>
      <c r="I16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606" s="48" t="inlineStr">
        <is>
          <t>081. OCB_GOLD_TTDL_GSTX_INTF_DUPL_CIF_Huy.xlsx [Script SQL: GSTX_INTF_DUPL_CIF]</t>
        </is>
      </c>
    </row>
    <row r="1607">
      <c r="A1607" s="48" t="inlineStr">
        <is>
          <t>GSTX.GSTX_INTF_DUPL_CIF</t>
        </is>
      </c>
      <c r="B1607" s="48" t="inlineStr">
        <is>
          <t>SILVER_CONSUMER</t>
        </is>
      </c>
      <c r="C1607" s="48" t="inlineStr">
        <is>
          <t>2.4</t>
        </is>
      </c>
      <c r="D1607" s="48" t="inlineStr">
        <is>
          <t>Nhom 2 - Logic</t>
        </is>
      </c>
      <c r="E1607" s="48" t="inlineStr">
        <is>
          <t>source_event_date áp dụng đúng dạng theo loại bảng</t>
        </is>
      </c>
      <c r="F1607" s="49" t="inlineStr">
        <is>
          <t>PASS</t>
        </is>
      </c>
      <c r="G1607" s="48" t="inlineStr">
        <is>
          <t>Pass</t>
        </is>
      </c>
      <c r="H1607" s="50" t="inlineStr">
        <is>
          <t>9 satellite đều đúng dạng điều kiện source_event_date</t>
        </is>
      </c>
      <c r="I16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607" s="48" t="inlineStr">
        <is>
          <t>081. OCB_GOLD_TTDL_GSTX_INTF_DUPL_CIF_Huy.xlsx [Script SQL: GSTX_INTF_DUPL_CIF]</t>
        </is>
      </c>
    </row>
    <row r="1608">
      <c r="A1608" s="48" t="inlineStr">
        <is>
          <t>GSTX.GSTX_INTF_DUPL_CIF</t>
        </is>
      </c>
      <c r="B1608" s="48" t="inlineStr">
        <is>
          <t>SILVER_CONSUMER</t>
        </is>
      </c>
      <c r="C1608" s="48" t="inlineStr">
        <is>
          <t>2.5</t>
        </is>
      </c>
      <c r="D1608" s="48" t="inlineStr">
        <is>
          <t>Nhom 2 - Logic</t>
        </is>
      </c>
      <c r="E1608" s="48" t="inlineStr">
        <is>
          <t>Không lặp lại lỗi logic cũ đã được DA Data Vault fix</t>
        </is>
      </c>
      <c r="F1608" s="49" t="inlineStr">
        <is>
          <t>PASS</t>
        </is>
      </c>
      <c r="G1608" s="48" t="inlineStr">
        <is>
          <t>Pass</t>
        </is>
      </c>
      <c r="H1608" s="50" t="inlineStr">
        <is>
          <t>không trùng lỗi nào trong Issue log của DA Data Vault</t>
        </is>
      </c>
      <c r="I16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608" s="48" t="inlineStr">
        <is>
          <t>081. OCB_GOLD_TTDL_GSTX_INTF_DUPL_CIF_Huy.xlsx [Script SQL: GSTX_INTF_DUPL_CIF]</t>
        </is>
      </c>
    </row>
    <row r="1609">
      <c r="A1609" s="48" t="inlineStr">
        <is>
          <t>GSTX.GSTX_INTF_DUPL_CIF</t>
        </is>
      </c>
      <c r="B1609" s="48" t="inlineStr">
        <is>
          <t>SILVER_CONSUMER</t>
        </is>
      </c>
      <c r="C1609" s="48" t="inlineStr">
        <is>
          <t>2.6</t>
        </is>
      </c>
      <c r="D1609" s="48" t="inlineStr">
        <is>
          <t>Nhom 2 - Logic</t>
        </is>
      </c>
      <c r="E1609" s="48" t="inlineStr">
        <is>
          <t>SCD Type 2 cho bảng DIM áp dụng đúng kỹ thuật đã thống nhất</t>
        </is>
      </c>
      <c r="F1609" s="48" t="inlineStr">
        <is>
          <t>N-A</t>
        </is>
      </c>
      <c r="G1609" s="48" t="inlineStr">
        <is>
          <t>Pass</t>
        </is>
      </c>
      <c r="H1609" s="50" t="inlineStr">
        <is>
          <t>object không phải bảng DIM nên không áp dụng SCD Type 2</t>
        </is>
      </c>
      <c r="I16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609" s="48" t="inlineStr">
        <is>
          <t>081. OCB_GOLD_TTDL_GSTX_INTF_DUPL_CIF_Huy.xlsx [Script SQL: GSTX_INTF_DUPL_CIF]</t>
        </is>
      </c>
    </row>
    <row r="1610">
      <c r="A1610" s="48" t="inlineStr">
        <is>
          <t>GSTX.GSTX_INTF_DUPL_CIF</t>
        </is>
      </c>
      <c r="B1610" s="48" t="inlineStr">
        <is>
          <t>SILVER_CONSUMER</t>
        </is>
      </c>
      <c r="C1610" s="48" t="inlineStr">
        <is>
          <t>2.7</t>
        </is>
      </c>
      <c r="D1610" s="48" t="inlineStr">
        <is>
          <t>Nhom 2 - Logic</t>
        </is>
      </c>
      <c r="E1610" s="48" t="inlineStr">
        <is>
          <t>CASE WHEN cover đủ nhánh như job on-prem</t>
        </is>
      </c>
      <c r="F1610" s="49" t="inlineStr">
        <is>
          <t>PASS</t>
        </is>
      </c>
      <c r="G1610" s="48" t="inlineStr">
        <is>
          <t>Pass</t>
        </is>
      </c>
      <c r="H1610" s="50" t="inlineStr">
        <is>
          <t>cả 10 CASE đều có nhánh ELSE</t>
        </is>
      </c>
      <c r="I1610" s="50" t="inlineStr">
        <is>
          <t>Mở job on-prem tương ứng (DataStage DSX hoặc SQL cũ), đối chiếu từng nhánh WHEN và cả nhánh ELSE. CASE không có ELSE sẽ trả NULL âm thầm — xác nhận đó là ý muốn hay thiếu nhánh.</t>
        </is>
      </c>
      <c r="J1610" s="48" t="inlineStr">
        <is>
          <t>081. OCB_GOLD_TTDL_GSTX_INTF_DUPL_CIF_Huy.xlsx [Script SQL: GSTX_INTF_DUPL_CIF]</t>
        </is>
      </c>
    </row>
    <row r="1611">
      <c r="A1611" s="48" t="inlineStr">
        <is>
          <t>GSTX.GSTX_INTF_DUPL_CIF</t>
        </is>
      </c>
      <c r="B1611" s="48" t="inlineStr">
        <is>
          <t>SILVER_CONSUMER</t>
        </is>
      </c>
      <c r="C1611" s="48" t="inlineStr">
        <is>
          <t>2.8</t>
        </is>
      </c>
      <c r="D1611" s="48" t="inlineStr">
        <is>
          <t>Nhom 2 - Logic</t>
        </is>
      </c>
      <c r="E1611" s="48" t="inlineStr">
        <is>
          <t>Cột SUM/COUNT được COALESCE/NVL hợp lý</t>
        </is>
      </c>
      <c r="F1611" s="49" t="inlineStr">
        <is>
          <t>PASS</t>
        </is>
      </c>
      <c r="G1611" s="48" t="inlineStr">
        <is>
          <t>Pass</t>
        </is>
      </c>
      <c r="H1611" s="50" t="inlineStr">
        <is>
          <t>mọi SUM/COUNT đều đã coalesce (trực tiếp hoặc ở lớp ngoài)</t>
        </is>
      </c>
      <c r="I16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11" s="48" t="inlineStr">
        <is>
          <t>081. OCB_GOLD_TTDL_GSTX_INTF_DUPL_CIF_Huy.xlsx [Script SQL: GSTX_INTF_DUPL_CIF]</t>
        </is>
      </c>
    </row>
    <row r="1612">
      <c r="A1612" s="48" t="inlineStr">
        <is>
          <t>GSTX.GSTX_INTF_DUPL_CIF</t>
        </is>
      </c>
      <c r="B1612" s="48" t="inlineStr">
        <is>
          <t>SILVER_CONSUMER</t>
        </is>
      </c>
      <c r="C1612" s="48" t="inlineStr">
        <is>
          <t>2.9</t>
        </is>
      </c>
      <c r="D1612" s="48" t="inlineStr">
        <is>
          <t>Nhom 2 - Logic</t>
        </is>
      </c>
      <c r="E1612" s="48" t="inlineStr">
        <is>
          <t>Subquery / custom function / điều kiện LIKE đúng ý nghĩa nghiệp vụ</t>
        </is>
      </c>
      <c r="F1612" s="49" t="inlineStr">
        <is>
          <t>PASS</t>
        </is>
      </c>
      <c r="G1612" s="48" t="inlineStr">
        <is>
          <t>Pass</t>
        </is>
      </c>
      <c r="H1612" s="50" t="inlineStr">
        <is>
          <t>4 điều kiện LIKE: gl LIKE '2%' | gl LIKE '42%1' | gl LIKE '42%2' | gl LIKE '43%'; cú pháp hợp lệ; ý nghĩa nghiệp vụ cần người review đối chiếu job on-prem</t>
        </is>
      </c>
      <c r="I1612" s="50" t="inlineStr">
        <is>
          <t>Đọc lại từng điều kiện LIKE và từng subquery, đối chiếu ý nghĩa nghiệp vụ với on-prem — đúng cú pháp không đủ. Chú ý pattern LIKE có ký tự % ở đầu/cuối và phân biệt chữ hoa/thường.</t>
        </is>
      </c>
      <c r="J1612" s="48" t="inlineStr">
        <is>
          <t>081. OCB_GOLD_TTDL_GSTX_INTF_DUPL_CIF_Huy.xlsx [Script SQL: GSTX_INTF_DUPL_CIF]</t>
        </is>
      </c>
    </row>
    <row r="1613">
      <c r="A1613" s="48" t="inlineStr">
        <is>
          <t>GSTX.GSTX_INTF_DUPL_CIF</t>
        </is>
      </c>
      <c r="B1613" s="48" t="inlineStr">
        <is>
          <t>SILVER_CONSUMER</t>
        </is>
      </c>
      <c r="C1613" s="48" t="inlineStr">
        <is>
          <t>2.10</t>
        </is>
      </c>
      <c r="D1613" s="48" t="inlineStr">
        <is>
          <t>Nhom 2 - Logic</t>
        </is>
      </c>
      <c r="E1613" s="48" t="inlineStr">
        <is>
          <t>Aggregation kèm filter date range chính xác</t>
        </is>
      </c>
      <c r="F1613" s="49" t="inlineStr">
        <is>
          <t>PASS</t>
        </is>
      </c>
      <c r="G1613" s="48" t="inlineStr">
        <is>
          <t>Pass</t>
        </is>
      </c>
      <c r="H1613" s="50" t="inlineStr">
        <is>
          <t>mọi khối tổng hợp đều có điều kiện theo kỳ dữ liệu</t>
        </is>
      </c>
      <c r="I1613" s="50" t="inlineStr">
        <is>
          <t>Mỗi khối SUM/COUNT/AVG phải có điều kiện lọc theo kỳ dữ liệu (CDR_DT_ID, DATA_DATE, :DATADT…). Nếu điều kiện nằm ở CTE nguồn thì ghi rõ trong comment để người review không phải truy ngược.</t>
        </is>
      </c>
      <c r="J1613" s="48" t="inlineStr">
        <is>
          <t>081. OCB_GOLD_TTDL_GSTX_INTF_DUPL_CIF_Huy.xlsx [Script SQL: GSTX_INTF_DUPL_CIF]</t>
        </is>
      </c>
    </row>
    <row r="1614">
      <c r="A1614" s="48" t="inlineStr">
        <is>
          <t>GSTX.GSTX_INTF_DUPL_CIF</t>
        </is>
      </c>
      <c r="B1614" s="48" t="inlineStr">
        <is>
          <t>SILVER_CONSUMER</t>
        </is>
      </c>
      <c r="C1614" s="48" t="inlineStr">
        <is>
          <t>2.11</t>
        </is>
      </c>
      <c r="D1614" s="48" t="inlineStr">
        <is>
          <t>Nhom 2 - Logic</t>
        </is>
      </c>
      <c r="E1614" s="48" t="inlineStr">
        <is>
          <t>Join dùng key hợp lý, không lạm dụng UNION ALL + EXISTS/NOT EXISTS</t>
        </is>
      </c>
      <c r="F1614" s="49" t="inlineStr">
        <is>
          <t>PASS</t>
        </is>
      </c>
      <c r="G1614" s="48" t="inlineStr">
        <is>
          <t>Pass</t>
        </is>
      </c>
      <c r="H1614" s="50" t="inlineStr">
        <is>
          <t>join đều theo điều kiện bằng, không lạm dụng UNION ALL + EXISTS</t>
        </is>
      </c>
      <c r="I1614" s="50" t="inlineStr">
        <is>
          <t>Ưu tiên LEFT JOIN theo business key hoặc hashkey. Xem lại các chỗ dùng UNION ALL kết hợp EXISTS/NOT EXISTS — thường thay được bằng một LEFT JOIN. Join không có điều kiện bằng (=) dễ tạo tích Descartes.</t>
        </is>
      </c>
      <c r="J1614" s="48" t="inlineStr">
        <is>
          <t>081. OCB_GOLD_TTDL_GSTX_INTF_DUPL_CIF_Huy.xlsx [Script SQL: GSTX_INTF_DUPL_CIF]</t>
        </is>
      </c>
    </row>
    <row r="1615">
      <c r="A1615" s="48" t="inlineStr">
        <is>
          <t>GSTX.GSTX_INTF_DUPL_CIF</t>
        </is>
      </c>
      <c r="B1615" s="48" t="inlineStr">
        <is>
          <t>SILVER_CONSUMER</t>
        </is>
      </c>
      <c r="C1615" s="48" t="inlineStr">
        <is>
          <t>2.12</t>
        </is>
      </c>
      <c r="D1615" s="48" t="inlineStr">
        <is>
          <t>Nhom 2 - Logic</t>
        </is>
      </c>
      <c r="E1615" s="48" t="inlineStr">
        <is>
          <t>Build Gold từ CTE snapshot Silver, không build nhiều tầng chồng chéo</t>
        </is>
      </c>
      <c r="F1615" s="49" t="inlineStr">
        <is>
          <t>PASS</t>
        </is>
      </c>
      <c r="G1615" s="48" t="inlineStr">
        <is>
          <t>Pass</t>
        </is>
      </c>
      <c r="H1615" s="50" t="inlineStr">
        <is>
          <t>mỗi bảng nguồn chỉ đọc trong 1 khối SELECT</t>
        </is>
      </c>
      <c r="I16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15" s="48" t="inlineStr">
        <is>
          <t>081. OCB_GOLD_TTDL_GSTX_INTF_DUPL_CIF_Huy.xlsx [Script SQL: GSTX_INTF_DUPL_CIF]</t>
        </is>
      </c>
    </row>
    <row r="1616">
      <c r="A1616" s="48" t="inlineStr">
        <is>
          <t>GSTX.GSTX_INTF_DUPL_CIF</t>
        </is>
      </c>
      <c r="B1616" s="48" t="inlineStr">
        <is>
          <t>SILVER_CONSUMER</t>
        </is>
      </c>
      <c r="C1616" s="48" t="inlineStr">
        <is>
          <t>3.1</t>
        </is>
      </c>
      <c r="D1616" s="48" t="inlineStr">
        <is>
          <t>Nhom 3 - Optimization</t>
        </is>
      </c>
      <c r="E1616" s="48" t="inlineStr">
        <is>
          <t>Không SELECT *</t>
        </is>
      </c>
      <c r="F1616" s="49" t="inlineStr">
        <is>
          <t>PASS</t>
        </is>
      </c>
      <c r="G1616" s="48" t="inlineStr">
        <is>
          <t>Pass</t>
        </is>
      </c>
      <c r="H1616" s="50" t="inlineStr">
        <is>
          <t>không dùng SELECT * ở đâu</t>
        </is>
      </c>
      <c r="I1616" s="50" t="inlineStr">
        <is>
          <t>Liệt kê tường minh các cột cần dùng, kể cả trong CTE trung gian. SELECT * làm tăng IO/memory và vỡ script khi bảng nguồn thêm cột.</t>
        </is>
      </c>
      <c r="J1616" s="48" t="inlineStr">
        <is>
          <t>081. OCB_GOLD_TTDL_GSTX_INTF_DUPL_CIF_Huy.xlsx [Script SQL: GSTX_INTF_DUPL_CIF]</t>
        </is>
      </c>
    </row>
    <row r="1617">
      <c r="A1617" s="48" t="inlineStr">
        <is>
          <t>GSTX.GSTX_INTF_DUPL_CIF</t>
        </is>
      </c>
      <c r="B1617" s="48" t="inlineStr">
        <is>
          <t>SILVER_CONSUMER</t>
        </is>
      </c>
      <c r="C1617" s="48" t="inlineStr">
        <is>
          <t>3.2</t>
        </is>
      </c>
      <c r="D1617" s="48" t="inlineStr">
        <is>
          <t>Nhom 3 - Optimization</t>
        </is>
      </c>
      <c r="E1617" s="48" t="inlineStr">
        <is>
          <t>CTE không bị scan lại nhiều lần</t>
        </is>
      </c>
      <c r="F1617" s="51" t="inlineStr">
        <is>
          <t>WARN</t>
        </is>
      </c>
      <c r="G1617" s="48" t="inlineStr">
        <is>
          <t>WARN</t>
        </is>
      </c>
      <c r="H1617" s="50" t="inlineStr">
        <is>
          <t>CTE bị tham chiếu lại nhiều lần: cust_acct_link x2</t>
        </is>
      </c>
      <c r="I1617" s="50" t="inlineStr">
        <is>
          <t>Với CTE nặng (đọc nhiều bảng Silver) bị tham chiếu từ 2 chỗ trở lên: gom lại còn một lần dùng, hoặc vật chất hóa (CACHE / bảng tạm). CTE nhẹ chỉ chứa tham số thì bỏ qua được — tự tick Pass.</t>
        </is>
      </c>
      <c r="J1617" s="48" t="inlineStr">
        <is>
          <t>081. OCB_GOLD_TTDL_GSTX_INTF_DUPL_CIF_Huy.xlsx [Script SQL: GSTX_INTF_DUPL_CIF]</t>
        </is>
      </c>
    </row>
    <row r="1618">
      <c r="A1618" s="48" t="inlineStr">
        <is>
          <t>GSTX.GSTX_INTF_DUPL_CIF</t>
        </is>
      </c>
      <c r="B1618" s="48" t="inlineStr">
        <is>
          <t>SILVER_CONSUMER</t>
        </is>
      </c>
      <c r="C1618" s="48" t="inlineStr">
        <is>
          <t>3.3</t>
        </is>
      </c>
      <c r="D1618" s="48" t="inlineStr">
        <is>
          <t>Nhom 3 - Optimization</t>
        </is>
      </c>
      <c r="E1618" s="48" t="inlineStr">
        <is>
          <t>Filter trước khi join, tận dụng partition pruning</t>
        </is>
      </c>
      <c r="F1618" s="49" t="inlineStr">
        <is>
          <t>PASS</t>
        </is>
      </c>
      <c r="G1618" s="48" t="inlineStr">
        <is>
          <t>Pass</t>
        </is>
      </c>
      <c r="H1618" s="50" t="inlineStr">
        <is>
          <t>các bảng join đều được filter trước</t>
        </is>
      </c>
      <c r="I1618" s="50" t="inlineStr">
        <is>
          <t>Đưa điều kiện lọc (ngày dữ liệu, trạng thái) vào subquery của từng bảng TRƯỚC khi join, để tận dụng partition pruning. Bảng dim nhỏ không partition thì không cần — tự tick Pass.</t>
        </is>
      </c>
      <c r="J1618" s="48" t="inlineStr">
        <is>
          <t>081. OCB_GOLD_TTDL_GSTX_INTF_DUPL_CIF_Huy.xlsx [Script SQL: GSTX_INTF_DUPL_CIF]</t>
        </is>
      </c>
    </row>
    <row r="1619">
      <c r="A1619" s="48" t="inlineStr">
        <is>
          <t>GSTX.GSTX_INTF_DUPL_CIF</t>
        </is>
      </c>
      <c r="B1619" s="48" t="inlineStr">
        <is>
          <t>SILVER_CONSUMER</t>
        </is>
      </c>
      <c r="C1619" s="48" t="inlineStr">
        <is>
          <t>3.4</t>
        </is>
      </c>
      <c r="D1619" s="48" t="inlineStr">
        <is>
          <t>Nhom 3 - Optimization</t>
        </is>
      </c>
      <c r="E1619" s="48" t="inlineStr">
        <is>
          <t>Sử dụng CACHE cho query lặp lại trong cùng luồng</t>
        </is>
      </c>
      <c r="F1619" s="51" t="inlineStr">
        <is>
          <t>WARN</t>
        </is>
      </c>
      <c r="G1619" s="48" t="inlineStr">
        <is>
          <t>WARN</t>
        </is>
      </c>
      <c r="H1619" s="50" t="inlineStr">
        <is>
          <t>1 CTE nặng dùng lại &gt;= 2 lần mà không có CACHE: cust_acct_link</t>
        </is>
      </c>
      <c r="I1619" s="50" t="inlineStr">
        <is>
          <t>Nếu một kết quả nặng được dùng lại nhiều bước trong cùng luồng, thêm CACHE TABLE / CACHE SELECT. Kết quả nhỏ thì cache còn chậm hơn — tự tick Pass.</t>
        </is>
      </c>
      <c r="J1619" s="48" t="inlineStr">
        <is>
          <t>081. OCB_GOLD_TTDL_GSTX_INTF_DUPL_CIF_Huy.xlsx [Script SQL: GSTX_INTF_DUPL_CIF]</t>
        </is>
      </c>
    </row>
    <row r="1620">
      <c r="A1620" s="48" t="inlineStr">
        <is>
          <t>GSTX.GSTX_INTF_DUPL_CIF</t>
        </is>
      </c>
      <c r="B1620" s="48" t="inlineStr">
        <is>
          <t>SILVER_CONSUMER</t>
        </is>
      </c>
      <c r="C1620" s="48" t="inlineStr">
        <is>
          <t>3.5</t>
        </is>
      </c>
      <c r="D1620" s="48" t="inlineStr">
        <is>
          <t>Nhom 3 - Optimization</t>
        </is>
      </c>
      <c r="E1620" s="48" t="inlineStr">
        <is>
          <t>Ưu tiên MAX_BY + QUALIFY thay ROW_NUMBER() + WHERE rn = 1</t>
        </is>
      </c>
      <c r="F1620" s="51" t="inlineStr">
        <is>
          <t>WARN</t>
        </is>
      </c>
      <c r="G1620" s="48" t="inlineStr">
        <is>
          <t>WARN</t>
        </is>
      </c>
      <c r="H1620" s="50" t="inlineStr">
        <is>
          <t>1 khối dùng MAX_BY độc lập cho &gt;5 cột (dòng 20, [11]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6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620" s="48" t="inlineStr">
        <is>
          <t>081. OCB_GOLD_TTDL_GSTX_INTF_DUPL_CIF_Huy.xlsx [Script SQL: GSTX_INTF_DUPL_CIF]</t>
        </is>
      </c>
    </row>
    <row r="1621">
      <c r="A1621" s="48" t="inlineStr">
        <is>
          <t>GSTX.GSTX_INTF_DUPL_CIF</t>
        </is>
      </c>
      <c r="B1621" s="48" t="inlineStr">
        <is>
          <t>SILVER_CONSUMER</t>
        </is>
      </c>
      <c r="C1621" s="48" t="inlineStr">
        <is>
          <t>3.6</t>
        </is>
      </c>
      <c r="D1621" s="48" t="inlineStr">
        <is>
          <t>Nhom 3 - Optimization</t>
        </is>
      </c>
      <c r="E1621" s="48" t="inlineStr">
        <is>
          <t>Không lạm dụng window function; có comment khi dùng</t>
        </is>
      </c>
      <c r="F1621" s="49" t="inlineStr">
        <is>
          <t>PASS</t>
        </is>
      </c>
      <c r="G1621" s="48" t="inlineStr">
        <is>
          <t>Pass</t>
        </is>
      </c>
      <c r="H1621" s="50" t="inlineStr">
        <is>
          <t>2 window function đều có comment</t>
        </is>
      </c>
      <c r="I1621" s="50" t="inlineStr">
        <is>
          <t>Mỗi window function cần một comment ngay trên khối CTE chứa nó, nói rõ vì sao không dùng được max_by/QUALIFY đơn giản hơn.</t>
        </is>
      </c>
      <c r="J1621" s="48" t="inlineStr">
        <is>
          <t>081. OCB_GOLD_TTDL_GSTX_INTF_DUPL_CIF_Huy.xlsx [Script SQL: GSTX_INTF_DUPL_CIF]</t>
        </is>
      </c>
    </row>
    <row r="1622">
      <c r="A1622" s="48" t="inlineStr">
        <is>
          <t>GSTX.GSTX_INTF_DUPL_CIF</t>
        </is>
      </c>
      <c r="B1622" s="48" t="inlineStr">
        <is>
          <t>SILVER_CONSUMER</t>
        </is>
      </c>
      <c r="C1622" s="48" t="inlineStr">
        <is>
          <t>X.1</t>
        </is>
      </c>
      <c r="D1622" s="48" t="inlineStr">
        <is>
          <t>Nhom X - Bo sung Raffles</t>
        </is>
      </c>
      <c r="E1622" s="48" t="inlineStr">
        <is>
          <t>[Bổ sung] Link phải rút về current trước khi join (chống fan-out)</t>
        </is>
      </c>
      <c r="F1622" s="49" t="inlineStr">
        <is>
          <t>PASS</t>
        </is>
      </c>
      <c r="G1622" s="48" t="inlineStr">
        <is>
          <t>Pass</t>
        </is>
      </c>
      <c r="H1622" s="50" t="inlineStr">
        <is>
          <t>các bảng link_* đều được rút về current trước khi join</t>
        </is>
      </c>
      <c r="I16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622" s="48" t="inlineStr">
        <is>
          <t>081. OCB_GOLD_TTDL_GSTX_INTF_DUPL_CIF_Huy.xlsx [Script SQL: GSTX_INTF_DUPL_CIF]</t>
        </is>
      </c>
    </row>
    <row r="1623">
      <c r="A1623" s="48" t="inlineStr">
        <is>
          <t>GSTX.GSTX_INTF_DUPL_CIF</t>
        </is>
      </c>
      <c r="B1623" s="48" t="inlineStr">
        <is>
          <t>SILVER_CONSUMER</t>
        </is>
      </c>
      <c r="C1623" s="48" t="inlineStr">
        <is>
          <t>X.6</t>
        </is>
      </c>
      <c r="D1623" s="48" t="inlineStr">
        <is>
          <t>Nhom X - Bo sung Raffles</t>
        </is>
      </c>
      <c r="E1623" s="48" t="inlineStr">
        <is>
          <t>[Bổ sung] Satellite phải LEFT JOIN, không INNER JOIN</t>
        </is>
      </c>
      <c r="F1623" s="49" t="inlineStr">
        <is>
          <t>PASS</t>
        </is>
      </c>
      <c r="G1623" s="48" t="inlineStr">
        <is>
          <t>Pass</t>
        </is>
      </c>
      <c r="H1623" s="50" t="inlineStr">
        <is>
          <t>các satellite đều LEFT JOIN</t>
        </is>
      </c>
      <c r="I1623" s="50" t="inlineStr">
        <is>
          <t>Technical Document III.4.2.2 nguyên tắc 1: làm giàu thuộc tính luôn dùng LEFT JOIN. INNER JOIN satellite sẽ loại mất bản ghi Hub đang còn hiệu lực nhưng chưa có dòng satellite.</t>
        </is>
      </c>
      <c r="J1623" s="48" t="inlineStr">
        <is>
          <t>081. OCB_GOLD_TTDL_GSTX_INTF_DUPL_CIF_Huy.xlsx [Script SQL: GSTX_INTF_DUPL_CIF]</t>
        </is>
      </c>
    </row>
    <row r="1624">
      <c r="A1624" s="48" t="inlineStr">
        <is>
          <t>GSTX.GSTX_INTF_DUPL_CIF</t>
        </is>
      </c>
      <c r="B1624" s="48" t="inlineStr">
        <is>
          <t>SILVER_CONSUMER</t>
        </is>
      </c>
      <c r="C1624" s="48" t="inlineStr">
        <is>
          <t>X.7</t>
        </is>
      </c>
      <c r="D1624" s="48" t="inlineStr">
        <is>
          <t>Nhom X - Bo sung Raffles</t>
        </is>
      </c>
      <c r="E1624" s="48" t="inlineStr">
        <is>
          <t>[Bổ sung] Không hard-code catalog, dùng biến môi trường</t>
        </is>
      </c>
      <c r="F1624" s="49" t="inlineStr">
        <is>
          <t>PASS</t>
        </is>
      </c>
      <c r="G1624" s="48" t="inlineStr">
        <is>
          <t>Pass</t>
        </is>
      </c>
      <c r="H1624" s="50" t="inlineStr">
        <is>
          <t>dùng biến môi trường cho catalog</t>
        </is>
      </c>
      <c r="I16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624" s="48" t="inlineStr">
        <is>
          <t>081. OCB_GOLD_TTDL_GSTX_INTF_DUPL_CIF_Huy.xlsx [Script SQL: GSTX_INTF_DUPL_CIF]</t>
        </is>
      </c>
    </row>
    <row r="1625">
      <c r="A1625" s="48" t="inlineStr">
        <is>
          <t>GSTX.GSTX_INTF_DUPL_CIF</t>
        </is>
      </c>
      <c r="B1625" s="48" t="inlineStr">
        <is>
          <t>SILVER_CONSUMER</t>
        </is>
      </c>
      <c r="C1625" s="48" t="inlineStr">
        <is>
          <t>X.10</t>
        </is>
      </c>
      <c r="D1625" s="48" t="inlineStr">
        <is>
          <t>Nhom X - Bo sung Raffles</t>
        </is>
      </c>
      <c r="E1625" s="48" t="inlineStr">
        <is>
          <t>Bang raw_vault/business_vault duoc doc phai TON TAI THAT trong Data Vault model</t>
        </is>
      </c>
      <c r="F1625" s="49" t="inlineStr">
        <is>
          <t>PASS</t>
        </is>
      </c>
      <c r="G1625" s="48" t="inlineStr">
        <is>
          <t>Pass</t>
        </is>
      </c>
      <c r="H1625" s="50" t="inlineStr">
        <is>
          <t>20 bảng Silver đều có thật trong Data Vault model</t>
        </is>
      </c>
      <c r="I1625" s="50" t="inlineStr"/>
      <c r="J1625" s="48" t="inlineStr">
        <is>
          <t>081. OCB_GOLD_TTDL_GSTX_INTF_DUPL_CIF_Huy.xlsx [Script SQL: GSTX_INTF_DUPL_CIF]</t>
        </is>
      </c>
    </row>
    <row r="1626">
      <c r="A1626" s="48" t="inlineStr">
        <is>
          <t>GSTX.GSTX_INTF_DUPL_CIF</t>
        </is>
      </c>
      <c r="B1626" s="48" t="inlineStr">
        <is>
          <t>SILVER_CONSUMER</t>
        </is>
      </c>
      <c r="C1626" s="48" t="inlineStr">
        <is>
          <t>X.11</t>
        </is>
      </c>
      <c r="D1626" s="48" t="inlineStr">
        <is>
          <t>Nhom X - Bo sung Raffles</t>
        </is>
      </c>
      <c r="E1626" s="48" t="inlineStr">
        <is>
          <t>Cot doc tu satellite (sat_*) phai TON TAI THAT trong model</t>
        </is>
      </c>
      <c r="F1626" s="49" t="inlineStr">
        <is>
          <t>PASS</t>
        </is>
      </c>
      <c r="G1626" s="48" t="inlineStr">
        <is>
          <t>Pass</t>
        </is>
      </c>
      <c r="H1626" s="50" t="inlineStr">
        <is>
          <t>mọi cột đọc từ sat_* đều tồn tại trong model thật</t>
        </is>
      </c>
      <c r="I1626" s="50" t="inlineStr"/>
      <c r="J1626" s="48" t="inlineStr">
        <is>
          <t>081. OCB_GOLD_TTDL_GSTX_INTF_DUPL_CIF_Huy.xlsx [Script SQL: GSTX_INTF_DUPL_CIF]</t>
        </is>
      </c>
    </row>
    <row r="1627">
      <c r="A1627" s="48" t="inlineStr">
        <is>
          <t>GSTX.GSTX_INTF_NOT_UPLOADED_CIF</t>
        </is>
      </c>
      <c r="B1627" s="48" t="inlineStr">
        <is>
          <t>SILVER_CONSUMER</t>
        </is>
      </c>
      <c r="C1627" s="48" t="inlineStr">
        <is>
          <t>1.1</t>
        </is>
      </c>
      <c r="D1627" s="48" t="inlineStr">
        <is>
          <t>Nhom 1 - Mapping</t>
        </is>
      </c>
      <c r="E1627" s="48" t="inlineStr">
        <is>
          <t>Đầy đủ mapping từ Silver/manual sang Gold</t>
        </is>
      </c>
      <c r="F1627" s="49" t="inlineStr">
        <is>
          <t>PASS</t>
        </is>
      </c>
      <c r="G1627" s="48" t="inlineStr">
        <is>
          <t>Pass</t>
        </is>
      </c>
      <c r="H1627" s="50" t="inlineStr">
        <is>
          <t>workbook 082. OCB_GOLD_TTDL_GSTX_INTF_NOT_UPLOADED_CIF_Huy.xlsx: thiết kế 39 field, SQL có 39 cột</t>
        </is>
      </c>
      <c r="I16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627" s="48" t="inlineStr">
        <is>
          <t>082. OCB_GOLD_TTDL_GSTX_INTF_NOT_UPLOADED_CIF_Huy.xlsx [Script SQL: GSTX_INTF_NOT_UPLOADED_CIF]</t>
        </is>
      </c>
    </row>
    <row r="1628">
      <c r="A1628" s="48" t="inlineStr">
        <is>
          <t>GSTX.GSTX_INTF_NOT_UPLOADED_CIF</t>
        </is>
      </c>
      <c r="B1628" s="48" t="inlineStr">
        <is>
          <t>SILVER_CONSUMER</t>
        </is>
      </c>
      <c r="C1628" s="48" t="inlineStr">
        <is>
          <t>1.2</t>
        </is>
      </c>
      <c r="D1628" s="48" t="inlineStr">
        <is>
          <t>Nhom 1 - Mapping</t>
        </is>
      </c>
      <c r="E1628" s="48" t="inlineStr">
        <is>
          <t>Danh sách bảng/view Gold khớp tài liệu thiết kế đã duyệt</t>
        </is>
      </c>
      <c r="F1628" s="49" t="inlineStr">
        <is>
          <t>PASS</t>
        </is>
      </c>
      <c r="G1628" s="48" t="inlineStr">
        <is>
          <t>Pass</t>
        </is>
      </c>
      <c r="H1628" s="50" t="inlineStr">
        <is>
          <t>GSTX_INTF_NOT_UPLOADED_CIF có workbook thiết kế: 082. OCB_GOLD_TTDL_GSTX_INTF_NOT_UPLOADED_CIF_Huy.xlsx</t>
        </is>
      </c>
      <c r="I1628" s="50" t="inlineStr">
        <is>
          <t>Đảm bảo object có workbook thiết kế tương ứng trong thư mục --mapping-dir. Muốn đối chiếu với danh sách đã duyệt thì chạy thêm tham số --gold-list "&lt;file danh sách Gold&gt;.xlsx".</t>
        </is>
      </c>
      <c r="J1628" s="48" t="inlineStr">
        <is>
          <t>082. OCB_GOLD_TTDL_GSTX_INTF_NOT_UPLOADED_CIF_Huy.xlsx [Script SQL: GSTX_INTF_NOT_UPLOADED_CIF]</t>
        </is>
      </c>
    </row>
    <row r="1629">
      <c r="A1629" s="48" t="inlineStr">
        <is>
          <t>GSTX.GSTX_INTF_NOT_UPLOADED_CIF</t>
        </is>
      </c>
      <c r="B1629" s="48" t="inlineStr">
        <is>
          <t>SILVER_CONSUMER</t>
        </is>
      </c>
      <c r="C1629" s="48" t="inlineStr">
        <is>
          <t>2.1</t>
        </is>
      </c>
      <c r="D1629" s="48" t="inlineStr">
        <is>
          <t>Nhom 2 - Logic</t>
        </is>
      </c>
      <c r="E1629" s="48" t="inlineStr">
        <is>
          <t>Chỉ lấy bản ghi active, loại bản ghi đã xóa (qua sts_hub)</t>
        </is>
      </c>
      <c r="F1629" s="49" t="inlineStr">
        <is>
          <t>PASS</t>
        </is>
      </c>
      <c r="G1629" s="48" t="inlineStr">
        <is>
          <t>Pass</t>
        </is>
      </c>
      <c r="H1629" s="50" t="inlineStr">
        <is>
          <t>1 sts_hub_* đọc đúng format</t>
        </is>
      </c>
      <c r="I16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629" s="48" t="inlineStr">
        <is>
          <t>082. OCB_GOLD_TTDL_GSTX_INTF_NOT_UPLOADED_CIF_Huy.xlsx [Script SQL: GSTX_INTF_NOT_UPLOADED_CIF]</t>
        </is>
      </c>
    </row>
    <row r="1630">
      <c r="A1630" s="48" t="inlineStr">
        <is>
          <t>GSTX.GSTX_INTF_NOT_UPLOADED_CIF</t>
        </is>
      </c>
      <c r="B1630" s="48" t="inlineStr">
        <is>
          <t>SILVER_CONSUMER</t>
        </is>
      </c>
      <c r="C1630" s="48" t="inlineStr">
        <is>
          <t>2.2</t>
        </is>
      </c>
      <c r="D1630" s="48" t="inlineStr">
        <is>
          <t>Nhom 2 - Logic</t>
        </is>
      </c>
      <c r="E1630" s="48" t="inlineStr">
        <is>
          <t>Thống nhất MỘT pattern duy nhất xác định bản ghi active mới nhất</t>
        </is>
      </c>
      <c r="F1630" s="49" t="inlineStr">
        <is>
          <t>PASS</t>
        </is>
      </c>
      <c r="G1630" s="48" t="inlineStr">
        <is>
          <t>Pass</t>
        </is>
      </c>
      <c r="H1630" s="50" t="inlineStr">
        <is>
          <t>file này dùng: ['MAX_BY']; toàn batch dùng: ['MAX_BY']</t>
        </is>
      </c>
      <c r="I16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630" s="48" t="inlineStr">
        <is>
          <t>082. OCB_GOLD_TTDL_GSTX_INTF_NOT_UPLOADED_CIF_Huy.xlsx [Script SQL: GSTX_INTF_NOT_UPLOADED_CIF]</t>
        </is>
      </c>
    </row>
    <row r="1631">
      <c r="A1631" s="48" t="inlineStr">
        <is>
          <t>GSTX.GSTX_INTF_NOT_UPLOADED_CIF</t>
        </is>
      </c>
      <c r="B1631" s="48" t="inlineStr">
        <is>
          <t>SILVER_CONSUMER</t>
        </is>
      </c>
      <c r="C1631" s="48" t="inlineStr">
        <is>
          <t>2.3</t>
        </is>
      </c>
      <c r="D1631" s="48" t="inlineStr">
        <is>
          <t>Nhom 2 - Logic</t>
        </is>
      </c>
      <c r="E1631" s="48" t="inlineStr">
        <is>
          <t>Điều kiện lọc trạng thái đặt SAU khi xác định bản ghi mới nhất</t>
        </is>
      </c>
      <c r="F1631" s="49" t="inlineStr">
        <is>
          <t>PASS</t>
        </is>
      </c>
      <c r="G1631" s="48" t="inlineStr">
        <is>
          <t>Pass</t>
        </is>
      </c>
      <c r="H1631" s="50" t="inlineStr">
        <is>
          <t>không có điều kiện trạng thái nào lồng trong JOIN ON</t>
        </is>
      </c>
      <c r="I16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631" s="48" t="inlineStr">
        <is>
          <t>082. OCB_GOLD_TTDL_GSTX_INTF_NOT_UPLOADED_CIF_Huy.xlsx [Script SQL: GSTX_INTF_NOT_UPLOADED_CIF]</t>
        </is>
      </c>
    </row>
    <row r="1632">
      <c r="A1632" s="48" t="inlineStr">
        <is>
          <t>GSTX.GSTX_INTF_NOT_UPLOADED_CIF</t>
        </is>
      </c>
      <c r="B1632" s="48" t="inlineStr">
        <is>
          <t>SILVER_CONSUMER</t>
        </is>
      </c>
      <c r="C1632" s="48" t="inlineStr">
        <is>
          <t>2.4</t>
        </is>
      </c>
      <c r="D1632" s="48" t="inlineStr">
        <is>
          <t>Nhom 2 - Logic</t>
        </is>
      </c>
      <c r="E1632" s="48" t="inlineStr">
        <is>
          <t>source_event_date áp dụng đúng dạng theo loại bảng</t>
        </is>
      </c>
      <c r="F1632" s="49" t="inlineStr">
        <is>
          <t>PASS</t>
        </is>
      </c>
      <c r="G1632" s="48" t="inlineStr">
        <is>
          <t>Pass</t>
        </is>
      </c>
      <c r="H1632" s="50" t="inlineStr">
        <is>
          <t>10 satellite đều đúng dạng điều kiện source_event_date</t>
        </is>
      </c>
      <c r="I16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632" s="48" t="inlineStr">
        <is>
          <t>082. OCB_GOLD_TTDL_GSTX_INTF_NOT_UPLOADED_CIF_Huy.xlsx [Script SQL: GSTX_INTF_NOT_UPLOADED_CIF]</t>
        </is>
      </c>
    </row>
    <row r="1633">
      <c r="A1633" s="48" t="inlineStr">
        <is>
          <t>GSTX.GSTX_INTF_NOT_UPLOADED_CIF</t>
        </is>
      </c>
      <c r="B1633" s="48" t="inlineStr">
        <is>
          <t>SILVER_CONSUMER</t>
        </is>
      </c>
      <c r="C1633" s="48" t="inlineStr">
        <is>
          <t>2.5</t>
        </is>
      </c>
      <c r="D1633" s="48" t="inlineStr">
        <is>
          <t>Nhom 2 - Logic</t>
        </is>
      </c>
      <c r="E1633" s="48" t="inlineStr">
        <is>
          <t>Không lặp lại lỗi logic cũ đã được DA Data Vault fix</t>
        </is>
      </c>
      <c r="F1633" s="49" t="inlineStr">
        <is>
          <t>PASS</t>
        </is>
      </c>
      <c r="G1633" s="48" t="inlineStr">
        <is>
          <t>Pass</t>
        </is>
      </c>
      <c r="H1633" s="50" t="inlineStr">
        <is>
          <t>không trùng lỗi nào trong Issue log của DA Data Vault</t>
        </is>
      </c>
      <c r="I16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633" s="48" t="inlineStr">
        <is>
          <t>082. OCB_GOLD_TTDL_GSTX_INTF_NOT_UPLOADED_CIF_Huy.xlsx [Script SQL: GSTX_INTF_NOT_UPLOADED_CIF]</t>
        </is>
      </c>
    </row>
    <row r="1634">
      <c r="A1634" s="48" t="inlineStr">
        <is>
          <t>GSTX.GSTX_INTF_NOT_UPLOADED_CIF</t>
        </is>
      </c>
      <c r="B1634" s="48" t="inlineStr">
        <is>
          <t>SILVER_CONSUMER</t>
        </is>
      </c>
      <c r="C1634" s="48" t="inlineStr">
        <is>
          <t>2.6</t>
        </is>
      </c>
      <c r="D1634" s="48" t="inlineStr">
        <is>
          <t>Nhom 2 - Logic</t>
        </is>
      </c>
      <c r="E1634" s="48" t="inlineStr">
        <is>
          <t>SCD Type 2 cho bảng DIM áp dụng đúng kỹ thuật đã thống nhất</t>
        </is>
      </c>
      <c r="F1634" s="48" t="inlineStr">
        <is>
          <t>N-A</t>
        </is>
      </c>
      <c r="G1634" s="48" t="inlineStr">
        <is>
          <t>Pass</t>
        </is>
      </c>
      <c r="H1634" s="50" t="inlineStr">
        <is>
          <t>object không phải bảng DIM nên không áp dụng SCD Type 2</t>
        </is>
      </c>
      <c r="I16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634" s="48" t="inlineStr">
        <is>
          <t>082. OCB_GOLD_TTDL_GSTX_INTF_NOT_UPLOADED_CIF_Huy.xlsx [Script SQL: GSTX_INTF_NOT_UPLOADED_CIF]</t>
        </is>
      </c>
    </row>
    <row r="1635">
      <c r="A1635" s="48" t="inlineStr">
        <is>
          <t>GSTX.GSTX_INTF_NOT_UPLOADED_CIF</t>
        </is>
      </c>
      <c r="B1635" s="48" t="inlineStr">
        <is>
          <t>SILVER_CONSUMER</t>
        </is>
      </c>
      <c r="C1635" s="48" t="inlineStr">
        <is>
          <t>2.7</t>
        </is>
      </c>
      <c r="D1635" s="48" t="inlineStr">
        <is>
          <t>Nhom 2 - Logic</t>
        </is>
      </c>
      <c r="E1635" s="48" t="inlineStr">
        <is>
          <t>CASE WHEN cover đủ nhánh như job on-prem</t>
        </is>
      </c>
      <c r="F1635" s="49" t="inlineStr">
        <is>
          <t>PASS</t>
        </is>
      </c>
      <c r="G1635" s="48" t="inlineStr">
        <is>
          <t>Pass</t>
        </is>
      </c>
      <c r="H1635" s="50" t="inlineStr">
        <is>
          <t>cả 6 CASE đều có nhánh ELSE</t>
        </is>
      </c>
      <c r="I1635" s="50" t="inlineStr">
        <is>
          <t>Mở job on-prem tương ứng (DataStage DSX hoặc SQL cũ), đối chiếu từng nhánh WHEN và cả nhánh ELSE. CASE không có ELSE sẽ trả NULL âm thầm — xác nhận đó là ý muốn hay thiếu nhánh.</t>
        </is>
      </c>
      <c r="J1635" s="48" t="inlineStr">
        <is>
          <t>082. OCB_GOLD_TTDL_GSTX_INTF_NOT_UPLOADED_CIF_Huy.xlsx [Script SQL: GSTX_INTF_NOT_UPLOADED_CIF]</t>
        </is>
      </c>
    </row>
    <row r="1636">
      <c r="A1636" s="48" t="inlineStr">
        <is>
          <t>GSTX.GSTX_INTF_NOT_UPLOADED_CIF</t>
        </is>
      </c>
      <c r="B1636" s="48" t="inlineStr">
        <is>
          <t>SILVER_CONSUMER</t>
        </is>
      </c>
      <c r="C1636" s="48" t="inlineStr">
        <is>
          <t>2.8</t>
        </is>
      </c>
      <c r="D1636" s="48" t="inlineStr">
        <is>
          <t>Nhom 2 - Logic</t>
        </is>
      </c>
      <c r="E1636" s="48" t="inlineStr">
        <is>
          <t>Cột SUM/COUNT được COALESCE/NVL hợp lý</t>
        </is>
      </c>
      <c r="F1636" s="49" t="inlineStr">
        <is>
          <t>PASS</t>
        </is>
      </c>
      <c r="G1636" s="48" t="inlineStr">
        <is>
          <t>Pass</t>
        </is>
      </c>
      <c r="H1636" s="50" t="inlineStr">
        <is>
          <t>mọi SUM/COUNT đều đã coalesce (trực tiếp hoặc ở lớp ngoài)</t>
        </is>
      </c>
      <c r="I16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36" s="48" t="inlineStr">
        <is>
          <t>082. OCB_GOLD_TTDL_GSTX_INTF_NOT_UPLOADED_CIF_Huy.xlsx [Script SQL: GSTX_INTF_NOT_UPLOADED_CIF]</t>
        </is>
      </c>
    </row>
    <row r="1637">
      <c r="A1637" s="48" t="inlineStr">
        <is>
          <t>GSTX.GSTX_INTF_NOT_UPLOADED_CIF</t>
        </is>
      </c>
      <c r="B1637" s="48" t="inlineStr">
        <is>
          <t>SILVER_CONSUMER</t>
        </is>
      </c>
      <c r="C1637" s="48" t="inlineStr">
        <is>
          <t>2.9</t>
        </is>
      </c>
      <c r="D1637" s="48" t="inlineStr">
        <is>
          <t>Nhom 2 - Logic</t>
        </is>
      </c>
      <c r="E1637" s="48" t="inlineStr">
        <is>
          <t>Subquery / custom function / điều kiện LIKE đúng ý nghĩa nghiệp vụ</t>
        </is>
      </c>
      <c r="F1637" s="49" t="inlineStr">
        <is>
          <t>PASS</t>
        </is>
      </c>
      <c r="G1637" s="48" t="inlineStr">
        <is>
          <t>Pass</t>
        </is>
      </c>
      <c r="H1637" s="50" t="inlineStr">
        <is>
          <t>6 điều kiện LIKE: category LIKE '10%' | category LIKE '6%' | gl LIKE '2%' | gl LIKE '42%1'; cú pháp hợp lệ; ý nghĩa nghiệp vụ cần người review đối chiếu job on-prem</t>
        </is>
      </c>
      <c r="I1637" s="50" t="inlineStr">
        <is>
          <t>Đọc lại từng điều kiện LIKE và từng subquery, đối chiếu ý nghĩa nghiệp vụ với on-prem — đúng cú pháp không đủ. Chú ý pattern LIKE có ký tự % ở đầu/cuối và phân biệt chữ hoa/thường.</t>
        </is>
      </c>
      <c r="J1637" s="48" t="inlineStr">
        <is>
          <t>082. OCB_GOLD_TTDL_GSTX_INTF_NOT_UPLOADED_CIF_Huy.xlsx [Script SQL: GSTX_INTF_NOT_UPLOADED_CIF]</t>
        </is>
      </c>
    </row>
    <row r="1638">
      <c r="A1638" s="48" t="inlineStr">
        <is>
          <t>GSTX.GSTX_INTF_NOT_UPLOADED_CIF</t>
        </is>
      </c>
      <c r="B1638" s="48" t="inlineStr">
        <is>
          <t>SILVER_CONSUMER</t>
        </is>
      </c>
      <c r="C1638" s="48" t="inlineStr">
        <is>
          <t>2.10</t>
        </is>
      </c>
      <c r="D1638" s="48" t="inlineStr">
        <is>
          <t>Nhom 2 - Logic</t>
        </is>
      </c>
      <c r="E1638" s="48" t="inlineStr">
        <is>
          <t>Aggregation kèm filter date range chính xác</t>
        </is>
      </c>
      <c r="F1638" s="49" t="inlineStr">
        <is>
          <t>PASS</t>
        </is>
      </c>
      <c r="G1638" s="48" t="inlineStr">
        <is>
          <t>Pass</t>
        </is>
      </c>
      <c r="H1638" s="50" t="inlineStr">
        <is>
          <t>mọi khối tổng hợp đều có điều kiện theo kỳ dữ liệu</t>
        </is>
      </c>
      <c r="I1638" s="50" t="inlineStr">
        <is>
          <t>Mỗi khối SUM/COUNT/AVG phải có điều kiện lọc theo kỳ dữ liệu (CDR_DT_ID, DATA_DATE, :DATADT…). Nếu điều kiện nằm ở CTE nguồn thì ghi rõ trong comment để người review không phải truy ngược.</t>
        </is>
      </c>
      <c r="J1638" s="48" t="inlineStr">
        <is>
          <t>082. OCB_GOLD_TTDL_GSTX_INTF_NOT_UPLOADED_CIF_Huy.xlsx [Script SQL: GSTX_INTF_NOT_UPLOADED_CIF]</t>
        </is>
      </c>
    </row>
    <row r="1639">
      <c r="A1639" s="48" t="inlineStr">
        <is>
          <t>GSTX.GSTX_INTF_NOT_UPLOADED_CIF</t>
        </is>
      </c>
      <c r="B1639" s="48" t="inlineStr">
        <is>
          <t>SILVER_CONSUMER</t>
        </is>
      </c>
      <c r="C1639" s="48" t="inlineStr">
        <is>
          <t>2.11</t>
        </is>
      </c>
      <c r="D1639" s="48" t="inlineStr">
        <is>
          <t>Nhom 2 - Logic</t>
        </is>
      </c>
      <c r="E1639" s="48" t="inlineStr">
        <is>
          <t>Join dùng key hợp lý, không lạm dụng UNION ALL + EXISTS/NOT EXISTS</t>
        </is>
      </c>
      <c r="F1639" s="49" t="inlineStr">
        <is>
          <t>PASS</t>
        </is>
      </c>
      <c r="G1639" s="48" t="inlineStr">
        <is>
          <t>Pass</t>
        </is>
      </c>
      <c r="H1639" s="50" t="inlineStr">
        <is>
          <t>join đều theo điều kiện bằng, không lạm dụng UNION ALL + EXISTS</t>
        </is>
      </c>
      <c r="I1639" s="50" t="inlineStr">
        <is>
          <t>Ưu tiên LEFT JOIN theo business key hoặc hashkey. Xem lại các chỗ dùng UNION ALL kết hợp EXISTS/NOT EXISTS — thường thay được bằng một LEFT JOIN. Join không có điều kiện bằng (=) dễ tạo tích Descartes.</t>
        </is>
      </c>
      <c r="J1639" s="48" t="inlineStr">
        <is>
          <t>082. OCB_GOLD_TTDL_GSTX_INTF_NOT_UPLOADED_CIF_Huy.xlsx [Script SQL: GSTX_INTF_NOT_UPLOADED_CIF]</t>
        </is>
      </c>
    </row>
    <row r="1640">
      <c r="A1640" s="48" t="inlineStr">
        <is>
          <t>GSTX.GSTX_INTF_NOT_UPLOADED_CIF</t>
        </is>
      </c>
      <c r="B1640" s="48" t="inlineStr">
        <is>
          <t>SILVER_CONSUMER</t>
        </is>
      </c>
      <c r="C1640" s="48" t="inlineStr">
        <is>
          <t>2.12</t>
        </is>
      </c>
      <c r="D1640" s="48" t="inlineStr">
        <is>
          <t>Nhom 2 - Logic</t>
        </is>
      </c>
      <c r="E1640" s="48" t="inlineStr">
        <is>
          <t>Build Gold từ CTE snapshot Silver, không build nhiều tầng chồng chéo</t>
        </is>
      </c>
      <c r="F1640" s="49" t="inlineStr">
        <is>
          <t>PASS</t>
        </is>
      </c>
      <c r="G1640" s="48" t="inlineStr">
        <is>
          <t>Pass</t>
        </is>
      </c>
      <c r="H1640" s="50" t="inlineStr">
        <is>
          <t>mỗi bảng nguồn chỉ đọc trong 1 khối SELECT</t>
        </is>
      </c>
      <c r="I16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40" s="48" t="inlineStr">
        <is>
          <t>082. OCB_GOLD_TTDL_GSTX_INTF_NOT_UPLOADED_CIF_Huy.xlsx [Script SQL: GSTX_INTF_NOT_UPLOADED_CIF]</t>
        </is>
      </c>
    </row>
    <row r="1641">
      <c r="A1641" s="48" t="inlineStr">
        <is>
          <t>GSTX.GSTX_INTF_NOT_UPLOADED_CIF</t>
        </is>
      </c>
      <c r="B1641" s="48" t="inlineStr">
        <is>
          <t>SILVER_CONSUMER</t>
        </is>
      </c>
      <c r="C1641" s="48" t="inlineStr">
        <is>
          <t>3.1</t>
        </is>
      </c>
      <c r="D1641" s="48" t="inlineStr">
        <is>
          <t>Nhom 3 - Optimization</t>
        </is>
      </c>
      <c r="E1641" s="48" t="inlineStr">
        <is>
          <t>Không SELECT *</t>
        </is>
      </c>
      <c r="F1641" s="49" t="inlineStr">
        <is>
          <t>PASS</t>
        </is>
      </c>
      <c r="G1641" s="48" t="inlineStr">
        <is>
          <t>Pass</t>
        </is>
      </c>
      <c r="H1641" s="50" t="inlineStr">
        <is>
          <t>không dùng SELECT * ở đâu</t>
        </is>
      </c>
      <c r="I1641" s="50" t="inlineStr">
        <is>
          <t>Liệt kê tường minh các cột cần dùng, kể cả trong CTE trung gian. SELECT * làm tăng IO/memory và vỡ script khi bảng nguồn thêm cột.</t>
        </is>
      </c>
      <c r="J1641" s="48" t="inlineStr">
        <is>
          <t>082. OCB_GOLD_TTDL_GSTX_INTF_NOT_UPLOADED_CIF_Huy.xlsx [Script SQL: GSTX_INTF_NOT_UPLOADED_CIF]</t>
        </is>
      </c>
    </row>
    <row r="1642">
      <c r="A1642" s="48" t="inlineStr">
        <is>
          <t>GSTX.GSTX_INTF_NOT_UPLOADED_CIF</t>
        </is>
      </c>
      <c r="B1642" s="48" t="inlineStr">
        <is>
          <t>SILVER_CONSUMER</t>
        </is>
      </c>
      <c r="C1642" s="48" t="inlineStr">
        <is>
          <t>3.2</t>
        </is>
      </c>
      <c r="D1642" s="48" t="inlineStr">
        <is>
          <t>Nhom 3 - Optimization</t>
        </is>
      </c>
      <c r="E1642" s="48" t="inlineStr">
        <is>
          <t>CTE không bị scan lại nhiều lần</t>
        </is>
      </c>
      <c r="F1642" s="51" t="inlineStr">
        <is>
          <t>WARN</t>
        </is>
      </c>
      <c r="G1642" s="48" t="inlineStr">
        <is>
          <t>WARN</t>
        </is>
      </c>
      <c r="H1642" s="50" t="inlineStr">
        <is>
          <t>CTE bị tham chiếu lại nhiều lần: branch_dim x3, user_dir x2, users_logon_dir x2</t>
        </is>
      </c>
      <c r="I1642" s="50" t="inlineStr">
        <is>
          <t>Với CTE nặng (đọc nhiều bảng Silver) bị tham chiếu từ 2 chỗ trở lên: gom lại còn một lần dùng, hoặc vật chất hóa (CACHE / bảng tạm). CTE nhẹ chỉ chứa tham số thì bỏ qua được — tự tick Pass.</t>
        </is>
      </c>
      <c r="J1642" s="48" t="inlineStr">
        <is>
          <t>082. OCB_GOLD_TTDL_GSTX_INTF_NOT_UPLOADED_CIF_Huy.xlsx [Script SQL: GSTX_INTF_NOT_UPLOADED_CIF]</t>
        </is>
      </c>
    </row>
    <row r="1643">
      <c r="A1643" s="48" t="inlineStr">
        <is>
          <t>GSTX.GSTX_INTF_NOT_UPLOADED_CIF</t>
        </is>
      </c>
      <c r="B1643" s="48" t="inlineStr">
        <is>
          <t>SILVER_CONSUMER</t>
        </is>
      </c>
      <c r="C1643" s="48" t="inlineStr">
        <is>
          <t>3.3</t>
        </is>
      </c>
      <c r="D1643" s="48" t="inlineStr">
        <is>
          <t>Nhom 3 - Optimization</t>
        </is>
      </c>
      <c r="E1643" s="48" t="inlineStr">
        <is>
          <t>Filter trước khi join, tận dụng partition pruning</t>
        </is>
      </c>
      <c r="F1643" s="49" t="inlineStr">
        <is>
          <t>PASS</t>
        </is>
      </c>
      <c r="G1643" s="48" t="inlineStr">
        <is>
          <t>Pass</t>
        </is>
      </c>
      <c r="H1643" s="50" t="inlineStr">
        <is>
          <t>các bảng join đều được filter trước</t>
        </is>
      </c>
      <c r="I1643" s="50" t="inlineStr">
        <is>
          <t>Đưa điều kiện lọc (ngày dữ liệu, trạng thái) vào subquery của từng bảng TRƯỚC khi join, để tận dụng partition pruning. Bảng dim nhỏ không partition thì không cần — tự tick Pass.</t>
        </is>
      </c>
      <c r="J1643" s="48" t="inlineStr">
        <is>
          <t>082. OCB_GOLD_TTDL_GSTX_INTF_NOT_UPLOADED_CIF_Huy.xlsx [Script SQL: GSTX_INTF_NOT_UPLOADED_CIF]</t>
        </is>
      </c>
    </row>
    <row r="1644">
      <c r="A1644" s="48" t="inlineStr">
        <is>
          <t>GSTX.GSTX_INTF_NOT_UPLOADED_CIF</t>
        </is>
      </c>
      <c r="B1644" s="48" t="inlineStr">
        <is>
          <t>SILVER_CONSUMER</t>
        </is>
      </c>
      <c r="C1644" s="48" t="inlineStr">
        <is>
          <t>3.4</t>
        </is>
      </c>
      <c r="D1644" s="48" t="inlineStr">
        <is>
          <t>Nhom 3 - Optimization</t>
        </is>
      </c>
      <c r="E1644" s="48" t="inlineStr">
        <is>
          <t>Sử dụng CACHE cho query lặp lại trong cùng luồng</t>
        </is>
      </c>
      <c r="F1644" s="51" t="inlineStr">
        <is>
          <t>WARN</t>
        </is>
      </c>
      <c r="G1644" s="48" t="inlineStr">
        <is>
          <t>WARN</t>
        </is>
      </c>
      <c r="H1644" s="50" t="inlineStr">
        <is>
          <t>3 CTE nặng dùng lại &gt;= 2 lần mà không có CACHE: branch_dim, user_dir, users_logon_dir</t>
        </is>
      </c>
      <c r="I1644" s="50" t="inlineStr">
        <is>
          <t>Nếu một kết quả nặng được dùng lại nhiều bước trong cùng luồng, thêm CACHE TABLE / CACHE SELECT. Kết quả nhỏ thì cache còn chậm hơn — tự tick Pass.</t>
        </is>
      </c>
      <c r="J1644" s="48" t="inlineStr">
        <is>
          <t>082. OCB_GOLD_TTDL_GSTX_INTF_NOT_UPLOADED_CIF_Huy.xlsx [Script SQL: GSTX_INTF_NOT_UPLOADED_CIF]</t>
        </is>
      </c>
    </row>
    <row r="1645">
      <c r="A1645" s="48" t="inlineStr">
        <is>
          <t>GSTX.GSTX_INTF_NOT_UPLOADED_CIF</t>
        </is>
      </c>
      <c r="B1645" s="48" t="inlineStr">
        <is>
          <t>SILVER_CONSUMER</t>
        </is>
      </c>
      <c r="C1645" s="48" t="inlineStr">
        <is>
          <t>3.5</t>
        </is>
      </c>
      <c r="D1645" s="48" t="inlineStr">
        <is>
          <t>Nhom 3 - Optimization</t>
        </is>
      </c>
      <c r="E1645" s="48" t="inlineStr">
        <is>
          <t>Ưu tiên MAX_BY + QUALIFY thay ROW_NUMBER() + WHERE rn = 1</t>
        </is>
      </c>
      <c r="F1645" s="48" t="inlineStr">
        <is>
          <t>N-A</t>
        </is>
      </c>
      <c r="G1645" s="48" t="inlineStr">
        <is>
          <t>Pass</t>
        </is>
      </c>
      <c r="H1645" s="50" t="inlineStr">
        <is>
          <t>script không dùng ROW_NUMBER, và MAX_BY (nếu có) không vượt quá 5 cột/khối</t>
        </is>
      </c>
      <c r="I16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645" s="48" t="inlineStr">
        <is>
          <t>082. OCB_GOLD_TTDL_GSTX_INTF_NOT_UPLOADED_CIF_Huy.xlsx [Script SQL: GSTX_INTF_NOT_UPLOADED_CIF]</t>
        </is>
      </c>
    </row>
    <row r="1646">
      <c r="A1646" s="48" t="inlineStr">
        <is>
          <t>GSTX.GSTX_INTF_NOT_UPLOADED_CIF</t>
        </is>
      </c>
      <c r="B1646" s="48" t="inlineStr">
        <is>
          <t>SILVER_CONSUMER</t>
        </is>
      </c>
      <c r="C1646" s="48" t="inlineStr">
        <is>
          <t>3.6</t>
        </is>
      </c>
      <c r="D1646" s="48" t="inlineStr">
        <is>
          <t>Nhom 3 - Optimization</t>
        </is>
      </c>
      <c r="E1646" s="48" t="inlineStr">
        <is>
          <t>Không lạm dụng window function; có comment khi dùng</t>
        </is>
      </c>
      <c r="F1646" s="48" t="inlineStr">
        <is>
          <t>N-A</t>
        </is>
      </c>
      <c r="G1646" s="48" t="inlineStr">
        <is>
          <t>Pass</t>
        </is>
      </c>
      <c r="H1646" s="50" t="inlineStr">
        <is>
          <t>script không dùng window function</t>
        </is>
      </c>
      <c r="I1646" s="50" t="inlineStr">
        <is>
          <t>Mỗi window function cần một comment ngay trên khối CTE chứa nó, nói rõ vì sao không dùng được max_by/QUALIFY đơn giản hơn.</t>
        </is>
      </c>
      <c r="J1646" s="48" t="inlineStr">
        <is>
          <t>082. OCB_GOLD_TTDL_GSTX_INTF_NOT_UPLOADED_CIF_Huy.xlsx [Script SQL: GSTX_INTF_NOT_UPLOADED_CIF]</t>
        </is>
      </c>
    </row>
    <row r="1647">
      <c r="A1647" s="48" t="inlineStr">
        <is>
          <t>GSTX.GSTX_INTF_NOT_UPLOADED_CIF</t>
        </is>
      </c>
      <c r="B1647" s="48" t="inlineStr">
        <is>
          <t>SILVER_CONSUMER</t>
        </is>
      </c>
      <c r="C1647" s="48" t="inlineStr">
        <is>
          <t>X.1</t>
        </is>
      </c>
      <c r="D1647" s="48" t="inlineStr">
        <is>
          <t>Nhom X - Bo sung Raffles</t>
        </is>
      </c>
      <c r="E1647" s="48" t="inlineStr">
        <is>
          <t>[Bổ sung] Link phải rút về current trước khi join (chống fan-out)</t>
        </is>
      </c>
      <c r="F1647" s="49" t="inlineStr">
        <is>
          <t>PASS</t>
        </is>
      </c>
      <c r="G1647" s="48" t="inlineStr">
        <is>
          <t>Pass</t>
        </is>
      </c>
      <c r="H1647" s="50" t="inlineStr">
        <is>
          <t>các bảng link_* đều được rút về current trước khi join</t>
        </is>
      </c>
      <c r="I16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647" s="48" t="inlineStr">
        <is>
          <t>082. OCB_GOLD_TTDL_GSTX_INTF_NOT_UPLOADED_CIF_Huy.xlsx [Script SQL: GSTX_INTF_NOT_UPLOADED_CIF]</t>
        </is>
      </c>
    </row>
    <row r="1648">
      <c r="A1648" s="48" t="inlineStr">
        <is>
          <t>GSTX.GSTX_INTF_NOT_UPLOADED_CIF</t>
        </is>
      </c>
      <c r="B1648" s="48" t="inlineStr">
        <is>
          <t>SILVER_CONSUMER</t>
        </is>
      </c>
      <c r="C1648" s="48" t="inlineStr">
        <is>
          <t>X.6</t>
        </is>
      </c>
      <c r="D1648" s="48" t="inlineStr">
        <is>
          <t>Nhom X - Bo sung Raffles</t>
        </is>
      </c>
      <c r="E1648" s="48" t="inlineStr">
        <is>
          <t>[Bổ sung] Satellite phải LEFT JOIN, không INNER JOIN</t>
        </is>
      </c>
      <c r="F1648" s="49" t="inlineStr">
        <is>
          <t>PASS</t>
        </is>
      </c>
      <c r="G1648" s="48" t="inlineStr">
        <is>
          <t>Pass</t>
        </is>
      </c>
      <c r="H1648" s="50" t="inlineStr">
        <is>
          <t>các satellite đều LEFT JOIN</t>
        </is>
      </c>
      <c r="I1648" s="50" t="inlineStr">
        <is>
          <t>Technical Document III.4.2.2 nguyên tắc 1: làm giàu thuộc tính luôn dùng LEFT JOIN. INNER JOIN satellite sẽ loại mất bản ghi Hub đang còn hiệu lực nhưng chưa có dòng satellite.</t>
        </is>
      </c>
      <c r="J1648" s="48" t="inlineStr">
        <is>
          <t>082. OCB_GOLD_TTDL_GSTX_INTF_NOT_UPLOADED_CIF_Huy.xlsx [Script SQL: GSTX_INTF_NOT_UPLOADED_CIF]</t>
        </is>
      </c>
    </row>
    <row r="1649">
      <c r="A1649" s="48" t="inlineStr">
        <is>
          <t>GSTX.GSTX_INTF_NOT_UPLOADED_CIF</t>
        </is>
      </c>
      <c r="B1649" s="48" t="inlineStr">
        <is>
          <t>SILVER_CONSUMER</t>
        </is>
      </c>
      <c r="C1649" s="48" t="inlineStr">
        <is>
          <t>X.7</t>
        </is>
      </c>
      <c r="D1649" s="48" t="inlineStr">
        <is>
          <t>Nhom X - Bo sung Raffles</t>
        </is>
      </c>
      <c r="E1649" s="48" t="inlineStr">
        <is>
          <t>[Bổ sung] Không hard-code catalog, dùng biến môi trường</t>
        </is>
      </c>
      <c r="F1649" s="49" t="inlineStr">
        <is>
          <t>PASS</t>
        </is>
      </c>
      <c r="G1649" s="48" t="inlineStr">
        <is>
          <t>Pass</t>
        </is>
      </c>
      <c r="H1649" s="50" t="inlineStr">
        <is>
          <t>dùng biến môi trường cho catalog</t>
        </is>
      </c>
      <c r="I16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649" s="48" t="inlineStr">
        <is>
          <t>082. OCB_GOLD_TTDL_GSTX_INTF_NOT_UPLOADED_CIF_Huy.xlsx [Script SQL: GSTX_INTF_NOT_UPLOADED_CIF]</t>
        </is>
      </c>
    </row>
    <row r="1650">
      <c r="A1650" s="48" t="inlineStr">
        <is>
          <t>GSTX.GSTX_INTF_NOT_UPLOADED_CIF</t>
        </is>
      </c>
      <c r="B1650" s="48" t="inlineStr">
        <is>
          <t>SILVER_CONSUMER</t>
        </is>
      </c>
      <c r="C1650" s="48" t="inlineStr">
        <is>
          <t>X.10</t>
        </is>
      </c>
      <c r="D1650" s="48" t="inlineStr">
        <is>
          <t>Nhom X - Bo sung Raffles</t>
        </is>
      </c>
      <c r="E1650" s="48" t="inlineStr">
        <is>
          <t>Bang raw_vault/business_vault duoc doc phai TON TAI THAT trong Data Vault model</t>
        </is>
      </c>
      <c r="F1650" s="49" t="inlineStr">
        <is>
          <t>PASS</t>
        </is>
      </c>
      <c r="G1650" s="48" t="inlineStr">
        <is>
          <t>Pass</t>
        </is>
      </c>
      <c r="H1650" s="50" t="inlineStr">
        <is>
          <t>24 bảng Silver đều có thật trong Data Vault model</t>
        </is>
      </c>
      <c r="I1650" s="50" t="inlineStr"/>
      <c r="J1650" s="48" t="inlineStr">
        <is>
          <t>082. OCB_GOLD_TTDL_GSTX_INTF_NOT_UPLOADED_CIF_Huy.xlsx [Script SQL: GSTX_INTF_NOT_UPLOADED_CIF]</t>
        </is>
      </c>
    </row>
    <row r="1651">
      <c r="A1651" s="48" t="inlineStr">
        <is>
          <t>GSTX.GSTX_INTF_NOT_UPLOADED_CIF</t>
        </is>
      </c>
      <c r="B1651" s="48" t="inlineStr">
        <is>
          <t>SILVER_CONSUMER</t>
        </is>
      </c>
      <c r="C1651" s="48" t="inlineStr">
        <is>
          <t>X.11</t>
        </is>
      </c>
      <c r="D1651" s="48" t="inlineStr">
        <is>
          <t>Nhom X - Bo sung Raffles</t>
        </is>
      </c>
      <c r="E1651" s="48" t="inlineStr">
        <is>
          <t>Cot doc tu satellite (sat_*) phai TON TAI THAT trong model</t>
        </is>
      </c>
      <c r="F1651" s="49" t="inlineStr">
        <is>
          <t>PASS</t>
        </is>
      </c>
      <c r="G1651" s="48" t="inlineStr">
        <is>
          <t>Pass</t>
        </is>
      </c>
      <c r="H1651" s="50" t="inlineStr">
        <is>
          <t>mọi cột đọc từ sat_* đều tồn tại trong model thật</t>
        </is>
      </c>
      <c r="I1651" s="50" t="inlineStr"/>
      <c r="J1651" s="48" t="inlineStr">
        <is>
          <t>082. OCB_GOLD_TTDL_GSTX_INTF_NOT_UPLOADED_CIF_Huy.xlsx [Script SQL: GSTX_INTF_NOT_UPLOADED_CIF]</t>
        </is>
      </c>
    </row>
    <row r="1652">
      <c r="A1652" s="48" t="inlineStr">
        <is>
          <t>GSTX.GSTX_INTF_WRONG_DEP</t>
        </is>
      </c>
      <c r="B1652" s="48" t="inlineStr">
        <is>
          <t>SILVER_CONSUMER</t>
        </is>
      </c>
      <c r="C1652" s="48" t="inlineStr">
        <is>
          <t>1.1</t>
        </is>
      </c>
      <c r="D1652" s="48" t="inlineStr">
        <is>
          <t>Nhom 1 - Mapping</t>
        </is>
      </c>
      <c r="E1652" s="48" t="inlineStr">
        <is>
          <t>Đầy đủ mapping từ Silver/manual sang Gold</t>
        </is>
      </c>
      <c r="F1652" s="51" t="inlineStr">
        <is>
          <t>WARN</t>
        </is>
      </c>
      <c r="G1652" s="48" t="inlineStr">
        <is>
          <t>WARN</t>
        </is>
      </c>
      <c r="H1652" s="50" t="inlineStr">
        <is>
          <t>KHÔNG TÌM THẤY workbook thiết kế cho object GSTX_INTF_WRONG_DEP nên không đối chiếu được danh sách cột (SQL có 33 cột đầu ra)</t>
        </is>
      </c>
      <c r="I16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652" s="48" t="inlineStr">
        <is>
          <t>083. OCB_GOLD_TTDL_GSTX_INTF_WRONG_DEP_Huy.xlsx [Script SQL: GSTX_INTF_WRONG_DEP]</t>
        </is>
      </c>
    </row>
    <row r="1653">
      <c r="A1653" s="48" t="inlineStr">
        <is>
          <t>GSTX.GSTX_INTF_WRONG_DEP</t>
        </is>
      </c>
      <c r="B1653" s="48" t="inlineStr">
        <is>
          <t>SILVER_CONSUMER</t>
        </is>
      </c>
      <c r="C1653" s="48" t="inlineStr">
        <is>
          <t>1.2</t>
        </is>
      </c>
      <c r="D1653" s="48" t="inlineStr">
        <is>
          <t>Nhom 1 - Mapping</t>
        </is>
      </c>
      <c r="E1653" s="48" t="inlineStr">
        <is>
          <t>Danh sách bảng/view Gold khớp tài liệu thiết kế đã duyệt</t>
        </is>
      </c>
      <c r="F1653" s="52" t="inlineStr">
        <is>
          <t>FAIL</t>
        </is>
      </c>
      <c r="G1653" s="48" t="inlineStr">
        <is>
          <t>Fail</t>
        </is>
      </c>
      <c r="H1653" s="50" t="inlineStr">
        <is>
          <t>GSTX_INTF_WRONG_DEP không có workbook thiết kế tương ứng trong thư mục mapping</t>
        </is>
      </c>
      <c r="I1653" s="50" t="inlineStr">
        <is>
          <t>Đảm bảo object có workbook thiết kế tương ứng trong thư mục --mapping-dir. Muốn đối chiếu với danh sách đã duyệt thì chạy thêm tham số --gold-list "&lt;file danh sách Gold&gt;.xlsx".</t>
        </is>
      </c>
      <c r="J1653" s="48" t="inlineStr">
        <is>
          <t>083. OCB_GOLD_TTDL_GSTX_INTF_WRONG_DEP_Huy.xlsx [Script SQL: GSTX_INTF_WRONG_DEP]</t>
        </is>
      </c>
    </row>
    <row r="1654">
      <c r="A1654" s="48" t="inlineStr">
        <is>
          <t>GSTX.GSTX_INTF_WRONG_DEP</t>
        </is>
      </c>
      <c r="B1654" s="48" t="inlineStr">
        <is>
          <t>SILVER_CONSUMER</t>
        </is>
      </c>
      <c r="C1654" s="48" t="inlineStr">
        <is>
          <t>2.1</t>
        </is>
      </c>
      <c r="D1654" s="48" t="inlineStr">
        <is>
          <t>Nhom 2 - Logic</t>
        </is>
      </c>
      <c r="E1654" s="48" t="inlineStr">
        <is>
          <t>Chỉ lấy bản ghi active, loại bản ghi đã xóa (qua sts_hub)</t>
        </is>
      </c>
      <c r="F1654" s="49" t="inlineStr">
        <is>
          <t>PASS</t>
        </is>
      </c>
      <c r="G1654" s="48" t="inlineStr">
        <is>
          <t>Pass</t>
        </is>
      </c>
      <c r="H1654" s="50" t="inlineStr">
        <is>
          <t>1 sts_hub_* đọc đúng format</t>
        </is>
      </c>
      <c r="I16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654" s="48" t="inlineStr">
        <is>
          <t>083. OCB_GOLD_TTDL_GSTX_INTF_WRONG_DEP_Huy.xlsx [Script SQL: GSTX_INTF_WRONG_DEP]</t>
        </is>
      </c>
    </row>
    <row r="1655">
      <c r="A1655" s="48" t="inlineStr">
        <is>
          <t>GSTX.GSTX_INTF_WRONG_DEP</t>
        </is>
      </c>
      <c r="B1655" s="48" t="inlineStr">
        <is>
          <t>SILVER_CONSUMER</t>
        </is>
      </c>
      <c r="C1655" s="48" t="inlineStr">
        <is>
          <t>2.2</t>
        </is>
      </c>
      <c r="D1655" s="48" t="inlineStr">
        <is>
          <t>Nhom 2 - Logic</t>
        </is>
      </c>
      <c r="E1655" s="48" t="inlineStr">
        <is>
          <t>Thống nhất MỘT pattern duy nhất xác định bản ghi active mới nhất</t>
        </is>
      </c>
      <c r="F1655" s="49" t="inlineStr">
        <is>
          <t>PASS</t>
        </is>
      </c>
      <c r="G1655" s="48" t="inlineStr">
        <is>
          <t>Pass</t>
        </is>
      </c>
      <c r="H1655" s="50" t="inlineStr">
        <is>
          <t>file này dùng: ['MAX_BY']; toàn batch dùng: ['MAX_BY']</t>
        </is>
      </c>
      <c r="I16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655" s="48" t="inlineStr">
        <is>
          <t>083. OCB_GOLD_TTDL_GSTX_INTF_WRONG_DEP_Huy.xlsx [Script SQL: GSTX_INTF_WRONG_DEP]</t>
        </is>
      </c>
    </row>
    <row r="1656">
      <c r="A1656" s="48" t="inlineStr">
        <is>
          <t>GSTX.GSTX_INTF_WRONG_DEP</t>
        </is>
      </c>
      <c r="B1656" s="48" t="inlineStr">
        <is>
          <t>SILVER_CONSUMER</t>
        </is>
      </c>
      <c r="C1656" s="48" t="inlineStr">
        <is>
          <t>2.3</t>
        </is>
      </c>
      <c r="D1656" s="48" t="inlineStr">
        <is>
          <t>Nhom 2 - Logic</t>
        </is>
      </c>
      <c r="E1656" s="48" t="inlineStr">
        <is>
          <t>Điều kiện lọc trạng thái đặt SAU khi xác định bản ghi mới nhất</t>
        </is>
      </c>
      <c r="F1656" s="49" t="inlineStr">
        <is>
          <t>PASS</t>
        </is>
      </c>
      <c r="G1656" s="48" t="inlineStr">
        <is>
          <t>Pass</t>
        </is>
      </c>
      <c r="H1656" s="50" t="inlineStr">
        <is>
          <t>không có điều kiện trạng thái nào lồng trong JOIN ON</t>
        </is>
      </c>
      <c r="I16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656" s="48" t="inlineStr">
        <is>
          <t>083. OCB_GOLD_TTDL_GSTX_INTF_WRONG_DEP_Huy.xlsx [Script SQL: GSTX_INTF_WRONG_DEP]</t>
        </is>
      </c>
    </row>
    <row r="1657">
      <c r="A1657" s="48" t="inlineStr">
        <is>
          <t>GSTX.GSTX_INTF_WRONG_DEP</t>
        </is>
      </c>
      <c r="B1657" s="48" t="inlineStr">
        <is>
          <t>SILVER_CONSUMER</t>
        </is>
      </c>
      <c r="C1657" s="48" t="inlineStr">
        <is>
          <t>2.4</t>
        </is>
      </c>
      <c r="D1657" s="48" t="inlineStr">
        <is>
          <t>Nhom 2 - Logic</t>
        </is>
      </c>
      <c r="E1657" s="48" t="inlineStr">
        <is>
          <t>source_event_date áp dụng đúng dạng theo loại bảng</t>
        </is>
      </c>
      <c r="F1657" s="49" t="inlineStr">
        <is>
          <t>PASS</t>
        </is>
      </c>
      <c r="G1657" s="48" t="inlineStr">
        <is>
          <t>Pass</t>
        </is>
      </c>
      <c r="H1657" s="50" t="inlineStr">
        <is>
          <t>11 satellite đều đúng dạng điều kiện source_event_date</t>
        </is>
      </c>
      <c r="I16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657" s="48" t="inlineStr">
        <is>
          <t>083. OCB_GOLD_TTDL_GSTX_INTF_WRONG_DEP_Huy.xlsx [Script SQL: GSTX_INTF_WRONG_DEP]</t>
        </is>
      </c>
    </row>
    <row r="1658">
      <c r="A1658" s="48" t="inlineStr">
        <is>
          <t>GSTX.GSTX_INTF_WRONG_DEP</t>
        </is>
      </c>
      <c r="B1658" s="48" t="inlineStr">
        <is>
          <t>SILVER_CONSUMER</t>
        </is>
      </c>
      <c r="C1658" s="48" t="inlineStr">
        <is>
          <t>2.5</t>
        </is>
      </c>
      <c r="D1658" s="48" t="inlineStr">
        <is>
          <t>Nhom 2 - Logic</t>
        </is>
      </c>
      <c r="E1658" s="48" t="inlineStr">
        <is>
          <t>Không lặp lại lỗi logic cũ đã được DA Data Vault fix</t>
        </is>
      </c>
      <c r="F1658" s="49" t="inlineStr">
        <is>
          <t>PASS</t>
        </is>
      </c>
      <c r="G1658" s="48" t="inlineStr">
        <is>
          <t>Pass</t>
        </is>
      </c>
      <c r="H1658" s="50" t="inlineStr">
        <is>
          <t>không trùng lỗi nào trong Issue log của DA Data Vault</t>
        </is>
      </c>
      <c r="I16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658" s="48" t="inlineStr">
        <is>
          <t>083. OCB_GOLD_TTDL_GSTX_INTF_WRONG_DEP_Huy.xlsx [Script SQL: GSTX_INTF_WRONG_DEP]</t>
        </is>
      </c>
    </row>
    <row r="1659">
      <c r="A1659" s="48" t="inlineStr">
        <is>
          <t>GSTX.GSTX_INTF_WRONG_DEP</t>
        </is>
      </c>
      <c r="B1659" s="48" t="inlineStr">
        <is>
          <t>SILVER_CONSUMER</t>
        </is>
      </c>
      <c r="C1659" s="48" t="inlineStr">
        <is>
          <t>2.6</t>
        </is>
      </c>
      <c r="D1659" s="48" t="inlineStr">
        <is>
          <t>Nhom 2 - Logic</t>
        </is>
      </c>
      <c r="E1659" s="48" t="inlineStr">
        <is>
          <t>SCD Type 2 cho bảng DIM áp dụng đúng kỹ thuật đã thống nhất</t>
        </is>
      </c>
      <c r="F1659" s="48" t="inlineStr">
        <is>
          <t>N-A</t>
        </is>
      </c>
      <c r="G1659" s="48" t="inlineStr">
        <is>
          <t>Pass</t>
        </is>
      </c>
      <c r="H1659" s="50" t="inlineStr">
        <is>
          <t>object không phải bảng DIM nên không áp dụng SCD Type 2</t>
        </is>
      </c>
      <c r="I16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659" s="48" t="inlineStr">
        <is>
          <t>083. OCB_GOLD_TTDL_GSTX_INTF_WRONG_DEP_Huy.xlsx [Script SQL: GSTX_INTF_WRONG_DEP]</t>
        </is>
      </c>
    </row>
    <row r="1660">
      <c r="A1660" s="48" t="inlineStr">
        <is>
          <t>GSTX.GSTX_INTF_WRONG_DEP</t>
        </is>
      </c>
      <c r="B1660" s="48" t="inlineStr">
        <is>
          <t>SILVER_CONSUMER</t>
        </is>
      </c>
      <c r="C1660" s="48" t="inlineStr">
        <is>
          <t>2.7</t>
        </is>
      </c>
      <c r="D1660" s="48" t="inlineStr">
        <is>
          <t>Nhom 2 - Logic</t>
        </is>
      </c>
      <c r="E1660" s="48" t="inlineStr">
        <is>
          <t>CASE WHEN cover đủ nhánh như job on-prem</t>
        </is>
      </c>
      <c r="F1660" s="49" t="inlineStr">
        <is>
          <t>PASS</t>
        </is>
      </c>
      <c r="G1660" s="48" t="inlineStr">
        <is>
          <t>Pass</t>
        </is>
      </c>
      <c r="H1660" s="50" t="inlineStr">
        <is>
          <t>cả 6 CASE đều có nhánh ELSE</t>
        </is>
      </c>
      <c r="I1660" s="50" t="inlineStr">
        <is>
          <t>Mở job on-prem tương ứng (DataStage DSX hoặc SQL cũ), đối chiếu từng nhánh WHEN và cả nhánh ELSE. CASE không có ELSE sẽ trả NULL âm thầm — xác nhận đó là ý muốn hay thiếu nhánh.</t>
        </is>
      </c>
      <c r="J1660" s="48" t="inlineStr">
        <is>
          <t>083. OCB_GOLD_TTDL_GSTX_INTF_WRONG_DEP_Huy.xlsx [Script SQL: GSTX_INTF_WRONG_DEP]</t>
        </is>
      </c>
    </row>
    <row r="1661">
      <c r="A1661" s="48" t="inlineStr">
        <is>
          <t>GSTX.GSTX_INTF_WRONG_DEP</t>
        </is>
      </c>
      <c r="B1661" s="48" t="inlineStr">
        <is>
          <t>SILVER_CONSUMER</t>
        </is>
      </c>
      <c r="C1661" s="48" t="inlineStr">
        <is>
          <t>2.8</t>
        </is>
      </c>
      <c r="D1661" s="48" t="inlineStr">
        <is>
          <t>Nhom 2 - Logic</t>
        </is>
      </c>
      <c r="E1661" s="48" t="inlineStr">
        <is>
          <t>Cột SUM/COUNT được COALESCE/NVL hợp lý</t>
        </is>
      </c>
      <c r="F1661" s="49" t="inlineStr">
        <is>
          <t>PASS</t>
        </is>
      </c>
      <c r="G1661" s="48" t="inlineStr">
        <is>
          <t>Pass</t>
        </is>
      </c>
      <c r="H1661" s="50" t="inlineStr">
        <is>
          <t>mọi SUM/COUNT đều đã coalesce (trực tiếp hoặc ở lớp ngoài)</t>
        </is>
      </c>
      <c r="I16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61" s="48" t="inlineStr">
        <is>
          <t>083. OCB_GOLD_TTDL_GSTX_INTF_WRONG_DEP_Huy.xlsx [Script SQL: GSTX_INTF_WRONG_DEP]</t>
        </is>
      </c>
    </row>
    <row r="1662">
      <c r="A1662" s="48" t="inlineStr">
        <is>
          <t>GSTX.GSTX_INTF_WRONG_DEP</t>
        </is>
      </c>
      <c r="B1662" s="48" t="inlineStr">
        <is>
          <t>SILVER_CONSUMER</t>
        </is>
      </c>
      <c r="C1662" s="48" t="inlineStr">
        <is>
          <t>2.9</t>
        </is>
      </c>
      <c r="D1662" s="48" t="inlineStr">
        <is>
          <t>Nhom 2 - Logic</t>
        </is>
      </c>
      <c r="E1662" s="48" t="inlineStr">
        <is>
          <t>Subquery / custom function / điều kiện LIKE đúng ý nghĩa nghiệp vụ</t>
        </is>
      </c>
      <c r="F1662" s="49" t="inlineStr">
        <is>
          <t>PASS</t>
        </is>
      </c>
      <c r="G1662" s="48" t="inlineStr">
        <is>
          <t>Pass</t>
        </is>
      </c>
      <c r="H1662" s="50" t="inlineStr">
        <is>
          <t>2 điều kiện LIKE: hc.gl LIKE '42%2' | hc.gl LIKE '43%'; cú pháp hợp lệ; ý nghĩa nghiệp vụ cần người review đối chiếu job on-prem</t>
        </is>
      </c>
      <c r="I1662" s="50" t="inlineStr">
        <is>
          <t>Đọc lại từng điều kiện LIKE và từng subquery, đối chiếu ý nghĩa nghiệp vụ với on-prem — đúng cú pháp không đủ. Chú ý pattern LIKE có ký tự % ở đầu/cuối và phân biệt chữ hoa/thường.</t>
        </is>
      </c>
      <c r="J1662" s="48" t="inlineStr">
        <is>
          <t>083. OCB_GOLD_TTDL_GSTX_INTF_WRONG_DEP_Huy.xlsx [Script SQL: GSTX_INTF_WRONG_DEP]</t>
        </is>
      </c>
    </row>
    <row r="1663">
      <c r="A1663" s="48" t="inlineStr">
        <is>
          <t>GSTX.GSTX_INTF_WRONG_DEP</t>
        </is>
      </c>
      <c r="B1663" s="48" t="inlineStr">
        <is>
          <t>SILVER_CONSUMER</t>
        </is>
      </c>
      <c r="C1663" s="48" t="inlineStr">
        <is>
          <t>2.10</t>
        </is>
      </c>
      <c r="D1663" s="48" t="inlineStr">
        <is>
          <t>Nhom 2 - Logic</t>
        </is>
      </c>
      <c r="E1663" s="48" t="inlineStr">
        <is>
          <t>Aggregation kèm filter date range chính xác</t>
        </is>
      </c>
      <c r="F1663" s="49" t="inlineStr">
        <is>
          <t>PASS</t>
        </is>
      </c>
      <c r="G1663" s="48" t="inlineStr">
        <is>
          <t>Pass</t>
        </is>
      </c>
      <c r="H1663" s="50" t="inlineStr">
        <is>
          <t>mọi khối tổng hợp đều có điều kiện theo kỳ dữ liệu</t>
        </is>
      </c>
      <c r="I1663" s="50" t="inlineStr">
        <is>
          <t>Mỗi khối SUM/COUNT/AVG phải có điều kiện lọc theo kỳ dữ liệu (CDR_DT_ID, DATA_DATE, :DATADT…). Nếu điều kiện nằm ở CTE nguồn thì ghi rõ trong comment để người review không phải truy ngược.</t>
        </is>
      </c>
      <c r="J1663" s="48" t="inlineStr">
        <is>
          <t>083. OCB_GOLD_TTDL_GSTX_INTF_WRONG_DEP_Huy.xlsx [Script SQL: GSTX_INTF_WRONG_DEP]</t>
        </is>
      </c>
    </row>
    <row r="1664">
      <c r="A1664" s="48" t="inlineStr">
        <is>
          <t>GSTX.GSTX_INTF_WRONG_DEP</t>
        </is>
      </c>
      <c r="B1664" s="48" t="inlineStr">
        <is>
          <t>SILVER_CONSUMER</t>
        </is>
      </c>
      <c r="C1664" s="48" t="inlineStr">
        <is>
          <t>2.11</t>
        </is>
      </c>
      <c r="D1664" s="48" t="inlineStr">
        <is>
          <t>Nhom 2 - Logic</t>
        </is>
      </c>
      <c r="E1664" s="48" t="inlineStr">
        <is>
          <t>Join dùng key hợp lý, không lạm dụng UNION ALL + EXISTS/NOT EXISTS</t>
        </is>
      </c>
      <c r="F1664" s="49" t="inlineStr">
        <is>
          <t>PASS</t>
        </is>
      </c>
      <c r="G1664" s="48" t="inlineStr">
        <is>
          <t>Pass</t>
        </is>
      </c>
      <c r="H1664" s="50" t="inlineStr">
        <is>
          <t>join đều theo điều kiện bằng, không lạm dụng UNION ALL + EXISTS</t>
        </is>
      </c>
      <c r="I1664" s="50" t="inlineStr">
        <is>
          <t>Ưu tiên LEFT JOIN theo business key hoặc hashkey. Xem lại các chỗ dùng UNION ALL kết hợp EXISTS/NOT EXISTS — thường thay được bằng một LEFT JOIN. Join không có điều kiện bằng (=) dễ tạo tích Descartes.</t>
        </is>
      </c>
      <c r="J1664" s="48" t="inlineStr">
        <is>
          <t>083. OCB_GOLD_TTDL_GSTX_INTF_WRONG_DEP_Huy.xlsx [Script SQL: GSTX_INTF_WRONG_DEP]</t>
        </is>
      </c>
    </row>
    <row r="1665">
      <c r="A1665" s="48" t="inlineStr">
        <is>
          <t>GSTX.GSTX_INTF_WRONG_DEP</t>
        </is>
      </c>
      <c r="B1665" s="48" t="inlineStr">
        <is>
          <t>SILVER_CONSUMER</t>
        </is>
      </c>
      <c r="C1665" s="48" t="inlineStr">
        <is>
          <t>2.12</t>
        </is>
      </c>
      <c r="D1665" s="48" t="inlineStr">
        <is>
          <t>Nhom 2 - Logic</t>
        </is>
      </c>
      <c r="E1665" s="48" t="inlineStr">
        <is>
          <t>Build Gold từ CTE snapshot Silver, không build nhiều tầng chồng chéo</t>
        </is>
      </c>
      <c r="F1665" s="49" t="inlineStr">
        <is>
          <t>PASS</t>
        </is>
      </c>
      <c r="G1665" s="48" t="inlineStr">
        <is>
          <t>Pass</t>
        </is>
      </c>
      <c r="H1665" s="50" t="inlineStr">
        <is>
          <t>mỗi bảng nguồn chỉ đọc trong 1 khối SELECT</t>
        </is>
      </c>
      <c r="I16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65" s="48" t="inlineStr">
        <is>
          <t>083. OCB_GOLD_TTDL_GSTX_INTF_WRONG_DEP_Huy.xlsx [Script SQL: GSTX_INTF_WRONG_DEP]</t>
        </is>
      </c>
    </row>
    <row r="1666">
      <c r="A1666" s="48" t="inlineStr">
        <is>
          <t>GSTX.GSTX_INTF_WRONG_DEP</t>
        </is>
      </c>
      <c r="B1666" s="48" t="inlineStr">
        <is>
          <t>SILVER_CONSUMER</t>
        </is>
      </c>
      <c r="C1666" s="48" t="inlineStr">
        <is>
          <t>3.1</t>
        </is>
      </c>
      <c r="D1666" s="48" t="inlineStr">
        <is>
          <t>Nhom 3 - Optimization</t>
        </is>
      </c>
      <c r="E1666" s="48" t="inlineStr">
        <is>
          <t>Không SELECT *</t>
        </is>
      </c>
      <c r="F1666" s="49" t="inlineStr">
        <is>
          <t>PASS</t>
        </is>
      </c>
      <c r="G1666" s="48" t="inlineStr">
        <is>
          <t>Pass</t>
        </is>
      </c>
      <c r="H1666" s="50" t="inlineStr">
        <is>
          <t>không dùng SELECT * ở đâu</t>
        </is>
      </c>
      <c r="I1666" s="50" t="inlineStr">
        <is>
          <t>Liệt kê tường minh các cột cần dùng, kể cả trong CTE trung gian. SELECT * làm tăng IO/memory và vỡ script khi bảng nguồn thêm cột.</t>
        </is>
      </c>
      <c r="J1666" s="48" t="inlineStr">
        <is>
          <t>083. OCB_GOLD_TTDL_GSTX_INTF_WRONG_DEP_Huy.xlsx [Script SQL: GSTX_INTF_WRONG_DEP]</t>
        </is>
      </c>
    </row>
    <row r="1667">
      <c r="A1667" s="48" t="inlineStr">
        <is>
          <t>GSTX.GSTX_INTF_WRONG_DEP</t>
        </is>
      </c>
      <c r="B1667" s="48" t="inlineStr">
        <is>
          <t>SILVER_CONSUMER</t>
        </is>
      </c>
      <c r="C1667" s="48" t="inlineStr">
        <is>
          <t>3.2</t>
        </is>
      </c>
      <c r="D1667" s="48" t="inlineStr">
        <is>
          <t>Nhom 3 - Optimization</t>
        </is>
      </c>
      <c r="E1667" s="48" t="inlineStr">
        <is>
          <t>CTE không bị scan lại nhiều lần</t>
        </is>
      </c>
      <c r="F1667" s="49" t="inlineStr">
        <is>
          <t>PASS</t>
        </is>
      </c>
      <c r="G1667" s="48" t="inlineStr">
        <is>
          <t>Pass</t>
        </is>
      </c>
      <c r="H1667" s="50" t="inlineStr">
        <is>
          <t>không có CTE nào bị gọi lại</t>
        </is>
      </c>
      <c r="I1667" s="50" t="inlineStr">
        <is>
          <t>Với CTE nặng (đọc nhiều bảng Silver) bị tham chiếu từ 2 chỗ trở lên: gom lại còn một lần dùng, hoặc vật chất hóa (CACHE / bảng tạm). CTE nhẹ chỉ chứa tham số thì bỏ qua được — tự tick Pass.</t>
        </is>
      </c>
      <c r="J1667" s="48" t="inlineStr">
        <is>
          <t>083. OCB_GOLD_TTDL_GSTX_INTF_WRONG_DEP_Huy.xlsx [Script SQL: GSTX_INTF_WRONG_DEP]</t>
        </is>
      </c>
    </row>
    <row r="1668">
      <c r="A1668" s="48" t="inlineStr">
        <is>
          <t>GSTX.GSTX_INTF_WRONG_DEP</t>
        </is>
      </c>
      <c r="B1668" s="48" t="inlineStr">
        <is>
          <t>SILVER_CONSUMER</t>
        </is>
      </c>
      <c r="C1668" s="48" t="inlineStr">
        <is>
          <t>3.3</t>
        </is>
      </c>
      <c r="D1668" s="48" t="inlineStr">
        <is>
          <t>Nhom 3 - Optimization</t>
        </is>
      </c>
      <c r="E1668" s="48" t="inlineStr">
        <is>
          <t>Filter trước khi join, tận dụng partition pruning</t>
        </is>
      </c>
      <c r="F1668" s="49" t="inlineStr">
        <is>
          <t>PASS</t>
        </is>
      </c>
      <c r="G1668" s="48" t="inlineStr">
        <is>
          <t>Pass</t>
        </is>
      </c>
      <c r="H1668" s="50" t="inlineStr">
        <is>
          <t>các bảng join đều được filter trước</t>
        </is>
      </c>
      <c r="I1668" s="50" t="inlineStr">
        <is>
          <t>Đưa điều kiện lọc (ngày dữ liệu, trạng thái) vào subquery của từng bảng TRƯỚC khi join, để tận dụng partition pruning. Bảng dim nhỏ không partition thì không cần — tự tick Pass.</t>
        </is>
      </c>
      <c r="J1668" s="48" t="inlineStr">
        <is>
          <t>083. OCB_GOLD_TTDL_GSTX_INTF_WRONG_DEP_Huy.xlsx [Script SQL: GSTX_INTF_WRONG_DEP]</t>
        </is>
      </c>
    </row>
    <row r="1669">
      <c r="A1669" s="48" t="inlineStr">
        <is>
          <t>GSTX.GSTX_INTF_WRONG_DEP</t>
        </is>
      </c>
      <c r="B1669" s="48" t="inlineStr">
        <is>
          <t>SILVER_CONSUMER</t>
        </is>
      </c>
      <c r="C1669" s="48" t="inlineStr">
        <is>
          <t>3.4</t>
        </is>
      </c>
      <c r="D1669" s="48" t="inlineStr">
        <is>
          <t>Nhom 3 - Optimization</t>
        </is>
      </c>
      <c r="E1669" s="48" t="inlineStr">
        <is>
          <t>Sử dụng CACHE cho query lặp lại trong cùng luồng</t>
        </is>
      </c>
      <c r="F1669" s="48" t="inlineStr">
        <is>
          <t>N-A</t>
        </is>
      </c>
      <c r="G1669" s="48" t="inlineStr">
        <is>
          <t>Pass</t>
        </is>
      </c>
      <c r="H1669" s="50" t="inlineStr">
        <is>
          <t>không có kết quả nào được dùng lại nhiều lần nên chưa cần CACHE</t>
        </is>
      </c>
      <c r="I1669" s="50" t="inlineStr">
        <is>
          <t>Nếu một kết quả nặng được dùng lại nhiều bước trong cùng luồng, thêm CACHE TABLE / CACHE SELECT. Kết quả nhỏ thì cache còn chậm hơn — tự tick Pass.</t>
        </is>
      </c>
      <c r="J1669" s="48" t="inlineStr">
        <is>
          <t>083. OCB_GOLD_TTDL_GSTX_INTF_WRONG_DEP_Huy.xlsx [Script SQL: GSTX_INTF_WRONG_DEP]</t>
        </is>
      </c>
    </row>
    <row r="1670">
      <c r="A1670" s="48" t="inlineStr">
        <is>
          <t>GSTX.GSTX_INTF_WRONG_DEP</t>
        </is>
      </c>
      <c r="B1670" s="48" t="inlineStr">
        <is>
          <t>SILVER_CONSUMER</t>
        </is>
      </c>
      <c r="C1670" s="48" t="inlineStr">
        <is>
          <t>3.5</t>
        </is>
      </c>
      <c r="D1670" s="48" t="inlineStr">
        <is>
          <t>Nhom 3 - Optimization</t>
        </is>
      </c>
      <c r="E1670" s="48" t="inlineStr">
        <is>
          <t>Ưu tiên MAX_BY + QUALIFY thay ROW_NUMBER() + WHERE rn = 1</t>
        </is>
      </c>
      <c r="F1670" s="48" t="inlineStr">
        <is>
          <t>N-A</t>
        </is>
      </c>
      <c r="G1670" s="48" t="inlineStr">
        <is>
          <t>Pass</t>
        </is>
      </c>
      <c r="H1670" s="50" t="inlineStr">
        <is>
          <t>script không dùng ROW_NUMBER, và MAX_BY (nếu có) không vượt quá 5 cột/khối</t>
        </is>
      </c>
      <c r="I16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670" s="48" t="inlineStr">
        <is>
          <t>083. OCB_GOLD_TTDL_GSTX_INTF_WRONG_DEP_Huy.xlsx [Script SQL: GSTX_INTF_WRONG_DEP]</t>
        </is>
      </c>
    </row>
    <row r="1671">
      <c r="A1671" s="48" t="inlineStr">
        <is>
          <t>GSTX.GSTX_INTF_WRONG_DEP</t>
        </is>
      </c>
      <c r="B1671" s="48" t="inlineStr">
        <is>
          <t>SILVER_CONSUMER</t>
        </is>
      </c>
      <c r="C1671" s="48" t="inlineStr">
        <is>
          <t>3.6</t>
        </is>
      </c>
      <c r="D1671" s="48" t="inlineStr">
        <is>
          <t>Nhom 3 - Optimization</t>
        </is>
      </c>
      <c r="E1671" s="48" t="inlineStr">
        <is>
          <t>Không lạm dụng window function; có comment khi dùng</t>
        </is>
      </c>
      <c r="F1671" s="48" t="inlineStr">
        <is>
          <t>N-A</t>
        </is>
      </c>
      <c r="G1671" s="48" t="inlineStr">
        <is>
          <t>Pass</t>
        </is>
      </c>
      <c r="H1671" s="50" t="inlineStr">
        <is>
          <t>script không dùng window function</t>
        </is>
      </c>
      <c r="I1671" s="50" t="inlineStr">
        <is>
          <t>Mỗi window function cần một comment ngay trên khối CTE chứa nó, nói rõ vì sao không dùng được max_by/QUALIFY đơn giản hơn.</t>
        </is>
      </c>
      <c r="J1671" s="48" t="inlineStr">
        <is>
          <t>083. OCB_GOLD_TTDL_GSTX_INTF_WRONG_DEP_Huy.xlsx [Script SQL: GSTX_INTF_WRONG_DEP]</t>
        </is>
      </c>
    </row>
    <row r="1672">
      <c r="A1672" s="48" t="inlineStr">
        <is>
          <t>GSTX.GSTX_INTF_WRONG_DEP</t>
        </is>
      </c>
      <c r="B1672" s="48" t="inlineStr">
        <is>
          <t>SILVER_CONSUMER</t>
        </is>
      </c>
      <c r="C1672" s="48" t="inlineStr">
        <is>
          <t>X.1</t>
        </is>
      </c>
      <c r="D1672" s="48" t="inlineStr">
        <is>
          <t>Nhom X - Bo sung Raffles</t>
        </is>
      </c>
      <c r="E1672" s="48" t="inlineStr">
        <is>
          <t>[Bổ sung] Link phải rút về current trước khi join (chống fan-out)</t>
        </is>
      </c>
      <c r="F1672" s="49" t="inlineStr">
        <is>
          <t>PASS</t>
        </is>
      </c>
      <c r="G1672" s="48" t="inlineStr">
        <is>
          <t>Pass</t>
        </is>
      </c>
      <c r="H1672" s="50" t="inlineStr">
        <is>
          <t>các bảng link_* đều được rút về current trước khi join</t>
        </is>
      </c>
      <c r="I16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672" s="48" t="inlineStr">
        <is>
          <t>083. OCB_GOLD_TTDL_GSTX_INTF_WRONG_DEP_Huy.xlsx [Script SQL: GSTX_INTF_WRONG_DEP]</t>
        </is>
      </c>
    </row>
    <row r="1673">
      <c r="A1673" s="48" t="inlineStr">
        <is>
          <t>GSTX.GSTX_INTF_WRONG_DEP</t>
        </is>
      </c>
      <c r="B1673" s="48" t="inlineStr">
        <is>
          <t>SILVER_CONSUMER</t>
        </is>
      </c>
      <c r="C1673" s="48" t="inlineStr">
        <is>
          <t>X.6</t>
        </is>
      </c>
      <c r="D1673" s="48" t="inlineStr">
        <is>
          <t>Nhom X - Bo sung Raffles</t>
        </is>
      </c>
      <c r="E1673" s="48" t="inlineStr">
        <is>
          <t>[Bổ sung] Satellite phải LEFT JOIN, không INNER JOIN</t>
        </is>
      </c>
      <c r="F1673" s="49" t="inlineStr">
        <is>
          <t>PASS</t>
        </is>
      </c>
      <c r="G1673" s="48" t="inlineStr">
        <is>
          <t>Pass</t>
        </is>
      </c>
      <c r="H1673" s="50" t="inlineStr">
        <is>
          <t>các satellite đều LEFT JOIN</t>
        </is>
      </c>
      <c r="I1673" s="50" t="inlineStr">
        <is>
          <t>Technical Document III.4.2.2 nguyên tắc 1: làm giàu thuộc tính luôn dùng LEFT JOIN. INNER JOIN satellite sẽ loại mất bản ghi Hub đang còn hiệu lực nhưng chưa có dòng satellite.</t>
        </is>
      </c>
      <c r="J1673" s="48" t="inlineStr">
        <is>
          <t>083. OCB_GOLD_TTDL_GSTX_INTF_WRONG_DEP_Huy.xlsx [Script SQL: GSTX_INTF_WRONG_DEP]</t>
        </is>
      </c>
    </row>
    <row r="1674">
      <c r="A1674" s="48" t="inlineStr">
        <is>
          <t>GSTX.GSTX_INTF_WRONG_DEP</t>
        </is>
      </c>
      <c r="B1674" s="48" t="inlineStr">
        <is>
          <t>SILVER_CONSUMER</t>
        </is>
      </c>
      <c r="C1674" s="48" t="inlineStr">
        <is>
          <t>X.7</t>
        </is>
      </c>
      <c r="D1674" s="48" t="inlineStr">
        <is>
          <t>Nhom X - Bo sung Raffles</t>
        </is>
      </c>
      <c r="E1674" s="48" t="inlineStr">
        <is>
          <t>[Bổ sung] Không hard-code catalog, dùng biến môi trường</t>
        </is>
      </c>
      <c r="F1674" s="49" t="inlineStr">
        <is>
          <t>PASS</t>
        </is>
      </c>
      <c r="G1674" s="48" t="inlineStr">
        <is>
          <t>Pass</t>
        </is>
      </c>
      <c r="H1674" s="50" t="inlineStr">
        <is>
          <t>dùng biến môi trường cho catalog</t>
        </is>
      </c>
      <c r="I16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674" s="48" t="inlineStr">
        <is>
          <t>083. OCB_GOLD_TTDL_GSTX_INTF_WRONG_DEP_Huy.xlsx [Script SQL: GSTX_INTF_WRONG_DEP]</t>
        </is>
      </c>
    </row>
    <row r="1675">
      <c r="A1675" s="48" t="inlineStr">
        <is>
          <t>GSTX.GSTX_INTF_WRONG_DEP</t>
        </is>
      </c>
      <c r="B1675" s="48" t="inlineStr">
        <is>
          <t>SILVER_CONSUMER</t>
        </is>
      </c>
      <c r="C1675" s="48" t="inlineStr">
        <is>
          <t>X.10</t>
        </is>
      </c>
      <c r="D1675" s="48" t="inlineStr">
        <is>
          <t>Nhom X - Bo sung Raffles</t>
        </is>
      </c>
      <c r="E1675" s="48" t="inlineStr">
        <is>
          <t>Bang raw_vault/business_vault duoc doc phai TON TAI THAT trong Data Vault model</t>
        </is>
      </c>
      <c r="F1675" s="49" t="inlineStr">
        <is>
          <t>PASS</t>
        </is>
      </c>
      <c r="G1675" s="48" t="inlineStr">
        <is>
          <t>Pass</t>
        </is>
      </c>
      <c r="H1675" s="50" t="inlineStr">
        <is>
          <t>19 bảng Silver đều có thật trong Data Vault model</t>
        </is>
      </c>
      <c r="I1675" s="50" t="inlineStr"/>
      <c r="J1675" s="48" t="inlineStr">
        <is>
          <t>083. OCB_GOLD_TTDL_GSTX_INTF_WRONG_DEP_Huy.xlsx [Script SQL: GSTX_INTF_WRONG_DEP]</t>
        </is>
      </c>
    </row>
    <row r="1676">
      <c r="A1676" s="48" t="inlineStr">
        <is>
          <t>GSTX.GSTX_INTF_WRONG_DEP</t>
        </is>
      </c>
      <c r="B1676" s="48" t="inlineStr">
        <is>
          <t>SILVER_CONSUMER</t>
        </is>
      </c>
      <c r="C1676" s="48" t="inlineStr">
        <is>
          <t>X.11</t>
        </is>
      </c>
      <c r="D1676" s="48" t="inlineStr">
        <is>
          <t>Nhom X - Bo sung Raffles</t>
        </is>
      </c>
      <c r="E1676" s="48" t="inlineStr">
        <is>
          <t>Cot doc tu satellite (sat_*) phai TON TAI THAT trong model</t>
        </is>
      </c>
      <c r="F1676" s="49" t="inlineStr">
        <is>
          <t>PASS</t>
        </is>
      </c>
      <c r="G1676" s="48" t="inlineStr">
        <is>
          <t>Pass</t>
        </is>
      </c>
      <c r="H1676" s="50" t="inlineStr">
        <is>
          <t>mọi cột đọc từ sat_* đều tồn tại trong model thật</t>
        </is>
      </c>
      <c r="I1676" s="50" t="inlineStr"/>
      <c r="J1676" s="48" t="inlineStr">
        <is>
          <t>083. OCB_GOLD_TTDL_GSTX_INTF_WRONG_DEP_Huy.xlsx [Script SQL: GSTX_INTF_WRONG_DEP]</t>
        </is>
      </c>
    </row>
    <row r="1677">
      <c r="A1677" s="48" t="inlineStr">
        <is>
          <t>GSTX.GSTX_INTF_WRONG_DEP_INT</t>
        </is>
      </c>
      <c r="B1677" s="48" t="inlineStr">
        <is>
          <t>SILVER_CONSUMER</t>
        </is>
      </c>
      <c r="C1677" s="48" t="inlineStr">
        <is>
          <t>1.1</t>
        </is>
      </c>
      <c r="D1677" s="48" t="inlineStr">
        <is>
          <t>Nhom 1 - Mapping</t>
        </is>
      </c>
      <c r="E1677" s="48" t="inlineStr">
        <is>
          <t>Đầy đủ mapping từ Silver/manual sang Gold</t>
        </is>
      </c>
      <c r="F1677" s="49" t="inlineStr">
        <is>
          <t>PASS</t>
        </is>
      </c>
      <c r="G1677" s="48" t="inlineStr">
        <is>
          <t>Pass</t>
        </is>
      </c>
      <c r="H1677" s="50" t="inlineStr">
        <is>
          <t>workbook 084. OCB_GOLD_TTDL_GSTX_INTF_WRONG_DEP_INT_Huy.xlsx: thiết kế 28 field, SQL có 28 cột</t>
        </is>
      </c>
      <c r="I16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677" s="48" t="inlineStr">
        <is>
          <t>084. OCB_GOLD_TTDL_GSTX_INTF_WRONG_DEP_INT_Huy.xlsx [Script SQL: GSTX_INTF_WRONG_DEP_INT]</t>
        </is>
      </c>
    </row>
    <row r="1678">
      <c r="A1678" s="48" t="inlineStr">
        <is>
          <t>GSTX.GSTX_INTF_WRONG_DEP_INT</t>
        </is>
      </c>
      <c r="B1678" s="48" t="inlineStr">
        <is>
          <t>SILVER_CONSUMER</t>
        </is>
      </c>
      <c r="C1678" s="48" t="inlineStr">
        <is>
          <t>1.2</t>
        </is>
      </c>
      <c r="D1678" s="48" t="inlineStr">
        <is>
          <t>Nhom 1 - Mapping</t>
        </is>
      </c>
      <c r="E1678" s="48" t="inlineStr">
        <is>
          <t>Danh sách bảng/view Gold khớp tài liệu thiết kế đã duyệt</t>
        </is>
      </c>
      <c r="F1678" s="49" t="inlineStr">
        <is>
          <t>PASS</t>
        </is>
      </c>
      <c r="G1678" s="48" t="inlineStr">
        <is>
          <t>Pass</t>
        </is>
      </c>
      <c r="H1678" s="50" t="inlineStr">
        <is>
          <t>GSTX_INTF_WRONG_DEP_INT có workbook thiết kế: 084. OCB_GOLD_TTDL_GSTX_INTF_WRONG_DEP_INT_Huy.xlsx</t>
        </is>
      </c>
      <c r="I1678" s="50" t="inlineStr">
        <is>
          <t>Đảm bảo object có workbook thiết kế tương ứng trong thư mục --mapping-dir. Muốn đối chiếu với danh sách đã duyệt thì chạy thêm tham số --gold-list "&lt;file danh sách Gold&gt;.xlsx".</t>
        </is>
      </c>
      <c r="J1678" s="48" t="inlineStr">
        <is>
          <t>084. OCB_GOLD_TTDL_GSTX_INTF_WRONG_DEP_INT_Huy.xlsx [Script SQL: GSTX_INTF_WRONG_DEP_INT]</t>
        </is>
      </c>
    </row>
    <row r="1679">
      <c r="A1679" s="48" t="inlineStr">
        <is>
          <t>GSTX.GSTX_INTF_WRONG_DEP_INT</t>
        </is>
      </c>
      <c r="B1679" s="48" t="inlineStr">
        <is>
          <t>SILVER_CONSUMER</t>
        </is>
      </c>
      <c r="C1679" s="48" t="inlineStr">
        <is>
          <t>2.1</t>
        </is>
      </c>
      <c r="D1679" s="48" t="inlineStr">
        <is>
          <t>Nhom 2 - Logic</t>
        </is>
      </c>
      <c r="E1679" s="48" t="inlineStr">
        <is>
          <t>Chỉ lấy bản ghi active, loại bản ghi đã xóa (qua sts_hub)</t>
        </is>
      </c>
      <c r="F1679" s="49" t="inlineStr">
        <is>
          <t>PASS</t>
        </is>
      </c>
      <c r="G1679" s="48" t="inlineStr">
        <is>
          <t>Pass</t>
        </is>
      </c>
      <c r="H1679" s="50" t="inlineStr">
        <is>
          <t>không dùng sts_hub_* (không có yêu cầu nghiệp vụ giữ bản ghi đã xóa)</t>
        </is>
      </c>
      <c r="I16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679" s="48" t="inlineStr">
        <is>
          <t>084. OCB_GOLD_TTDL_GSTX_INTF_WRONG_DEP_INT_Huy.xlsx [Script SQL: GSTX_INTF_WRONG_DEP_INT]</t>
        </is>
      </c>
    </row>
    <row r="1680">
      <c r="A1680" s="48" t="inlineStr">
        <is>
          <t>GSTX.GSTX_INTF_WRONG_DEP_INT</t>
        </is>
      </c>
      <c r="B1680" s="48" t="inlineStr">
        <is>
          <t>SILVER_CONSUMER</t>
        </is>
      </c>
      <c r="C1680" s="48" t="inlineStr">
        <is>
          <t>2.2</t>
        </is>
      </c>
      <c r="D1680" s="48" t="inlineStr">
        <is>
          <t>Nhom 2 - Logic</t>
        </is>
      </c>
      <c r="E1680" s="48" t="inlineStr">
        <is>
          <t>Thống nhất MỘT pattern duy nhất xác định bản ghi active mới nhất</t>
        </is>
      </c>
      <c r="F1680" s="49" t="inlineStr">
        <is>
          <t>PASS</t>
        </is>
      </c>
      <c r="G1680" s="48" t="inlineStr">
        <is>
          <t>Pass</t>
        </is>
      </c>
      <c r="H1680" s="50" t="inlineStr">
        <is>
          <t>file này dùng: ['MAX_BY']; toàn batch dùng: ['MAX_BY']</t>
        </is>
      </c>
      <c r="I16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680" s="48" t="inlineStr">
        <is>
          <t>084. OCB_GOLD_TTDL_GSTX_INTF_WRONG_DEP_INT_Huy.xlsx [Script SQL: GSTX_INTF_WRONG_DEP_INT]</t>
        </is>
      </c>
    </row>
    <row r="1681">
      <c r="A1681" s="48" t="inlineStr">
        <is>
          <t>GSTX.GSTX_INTF_WRONG_DEP_INT</t>
        </is>
      </c>
      <c r="B1681" s="48" t="inlineStr">
        <is>
          <t>SILVER_CONSUMER</t>
        </is>
      </c>
      <c r="C1681" s="48" t="inlineStr">
        <is>
          <t>2.3</t>
        </is>
      </c>
      <c r="D1681" s="48" t="inlineStr">
        <is>
          <t>Nhom 2 - Logic</t>
        </is>
      </c>
      <c r="E1681" s="48" t="inlineStr">
        <is>
          <t>Điều kiện lọc trạng thái đặt SAU khi xác định bản ghi mới nhất</t>
        </is>
      </c>
      <c r="F1681" s="49" t="inlineStr">
        <is>
          <t>PASS</t>
        </is>
      </c>
      <c r="G1681" s="48" t="inlineStr">
        <is>
          <t>Pass</t>
        </is>
      </c>
      <c r="H1681" s="50" t="inlineStr">
        <is>
          <t>không có điều kiện trạng thái nào lồng trong JOIN ON</t>
        </is>
      </c>
      <c r="I16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681" s="48" t="inlineStr">
        <is>
          <t>084. OCB_GOLD_TTDL_GSTX_INTF_WRONG_DEP_INT_Huy.xlsx [Script SQL: GSTX_INTF_WRONG_DEP_INT]</t>
        </is>
      </c>
    </row>
    <row r="1682">
      <c r="A1682" s="48" t="inlineStr">
        <is>
          <t>GSTX.GSTX_INTF_WRONG_DEP_INT</t>
        </is>
      </c>
      <c r="B1682" s="48" t="inlineStr">
        <is>
          <t>SILVER_CONSUMER</t>
        </is>
      </c>
      <c r="C1682" s="48" t="inlineStr">
        <is>
          <t>2.4</t>
        </is>
      </c>
      <c r="D1682" s="48" t="inlineStr">
        <is>
          <t>Nhom 2 - Logic</t>
        </is>
      </c>
      <c r="E1682" s="48" t="inlineStr">
        <is>
          <t>source_event_date áp dụng đúng dạng theo loại bảng</t>
        </is>
      </c>
      <c r="F1682" s="49" t="inlineStr">
        <is>
          <t>PASS</t>
        </is>
      </c>
      <c r="G1682" s="48" t="inlineStr">
        <is>
          <t>Pass</t>
        </is>
      </c>
      <c r="H1682" s="50" t="inlineStr">
        <is>
          <t>10 satellite đều đúng dạng điều kiện source_event_date</t>
        </is>
      </c>
      <c r="I16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682" s="48" t="inlineStr">
        <is>
          <t>084. OCB_GOLD_TTDL_GSTX_INTF_WRONG_DEP_INT_Huy.xlsx [Script SQL: GSTX_INTF_WRONG_DEP_INT]</t>
        </is>
      </c>
    </row>
    <row r="1683">
      <c r="A1683" s="48" t="inlineStr">
        <is>
          <t>GSTX.GSTX_INTF_WRONG_DEP_INT</t>
        </is>
      </c>
      <c r="B1683" s="48" t="inlineStr">
        <is>
          <t>SILVER_CONSUMER</t>
        </is>
      </c>
      <c r="C1683" s="48" t="inlineStr">
        <is>
          <t>2.5</t>
        </is>
      </c>
      <c r="D1683" s="48" t="inlineStr">
        <is>
          <t>Nhom 2 - Logic</t>
        </is>
      </c>
      <c r="E1683" s="48" t="inlineStr">
        <is>
          <t>Không lặp lại lỗi logic cũ đã được DA Data Vault fix</t>
        </is>
      </c>
      <c r="F1683" s="49" t="inlineStr">
        <is>
          <t>PASS</t>
        </is>
      </c>
      <c r="G1683" s="48" t="inlineStr">
        <is>
          <t>Pass</t>
        </is>
      </c>
      <c r="H1683" s="50" t="inlineStr">
        <is>
          <t>không trùng lỗi nào trong Issue log của DA Data Vault</t>
        </is>
      </c>
      <c r="I16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683" s="48" t="inlineStr">
        <is>
          <t>084. OCB_GOLD_TTDL_GSTX_INTF_WRONG_DEP_INT_Huy.xlsx [Script SQL: GSTX_INTF_WRONG_DEP_INT]</t>
        </is>
      </c>
    </row>
    <row r="1684">
      <c r="A1684" s="48" t="inlineStr">
        <is>
          <t>GSTX.GSTX_INTF_WRONG_DEP_INT</t>
        </is>
      </c>
      <c r="B1684" s="48" t="inlineStr">
        <is>
          <t>SILVER_CONSUMER</t>
        </is>
      </c>
      <c r="C1684" s="48" t="inlineStr">
        <is>
          <t>2.6</t>
        </is>
      </c>
      <c r="D1684" s="48" t="inlineStr">
        <is>
          <t>Nhom 2 - Logic</t>
        </is>
      </c>
      <c r="E1684" s="48" t="inlineStr">
        <is>
          <t>SCD Type 2 cho bảng DIM áp dụng đúng kỹ thuật đã thống nhất</t>
        </is>
      </c>
      <c r="F1684" s="48" t="inlineStr">
        <is>
          <t>N-A</t>
        </is>
      </c>
      <c r="G1684" s="48" t="inlineStr">
        <is>
          <t>Pass</t>
        </is>
      </c>
      <c r="H1684" s="50" t="inlineStr">
        <is>
          <t>object không phải bảng DIM nên không áp dụng SCD Type 2</t>
        </is>
      </c>
      <c r="I16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684" s="48" t="inlineStr">
        <is>
          <t>084. OCB_GOLD_TTDL_GSTX_INTF_WRONG_DEP_INT_Huy.xlsx [Script SQL: GSTX_INTF_WRONG_DEP_INT]</t>
        </is>
      </c>
    </row>
    <row r="1685">
      <c r="A1685" s="48" t="inlineStr">
        <is>
          <t>GSTX.GSTX_INTF_WRONG_DEP_INT</t>
        </is>
      </c>
      <c r="B1685" s="48" t="inlineStr">
        <is>
          <t>SILVER_CONSUMER</t>
        </is>
      </c>
      <c r="C1685" s="48" t="inlineStr">
        <is>
          <t>2.7</t>
        </is>
      </c>
      <c r="D1685" s="48" t="inlineStr">
        <is>
          <t>Nhom 2 - Logic</t>
        </is>
      </c>
      <c r="E1685" s="48" t="inlineStr">
        <is>
          <t>CASE WHEN cover đủ nhánh như job on-prem</t>
        </is>
      </c>
      <c r="F1685" s="48" t="inlineStr">
        <is>
          <t>N-A</t>
        </is>
      </c>
      <c r="G1685" s="48" t="inlineStr">
        <is>
          <t>Pass</t>
        </is>
      </c>
      <c r="H1685" s="50" t="inlineStr">
        <is>
          <t>script không có CASE WHEN nào</t>
        </is>
      </c>
      <c r="I1685" s="50" t="inlineStr">
        <is>
          <t>Mở job on-prem tương ứng (DataStage DSX hoặc SQL cũ), đối chiếu từng nhánh WHEN và cả nhánh ELSE. CASE không có ELSE sẽ trả NULL âm thầm — xác nhận đó là ý muốn hay thiếu nhánh.</t>
        </is>
      </c>
      <c r="J1685" s="48" t="inlineStr">
        <is>
          <t>084. OCB_GOLD_TTDL_GSTX_INTF_WRONG_DEP_INT_Huy.xlsx [Script SQL: GSTX_INTF_WRONG_DEP_INT]</t>
        </is>
      </c>
    </row>
    <row r="1686">
      <c r="A1686" s="48" t="inlineStr">
        <is>
          <t>GSTX.GSTX_INTF_WRONG_DEP_INT</t>
        </is>
      </c>
      <c r="B1686" s="48" t="inlineStr">
        <is>
          <t>SILVER_CONSUMER</t>
        </is>
      </c>
      <c r="C1686" s="48" t="inlineStr">
        <is>
          <t>2.8</t>
        </is>
      </c>
      <c r="D1686" s="48" t="inlineStr">
        <is>
          <t>Nhom 2 - Logic</t>
        </is>
      </c>
      <c r="E1686" s="48" t="inlineStr">
        <is>
          <t>Cột SUM/COUNT được COALESCE/NVL hợp lý</t>
        </is>
      </c>
      <c r="F1686" s="49" t="inlineStr">
        <is>
          <t>PASS</t>
        </is>
      </c>
      <c r="G1686" s="48" t="inlineStr">
        <is>
          <t>Pass</t>
        </is>
      </c>
      <c r="H1686" s="50" t="inlineStr">
        <is>
          <t>mọi SUM/COUNT đều đã coalesce (trực tiếp hoặc ở lớp ngoài)</t>
        </is>
      </c>
      <c r="I16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86" s="48" t="inlineStr">
        <is>
          <t>084. OCB_GOLD_TTDL_GSTX_INTF_WRONG_DEP_INT_Huy.xlsx [Script SQL: GSTX_INTF_WRONG_DEP_INT]</t>
        </is>
      </c>
    </row>
    <row r="1687">
      <c r="A1687" s="48" t="inlineStr">
        <is>
          <t>GSTX.GSTX_INTF_WRONG_DEP_INT</t>
        </is>
      </c>
      <c r="B1687" s="48" t="inlineStr">
        <is>
          <t>SILVER_CONSUMER</t>
        </is>
      </c>
      <c r="C1687" s="48" t="inlineStr">
        <is>
          <t>2.9</t>
        </is>
      </c>
      <c r="D1687" s="48" t="inlineStr">
        <is>
          <t>Nhom 2 - Logic</t>
        </is>
      </c>
      <c r="E1687" s="48" t="inlineStr">
        <is>
          <t>Subquery / custom function / điều kiện LIKE đúng ý nghĩa nghiệp vụ</t>
        </is>
      </c>
      <c r="F1687" s="48" t="inlineStr">
        <is>
          <t>N-A</t>
        </is>
      </c>
      <c r="G1687" s="48" t="inlineStr">
        <is>
          <t>Pass</t>
        </is>
      </c>
      <c r="H1687" s="50" t="inlineStr">
        <is>
          <t>script không có điều kiện LIKE hay scalar subquery nào</t>
        </is>
      </c>
      <c r="I1687" s="50" t="inlineStr">
        <is>
          <t>Đọc lại từng điều kiện LIKE và từng subquery, đối chiếu ý nghĩa nghiệp vụ với on-prem — đúng cú pháp không đủ. Chú ý pattern LIKE có ký tự % ở đầu/cuối và phân biệt chữ hoa/thường.</t>
        </is>
      </c>
      <c r="J1687" s="48" t="inlineStr">
        <is>
          <t>084. OCB_GOLD_TTDL_GSTX_INTF_WRONG_DEP_INT_Huy.xlsx [Script SQL: GSTX_INTF_WRONG_DEP_INT]</t>
        </is>
      </c>
    </row>
    <row r="1688">
      <c r="A1688" s="48" t="inlineStr">
        <is>
          <t>GSTX.GSTX_INTF_WRONG_DEP_INT</t>
        </is>
      </c>
      <c r="B1688" s="48" t="inlineStr">
        <is>
          <t>SILVER_CONSUMER</t>
        </is>
      </c>
      <c r="C1688" s="48" t="inlineStr">
        <is>
          <t>2.10</t>
        </is>
      </c>
      <c r="D1688" s="48" t="inlineStr">
        <is>
          <t>Nhom 2 - Logic</t>
        </is>
      </c>
      <c r="E1688" s="48" t="inlineStr">
        <is>
          <t>Aggregation kèm filter date range chính xác</t>
        </is>
      </c>
      <c r="F1688" s="49" t="inlineStr">
        <is>
          <t>PASS</t>
        </is>
      </c>
      <c r="G1688" s="48" t="inlineStr">
        <is>
          <t>Pass</t>
        </is>
      </c>
      <c r="H1688" s="50" t="inlineStr">
        <is>
          <t>mọi khối tổng hợp đều có điều kiện theo kỳ dữ liệu</t>
        </is>
      </c>
      <c r="I1688" s="50" t="inlineStr">
        <is>
          <t>Mỗi khối SUM/COUNT/AVG phải có điều kiện lọc theo kỳ dữ liệu (CDR_DT_ID, DATA_DATE, :DATADT…). Nếu điều kiện nằm ở CTE nguồn thì ghi rõ trong comment để người review không phải truy ngược.</t>
        </is>
      </c>
      <c r="J1688" s="48" t="inlineStr">
        <is>
          <t>084. OCB_GOLD_TTDL_GSTX_INTF_WRONG_DEP_INT_Huy.xlsx [Script SQL: GSTX_INTF_WRONG_DEP_INT]</t>
        </is>
      </c>
    </row>
    <row r="1689">
      <c r="A1689" s="48" t="inlineStr">
        <is>
          <t>GSTX.GSTX_INTF_WRONG_DEP_INT</t>
        </is>
      </c>
      <c r="B1689" s="48" t="inlineStr">
        <is>
          <t>SILVER_CONSUMER</t>
        </is>
      </c>
      <c r="C1689" s="48" t="inlineStr">
        <is>
          <t>2.11</t>
        </is>
      </c>
      <c r="D1689" s="48" t="inlineStr">
        <is>
          <t>Nhom 2 - Logic</t>
        </is>
      </c>
      <c r="E1689" s="48" t="inlineStr">
        <is>
          <t>Join dùng key hợp lý, không lạm dụng UNION ALL + EXISTS/NOT EXISTS</t>
        </is>
      </c>
      <c r="F1689" s="49" t="inlineStr">
        <is>
          <t>PASS</t>
        </is>
      </c>
      <c r="G1689" s="48" t="inlineStr">
        <is>
          <t>Pass</t>
        </is>
      </c>
      <c r="H1689" s="50" t="inlineStr">
        <is>
          <t>join đều theo điều kiện bằng, không lạm dụng UNION ALL + EXISTS</t>
        </is>
      </c>
      <c r="I1689" s="50" t="inlineStr">
        <is>
          <t>Ưu tiên LEFT JOIN theo business key hoặc hashkey. Xem lại các chỗ dùng UNION ALL kết hợp EXISTS/NOT EXISTS — thường thay được bằng một LEFT JOIN. Join không có điều kiện bằng (=) dễ tạo tích Descartes.</t>
        </is>
      </c>
      <c r="J1689" s="48" t="inlineStr">
        <is>
          <t>084. OCB_GOLD_TTDL_GSTX_INTF_WRONG_DEP_INT_Huy.xlsx [Script SQL: GSTX_INTF_WRONG_DEP_INT]</t>
        </is>
      </c>
    </row>
    <row r="1690">
      <c r="A1690" s="48" t="inlineStr">
        <is>
          <t>GSTX.GSTX_INTF_WRONG_DEP_INT</t>
        </is>
      </c>
      <c r="B1690" s="48" t="inlineStr">
        <is>
          <t>SILVER_CONSUMER</t>
        </is>
      </c>
      <c r="C1690" s="48" t="inlineStr">
        <is>
          <t>2.12</t>
        </is>
      </c>
      <c r="D1690" s="48" t="inlineStr">
        <is>
          <t>Nhom 2 - Logic</t>
        </is>
      </c>
      <c r="E1690" s="48" t="inlineStr">
        <is>
          <t>Build Gold từ CTE snapshot Silver, không build nhiều tầng chồng chéo</t>
        </is>
      </c>
      <c r="F1690" s="49" t="inlineStr">
        <is>
          <t>PASS</t>
        </is>
      </c>
      <c r="G1690" s="48" t="inlineStr">
        <is>
          <t>Pass</t>
        </is>
      </c>
      <c r="H1690" s="50" t="inlineStr">
        <is>
          <t>mỗi bảng nguồn chỉ đọc trong 1 khối SELECT</t>
        </is>
      </c>
      <c r="I16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90" s="48" t="inlineStr">
        <is>
          <t>084. OCB_GOLD_TTDL_GSTX_INTF_WRONG_DEP_INT_Huy.xlsx [Script SQL: GSTX_INTF_WRONG_DEP_INT]</t>
        </is>
      </c>
    </row>
    <row r="1691">
      <c r="A1691" s="48" t="inlineStr">
        <is>
          <t>GSTX.GSTX_INTF_WRONG_DEP_INT</t>
        </is>
      </c>
      <c r="B1691" s="48" t="inlineStr">
        <is>
          <t>SILVER_CONSUMER</t>
        </is>
      </c>
      <c r="C1691" s="48" t="inlineStr">
        <is>
          <t>3.1</t>
        </is>
      </c>
      <c r="D1691" s="48" t="inlineStr">
        <is>
          <t>Nhom 3 - Optimization</t>
        </is>
      </c>
      <c r="E1691" s="48" t="inlineStr">
        <is>
          <t>Không SELECT *</t>
        </is>
      </c>
      <c r="F1691" s="49" t="inlineStr">
        <is>
          <t>PASS</t>
        </is>
      </c>
      <c r="G1691" s="48" t="inlineStr">
        <is>
          <t>Pass</t>
        </is>
      </c>
      <c r="H1691" s="50" t="inlineStr">
        <is>
          <t>không dùng SELECT * ở đâu</t>
        </is>
      </c>
      <c r="I1691" s="50" t="inlineStr">
        <is>
          <t>Liệt kê tường minh các cột cần dùng, kể cả trong CTE trung gian. SELECT * làm tăng IO/memory và vỡ script khi bảng nguồn thêm cột.</t>
        </is>
      </c>
      <c r="J1691" s="48" t="inlineStr">
        <is>
          <t>084. OCB_GOLD_TTDL_GSTX_INTF_WRONG_DEP_INT_Huy.xlsx [Script SQL: GSTX_INTF_WRONG_DEP_INT]</t>
        </is>
      </c>
    </row>
    <row r="1692">
      <c r="A1692" s="48" t="inlineStr">
        <is>
          <t>GSTX.GSTX_INTF_WRONG_DEP_INT</t>
        </is>
      </c>
      <c r="B1692" s="48" t="inlineStr">
        <is>
          <t>SILVER_CONSUMER</t>
        </is>
      </c>
      <c r="C1692" s="48" t="inlineStr">
        <is>
          <t>3.2</t>
        </is>
      </c>
      <c r="D1692" s="48" t="inlineStr">
        <is>
          <t>Nhom 3 - Optimization</t>
        </is>
      </c>
      <c r="E1692" s="48" t="inlineStr">
        <is>
          <t>CTE không bị scan lại nhiều lần</t>
        </is>
      </c>
      <c r="F1692" s="51" t="inlineStr">
        <is>
          <t>WARN</t>
        </is>
      </c>
      <c r="G1692" s="48" t="inlineStr">
        <is>
          <t>WARN</t>
        </is>
      </c>
      <c r="H1692" s="50" t="inlineStr">
        <is>
          <t>CTE bị tham chiếu lại nhiều lần: branch_dim x2</t>
        </is>
      </c>
      <c r="I1692" s="50" t="inlineStr">
        <is>
          <t>Với CTE nặng (đọc nhiều bảng Silver) bị tham chiếu từ 2 chỗ trở lên: gom lại còn một lần dùng, hoặc vật chất hóa (CACHE / bảng tạm). CTE nhẹ chỉ chứa tham số thì bỏ qua được — tự tick Pass.</t>
        </is>
      </c>
      <c r="J1692" s="48" t="inlineStr">
        <is>
          <t>084. OCB_GOLD_TTDL_GSTX_INTF_WRONG_DEP_INT_Huy.xlsx [Script SQL: GSTX_INTF_WRONG_DEP_INT]</t>
        </is>
      </c>
    </row>
    <row r="1693">
      <c r="A1693" s="48" t="inlineStr">
        <is>
          <t>GSTX.GSTX_INTF_WRONG_DEP_INT</t>
        </is>
      </c>
      <c r="B1693" s="48" t="inlineStr">
        <is>
          <t>SILVER_CONSUMER</t>
        </is>
      </c>
      <c r="C1693" s="48" t="inlineStr">
        <is>
          <t>3.3</t>
        </is>
      </c>
      <c r="D1693" s="48" t="inlineStr">
        <is>
          <t>Nhom 3 - Optimization</t>
        </is>
      </c>
      <c r="E1693" s="48" t="inlineStr">
        <is>
          <t>Filter trước khi join, tận dụng partition pruning</t>
        </is>
      </c>
      <c r="F1693" s="49" t="inlineStr">
        <is>
          <t>PASS</t>
        </is>
      </c>
      <c r="G1693" s="48" t="inlineStr">
        <is>
          <t>Pass</t>
        </is>
      </c>
      <c r="H1693" s="50" t="inlineStr">
        <is>
          <t>các bảng join đều được filter trước</t>
        </is>
      </c>
      <c r="I1693" s="50" t="inlineStr">
        <is>
          <t>Đưa điều kiện lọc (ngày dữ liệu, trạng thái) vào subquery của từng bảng TRƯỚC khi join, để tận dụng partition pruning. Bảng dim nhỏ không partition thì không cần — tự tick Pass.</t>
        </is>
      </c>
      <c r="J1693" s="48" t="inlineStr">
        <is>
          <t>084. OCB_GOLD_TTDL_GSTX_INTF_WRONG_DEP_INT_Huy.xlsx [Script SQL: GSTX_INTF_WRONG_DEP_INT]</t>
        </is>
      </c>
    </row>
    <row r="1694">
      <c r="A1694" s="48" t="inlineStr">
        <is>
          <t>GSTX.GSTX_INTF_WRONG_DEP_INT</t>
        </is>
      </c>
      <c r="B1694" s="48" t="inlineStr">
        <is>
          <t>SILVER_CONSUMER</t>
        </is>
      </c>
      <c r="C1694" s="48" t="inlineStr">
        <is>
          <t>3.4</t>
        </is>
      </c>
      <c r="D1694" s="48" t="inlineStr">
        <is>
          <t>Nhom 3 - Optimization</t>
        </is>
      </c>
      <c r="E1694" s="48" t="inlineStr">
        <is>
          <t>Sử dụng CACHE cho query lặp lại trong cùng luồng</t>
        </is>
      </c>
      <c r="F1694" s="51" t="inlineStr">
        <is>
          <t>WARN</t>
        </is>
      </c>
      <c r="G1694" s="48" t="inlineStr">
        <is>
          <t>WARN</t>
        </is>
      </c>
      <c r="H1694" s="50" t="inlineStr">
        <is>
          <t>1 CTE nặng dùng lại &gt;= 2 lần mà không có CACHE: branch_dim</t>
        </is>
      </c>
      <c r="I1694" s="50" t="inlineStr">
        <is>
          <t>Nếu một kết quả nặng được dùng lại nhiều bước trong cùng luồng, thêm CACHE TABLE / CACHE SELECT. Kết quả nhỏ thì cache còn chậm hơn — tự tick Pass.</t>
        </is>
      </c>
      <c r="J1694" s="48" t="inlineStr">
        <is>
          <t>084. OCB_GOLD_TTDL_GSTX_INTF_WRONG_DEP_INT_Huy.xlsx [Script SQL: GSTX_INTF_WRONG_DEP_INT]</t>
        </is>
      </c>
    </row>
    <row r="1695">
      <c r="A1695" s="48" t="inlineStr">
        <is>
          <t>GSTX.GSTX_INTF_WRONG_DEP_INT</t>
        </is>
      </c>
      <c r="B1695" s="48" t="inlineStr">
        <is>
          <t>SILVER_CONSUMER</t>
        </is>
      </c>
      <c r="C1695" s="48" t="inlineStr">
        <is>
          <t>3.5</t>
        </is>
      </c>
      <c r="D1695" s="48" t="inlineStr">
        <is>
          <t>Nhom 3 - Optimization</t>
        </is>
      </c>
      <c r="E1695" s="48" t="inlineStr">
        <is>
          <t>Ưu tiên MAX_BY + QUALIFY thay ROW_NUMBER() + WHERE rn = 1</t>
        </is>
      </c>
      <c r="F1695" s="51" t="inlineStr">
        <is>
          <t>WARN</t>
        </is>
      </c>
      <c r="G1695" s="48" t="inlineStr">
        <is>
          <t>WARN</t>
        </is>
      </c>
      <c r="H1695" s="50" t="inlineStr">
        <is>
          <t>1 khối dùng MAX_BY độc lập cho &gt;5 cột (dòng 58,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6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695" s="48" t="inlineStr">
        <is>
          <t>084. OCB_GOLD_TTDL_GSTX_INTF_WRONG_DEP_INT_Huy.xlsx [Script SQL: GSTX_INTF_WRONG_DEP_INT]</t>
        </is>
      </c>
    </row>
    <row r="1696">
      <c r="A1696" s="48" t="inlineStr">
        <is>
          <t>GSTX.GSTX_INTF_WRONG_DEP_INT</t>
        </is>
      </c>
      <c r="B1696" s="48" t="inlineStr">
        <is>
          <t>SILVER_CONSUMER</t>
        </is>
      </c>
      <c r="C1696" s="48" t="inlineStr">
        <is>
          <t>3.6</t>
        </is>
      </c>
      <c r="D1696" s="48" t="inlineStr">
        <is>
          <t>Nhom 3 - Optimization</t>
        </is>
      </c>
      <c r="E1696" s="48" t="inlineStr">
        <is>
          <t>Không lạm dụng window function; có comment khi dùng</t>
        </is>
      </c>
      <c r="F1696" s="48" t="inlineStr">
        <is>
          <t>N-A</t>
        </is>
      </c>
      <c r="G1696" s="48" t="inlineStr">
        <is>
          <t>Pass</t>
        </is>
      </c>
      <c r="H1696" s="50" t="inlineStr">
        <is>
          <t>script không dùng window function</t>
        </is>
      </c>
      <c r="I1696" s="50" t="inlineStr">
        <is>
          <t>Mỗi window function cần một comment ngay trên khối CTE chứa nó, nói rõ vì sao không dùng được max_by/QUALIFY đơn giản hơn.</t>
        </is>
      </c>
      <c r="J1696" s="48" t="inlineStr">
        <is>
          <t>084. OCB_GOLD_TTDL_GSTX_INTF_WRONG_DEP_INT_Huy.xlsx [Script SQL: GSTX_INTF_WRONG_DEP_INT]</t>
        </is>
      </c>
    </row>
    <row r="1697">
      <c r="A1697" s="48" t="inlineStr">
        <is>
          <t>GSTX.GSTX_INTF_WRONG_DEP_INT</t>
        </is>
      </c>
      <c r="B1697" s="48" t="inlineStr">
        <is>
          <t>SILVER_CONSUMER</t>
        </is>
      </c>
      <c r="C1697" s="48" t="inlineStr">
        <is>
          <t>X.1</t>
        </is>
      </c>
      <c r="D1697" s="48" t="inlineStr">
        <is>
          <t>Nhom X - Bo sung Raffles</t>
        </is>
      </c>
      <c r="E1697" s="48" t="inlineStr">
        <is>
          <t>[Bổ sung] Link phải rút về current trước khi join (chống fan-out)</t>
        </is>
      </c>
      <c r="F1697" s="49" t="inlineStr">
        <is>
          <t>PASS</t>
        </is>
      </c>
      <c r="G1697" s="48" t="inlineStr">
        <is>
          <t>Pass</t>
        </is>
      </c>
      <c r="H1697" s="50" t="inlineStr">
        <is>
          <t>các bảng link_* đều được rút về current trước khi join</t>
        </is>
      </c>
      <c r="I16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697" s="48" t="inlineStr">
        <is>
          <t>084. OCB_GOLD_TTDL_GSTX_INTF_WRONG_DEP_INT_Huy.xlsx [Script SQL: GSTX_INTF_WRONG_DEP_INT]</t>
        </is>
      </c>
    </row>
    <row r="1698">
      <c r="A1698" s="48" t="inlineStr">
        <is>
          <t>GSTX.GSTX_INTF_WRONG_DEP_INT</t>
        </is>
      </c>
      <c r="B1698" s="48" t="inlineStr">
        <is>
          <t>SILVER_CONSUMER</t>
        </is>
      </c>
      <c r="C1698" s="48" t="inlineStr">
        <is>
          <t>X.6</t>
        </is>
      </c>
      <c r="D1698" s="48" t="inlineStr">
        <is>
          <t>Nhom X - Bo sung Raffles</t>
        </is>
      </c>
      <c r="E1698" s="48" t="inlineStr">
        <is>
          <t>[Bổ sung] Satellite phải LEFT JOIN, không INNER JOIN</t>
        </is>
      </c>
      <c r="F1698" s="49" t="inlineStr">
        <is>
          <t>PASS</t>
        </is>
      </c>
      <c r="G1698" s="48" t="inlineStr">
        <is>
          <t>Pass</t>
        </is>
      </c>
      <c r="H1698" s="50" t="inlineStr">
        <is>
          <t>các satellite đều LEFT JOIN</t>
        </is>
      </c>
      <c r="I1698" s="50" t="inlineStr">
        <is>
          <t>Technical Document III.4.2.2 nguyên tắc 1: làm giàu thuộc tính luôn dùng LEFT JOIN. INNER JOIN satellite sẽ loại mất bản ghi Hub đang còn hiệu lực nhưng chưa có dòng satellite.</t>
        </is>
      </c>
      <c r="J1698" s="48" t="inlineStr">
        <is>
          <t>084. OCB_GOLD_TTDL_GSTX_INTF_WRONG_DEP_INT_Huy.xlsx [Script SQL: GSTX_INTF_WRONG_DEP_INT]</t>
        </is>
      </c>
    </row>
    <row r="1699">
      <c r="A1699" s="48" t="inlineStr">
        <is>
          <t>GSTX.GSTX_INTF_WRONG_DEP_INT</t>
        </is>
      </c>
      <c r="B1699" s="48" t="inlineStr">
        <is>
          <t>SILVER_CONSUMER</t>
        </is>
      </c>
      <c r="C1699" s="48" t="inlineStr">
        <is>
          <t>X.7</t>
        </is>
      </c>
      <c r="D1699" s="48" t="inlineStr">
        <is>
          <t>Nhom X - Bo sung Raffles</t>
        </is>
      </c>
      <c r="E1699" s="48" t="inlineStr">
        <is>
          <t>[Bổ sung] Không hard-code catalog, dùng biến môi trường</t>
        </is>
      </c>
      <c r="F1699" s="49" t="inlineStr">
        <is>
          <t>PASS</t>
        </is>
      </c>
      <c r="G1699" s="48" t="inlineStr">
        <is>
          <t>Pass</t>
        </is>
      </c>
      <c r="H1699" s="50" t="inlineStr">
        <is>
          <t>dùng biến môi trường cho catalog</t>
        </is>
      </c>
      <c r="I16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699" s="48" t="inlineStr">
        <is>
          <t>084. OCB_GOLD_TTDL_GSTX_INTF_WRONG_DEP_INT_Huy.xlsx [Script SQL: GSTX_INTF_WRONG_DEP_INT]</t>
        </is>
      </c>
    </row>
    <row r="1700">
      <c r="A1700" s="48" t="inlineStr">
        <is>
          <t>GSTX.GSTX_INTF_WRONG_DEP_INT</t>
        </is>
      </c>
      <c r="B1700" s="48" t="inlineStr">
        <is>
          <t>SILVER_CONSUMER</t>
        </is>
      </c>
      <c r="C1700" s="48" t="inlineStr">
        <is>
          <t>X.10</t>
        </is>
      </c>
      <c r="D1700" s="48" t="inlineStr">
        <is>
          <t>Nhom X - Bo sung Raffles</t>
        </is>
      </c>
      <c r="E1700" s="48" t="inlineStr">
        <is>
          <t>Bang raw_vault/business_vault duoc doc phai TON TAI THAT trong Data Vault model</t>
        </is>
      </c>
      <c r="F1700" s="49" t="inlineStr">
        <is>
          <t>PASS</t>
        </is>
      </c>
      <c r="G1700" s="48" t="inlineStr">
        <is>
          <t>Pass</t>
        </is>
      </c>
      <c r="H1700" s="50" t="inlineStr">
        <is>
          <t>18 bảng Silver đều có thật trong Data Vault model</t>
        </is>
      </c>
      <c r="I1700" s="50" t="inlineStr"/>
      <c r="J1700" s="48" t="inlineStr">
        <is>
          <t>084. OCB_GOLD_TTDL_GSTX_INTF_WRONG_DEP_INT_Huy.xlsx [Script SQL: GSTX_INTF_WRONG_DEP_INT]</t>
        </is>
      </c>
    </row>
    <row r="1701">
      <c r="A1701" s="48" t="inlineStr">
        <is>
          <t>GSTX.GSTX_INTF_WRONG_DEP_INT</t>
        </is>
      </c>
      <c r="B1701" s="48" t="inlineStr">
        <is>
          <t>SILVER_CONSUMER</t>
        </is>
      </c>
      <c r="C1701" s="48" t="inlineStr">
        <is>
          <t>X.11</t>
        </is>
      </c>
      <c r="D1701" s="48" t="inlineStr">
        <is>
          <t>Nhom X - Bo sung Raffles</t>
        </is>
      </c>
      <c r="E1701" s="48" t="inlineStr">
        <is>
          <t>Cot doc tu satellite (sat_*) phai TON TAI THAT trong model</t>
        </is>
      </c>
      <c r="F1701" s="49" t="inlineStr">
        <is>
          <t>PASS</t>
        </is>
      </c>
      <c r="G1701" s="48" t="inlineStr">
        <is>
          <t>Pass</t>
        </is>
      </c>
      <c r="H1701" s="50" t="inlineStr">
        <is>
          <t>mọi cột đọc từ sat_* đều tồn tại trong model thật</t>
        </is>
      </c>
      <c r="I1701" s="50" t="inlineStr"/>
      <c r="J1701" s="48" t="inlineStr">
        <is>
          <t>084. OCB_GOLD_TTDL_GSTX_INTF_WRONG_DEP_INT_Huy.xlsx [Script SQL: GSTX_INTF_WRONG_DEP_INT]</t>
        </is>
      </c>
    </row>
    <row r="1702">
      <c r="A1702" s="48" t="inlineStr">
        <is>
          <t>GSTX.GSTX_INTF_WRONG_INFO_CIF</t>
        </is>
      </c>
      <c r="B1702" s="48" t="inlineStr">
        <is>
          <t>SILVER_CONSUMER</t>
        </is>
      </c>
      <c r="C1702" s="48" t="inlineStr">
        <is>
          <t>1.1</t>
        </is>
      </c>
      <c r="D1702" s="48" t="inlineStr">
        <is>
          <t>Nhom 1 - Mapping</t>
        </is>
      </c>
      <c r="E1702" s="48" t="inlineStr">
        <is>
          <t>Đầy đủ mapping từ Silver/manual sang Gold</t>
        </is>
      </c>
      <c r="F1702" s="49" t="inlineStr">
        <is>
          <t>PASS</t>
        </is>
      </c>
      <c r="G1702" s="48" t="inlineStr">
        <is>
          <t>Pass</t>
        </is>
      </c>
      <c r="H1702" s="50" t="inlineStr">
        <is>
          <t>workbook 085. OCB_GOLD_TTDL_GSTX_INTF_WRONG_INFO_CIF_Huy.xlsx: thiết kế 48 field, SQL có 48 cột</t>
        </is>
      </c>
      <c r="I17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02" s="48" t="inlineStr">
        <is>
          <t>085. OCB_GOLD_TTDL_GSTX_INTF_WRONG_INFO_CIF_Huy.xlsx [Script SQL: GSTX_INTF_WRONG_INFO_CIF]</t>
        </is>
      </c>
    </row>
    <row r="1703">
      <c r="A1703" s="48" t="inlineStr">
        <is>
          <t>GSTX.GSTX_INTF_WRONG_INFO_CIF</t>
        </is>
      </c>
      <c r="B1703" s="48" t="inlineStr">
        <is>
          <t>SILVER_CONSUMER</t>
        </is>
      </c>
      <c r="C1703" s="48" t="inlineStr">
        <is>
          <t>1.2</t>
        </is>
      </c>
      <c r="D1703" s="48" t="inlineStr">
        <is>
          <t>Nhom 1 - Mapping</t>
        </is>
      </c>
      <c r="E1703" s="48" t="inlineStr">
        <is>
          <t>Danh sách bảng/view Gold khớp tài liệu thiết kế đã duyệt</t>
        </is>
      </c>
      <c r="F1703" s="49" t="inlineStr">
        <is>
          <t>PASS</t>
        </is>
      </c>
      <c r="G1703" s="48" t="inlineStr">
        <is>
          <t>Pass</t>
        </is>
      </c>
      <c r="H1703" s="50" t="inlineStr">
        <is>
          <t>GSTX_INTF_WRONG_INFO_CIF có workbook thiết kế: 085. OCB_GOLD_TTDL_GSTX_INTF_WRONG_INFO_CIF_Huy.xlsx</t>
        </is>
      </c>
      <c r="I1703" s="50" t="inlineStr">
        <is>
          <t>Đảm bảo object có workbook thiết kế tương ứng trong thư mục --mapping-dir. Muốn đối chiếu với danh sách đã duyệt thì chạy thêm tham số --gold-list "&lt;file danh sách Gold&gt;.xlsx".</t>
        </is>
      </c>
      <c r="J1703" s="48" t="inlineStr">
        <is>
          <t>085. OCB_GOLD_TTDL_GSTX_INTF_WRONG_INFO_CIF_Huy.xlsx [Script SQL: GSTX_INTF_WRONG_INFO_CIF]</t>
        </is>
      </c>
    </row>
    <row r="1704">
      <c r="A1704" s="48" t="inlineStr">
        <is>
          <t>GSTX.GSTX_INTF_WRONG_INFO_CIF</t>
        </is>
      </c>
      <c r="B1704" s="48" t="inlineStr">
        <is>
          <t>SILVER_CONSUMER</t>
        </is>
      </c>
      <c r="C1704" s="48" t="inlineStr">
        <is>
          <t>2.1</t>
        </is>
      </c>
      <c r="D1704" s="48" t="inlineStr">
        <is>
          <t>Nhom 2 - Logic</t>
        </is>
      </c>
      <c r="E1704" s="48" t="inlineStr">
        <is>
          <t>Chỉ lấy bản ghi active, loại bản ghi đã xóa (qua sts_hub)</t>
        </is>
      </c>
      <c r="F1704" s="49" t="inlineStr">
        <is>
          <t>PASS</t>
        </is>
      </c>
      <c r="G1704" s="48" t="inlineStr">
        <is>
          <t>Pass</t>
        </is>
      </c>
      <c r="H1704" s="50" t="inlineStr">
        <is>
          <t>1 sts_hub_* đọc đúng format</t>
        </is>
      </c>
      <c r="I17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04" s="48" t="inlineStr">
        <is>
          <t>085. OCB_GOLD_TTDL_GSTX_INTF_WRONG_INFO_CIF_Huy.xlsx [Script SQL: GSTX_INTF_WRONG_INFO_CIF]</t>
        </is>
      </c>
    </row>
    <row r="1705">
      <c r="A1705" s="48" t="inlineStr">
        <is>
          <t>GSTX.GSTX_INTF_WRONG_INFO_CIF</t>
        </is>
      </c>
      <c r="B1705" s="48" t="inlineStr">
        <is>
          <t>SILVER_CONSUMER</t>
        </is>
      </c>
      <c r="C1705" s="48" t="inlineStr">
        <is>
          <t>2.2</t>
        </is>
      </c>
      <c r="D1705" s="48" t="inlineStr">
        <is>
          <t>Nhom 2 - Logic</t>
        </is>
      </c>
      <c r="E1705" s="48" t="inlineStr">
        <is>
          <t>Thống nhất MỘT pattern duy nhất xác định bản ghi active mới nhất</t>
        </is>
      </c>
      <c r="F1705" s="49" t="inlineStr">
        <is>
          <t>PASS</t>
        </is>
      </c>
      <c r="G1705" s="48" t="inlineStr">
        <is>
          <t>Pass</t>
        </is>
      </c>
      <c r="H1705" s="50" t="inlineStr">
        <is>
          <t>file này dùng: ['MAX_BY']; toàn batch dùng: ['MAX_BY']</t>
        </is>
      </c>
      <c r="I17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705" s="48" t="inlineStr">
        <is>
          <t>085. OCB_GOLD_TTDL_GSTX_INTF_WRONG_INFO_CIF_Huy.xlsx [Script SQL: GSTX_INTF_WRONG_INFO_CIF]</t>
        </is>
      </c>
    </row>
    <row r="1706">
      <c r="A1706" s="48" t="inlineStr">
        <is>
          <t>GSTX.GSTX_INTF_WRONG_INFO_CIF</t>
        </is>
      </c>
      <c r="B1706" s="48" t="inlineStr">
        <is>
          <t>SILVER_CONSUMER</t>
        </is>
      </c>
      <c r="C1706" s="48" t="inlineStr">
        <is>
          <t>2.3</t>
        </is>
      </c>
      <c r="D1706" s="48" t="inlineStr">
        <is>
          <t>Nhom 2 - Logic</t>
        </is>
      </c>
      <c r="E1706" s="48" t="inlineStr">
        <is>
          <t>Điều kiện lọc trạng thái đặt SAU khi xác định bản ghi mới nhất</t>
        </is>
      </c>
      <c r="F1706" s="49" t="inlineStr">
        <is>
          <t>PASS</t>
        </is>
      </c>
      <c r="G1706" s="48" t="inlineStr">
        <is>
          <t>Pass</t>
        </is>
      </c>
      <c r="H1706" s="50" t="inlineStr">
        <is>
          <t>không có điều kiện trạng thái nào lồng trong JOIN ON</t>
        </is>
      </c>
      <c r="I17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706" s="48" t="inlineStr">
        <is>
          <t>085. OCB_GOLD_TTDL_GSTX_INTF_WRONG_INFO_CIF_Huy.xlsx [Script SQL: GSTX_INTF_WRONG_INFO_CIF]</t>
        </is>
      </c>
    </row>
    <row r="1707">
      <c r="A1707" s="48" t="inlineStr">
        <is>
          <t>GSTX.GSTX_INTF_WRONG_INFO_CIF</t>
        </is>
      </c>
      <c r="B1707" s="48" t="inlineStr">
        <is>
          <t>SILVER_CONSUMER</t>
        </is>
      </c>
      <c r="C1707" s="48" t="inlineStr">
        <is>
          <t>2.4</t>
        </is>
      </c>
      <c r="D1707" s="48" t="inlineStr">
        <is>
          <t>Nhom 2 - Logic</t>
        </is>
      </c>
      <c r="E1707" s="48" t="inlineStr">
        <is>
          <t>source_event_date áp dụng đúng dạng theo loại bảng</t>
        </is>
      </c>
      <c r="F1707" s="49" t="inlineStr">
        <is>
          <t>PASS</t>
        </is>
      </c>
      <c r="G1707" s="48" t="inlineStr">
        <is>
          <t>Pass</t>
        </is>
      </c>
      <c r="H1707" s="50" t="inlineStr">
        <is>
          <t>11 satellite đều đúng dạng điều kiện source_event_date</t>
        </is>
      </c>
      <c r="I17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707" s="48" t="inlineStr">
        <is>
          <t>085. OCB_GOLD_TTDL_GSTX_INTF_WRONG_INFO_CIF_Huy.xlsx [Script SQL: GSTX_INTF_WRONG_INFO_CIF]</t>
        </is>
      </c>
    </row>
    <row r="1708">
      <c r="A1708" s="48" t="inlineStr">
        <is>
          <t>GSTX.GSTX_INTF_WRONG_INFO_CIF</t>
        </is>
      </c>
      <c r="B1708" s="48" t="inlineStr">
        <is>
          <t>SILVER_CONSUMER</t>
        </is>
      </c>
      <c r="C1708" s="48" t="inlineStr">
        <is>
          <t>2.5</t>
        </is>
      </c>
      <c r="D1708" s="48" t="inlineStr">
        <is>
          <t>Nhom 2 - Logic</t>
        </is>
      </c>
      <c r="E1708" s="48" t="inlineStr">
        <is>
          <t>Không lặp lại lỗi logic cũ đã được DA Data Vault fix</t>
        </is>
      </c>
      <c r="F1708" s="49" t="inlineStr">
        <is>
          <t>PASS</t>
        </is>
      </c>
      <c r="G1708" s="48" t="inlineStr">
        <is>
          <t>Pass</t>
        </is>
      </c>
      <c r="H1708" s="50" t="inlineStr">
        <is>
          <t>không trùng lỗi nào trong Issue log của DA Data Vault</t>
        </is>
      </c>
      <c r="I17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708" s="48" t="inlineStr">
        <is>
          <t>085. OCB_GOLD_TTDL_GSTX_INTF_WRONG_INFO_CIF_Huy.xlsx [Script SQL: GSTX_INTF_WRONG_INFO_CIF]</t>
        </is>
      </c>
    </row>
    <row r="1709">
      <c r="A1709" s="48" t="inlineStr">
        <is>
          <t>GSTX.GSTX_INTF_WRONG_INFO_CIF</t>
        </is>
      </c>
      <c r="B1709" s="48" t="inlineStr">
        <is>
          <t>SILVER_CONSUMER</t>
        </is>
      </c>
      <c r="C1709" s="48" t="inlineStr">
        <is>
          <t>2.6</t>
        </is>
      </c>
      <c r="D1709" s="48" t="inlineStr">
        <is>
          <t>Nhom 2 - Logic</t>
        </is>
      </c>
      <c r="E1709" s="48" t="inlineStr">
        <is>
          <t>SCD Type 2 cho bảng DIM áp dụng đúng kỹ thuật đã thống nhất</t>
        </is>
      </c>
      <c r="F1709" s="48" t="inlineStr">
        <is>
          <t>N-A</t>
        </is>
      </c>
      <c r="G1709" s="48" t="inlineStr">
        <is>
          <t>Pass</t>
        </is>
      </c>
      <c r="H1709" s="50" t="inlineStr">
        <is>
          <t>object không phải bảng DIM nên không áp dụng SCD Type 2</t>
        </is>
      </c>
      <c r="I17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709" s="48" t="inlineStr">
        <is>
          <t>085. OCB_GOLD_TTDL_GSTX_INTF_WRONG_INFO_CIF_Huy.xlsx [Script SQL: GSTX_INTF_WRONG_INFO_CIF]</t>
        </is>
      </c>
    </row>
    <row r="1710">
      <c r="A1710" s="48" t="inlineStr">
        <is>
          <t>GSTX.GSTX_INTF_WRONG_INFO_CIF</t>
        </is>
      </c>
      <c r="B1710" s="48" t="inlineStr">
        <is>
          <t>SILVER_CONSUMER</t>
        </is>
      </c>
      <c r="C1710" s="48" t="inlineStr">
        <is>
          <t>2.7</t>
        </is>
      </c>
      <c r="D1710" s="48" t="inlineStr">
        <is>
          <t>Nhom 2 - Logic</t>
        </is>
      </c>
      <c r="E1710" s="48" t="inlineStr">
        <is>
          <t>CASE WHEN cover đủ nhánh như job on-prem</t>
        </is>
      </c>
      <c r="F1710" s="49" t="inlineStr">
        <is>
          <t>PASS</t>
        </is>
      </c>
      <c r="G1710" s="48" t="inlineStr">
        <is>
          <t>Pass</t>
        </is>
      </c>
      <c r="H1710" s="50" t="inlineStr">
        <is>
          <t>cả 5 CASE đều có nhánh ELSE</t>
        </is>
      </c>
      <c r="I1710" s="50" t="inlineStr">
        <is>
          <t>Mở job on-prem tương ứng (DataStage DSX hoặc SQL cũ), đối chiếu từng nhánh WHEN và cả nhánh ELSE. CASE không có ELSE sẽ trả NULL âm thầm — xác nhận đó là ý muốn hay thiếu nhánh.</t>
        </is>
      </c>
      <c r="J1710" s="48" t="inlineStr">
        <is>
          <t>085. OCB_GOLD_TTDL_GSTX_INTF_WRONG_INFO_CIF_Huy.xlsx [Script SQL: GSTX_INTF_WRONG_INFO_CIF]</t>
        </is>
      </c>
    </row>
    <row r="1711">
      <c r="A1711" s="48" t="inlineStr">
        <is>
          <t>GSTX.GSTX_INTF_WRONG_INFO_CIF</t>
        </is>
      </c>
      <c r="B1711" s="48" t="inlineStr">
        <is>
          <t>SILVER_CONSUMER</t>
        </is>
      </c>
      <c r="C1711" s="48" t="inlineStr">
        <is>
          <t>2.8</t>
        </is>
      </c>
      <c r="D1711" s="48" t="inlineStr">
        <is>
          <t>Nhom 2 - Logic</t>
        </is>
      </c>
      <c r="E1711" s="48" t="inlineStr">
        <is>
          <t>Cột SUM/COUNT được COALESCE/NVL hợp lý</t>
        </is>
      </c>
      <c r="F1711" s="49" t="inlineStr">
        <is>
          <t>PASS</t>
        </is>
      </c>
      <c r="G1711" s="48" t="inlineStr">
        <is>
          <t>Pass</t>
        </is>
      </c>
      <c r="H1711" s="50" t="inlineStr">
        <is>
          <t>mọi SUM/COUNT đều đã coalesce (trực tiếp hoặc ở lớp ngoài)</t>
        </is>
      </c>
      <c r="I17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711" s="48" t="inlineStr">
        <is>
          <t>085. OCB_GOLD_TTDL_GSTX_INTF_WRONG_INFO_CIF_Huy.xlsx [Script SQL: GSTX_INTF_WRONG_INFO_CIF]</t>
        </is>
      </c>
    </row>
    <row r="1712">
      <c r="A1712" s="48" t="inlineStr">
        <is>
          <t>GSTX.GSTX_INTF_WRONG_INFO_CIF</t>
        </is>
      </c>
      <c r="B1712" s="48" t="inlineStr">
        <is>
          <t>SILVER_CONSUMER</t>
        </is>
      </c>
      <c r="C1712" s="48" t="inlineStr">
        <is>
          <t>2.9</t>
        </is>
      </c>
      <c r="D1712" s="48" t="inlineStr">
        <is>
          <t>Nhom 2 - Logic</t>
        </is>
      </c>
      <c r="E1712" s="48" t="inlineStr">
        <is>
          <t>Subquery / custom function / điều kiện LIKE đúng ý nghĩa nghiệp vụ</t>
        </is>
      </c>
      <c r="F1712" s="49" t="inlineStr">
        <is>
          <t>PASS</t>
        </is>
      </c>
      <c r="G1712" s="48" t="inlineStr">
        <is>
          <t>Pass</t>
        </is>
      </c>
      <c r="H1712" s="50" t="inlineStr">
        <is>
          <t>11 điều kiện LIKE: REGEXP_EXTRACT(c.email_1, '[^@]+', 2, 0) LIKE '%-' | REGEXP_EXTRACT(c.email_1, '[^@]+', 2, 0) LIKE '-%' | UPPER(k.legal_doc_name) LIKE '%CAN CUOC%' | UPPER(k.legal_doc_name) LIKE '%CMND%'; cú pháp hợp lệ; ý nghĩa nghiệp vụ cần người review đối chiếu job on-prem</t>
        </is>
      </c>
      <c r="I1712" s="50" t="inlineStr">
        <is>
          <t>Đọc lại từng điều kiện LIKE và từng subquery, đối chiếu ý nghĩa nghiệp vụ với on-prem — đúng cú pháp không đủ. Chú ý pattern LIKE có ký tự % ở đầu/cuối và phân biệt chữ hoa/thường.</t>
        </is>
      </c>
      <c r="J1712" s="48" t="inlineStr">
        <is>
          <t>085. OCB_GOLD_TTDL_GSTX_INTF_WRONG_INFO_CIF_Huy.xlsx [Script SQL: GSTX_INTF_WRONG_INFO_CIF]</t>
        </is>
      </c>
    </row>
    <row r="1713">
      <c r="A1713" s="48" t="inlineStr">
        <is>
          <t>GSTX.GSTX_INTF_WRONG_INFO_CIF</t>
        </is>
      </c>
      <c r="B1713" s="48" t="inlineStr">
        <is>
          <t>SILVER_CONSUMER</t>
        </is>
      </c>
      <c r="C1713" s="48" t="inlineStr">
        <is>
          <t>2.10</t>
        </is>
      </c>
      <c r="D1713" s="48" t="inlineStr">
        <is>
          <t>Nhom 2 - Logic</t>
        </is>
      </c>
      <c r="E1713" s="48" t="inlineStr">
        <is>
          <t>Aggregation kèm filter date range chính xác</t>
        </is>
      </c>
      <c r="F1713" s="49" t="inlineStr">
        <is>
          <t>PASS</t>
        </is>
      </c>
      <c r="G1713" s="48" t="inlineStr">
        <is>
          <t>Pass</t>
        </is>
      </c>
      <c r="H1713" s="50" t="inlineStr">
        <is>
          <t>mọi khối tổng hợp đều có điều kiện theo kỳ dữ liệu</t>
        </is>
      </c>
      <c r="I1713" s="50" t="inlineStr">
        <is>
          <t>Mỗi khối SUM/COUNT/AVG phải có điều kiện lọc theo kỳ dữ liệu (CDR_DT_ID, DATA_DATE, :DATADT…). Nếu điều kiện nằm ở CTE nguồn thì ghi rõ trong comment để người review không phải truy ngược.</t>
        </is>
      </c>
      <c r="J1713" s="48" t="inlineStr">
        <is>
          <t>085. OCB_GOLD_TTDL_GSTX_INTF_WRONG_INFO_CIF_Huy.xlsx [Script SQL: GSTX_INTF_WRONG_INFO_CIF]</t>
        </is>
      </c>
    </row>
    <row r="1714">
      <c r="A1714" s="48" t="inlineStr">
        <is>
          <t>GSTX.GSTX_INTF_WRONG_INFO_CIF</t>
        </is>
      </c>
      <c r="B1714" s="48" t="inlineStr">
        <is>
          <t>SILVER_CONSUMER</t>
        </is>
      </c>
      <c r="C1714" s="48" t="inlineStr">
        <is>
          <t>2.11</t>
        </is>
      </c>
      <c r="D1714" s="48" t="inlineStr">
        <is>
          <t>Nhom 2 - Logic</t>
        </is>
      </c>
      <c r="E1714" s="48" t="inlineStr">
        <is>
          <t>Join dùng key hợp lý, không lạm dụng UNION ALL + EXISTS/NOT EXISTS</t>
        </is>
      </c>
      <c r="F1714" s="49" t="inlineStr">
        <is>
          <t>PASS</t>
        </is>
      </c>
      <c r="G1714" s="48" t="inlineStr">
        <is>
          <t>Pass</t>
        </is>
      </c>
      <c r="H1714" s="50" t="inlineStr">
        <is>
          <t>join đều theo điều kiện bằng, không lạm dụng UNION ALL + EXISTS</t>
        </is>
      </c>
      <c r="I1714" s="50" t="inlineStr">
        <is>
          <t>Ưu tiên LEFT JOIN theo business key hoặc hashkey. Xem lại các chỗ dùng UNION ALL kết hợp EXISTS/NOT EXISTS — thường thay được bằng một LEFT JOIN. Join không có điều kiện bằng (=) dễ tạo tích Descartes.</t>
        </is>
      </c>
      <c r="J1714" s="48" t="inlineStr">
        <is>
          <t>085. OCB_GOLD_TTDL_GSTX_INTF_WRONG_INFO_CIF_Huy.xlsx [Script SQL: GSTX_INTF_WRONG_INFO_CIF]</t>
        </is>
      </c>
    </row>
    <row r="1715">
      <c r="A1715" s="48" t="inlineStr">
        <is>
          <t>GSTX.GSTX_INTF_WRONG_INFO_CIF</t>
        </is>
      </c>
      <c r="B1715" s="48" t="inlineStr">
        <is>
          <t>SILVER_CONSUMER</t>
        </is>
      </c>
      <c r="C1715" s="48" t="inlineStr">
        <is>
          <t>2.12</t>
        </is>
      </c>
      <c r="D1715" s="48" t="inlineStr">
        <is>
          <t>Nhom 2 - Logic</t>
        </is>
      </c>
      <c r="E1715" s="48" t="inlineStr">
        <is>
          <t>Build Gold từ CTE snapshot Silver, không build nhiều tầng chồng chéo</t>
        </is>
      </c>
      <c r="F1715" s="49" t="inlineStr">
        <is>
          <t>PASS</t>
        </is>
      </c>
      <c r="G1715" s="48" t="inlineStr">
        <is>
          <t>Pass</t>
        </is>
      </c>
      <c r="H1715" s="50" t="inlineStr">
        <is>
          <t>mỗi bảng nguồn chỉ đọc trong 1 khối SELECT</t>
        </is>
      </c>
      <c r="I17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715" s="48" t="inlineStr">
        <is>
          <t>085. OCB_GOLD_TTDL_GSTX_INTF_WRONG_INFO_CIF_Huy.xlsx [Script SQL: GSTX_INTF_WRONG_INFO_CIF]</t>
        </is>
      </c>
    </row>
    <row r="1716">
      <c r="A1716" s="48" t="inlineStr">
        <is>
          <t>GSTX.GSTX_INTF_WRONG_INFO_CIF</t>
        </is>
      </c>
      <c r="B1716" s="48" t="inlineStr">
        <is>
          <t>SILVER_CONSUMER</t>
        </is>
      </c>
      <c r="C1716" s="48" t="inlineStr">
        <is>
          <t>3.1</t>
        </is>
      </c>
      <c r="D1716" s="48" t="inlineStr">
        <is>
          <t>Nhom 3 - Optimization</t>
        </is>
      </c>
      <c r="E1716" s="48" t="inlineStr">
        <is>
          <t>Không SELECT *</t>
        </is>
      </c>
      <c r="F1716" s="49" t="inlineStr">
        <is>
          <t>PASS</t>
        </is>
      </c>
      <c r="G1716" s="48" t="inlineStr">
        <is>
          <t>Pass</t>
        </is>
      </c>
      <c r="H1716" s="50" t="inlineStr">
        <is>
          <t>không dùng SELECT * ở đâu</t>
        </is>
      </c>
      <c r="I1716" s="50" t="inlineStr">
        <is>
          <t>Liệt kê tường minh các cột cần dùng, kể cả trong CTE trung gian. SELECT * làm tăng IO/memory và vỡ script khi bảng nguồn thêm cột.</t>
        </is>
      </c>
      <c r="J1716" s="48" t="inlineStr">
        <is>
          <t>085. OCB_GOLD_TTDL_GSTX_INTF_WRONG_INFO_CIF_Huy.xlsx [Script SQL: GSTX_INTF_WRONG_INFO_CIF]</t>
        </is>
      </c>
    </row>
    <row r="1717">
      <c r="A1717" s="48" t="inlineStr">
        <is>
          <t>GSTX.GSTX_INTF_WRONG_INFO_CIF</t>
        </is>
      </c>
      <c r="B1717" s="48" t="inlineStr">
        <is>
          <t>SILVER_CONSUMER</t>
        </is>
      </c>
      <c r="C1717" s="48" t="inlineStr">
        <is>
          <t>3.2</t>
        </is>
      </c>
      <c r="D1717" s="48" t="inlineStr">
        <is>
          <t>Nhom 3 - Optimization</t>
        </is>
      </c>
      <c r="E1717" s="48" t="inlineStr">
        <is>
          <t>CTE không bị scan lại nhiều lần</t>
        </is>
      </c>
      <c r="F1717" s="51" t="inlineStr">
        <is>
          <t>WARN</t>
        </is>
      </c>
      <c r="G1717" s="48" t="inlineStr">
        <is>
          <t>WARN</t>
        </is>
      </c>
      <c r="H1717" s="50" t="inlineStr">
        <is>
          <t>CTE bị tham chiếu lại nhiều lần: cust_info x3, cust_contact x4, cust_kyc x4, branch_dim x3, user_dir x2</t>
        </is>
      </c>
      <c r="I1717" s="50" t="inlineStr">
        <is>
          <t>Với CTE nặng (đọc nhiều bảng Silver) bị tham chiếu từ 2 chỗ trở lên: gom lại còn một lần dùng, hoặc vật chất hóa (CACHE / bảng tạm). CTE nhẹ chỉ chứa tham số thì bỏ qua được — tự tick Pass.</t>
        </is>
      </c>
      <c r="J1717" s="48" t="inlineStr">
        <is>
          <t>085. OCB_GOLD_TTDL_GSTX_INTF_WRONG_INFO_CIF_Huy.xlsx [Script SQL: GSTX_INTF_WRONG_INFO_CIF]</t>
        </is>
      </c>
    </row>
    <row r="1718">
      <c r="A1718" s="48" t="inlineStr">
        <is>
          <t>GSTX.GSTX_INTF_WRONG_INFO_CIF</t>
        </is>
      </c>
      <c r="B1718" s="48" t="inlineStr">
        <is>
          <t>SILVER_CONSUMER</t>
        </is>
      </c>
      <c r="C1718" s="48" t="inlineStr">
        <is>
          <t>3.3</t>
        </is>
      </c>
      <c r="D1718" s="48" t="inlineStr">
        <is>
          <t>Nhom 3 - Optimization</t>
        </is>
      </c>
      <c r="E1718" s="48" t="inlineStr">
        <is>
          <t>Filter trước khi join, tận dụng partition pruning</t>
        </is>
      </c>
      <c r="F1718" s="49" t="inlineStr">
        <is>
          <t>PASS</t>
        </is>
      </c>
      <c r="G1718" s="48" t="inlineStr">
        <is>
          <t>Pass</t>
        </is>
      </c>
      <c r="H1718" s="50" t="inlineStr">
        <is>
          <t>các bảng join đều được filter trước</t>
        </is>
      </c>
      <c r="I1718" s="50" t="inlineStr">
        <is>
          <t>Đưa điều kiện lọc (ngày dữ liệu, trạng thái) vào subquery của từng bảng TRƯỚC khi join, để tận dụng partition pruning. Bảng dim nhỏ không partition thì không cần — tự tick Pass.</t>
        </is>
      </c>
      <c r="J1718" s="48" t="inlineStr">
        <is>
          <t>085. OCB_GOLD_TTDL_GSTX_INTF_WRONG_INFO_CIF_Huy.xlsx [Script SQL: GSTX_INTF_WRONG_INFO_CIF]</t>
        </is>
      </c>
    </row>
    <row r="1719">
      <c r="A1719" s="48" t="inlineStr">
        <is>
          <t>GSTX.GSTX_INTF_WRONG_INFO_CIF</t>
        </is>
      </c>
      <c r="B1719" s="48" t="inlineStr">
        <is>
          <t>SILVER_CONSUMER</t>
        </is>
      </c>
      <c r="C1719" s="48" t="inlineStr">
        <is>
          <t>3.4</t>
        </is>
      </c>
      <c r="D1719" s="48" t="inlineStr">
        <is>
          <t>Nhom 3 - Optimization</t>
        </is>
      </c>
      <c r="E1719" s="48" t="inlineStr">
        <is>
          <t>Sử dụng CACHE cho query lặp lại trong cùng luồng</t>
        </is>
      </c>
      <c r="F1719" s="51" t="inlineStr">
        <is>
          <t>WARN</t>
        </is>
      </c>
      <c r="G1719" s="48" t="inlineStr">
        <is>
          <t>WARN</t>
        </is>
      </c>
      <c r="H1719" s="50" t="inlineStr">
        <is>
          <t>5 CTE nặng dùng lại &gt;= 2 lần mà không có CACHE: branch_dim, cust_contact, cust_info, cust_kyc, user_dir</t>
        </is>
      </c>
      <c r="I1719" s="50" t="inlineStr">
        <is>
          <t>Nếu một kết quả nặng được dùng lại nhiều bước trong cùng luồng, thêm CACHE TABLE / CACHE SELECT. Kết quả nhỏ thì cache còn chậm hơn — tự tick Pass.</t>
        </is>
      </c>
      <c r="J1719" s="48" t="inlineStr">
        <is>
          <t>085. OCB_GOLD_TTDL_GSTX_INTF_WRONG_INFO_CIF_Huy.xlsx [Script SQL: GSTX_INTF_WRONG_INFO_CIF]</t>
        </is>
      </c>
    </row>
    <row r="1720">
      <c r="A1720" s="48" t="inlineStr">
        <is>
          <t>GSTX.GSTX_INTF_WRONG_INFO_CIF</t>
        </is>
      </c>
      <c r="B1720" s="48" t="inlineStr">
        <is>
          <t>SILVER_CONSUMER</t>
        </is>
      </c>
      <c r="C1720" s="48" t="inlineStr">
        <is>
          <t>3.5</t>
        </is>
      </c>
      <c r="D1720" s="48" t="inlineStr">
        <is>
          <t>Nhom 3 - Optimization</t>
        </is>
      </c>
      <c r="E1720" s="48" t="inlineStr">
        <is>
          <t>Ưu tiên MAX_BY + QUALIFY thay ROW_NUMBER() + WHERE rn = 1</t>
        </is>
      </c>
      <c r="F1720" s="51" t="inlineStr">
        <is>
          <t>WARN</t>
        </is>
      </c>
      <c r="G1720" s="48" t="inlineStr">
        <is>
          <t>WARN</t>
        </is>
      </c>
      <c r="H1720" s="50" t="inlineStr">
        <is>
          <t>3 khối dùng MAX_BY độc lập cho &gt;5 cột (dòng 38, [7, 12,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7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20" s="48" t="inlineStr">
        <is>
          <t>085. OCB_GOLD_TTDL_GSTX_INTF_WRONG_INFO_CIF_Huy.xlsx [Script SQL: GSTX_INTF_WRONG_INFO_CIF]</t>
        </is>
      </c>
    </row>
    <row r="1721">
      <c r="A1721" s="48" t="inlineStr">
        <is>
          <t>GSTX.GSTX_INTF_WRONG_INFO_CIF</t>
        </is>
      </c>
      <c r="B1721" s="48" t="inlineStr">
        <is>
          <t>SILVER_CONSUMER</t>
        </is>
      </c>
      <c r="C1721" s="48" t="inlineStr">
        <is>
          <t>3.6</t>
        </is>
      </c>
      <c r="D1721" s="48" t="inlineStr">
        <is>
          <t>Nhom 3 - Optimization</t>
        </is>
      </c>
      <c r="E1721" s="48" t="inlineStr">
        <is>
          <t>Không lạm dụng window function; có comment khi dùng</t>
        </is>
      </c>
      <c r="F1721" s="48" t="inlineStr">
        <is>
          <t>N-A</t>
        </is>
      </c>
      <c r="G1721" s="48" t="inlineStr">
        <is>
          <t>Pass</t>
        </is>
      </c>
      <c r="H1721" s="50" t="inlineStr">
        <is>
          <t>script không dùng window function</t>
        </is>
      </c>
      <c r="I1721" s="50" t="inlineStr">
        <is>
          <t>Mỗi window function cần một comment ngay trên khối CTE chứa nó, nói rõ vì sao không dùng được max_by/QUALIFY đơn giản hơn.</t>
        </is>
      </c>
      <c r="J1721" s="48" t="inlineStr">
        <is>
          <t>085. OCB_GOLD_TTDL_GSTX_INTF_WRONG_INFO_CIF_Huy.xlsx [Script SQL: GSTX_INTF_WRONG_INFO_CIF]</t>
        </is>
      </c>
    </row>
    <row r="1722">
      <c r="A1722" s="48" t="inlineStr">
        <is>
          <t>GSTX.GSTX_INTF_WRONG_INFO_CIF</t>
        </is>
      </c>
      <c r="B1722" s="48" t="inlineStr">
        <is>
          <t>SILVER_CONSUMER</t>
        </is>
      </c>
      <c r="C1722" s="48" t="inlineStr">
        <is>
          <t>X.1</t>
        </is>
      </c>
      <c r="D1722" s="48" t="inlineStr">
        <is>
          <t>Nhom X - Bo sung Raffles</t>
        </is>
      </c>
      <c r="E1722" s="48" t="inlineStr">
        <is>
          <t>[Bổ sung] Link phải rút về current trước khi join (chống fan-out)</t>
        </is>
      </c>
      <c r="F1722" s="49" t="inlineStr">
        <is>
          <t>PASS</t>
        </is>
      </c>
      <c r="G1722" s="48" t="inlineStr">
        <is>
          <t>Pass</t>
        </is>
      </c>
      <c r="H1722" s="50" t="inlineStr">
        <is>
          <t>các bảng link_* đều được rút về current trước khi join</t>
        </is>
      </c>
      <c r="I17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22" s="48" t="inlineStr">
        <is>
          <t>085. OCB_GOLD_TTDL_GSTX_INTF_WRONG_INFO_CIF_Huy.xlsx [Script SQL: GSTX_INTF_WRONG_INFO_CIF]</t>
        </is>
      </c>
    </row>
    <row r="1723">
      <c r="A1723" s="48" t="inlineStr">
        <is>
          <t>GSTX.GSTX_INTF_WRONG_INFO_CIF</t>
        </is>
      </c>
      <c r="B1723" s="48" t="inlineStr">
        <is>
          <t>SILVER_CONSUMER</t>
        </is>
      </c>
      <c r="C1723" s="48" t="inlineStr">
        <is>
          <t>X.6</t>
        </is>
      </c>
      <c r="D1723" s="48" t="inlineStr">
        <is>
          <t>Nhom X - Bo sung Raffles</t>
        </is>
      </c>
      <c r="E1723" s="48" t="inlineStr">
        <is>
          <t>[Bổ sung] Satellite phải LEFT JOIN, không INNER JOIN</t>
        </is>
      </c>
      <c r="F1723" s="49" t="inlineStr">
        <is>
          <t>PASS</t>
        </is>
      </c>
      <c r="G1723" s="48" t="inlineStr">
        <is>
          <t>Pass</t>
        </is>
      </c>
      <c r="H1723" s="50" t="inlineStr">
        <is>
          <t>các satellite đều LEFT JOIN</t>
        </is>
      </c>
      <c r="I1723" s="50" t="inlineStr">
        <is>
          <t>Technical Document III.4.2.2 nguyên tắc 1: làm giàu thuộc tính luôn dùng LEFT JOIN. INNER JOIN satellite sẽ loại mất bản ghi Hub đang còn hiệu lực nhưng chưa có dòng satellite.</t>
        </is>
      </c>
      <c r="J1723" s="48" t="inlineStr">
        <is>
          <t>085. OCB_GOLD_TTDL_GSTX_INTF_WRONG_INFO_CIF_Huy.xlsx [Script SQL: GSTX_INTF_WRONG_INFO_CIF]</t>
        </is>
      </c>
    </row>
    <row r="1724">
      <c r="A1724" s="48" t="inlineStr">
        <is>
          <t>GSTX.GSTX_INTF_WRONG_INFO_CIF</t>
        </is>
      </c>
      <c r="B1724" s="48" t="inlineStr">
        <is>
          <t>SILVER_CONSUMER</t>
        </is>
      </c>
      <c r="C1724" s="48" t="inlineStr">
        <is>
          <t>X.7</t>
        </is>
      </c>
      <c r="D1724" s="48" t="inlineStr">
        <is>
          <t>Nhom X - Bo sung Raffles</t>
        </is>
      </c>
      <c r="E1724" s="48" t="inlineStr">
        <is>
          <t>[Bổ sung] Không hard-code catalog, dùng biến môi trường</t>
        </is>
      </c>
      <c r="F1724" s="49" t="inlineStr">
        <is>
          <t>PASS</t>
        </is>
      </c>
      <c r="G1724" s="48" t="inlineStr">
        <is>
          <t>Pass</t>
        </is>
      </c>
      <c r="H1724" s="50" t="inlineStr">
        <is>
          <t>dùng biến môi trường cho catalog</t>
        </is>
      </c>
      <c r="I17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24" s="48" t="inlineStr">
        <is>
          <t>085. OCB_GOLD_TTDL_GSTX_INTF_WRONG_INFO_CIF_Huy.xlsx [Script SQL: GSTX_INTF_WRONG_INFO_CIF]</t>
        </is>
      </c>
    </row>
    <row r="1725">
      <c r="A1725" s="48" t="inlineStr">
        <is>
          <t>GSTX.GSTX_INTF_WRONG_INFO_CIF</t>
        </is>
      </c>
      <c r="B1725" s="48" t="inlineStr">
        <is>
          <t>SILVER_CONSUMER</t>
        </is>
      </c>
      <c r="C1725" s="48" t="inlineStr">
        <is>
          <t>X.10</t>
        </is>
      </c>
      <c r="D1725" s="48" t="inlineStr">
        <is>
          <t>Nhom X - Bo sung Raffles</t>
        </is>
      </c>
      <c r="E1725" s="48" t="inlineStr">
        <is>
          <t>Bang raw_vault/business_vault duoc doc phai TON TAI THAT trong Data Vault model</t>
        </is>
      </c>
      <c r="F1725" s="49" t="inlineStr">
        <is>
          <t>PASS</t>
        </is>
      </c>
      <c r="G1725" s="48" t="inlineStr">
        <is>
          <t>Pass</t>
        </is>
      </c>
      <c r="H1725" s="50" t="inlineStr">
        <is>
          <t>22 bảng Silver đều có thật trong Data Vault model</t>
        </is>
      </c>
      <c r="I1725" s="50" t="inlineStr"/>
      <c r="J1725" s="48" t="inlineStr">
        <is>
          <t>085. OCB_GOLD_TTDL_GSTX_INTF_WRONG_INFO_CIF_Huy.xlsx [Script SQL: GSTX_INTF_WRONG_INFO_CIF]</t>
        </is>
      </c>
    </row>
    <row r="1726">
      <c r="A1726" s="48" t="inlineStr">
        <is>
          <t>GSTX.GSTX_INTF_WRONG_INFO_CIF</t>
        </is>
      </c>
      <c r="B1726" s="48" t="inlineStr">
        <is>
          <t>SILVER_CONSUMER</t>
        </is>
      </c>
      <c r="C1726" s="48" t="inlineStr">
        <is>
          <t>X.11</t>
        </is>
      </c>
      <c r="D1726" s="48" t="inlineStr">
        <is>
          <t>Nhom X - Bo sung Raffles</t>
        </is>
      </c>
      <c r="E1726" s="48" t="inlineStr">
        <is>
          <t>Cot doc tu satellite (sat_*) phai TON TAI THAT trong model</t>
        </is>
      </c>
      <c r="F1726" s="49" t="inlineStr">
        <is>
          <t>PASS</t>
        </is>
      </c>
      <c r="G1726" s="48" t="inlineStr">
        <is>
          <t>Pass</t>
        </is>
      </c>
      <c r="H1726" s="50" t="inlineStr">
        <is>
          <t>mọi cột đọc từ sat_* đều tồn tại trong model thật</t>
        </is>
      </c>
      <c r="I1726" s="50" t="inlineStr"/>
      <c r="J1726" s="48" t="inlineStr">
        <is>
          <t>085. OCB_GOLD_TTDL_GSTX_INTF_WRONG_INFO_CIF_Huy.xlsx [Script SQL: GSTX_INTF_WRONG_INFO_CIF]</t>
        </is>
      </c>
    </row>
    <row r="1727">
      <c r="A1727" s="48" t="inlineStr">
        <is>
          <t>GSTX.TBL_BPM_QLNS</t>
        </is>
      </c>
      <c r="B1727" s="48" t="inlineStr">
        <is>
          <t>SILVER_CONSUMER</t>
        </is>
      </c>
      <c r="C1727" s="48" t="inlineStr">
        <is>
          <t>1.1</t>
        </is>
      </c>
      <c r="D1727" s="48" t="inlineStr">
        <is>
          <t>Nhom 1 - Mapping</t>
        </is>
      </c>
      <c r="E1727" s="48" t="inlineStr">
        <is>
          <t>Đầy đủ mapping từ Silver/manual sang Gold</t>
        </is>
      </c>
      <c r="F1727" s="49" t="inlineStr">
        <is>
          <t>PASS</t>
        </is>
      </c>
      <c r="G1727" s="48" t="inlineStr">
        <is>
          <t>Pass</t>
        </is>
      </c>
      <c r="H1727" s="50" t="inlineStr">
        <is>
          <t>workbook 086. OCB_GOLD_TTDL_TBL_BPM_QLNS_LINH.xlsx: thiết kế 23 field, SQL có 23 cột</t>
        </is>
      </c>
      <c r="I17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27" s="48" t="inlineStr">
        <is>
          <t>086. OCB_GOLD_TTDL_TBL_BPM_QLNS_LINH.xlsx [Script: TBL_BPM_QLNS]</t>
        </is>
      </c>
    </row>
    <row r="1728">
      <c r="A1728" s="48" t="inlineStr">
        <is>
          <t>GSTX.TBL_BPM_QLNS</t>
        </is>
      </c>
      <c r="B1728" s="48" t="inlineStr">
        <is>
          <t>SILVER_CONSUMER</t>
        </is>
      </c>
      <c r="C1728" s="48" t="inlineStr">
        <is>
          <t>1.2</t>
        </is>
      </c>
      <c r="D1728" s="48" t="inlineStr">
        <is>
          <t>Nhom 1 - Mapping</t>
        </is>
      </c>
      <c r="E1728" s="48" t="inlineStr">
        <is>
          <t>Danh sách bảng/view Gold khớp tài liệu thiết kế đã duyệt</t>
        </is>
      </c>
      <c r="F1728" s="49" t="inlineStr">
        <is>
          <t>PASS</t>
        </is>
      </c>
      <c r="G1728" s="48" t="inlineStr">
        <is>
          <t>Pass</t>
        </is>
      </c>
      <c r="H1728" s="50" t="inlineStr">
        <is>
          <t>TBL_BPM_QLNS có workbook thiết kế: 086. OCB_GOLD_TTDL_TBL_BPM_QLNS_LINH.xlsx</t>
        </is>
      </c>
      <c r="I1728" s="50" t="inlineStr">
        <is>
          <t>Đảm bảo object có workbook thiết kế tương ứng trong thư mục --mapping-dir. Muốn đối chiếu với danh sách đã duyệt thì chạy thêm tham số --gold-list "&lt;file danh sách Gold&gt;.xlsx".</t>
        </is>
      </c>
      <c r="J1728" s="48" t="inlineStr">
        <is>
          <t>086. OCB_GOLD_TTDL_TBL_BPM_QLNS_LINH.xlsx [Script: TBL_BPM_QLNS]</t>
        </is>
      </c>
    </row>
    <row r="1729">
      <c r="A1729" s="48" t="inlineStr">
        <is>
          <t>GSTX.TBL_BPM_QLNS</t>
        </is>
      </c>
      <c r="B1729" s="48" t="inlineStr">
        <is>
          <t>SILVER_CONSUMER</t>
        </is>
      </c>
      <c r="C1729" s="48" t="inlineStr">
        <is>
          <t>2.1</t>
        </is>
      </c>
      <c r="D1729" s="48" t="inlineStr">
        <is>
          <t>Nhom 2 - Logic</t>
        </is>
      </c>
      <c r="E1729" s="48" t="inlineStr">
        <is>
          <t>Chỉ lấy bản ghi active, loại bản ghi đã xóa (qua sts_hub)</t>
        </is>
      </c>
      <c r="F1729" s="49" t="inlineStr">
        <is>
          <t>PASS</t>
        </is>
      </c>
      <c r="G1729" s="48" t="inlineStr">
        <is>
          <t>Pass</t>
        </is>
      </c>
      <c r="H1729" s="50" t="inlineStr">
        <is>
          <t>không dùng sts_hub_* (không có yêu cầu nghiệp vụ giữ bản ghi đã xóa)</t>
        </is>
      </c>
      <c r="I17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29" s="48" t="inlineStr">
        <is>
          <t>086. OCB_GOLD_TTDL_TBL_BPM_QLNS_LINH.xlsx [Script: TBL_BPM_QLNS]</t>
        </is>
      </c>
    </row>
    <row r="1730">
      <c r="A1730" s="48" t="inlineStr">
        <is>
          <t>GSTX.TBL_BPM_QLNS</t>
        </is>
      </c>
      <c r="B1730" s="48" t="inlineStr">
        <is>
          <t>SILVER_CONSUMER</t>
        </is>
      </c>
      <c r="C1730" s="48" t="inlineStr">
        <is>
          <t>2.2</t>
        </is>
      </c>
      <c r="D1730" s="48" t="inlineStr">
        <is>
          <t>Nhom 2 - Logic</t>
        </is>
      </c>
      <c r="E1730" s="48" t="inlineStr">
        <is>
          <t>Thống nhất MỘT pattern duy nhất xác định bản ghi active mới nhất</t>
        </is>
      </c>
      <c r="F1730" s="49" t="inlineStr">
        <is>
          <t>PASS</t>
        </is>
      </c>
      <c r="G1730" s="48" t="inlineStr">
        <is>
          <t>Pass</t>
        </is>
      </c>
      <c r="H1730" s="50" t="inlineStr">
        <is>
          <t>file này dùng: ['MAX_BY']; toàn batch dùng: ['MAX_BY']</t>
        </is>
      </c>
      <c r="I17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730" s="48" t="inlineStr">
        <is>
          <t>086. OCB_GOLD_TTDL_TBL_BPM_QLNS_LINH.xlsx [Script: TBL_BPM_QLNS]</t>
        </is>
      </c>
    </row>
    <row r="1731">
      <c r="A1731" s="48" t="inlineStr">
        <is>
          <t>GSTX.TBL_BPM_QLNS</t>
        </is>
      </c>
      <c r="B1731" s="48" t="inlineStr">
        <is>
          <t>SILVER_CONSUMER</t>
        </is>
      </c>
      <c r="C1731" s="48" t="inlineStr">
        <is>
          <t>2.3</t>
        </is>
      </c>
      <c r="D1731" s="48" t="inlineStr">
        <is>
          <t>Nhom 2 - Logic</t>
        </is>
      </c>
      <c r="E1731" s="48" t="inlineStr">
        <is>
          <t>Điều kiện lọc trạng thái đặt SAU khi xác định bản ghi mới nhất</t>
        </is>
      </c>
      <c r="F1731" s="49" t="inlineStr">
        <is>
          <t>PASS</t>
        </is>
      </c>
      <c r="G1731" s="48" t="inlineStr">
        <is>
          <t>Pass</t>
        </is>
      </c>
      <c r="H1731" s="50" t="inlineStr">
        <is>
          <t>không có điều kiện trạng thái nào lồng trong JOIN ON</t>
        </is>
      </c>
      <c r="I17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731" s="48" t="inlineStr">
        <is>
          <t>086. OCB_GOLD_TTDL_TBL_BPM_QLNS_LINH.xlsx [Script: TBL_BPM_QLNS]</t>
        </is>
      </c>
    </row>
    <row r="1732">
      <c r="A1732" s="48" t="inlineStr">
        <is>
          <t>GSTX.TBL_BPM_QLNS</t>
        </is>
      </c>
      <c r="B1732" s="48" t="inlineStr">
        <is>
          <t>SILVER_CONSUMER</t>
        </is>
      </c>
      <c r="C1732" s="48" t="inlineStr">
        <is>
          <t>2.4</t>
        </is>
      </c>
      <c r="D1732" s="48" t="inlineStr">
        <is>
          <t>Nhom 2 - Logic</t>
        </is>
      </c>
      <c r="E1732" s="48" t="inlineStr">
        <is>
          <t>source_event_date áp dụng đúng dạng theo loại bảng</t>
        </is>
      </c>
      <c r="F1732" s="49" t="inlineStr">
        <is>
          <t>PASS</t>
        </is>
      </c>
      <c r="G1732" s="48" t="inlineStr">
        <is>
          <t>Pass</t>
        </is>
      </c>
      <c r="H1732" s="50" t="inlineStr">
        <is>
          <t>3 satellite đều đúng dạng điều kiện source_event_date</t>
        </is>
      </c>
      <c r="I17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732" s="48" t="inlineStr">
        <is>
          <t>086. OCB_GOLD_TTDL_TBL_BPM_QLNS_LINH.xlsx [Script: TBL_BPM_QLNS]</t>
        </is>
      </c>
    </row>
    <row r="1733">
      <c r="A1733" s="48" t="inlineStr">
        <is>
          <t>GSTX.TBL_BPM_QLNS</t>
        </is>
      </c>
      <c r="B1733" s="48" t="inlineStr">
        <is>
          <t>SILVER_CONSUMER</t>
        </is>
      </c>
      <c r="C1733" s="48" t="inlineStr">
        <is>
          <t>2.5</t>
        </is>
      </c>
      <c r="D1733" s="48" t="inlineStr">
        <is>
          <t>Nhom 2 - Logic</t>
        </is>
      </c>
      <c r="E1733" s="48" t="inlineStr">
        <is>
          <t>Không lặp lại lỗi logic cũ đã được DA Data Vault fix</t>
        </is>
      </c>
      <c r="F1733" s="49" t="inlineStr">
        <is>
          <t>PASS</t>
        </is>
      </c>
      <c r="G1733" s="48" t="inlineStr">
        <is>
          <t>Pass</t>
        </is>
      </c>
      <c r="H1733" s="50" t="inlineStr">
        <is>
          <t>không trùng lỗi nào trong Issue log của DA Data Vault</t>
        </is>
      </c>
      <c r="I17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733" s="48" t="inlineStr">
        <is>
          <t>086. OCB_GOLD_TTDL_TBL_BPM_QLNS_LINH.xlsx [Script: TBL_BPM_QLNS]</t>
        </is>
      </c>
    </row>
    <row r="1734">
      <c r="A1734" s="48" t="inlineStr">
        <is>
          <t>GSTX.TBL_BPM_QLNS</t>
        </is>
      </c>
      <c r="B1734" s="48" t="inlineStr">
        <is>
          <t>SILVER_CONSUMER</t>
        </is>
      </c>
      <c r="C1734" s="48" t="inlineStr">
        <is>
          <t>2.6</t>
        </is>
      </c>
      <c r="D1734" s="48" t="inlineStr">
        <is>
          <t>Nhom 2 - Logic</t>
        </is>
      </c>
      <c r="E1734" s="48" t="inlineStr">
        <is>
          <t>SCD Type 2 cho bảng DIM áp dụng đúng kỹ thuật đã thống nhất</t>
        </is>
      </c>
      <c r="F1734" s="48" t="inlineStr">
        <is>
          <t>N-A</t>
        </is>
      </c>
      <c r="G1734" s="48" t="inlineStr">
        <is>
          <t>Pass</t>
        </is>
      </c>
      <c r="H1734" s="50" t="inlineStr">
        <is>
          <t>object không phải bảng DIM nên không áp dụng SCD Type 2</t>
        </is>
      </c>
      <c r="I17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734" s="48" t="inlineStr">
        <is>
          <t>086. OCB_GOLD_TTDL_TBL_BPM_QLNS_LINH.xlsx [Script: TBL_BPM_QLNS]</t>
        </is>
      </c>
    </row>
    <row r="1735">
      <c r="A1735" s="48" t="inlineStr">
        <is>
          <t>GSTX.TBL_BPM_QLNS</t>
        </is>
      </c>
      <c r="B1735" s="48" t="inlineStr">
        <is>
          <t>SILVER_CONSUMER</t>
        </is>
      </c>
      <c r="C1735" s="48" t="inlineStr">
        <is>
          <t>2.7</t>
        </is>
      </c>
      <c r="D1735" s="48" t="inlineStr">
        <is>
          <t>Nhom 2 - Logic</t>
        </is>
      </c>
      <c r="E1735" s="48" t="inlineStr">
        <is>
          <t>CASE WHEN cover đủ nhánh như job on-prem</t>
        </is>
      </c>
      <c r="F1735" s="48" t="inlineStr">
        <is>
          <t>N-A</t>
        </is>
      </c>
      <c r="G1735" s="48" t="inlineStr">
        <is>
          <t>Pass</t>
        </is>
      </c>
      <c r="H1735" s="50" t="inlineStr">
        <is>
          <t>script không có CASE WHEN nào</t>
        </is>
      </c>
      <c r="I1735" s="50" t="inlineStr">
        <is>
          <t>Mở job on-prem tương ứng (DataStage DSX hoặc SQL cũ), đối chiếu từng nhánh WHEN và cả nhánh ELSE. CASE không có ELSE sẽ trả NULL âm thầm — xác nhận đó là ý muốn hay thiếu nhánh.</t>
        </is>
      </c>
      <c r="J1735" s="48" t="inlineStr">
        <is>
          <t>086. OCB_GOLD_TTDL_TBL_BPM_QLNS_LINH.xlsx [Script: TBL_BPM_QLNS]</t>
        </is>
      </c>
    </row>
    <row r="1736">
      <c r="A1736" s="48" t="inlineStr">
        <is>
          <t>GSTX.TBL_BPM_QLNS</t>
        </is>
      </c>
      <c r="B1736" s="48" t="inlineStr">
        <is>
          <t>SILVER_CONSUMER</t>
        </is>
      </c>
      <c r="C1736" s="48" t="inlineStr">
        <is>
          <t>2.8</t>
        </is>
      </c>
      <c r="D1736" s="48" t="inlineStr">
        <is>
          <t>Nhom 2 - Logic</t>
        </is>
      </c>
      <c r="E1736" s="48" t="inlineStr">
        <is>
          <t>Cột SUM/COUNT được COALESCE/NVL hợp lý</t>
        </is>
      </c>
      <c r="F1736" s="49" t="inlineStr">
        <is>
          <t>PASS</t>
        </is>
      </c>
      <c r="G1736" s="48" t="inlineStr">
        <is>
          <t>Pass</t>
        </is>
      </c>
      <c r="H1736" s="50" t="inlineStr">
        <is>
          <t>mọi SUM/COUNT đều đã coalesce (trực tiếp hoặc ở lớp ngoài)</t>
        </is>
      </c>
      <c r="I17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736" s="48" t="inlineStr">
        <is>
          <t>086. OCB_GOLD_TTDL_TBL_BPM_QLNS_LINH.xlsx [Script: TBL_BPM_QLNS]</t>
        </is>
      </c>
    </row>
    <row r="1737">
      <c r="A1737" s="48" t="inlineStr">
        <is>
          <t>GSTX.TBL_BPM_QLNS</t>
        </is>
      </c>
      <c r="B1737" s="48" t="inlineStr">
        <is>
          <t>SILVER_CONSUMER</t>
        </is>
      </c>
      <c r="C1737" s="48" t="inlineStr">
        <is>
          <t>2.9</t>
        </is>
      </c>
      <c r="D1737" s="48" t="inlineStr">
        <is>
          <t>Nhom 2 - Logic</t>
        </is>
      </c>
      <c r="E1737" s="48" t="inlineStr">
        <is>
          <t>Subquery / custom function / điều kiện LIKE đúng ý nghĩa nghiệp vụ</t>
        </is>
      </c>
      <c r="F1737" s="48" t="inlineStr">
        <is>
          <t>N-A</t>
        </is>
      </c>
      <c r="G1737" s="48" t="inlineStr">
        <is>
          <t>Pass</t>
        </is>
      </c>
      <c r="H1737" s="50" t="inlineStr">
        <is>
          <t>script không có điều kiện LIKE hay scalar subquery nào</t>
        </is>
      </c>
      <c r="I1737" s="50" t="inlineStr">
        <is>
          <t>Đọc lại từng điều kiện LIKE và từng subquery, đối chiếu ý nghĩa nghiệp vụ với on-prem — đúng cú pháp không đủ. Chú ý pattern LIKE có ký tự % ở đầu/cuối và phân biệt chữ hoa/thường.</t>
        </is>
      </c>
      <c r="J1737" s="48" t="inlineStr">
        <is>
          <t>086. OCB_GOLD_TTDL_TBL_BPM_QLNS_LINH.xlsx [Script: TBL_BPM_QLNS]</t>
        </is>
      </c>
    </row>
    <row r="1738">
      <c r="A1738" s="48" t="inlineStr">
        <is>
          <t>GSTX.TBL_BPM_QLNS</t>
        </is>
      </c>
      <c r="B1738" s="48" t="inlineStr">
        <is>
          <t>SILVER_CONSUMER</t>
        </is>
      </c>
      <c r="C1738" s="48" t="inlineStr">
        <is>
          <t>2.10</t>
        </is>
      </c>
      <c r="D1738" s="48" t="inlineStr">
        <is>
          <t>Nhom 2 - Logic</t>
        </is>
      </c>
      <c r="E1738" s="48" t="inlineStr">
        <is>
          <t>Aggregation kèm filter date range chính xác</t>
        </is>
      </c>
      <c r="F1738" s="49" t="inlineStr">
        <is>
          <t>PASS</t>
        </is>
      </c>
      <c r="G1738" s="48" t="inlineStr">
        <is>
          <t>Pass</t>
        </is>
      </c>
      <c r="H1738" s="50" t="inlineStr">
        <is>
          <t>mọi khối tổng hợp đều có điều kiện theo kỳ dữ liệu</t>
        </is>
      </c>
      <c r="I1738" s="50" t="inlineStr">
        <is>
          <t>Mỗi khối SUM/COUNT/AVG phải có điều kiện lọc theo kỳ dữ liệu (CDR_DT_ID, DATA_DATE, :DATADT…). Nếu điều kiện nằm ở CTE nguồn thì ghi rõ trong comment để người review không phải truy ngược.</t>
        </is>
      </c>
      <c r="J1738" s="48" t="inlineStr">
        <is>
          <t>086. OCB_GOLD_TTDL_TBL_BPM_QLNS_LINH.xlsx [Script: TBL_BPM_QLNS]</t>
        </is>
      </c>
    </row>
    <row r="1739">
      <c r="A1739" s="48" t="inlineStr">
        <is>
          <t>GSTX.TBL_BPM_QLNS</t>
        </is>
      </c>
      <c r="B1739" s="48" t="inlineStr">
        <is>
          <t>SILVER_CONSUMER</t>
        </is>
      </c>
      <c r="C1739" s="48" t="inlineStr">
        <is>
          <t>2.11</t>
        </is>
      </c>
      <c r="D1739" s="48" t="inlineStr">
        <is>
          <t>Nhom 2 - Logic</t>
        </is>
      </c>
      <c r="E1739" s="48" t="inlineStr">
        <is>
          <t>Join dùng key hợp lý, không lạm dụng UNION ALL + EXISTS/NOT EXISTS</t>
        </is>
      </c>
      <c r="F1739" s="49" t="inlineStr">
        <is>
          <t>PASS</t>
        </is>
      </c>
      <c r="G1739" s="48" t="inlineStr">
        <is>
          <t>Pass</t>
        </is>
      </c>
      <c r="H1739" s="50" t="inlineStr">
        <is>
          <t>join đều theo điều kiện bằng, không lạm dụng UNION ALL + EXISTS</t>
        </is>
      </c>
      <c r="I1739" s="50" t="inlineStr">
        <is>
          <t>Ưu tiên LEFT JOIN theo business key hoặc hashkey. Xem lại các chỗ dùng UNION ALL kết hợp EXISTS/NOT EXISTS — thường thay được bằng một LEFT JOIN. Join không có điều kiện bằng (=) dễ tạo tích Descartes.</t>
        </is>
      </c>
      <c r="J1739" s="48" t="inlineStr">
        <is>
          <t>086. OCB_GOLD_TTDL_TBL_BPM_QLNS_LINH.xlsx [Script: TBL_BPM_QLNS]</t>
        </is>
      </c>
    </row>
    <row r="1740">
      <c r="A1740" s="48" t="inlineStr">
        <is>
          <t>GSTX.TBL_BPM_QLNS</t>
        </is>
      </c>
      <c r="B1740" s="48" t="inlineStr">
        <is>
          <t>SILVER_CONSUMER</t>
        </is>
      </c>
      <c r="C1740" s="48" t="inlineStr">
        <is>
          <t>2.12</t>
        </is>
      </c>
      <c r="D1740" s="48" t="inlineStr">
        <is>
          <t>Nhom 2 - Logic</t>
        </is>
      </c>
      <c r="E1740" s="48" t="inlineStr">
        <is>
          <t>Build Gold từ CTE snapshot Silver, không build nhiều tầng chồng chéo</t>
        </is>
      </c>
      <c r="F1740" s="49" t="inlineStr">
        <is>
          <t>PASS</t>
        </is>
      </c>
      <c r="G1740" s="48" t="inlineStr">
        <is>
          <t>Pass</t>
        </is>
      </c>
      <c r="H1740" s="50" t="inlineStr">
        <is>
          <t>mỗi bảng nguồn chỉ đọc trong 1 khối SELECT</t>
        </is>
      </c>
      <c r="I17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740" s="48" t="inlineStr">
        <is>
          <t>086. OCB_GOLD_TTDL_TBL_BPM_QLNS_LINH.xlsx [Script: TBL_BPM_QLNS]</t>
        </is>
      </c>
    </row>
    <row r="1741">
      <c r="A1741" s="48" t="inlineStr">
        <is>
          <t>GSTX.TBL_BPM_QLNS</t>
        </is>
      </c>
      <c r="B1741" s="48" t="inlineStr">
        <is>
          <t>SILVER_CONSUMER</t>
        </is>
      </c>
      <c r="C1741" s="48" t="inlineStr">
        <is>
          <t>3.1</t>
        </is>
      </c>
      <c r="D1741" s="48" t="inlineStr">
        <is>
          <t>Nhom 3 - Optimization</t>
        </is>
      </c>
      <c r="E1741" s="48" t="inlineStr">
        <is>
          <t>Không SELECT *</t>
        </is>
      </c>
      <c r="F1741" s="49" t="inlineStr">
        <is>
          <t>PASS</t>
        </is>
      </c>
      <c r="G1741" s="48" t="inlineStr">
        <is>
          <t>Pass</t>
        </is>
      </c>
      <c r="H1741" s="50" t="inlineStr">
        <is>
          <t>không dùng SELECT * ở đâu</t>
        </is>
      </c>
      <c r="I1741" s="50" t="inlineStr">
        <is>
          <t>Liệt kê tường minh các cột cần dùng, kể cả trong CTE trung gian. SELECT * làm tăng IO/memory và vỡ script khi bảng nguồn thêm cột.</t>
        </is>
      </c>
      <c r="J1741" s="48" t="inlineStr">
        <is>
          <t>086. OCB_GOLD_TTDL_TBL_BPM_QLNS_LINH.xlsx [Script: TBL_BPM_QLNS]</t>
        </is>
      </c>
    </row>
    <row r="1742">
      <c r="A1742" s="48" t="inlineStr">
        <is>
          <t>GSTX.TBL_BPM_QLNS</t>
        </is>
      </c>
      <c r="B1742" s="48" t="inlineStr">
        <is>
          <t>SILVER_CONSUMER</t>
        </is>
      </c>
      <c r="C1742" s="48" t="inlineStr">
        <is>
          <t>3.2</t>
        </is>
      </c>
      <c r="D1742" s="48" t="inlineStr">
        <is>
          <t>Nhom 3 - Optimization</t>
        </is>
      </c>
      <c r="E1742" s="48" t="inlineStr">
        <is>
          <t>CTE không bị scan lại nhiều lần</t>
        </is>
      </c>
      <c r="F1742" s="49" t="inlineStr">
        <is>
          <t>PASS</t>
        </is>
      </c>
      <c r="G1742" s="48" t="inlineStr">
        <is>
          <t>Pass</t>
        </is>
      </c>
      <c r="H1742" s="50" t="inlineStr">
        <is>
          <t>không có CTE nào bị gọi lại</t>
        </is>
      </c>
      <c r="I1742" s="50" t="inlineStr">
        <is>
          <t>Với CTE nặng (đọc nhiều bảng Silver) bị tham chiếu từ 2 chỗ trở lên: gom lại còn một lần dùng, hoặc vật chất hóa (CACHE / bảng tạm). CTE nhẹ chỉ chứa tham số thì bỏ qua được — tự tick Pass.</t>
        </is>
      </c>
      <c r="J1742" s="48" t="inlineStr">
        <is>
          <t>086. OCB_GOLD_TTDL_TBL_BPM_QLNS_LINH.xlsx [Script: TBL_BPM_QLNS]</t>
        </is>
      </c>
    </row>
    <row r="1743">
      <c r="A1743" s="48" t="inlineStr">
        <is>
          <t>GSTX.TBL_BPM_QLNS</t>
        </is>
      </c>
      <c r="B1743" s="48" t="inlineStr">
        <is>
          <t>SILVER_CONSUMER</t>
        </is>
      </c>
      <c r="C1743" s="48" t="inlineStr">
        <is>
          <t>3.3</t>
        </is>
      </c>
      <c r="D1743" s="48" t="inlineStr">
        <is>
          <t>Nhom 3 - Optimization</t>
        </is>
      </c>
      <c r="E1743" s="48" t="inlineStr">
        <is>
          <t>Filter trước khi join, tận dụng partition pruning</t>
        </is>
      </c>
      <c r="F1743" s="49" t="inlineStr">
        <is>
          <t>PASS</t>
        </is>
      </c>
      <c r="G1743" s="48" t="inlineStr">
        <is>
          <t>Pass</t>
        </is>
      </c>
      <c r="H1743" s="50" t="inlineStr">
        <is>
          <t>các bảng join đều được filter trước</t>
        </is>
      </c>
      <c r="I1743" s="50" t="inlineStr">
        <is>
          <t>Đưa điều kiện lọc (ngày dữ liệu, trạng thái) vào subquery của từng bảng TRƯỚC khi join, để tận dụng partition pruning. Bảng dim nhỏ không partition thì không cần — tự tick Pass.</t>
        </is>
      </c>
      <c r="J1743" s="48" t="inlineStr">
        <is>
          <t>086. OCB_GOLD_TTDL_TBL_BPM_QLNS_LINH.xlsx [Script: TBL_BPM_QLNS]</t>
        </is>
      </c>
    </row>
    <row r="1744">
      <c r="A1744" s="48" t="inlineStr">
        <is>
          <t>GSTX.TBL_BPM_QLNS</t>
        </is>
      </c>
      <c r="B1744" s="48" t="inlineStr">
        <is>
          <t>SILVER_CONSUMER</t>
        </is>
      </c>
      <c r="C1744" s="48" t="inlineStr">
        <is>
          <t>3.4</t>
        </is>
      </c>
      <c r="D1744" s="48" t="inlineStr">
        <is>
          <t>Nhom 3 - Optimization</t>
        </is>
      </c>
      <c r="E1744" s="48" t="inlineStr">
        <is>
          <t>Sử dụng CACHE cho query lặp lại trong cùng luồng</t>
        </is>
      </c>
      <c r="F1744" s="48" t="inlineStr">
        <is>
          <t>N-A</t>
        </is>
      </c>
      <c r="G1744" s="48" t="inlineStr">
        <is>
          <t>Pass</t>
        </is>
      </c>
      <c r="H1744" s="50" t="inlineStr">
        <is>
          <t>không có kết quả nào được dùng lại nhiều lần nên chưa cần CACHE</t>
        </is>
      </c>
      <c r="I1744" s="50" t="inlineStr">
        <is>
          <t>Nếu một kết quả nặng được dùng lại nhiều bước trong cùng luồng, thêm CACHE TABLE / CACHE SELECT. Kết quả nhỏ thì cache còn chậm hơn — tự tick Pass.</t>
        </is>
      </c>
      <c r="J1744" s="48" t="inlineStr">
        <is>
          <t>086. OCB_GOLD_TTDL_TBL_BPM_QLNS_LINH.xlsx [Script: TBL_BPM_QLNS]</t>
        </is>
      </c>
    </row>
    <row r="1745">
      <c r="A1745" s="48" t="inlineStr">
        <is>
          <t>GSTX.TBL_BPM_QLNS</t>
        </is>
      </c>
      <c r="B1745" s="48" t="inlineStr">
        <is>
          <t>SILVER_CONSUMER</t>
        </is>
      </c>
      <c r="C1745" s="48" t="inlineStr">
        <is>
          <t>3.5</t>
        </is>
      </c>
      <c r="D1745" s="48" t="inlineStr">
        <is>
          <t>Nhom 3 - Optimization</t>
        </is>
      </c>
      <c r="E1745" s="48" t="inlineStr">
        <is>
          <t>Ưu tiên MAX_BY + QUALIFY thay ROW_NUMBER() + WHERE rn = 1</t>
        </is>
      </c>
      <c r="F1745" s="51" t="inlineStr">
        <is>
          <t>WARN</t>
        </is>
      </c>
      <c r="G1745" s="48" t="inlineStr">
        <is>
          <t>WARN</t>
        </is>
      </c>
      <c r="H1745" s="50" t="inlineStr">
        <is>
          <t>2 khối dùng MAX_BY độc lập cho &gt;5 cột (dòng 14, [6, 14]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7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45" s="48" t="inlineStr">
        <is>
          <t>086. OCB_GOLD_TTDL_TBL_BPM_QLNS_LINH.xlsx [Script: TBL_BPM_QLNS]</t>
        </is>
      </c>
    </row>
    <row r="1746">
      <c r="A1746" s="48" t="inlineStr">
        <is>
          <t>GSTX.TBL_BPM_QLNS</t>
        </is>
      </c>
      <c r="B1746" s="48" t="inlineStr">
        <is>
          <t>SILVER_CONSUMER</t>
        </is>
      </c>
      <c r="C1746" s="48" t="inlineStr">
        <is>
          <t>3.6</t>
        </is>
      </c>
      <c r="D1746" s="48" t="inlineStr">
        <is>
          <t>Nhom 3 - Optimization</t>
        </is>
      </c>
      <c r="E1746" s="48" t="inlineStr">
        <is>
          <t>Không lạm dụng window function; có comment khi dùng</t>
        </is>
      </c>
      <c r="F1746" s="48" t="inlineStr">
        <is>
          <t>N-A</t>
        </is>
      </c>
      <c r="G1746" s="48" t="inlineStr">
        <is>
          <t>Pass</t>
        </is>
      </c>
      <c r="H1746" s="50" t="inlineStr">
        <is>
          <t>script không dùng window function</t>
        </is>
      </c>
      <c r="I1746" s="50" t="inlineStr">
        <is>
          <t>Mỗi window function cần một comment ngay trên khối CTE chứa nó, nói rõ vì sao không dùng được max_by/QUALIFY đơn giản hơn.</t>
        </is>
      </c>
      <c r="J1746" s="48" t="inlineStr">
        <is>
          <t>086. OCB_GOLD_TTDL_TBL_BPM_QLNS_LINH.xlsx [Script: TBL_BPM_QLNS]</t>
        </is>
      </c>
    </row>
    <row r="1747">
      <c r="A1747" s="48" t="inlineStr">
        <is>
          <t>GSTX.TBL_BPM_QLNS</t>
        </is>
      </c>
      <c r="B1747" s="48" t="inlineStr">
        <is>
          <t>SILVER_CONSUMER</t>
        </is>
      </c>
      <c r="C1747" s="48" t="inlineStr">
        <is>
          <t>X.1</t>
        </is>
      </c>
      <c r="D1747" s="48" t="inlineStr">
        <is>
          <t>Nhom X - Bo sung Raffles</t>
        </is>
      </c>
      <c r="E1747" s="48" t="inlineStr">
        <is>
          <t>[Bổ sung] Link phải rút về current trước khi join (chống fan-out)</t>
        </is>
      </c>
      <c r="F1747" s="49" t="inlineStr">
        <is>
          <t>PASS</t>
        </is>
      </c>
      <c r="G1747" s="48" t="inlineStr">
        <is>
          <t>Pass</t>
        </is>
      </c>
      <c r="H1747" s="50" t="inlineStr">
        <is>
          <t>các bảng link_* đều được rút về current trước khi join</t>
        </is>
      </c>
      <c r="I17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47" s="48" t="inlineStr">
        <is>
          <t>086. OCB_GOLD_TTDL_TBL_BPM_QLNS_LINH.xlsx [Script: TBL_BPM_QLNS]</t>
        </is>
      </c>
    </row>
    <row r="1748">
      <c r="A1748" s="48" t="inlineStr">
        <is>
          <t>GSTX.TBL_BPM_QLNS</t>
        </is>
      </c>
      <c r="B1748" s="48" t="inlineStr">
        <is>
          <t>SILVER_CONSUMER</t>
        </is>
      </c>
      <c r="C1748" s="48" t="inlineStr">
        <is>
          <t>X.6</t>
        </is>
      </c>
      <c r="D1748" s="48" t="inlineStr">
        <is>
          <t>Nhom X - Bo sung Raffles</t>
        </is>
      </c>
      <c r="E1748" s="48" t="inlineStr">
        <is>
          <t>[Bổ sung] Satellite phải LEFT JOIN, không INNER JOIN</t>
        </is>
      </c>
      <c r="F1748" s="49" t="inlineStr">
        <is>
          <t>PASS</t>
        </is>
      </c>
      <c r="G1748" s="48" t="inlineStr">
        <is>
          <t>Pass</t>
        </is>
      </c>
      <c r="H1748" s="50" t="inlineStr">
        <is>
          <t>các satellite đều LEFT JOIN</t>
        </is>
      </c>
      <c r="I1748" s="50" t="inlineStr">
        <is>
          <t>Technical Document III.4.2.2 nguyên tắc 1: làm giàu thuộc tính luôn dùng LEFT JOIN. INNER JOIN satellite sẽ loại mất bản ghi Hub đang còn hiệu lực nhưng chưa có dòng satellite.</t>
        </is>
      </c>
      <c r="J1748" s="48" t="inlineStr">
        <is>
          <t>086. OCB_GOLD_TTDL_TBL_BPM_QLNS_LINH.xlsx [Script: TBL_BPM_QLNS]</t>
        </is>
      </c>
    </row>
    <row r="1749">
      <c r="A1749" s="48" t="inlineStr">
        <is>
          <t>GSTX.TBL_BPM_QLNS</t>
        </is>
      </c>
      <c r="B1749" s="48" t="inlineStr">
        <is>
          <t>SILVER_CONSUMER</t>
        </is>
      </c>
      <c r="C1749" s="48" t="inlineStr">
        <is>
          <t>X.7</t>
        </is>
      </c>
      <c r="D1749" s="48" t="inlineStr">
        <is>
          <t>Nhom X - Bo sung Raffles</t>
        </is>
      </c>
      <c r="E1749" s="48" t="inlineStr">
        <is>
          <t>[Bổ sung] Không hard-code catalog, dùng biến môi trường</t>
        </is>
      </c>
      <c r="F1749" s="49" t="inlineStr">
        <is>
          <t>PASS</t>
        </is>
      </c>
      <c r="G1749" s="48" t="inlineStr">
        <is>
          <t>Pass</t>
        </is>
      </c>
      <c r="H1749" s="50" t="inlineStr">
        <is>
          <t>dùng biến môi trường cho catalog</t>
        </is>
      </c>
      <c r="I17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49" s="48" t="inlineStr">
        <is>
          <t>086. OCB_GOLD_TTDL_TBL_BPM_QLNS_LINH.xlsx [Script: TBL_BPM_QLNS]</t>
        </is>
      </c>
    </row>
    <row r="1750">
      <c r="A1750" s="48" t="inlineStr">
        <is>
          <t>GSTX.TBL_BPM_QLNS</t>
        </is>
      </c>
      <c r="B1750" s="48" t="inlineStr">
        <is>
          <t>SILVER_CONSUMER</t>
        </is>
      </c>
      <c r="C1750" s="48" t="inlineStr">
        <is>
          <t>X.10</t>
        </is>
      </c>
      <c r="D1750" s="48" t="inlineStr">
        <is>
          <t>Nhom X - Bo sung Raffles</t>
        </is>
      </c>
      <c r="E1750" s="48" t="inlineStr">
        <is>
          <t>Bang raw_vault/business_vault duoc doc phai TON TAI THAT trong Data Vault model</t>
        </is>
      </c>
      <c r="F1750" s="49" t="inlineStr">
        <is>
          <t>PASS</t>
        </is>
      </c>
      <c r="G1750" s="48" t="inlineStr">
        <is>
          <t>Pass</t>
        </is>
      </c>
      <c r="H1750" s="50" t="inlineStr">
        <is>
          <t>4 bảng Silver đều có thật trong Data Vault model</t>
        </is>
      </c>
      <c r="I1750" s="50" t="inlineStr"/>
      <c r="J1750" s="48" t="inlineStr">
        <is>
          <t>086. OCB_GOLD_TTDL_TBL_BPM_QLNS_LINH.xlsx [Script: TBL_BPM_QLNS]</t>
        </is>
      </c>
    </row>
    <row r="1751">
      <c r="A1751" s="48" t="inlineStr">
        <is>
          <t>GSTX.TBL_BPM_QLNS</t>
        </is>
      </c>
      <c r="B1751" s="48" t="inlineStr">
        <is>
          <t>SILVER_CONSUMER</t>
        </is>
      </c>
      <c r="C1751" s="48" t="inlineStr">
        <is>
          <t>X.11</t>
        </is>
      </c>
      <c r="D1751" s="48" t="inlineStr">
        <is>
          <t>Nhom X - Bo sung Raffles</t>
        </is>
      </c>
      <c r="E1751" s="48" t="inlineStr">
        <is>
          <t>Cot doc tu satellite (sat_*) phai TON TAI THAT trong model</t>
        </is>
      </c>
      <c r="F1751" s="49" t="inlineStr">
        <is>
          <t>PASS</t>
        </is>
      </c>
      <c r="G1751" s="48" t="inlineStr">
        <is>
          <t>Pass</t>
        </is>
      </c>
      <c r="H1751" s="50" t="inlineStr">
        <is>
          <t>mọi cột đọc từ sat_* đều tồn tại trong model thật</t>
        </is>
      </c>
      <c r="I1751" s="50" t="inlineStr"/>
      <c r="J1751" s="48" t="inlineStr">
        <is>
          <t>086. OCB_GOLD_TTDL_TBL_BPM_QLNS_LINH.xlsx [Script: TBL_BPM_QLNS]</t>
        </is>
      </c>
    </row>
    <row r="1752">
      <c r="A1752" s="48" t="inlineStr">
        <is>
          <t>GSTX.TBL_BPM_TCDV</t>
        </is>
      </c>
      <c r="B1752" s="48" t="inlineStr">
        <is>
          <t>SILVER_CONSUMER</t>
        </is>
      </c>
      <c r="C1752" s="48" t="inlineStr">
        <is>
          <t>1.1</t>
        </is>
      </c>
      <c r="D1752" s="48" t="inlineStr">
        <is>
          <t>Nhom 1 - Mapping</t>
        </is>
      </c>
      <c r="E1752" s="48" t="inlineStr">
        <is>
          <t>Đầy đủ mapping từ Silver/manual sang Gold</t>
        </is>
      </c>
      <c r="F1752" s="49" t="inlineStr">
        <is>
          <t>PASS</t>
        </is>
      </c>
      <c r="G1752" s="48" t="inlineStr">
        <is>
          <t>Pass</t>
        </is>
      </c>
      <c r="H1752" s="50" t="inlineStr">
        <is>
          <t>workbook 087. OCB_GOLD_TTDL_TBL_BPM_TCDV_LINH.xlsx: thiết kế 14 field, SQL có 14 cột</t>
        </is>
      </c>
      <c r="I17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52" s="48" t="inlineStr">
        <is>
          <t>087. OCB_GOLD_TTDL_TBL_BPM_TCDV_LINH.xlsx [Script: TBL_BPM_TCDV]</t>
        </is>
      </c>
    </row>
    <row r="1753">
      <c r="A1753" s="48" t="inlineStr">
        <is>
          <t>GSTX.TBL_BPM_TCDV</t>
        </is>
      </c>
      <c r="B1753" s="48" t="inlineStr">
        <is>
          <t>SILVER_CONSUMER</t>
        </is>
      </c>
      <c r="C1753" s="48" t="inlineStr">
        <is>
          <t>1.2</t>
        </is>
      </c>
      <c r="D1753" s="48" t="inlineStr">
        <is>
          <t>Nhom 1 - Mapping</t>
        </is>
      </c>
      <c r="E1753" s="48" t="inlineStr">
        <is>
          <t>Danh sách bảng/view Gold khớp tài liệu thiết kế đã duyệt</t>
        </is>
      </c>
      <c r="F1753" s="49" t="inlineStr">
        <is>
          <t>PASS</t>
        </is>
      </c>
      <c r="G1753" s="48" t="inlineStr">
        <is>
          <t>Pass</t>
        </is>
      </c>
      <c r="H1753" s="50" t="inlineStr">
        <is>
          <t>TBL_BPM_TCDV có workbook thiết kế: 087. OCB_GOLD_TTDL_TBL_BPM_TCDV_LINH.xlsx</t>
        </is>
      </c>
      <c r="I1753" s="50" t="inlineStr">
        <is>
          <t>Đảm bảo object có workbook thiết kế tương ứng trong thư mục --mapping-dir. Muốn đối chiếu với danh sách đã duyệt thì chạy thêm tham số --gold-list "&lt;file danh sách Gold&gt;.xlsx".</t>
        </is>
      </c>
      <c r="J1753" s="48" t="inlineStr">
        <is>
          <t>087. OCB_GOLD_TTDL_TBL_BPM_TCDV_LINH.xlsx [Script: TBL_BPM_TCDV]</t>
        </is>
      </c>
    </row>
    <row r="1754">
      <c r="A1754" s="48" t="inlineStr">
        <is>
          <t>GSTX.TBL_BPM_TCDV</t>
        </is>
      </c>
      <c r="B1754" s="48" t="inlineStr">
        <is>
          <t>SILVER_CONSUMER</t>
        </is>
      </c>
      <c r="C1754" s="48" t="inlineStr">
        <is>
          <t>2.1</t>
        </is>
      </c>
      <c r="D1754" s="48" t="inlineStr">
        <is>
          <t>Nhom 2 - Logic</t>
        </is>
      </c>
      <c r="E1754" s="48" t="inlineStr">
        <is>
          <t>Chỉ lấy bản ghi active, loại bản ghi đã xóa (qua sts_hub)</t>
        </is>
      </c>
      <c r="F1754" s="49" t="inlineStr">
        <is>
          <t>PASS</t>
        </is>
      </c>
      <c r="G1754" s="48" t="inlineStr">
        <is>
          <t>Pass</t>
        </is>
      </c>
      <c r="H1754" s="50" t="inlineStr">
        <is>
          <t>không dùng sts_hub_* (không có yêu cầu nghiệp vụ giữ bản ghi đã xóa)</t>
        </is>
      </c>
      <c r="I17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54" s="48" t="inlineStr">
        <is>
          <t>087. OCB_GOLD_TTDL_TBL_BPM_TCDV_LINH.xlsx [Script: TBL_BPM_TCDV]</t>
        </is>
      </c>
    </row>
    <row r="1755">
      <c r="A1755" s="48" t="inlineStr">
        <is>
          <t>GSTX.TBL_BPM_TCDV</t>
        </is>
      </c>
      <c r="B1755" s="48" t="inlineStr">
        <is>
          <t>SILVER_CONSUMER</t>
        </is>
      </c>
      <c r="C1755" s="48" t="inlineStr">
        <is>
          <t>2.2</t>
        </is>
      </c>
      <c r="D1755" s="48" t="inlineStr">
        <is>
          <t>Nhom 2 - Logic</t>
        </is>
      </c>
      <c r="E1755" s="48" t="inlineStr">
        <is>
          <t>Thống nhất MỘT pattern duy nhất xác định bản ghi active mới nhất</t>
        </is>
      </c>
      <c r="F1755" s="49" t="inlineStr">
        <is>
          <t>PASS</t>
        </is>
      </c>
      <c r="G1755" s="48" t="inlineStr">
        <is>
          <t>Pass</t>
        </is>
      </c>
      <c r="H1755" s="50" t="inlineStr">
        <is>
          <t>file này dùng: ['MAX_BY']; toàn batch dùng: ['MAX_BY']</t>
        </is>
      </c>
      <c r="I17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755" s="48" t="inlineStr">
        <is>
          <t>087. OCB_GOLD_TTDL_TBL_BPM_TCDV_LINH.xlsx [Script: TBL_BPM_TCDV]</t>
        </is>
      </c>
    </row>
    <row r="1756">
      <c r="A1756" s="48" t="inlineStr">
        <is>
          <t>GSTX.TBL_BPM_TCDV</t>
        </is>
      </c>
      <c r="B1756" s="48" t="inlineStr">
        <is>
          <t>SILVER_CONSUMER</t>
        </is>
      </c>
      <c r="C1756" s="48" t="inlineStr">
        <is>
          <t>2.3</t>
        </is>
      </c>
      <c r="D1756" s="48" t="inlineStr">
        <is>
          <t>Nhom 2 - Logic</t>
        </is>
      </c>
      <c r="E1756" s="48" t="inlineStr">
        <is>
          <t>Điều kiện lọc trạng thái đặt SAU khi xác định bản ghi mới nhất</t>
        </is>
      </c>
      <c r="F1756" s="49" t="inlineStr">
        <is>
          <t>PASS</t>
        </is>
      </c>
      <c r="G1756" s="48" t="inlineStr">
        <is>
          <t>Pass</t>
        </is>
      </c>
      <c r="H1756" s="50" t="inlineStr">
        <is>
          <t>không có điều kiện trạng thái nào lồng trong JOIN ON</t>
        </is>
      </c>
      <c r="I17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756" s="48" t="inlineStr">
        <is>
          <t>087. OCB_GOLD_TTDL_TBL_BPM_TCDV_LINH.xlsx [Script: TBL_BPM_TCDV]</t>
        </is>
      </c>
    </row>
    <row r="1757">
      <c r="A1757" s="48" t="inlineStr">
        <is>
          <t>GSTX.TBL_BPM_TCDV</t>
        </is>
      </c>
      <c r="B1757" s="48" t="inlineStr">
        <is>
          <t>SILVER_CONSUMER</t>
        </is>
      </c>
      <c r="C1757" s="48" t="inlineStr">
        <is>
          <t>2.4</t>
        </is>
      </c>
      <c r="D1757" s="48" t="inlineStr">
        <is>
          <t>Nhom 2 - Logic</t>
        </is>
      </c>
      <c r="E1757" s="48" t="inlineStr">
        <is>
          <t>source_event_date áp dụng đúng dạng theo loại bảng</t>
        </is>
      </c>
      <c r="F1757" s="49" t="inlineStr">
        <is>
          <t>PASS</t>
        </is>
      </c>
      <c r="G1757" s="48" t="inlineStr">
        <is>
          <t>Pass</t>
        </is>
      </c>
      <c r="H1757" s="50" t="inlineStr">
        <is>
          <t>1 satellite đều đúng dạng điều kiện source_event_date</t>
        </is>
      </c>
      <c r="I17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757" s="48" t="inlineStr">
        <is>
          <t>087. OCB_GOLD_TTDL_TBL_BPM_TCDV_LINH.xlsx [Script: TBL_BPM_TCDV]</t>
        </is>
      </c>
    </row>
    <row r="1758">
      <c r="A1758" s="48" t="inlineStr">
        <is>
          <t>GSTX.TBL_BPM_TCDV</t>
        </is>
      </c>
      <c r="B1758" s="48" t="inlineStr">
        <is>
          <t>SILVER_CONSUMER</t>
        </is>
      </c>
      <c r="C1758" s="48" t="inlineStr">
        <is>
          <t>2.5</t>
        </is>
      </c>
      <c r="D1758" s="48" t="inlineStr">
        <is>
          <t>Nhom 2 - Logic</t>
        </is>
      </c>
      <c r="E1758" s="48" t="inlineStr">
        <is>
          <t>Không lặp lại lỗi logic cũ đã được DA Data Vault fix</t>
        </is>
      </c>
      <c r="F1758" s="49" t="inlineStr">
        <is>
          <t>PASS</t>
        </is>
      </c>
      <c r="G1758" s="48" t="inlineStr">
        <is>
          <t>Pass</t>
        </is>
      </c>
      <c r="H1758" s="50" t="inlineStr">
        <is>
          <t>không trùng lỗi nào trong Issue log của DA Data Vault</t>
        </is>
      </c>
      <c r="I17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758" s="48" t="inlineStr">
        <is>
          <t>087. OCB_GOLD_TTDL_TBL_BPM_TCDV_LINH.xlsx [Script: TBL_BPM_TCDV]</t>
        </is>
      </c>
    </row>
    <row r="1759">
      <c r="A1759" s="48" t="inlineStr">
        <is>
          <t>GSTX.TBL_BPM_TCDV</t>
        </is>
      </c>
      <c r="B1759" s="48" t="inlineStr">
        <is>
          <t>SILVER_CONSUMER</t>
        </is>
      </c>
      <c r="C1759" s="48" t="inlineStr">
        <is>
          <t>2.6</t>
        </is>
      </c>
      <c r="D1759" s="48" t="inlineStr">
        <is>
          <t>Nhom 2 - Logic</t>
        </is>
      </c>
      <c r="E1759" s="48" t="inlineStr">
        <is>
          <t>SCD Type 2 cho bảng DIM áp dụng đúng kỹ thuật đã thống nhất</t>
        </is>
      </c>
      <c r="F1759" s="48" t="inlineStr">
        <is>
          <t>N-A</t>
        </is>
      </c>
      <c r="G1759" s="48" t="inlineStr">
        <is>
          <t>Pass</t>
        </is>
      </c>
      <c r="H1759" s="50" t="inlineStr">
        <is>
          <t>object không phải bảng DIM nên không áp dụng SCD Type 2</t>
        </is>
      </c>
      <c r="I17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759" s="48" t="inlineStr">
        <is>
          <t>087. OCB_GOLD_TTDL_TBL_BPM_TCDV_LINH.xlsx [Script: TBL_BPM_TCDV]</t>
        </is>
      </c>
    </row>
    <row r="1760">
      <c r="A1760" s="48" t="inlineStr">
        <is>
          <t>GSTX.TBL_BPM_TCDV</t>
        </is>
      </c>
      <c r="B1760" s="48" t="inlineStr">
        <is>
          <t>SILVER_CONSUMER</t>
        </is>
      </c>
      <c r="C1760" s="48" t="inlineStr">
        <is>
          <t>2.7</t>
        </is>
      </c>
      <c r="D1760" s="48" t="inlineStr">
        <is>
          <t>Nhom 2 - Logic</t>
        </is>
      </c>
      <c r="E1760" s="48" t="inlineStr">
        <is>
          <t>CASE WHEN cover đủ nhánh như job on-prem</t>
        </is>
      </c>
      <c r="F1760" s="48" t="inlineStr">
        <is>
          <t>N-A</t>
        </is>
      </c>
      <c r="G1760" s="48" t="inlineStr">
        <is>
          <t>Pass</t>
        </is>
      </c>
      <c r="H1760" s="50" t="inlineStr">
        <is>
          <t>script không có CASE WHEN nào</t>
        </is>
      </c>
      <c r="I1760" s="50" t="inlineStr">
        <is>
          <t>Mở job on-prem tương ứng (DataStage DSX hoặc SQL cũ), đối chiếu từng nhánh WHEN và cả nhánh ELSE. CASE không có ELSE sẽ trả NULL âm thầm — xác nhận đó là ý muốn hay thiếu nhánh.</t>
        </is>
      </c>
      <c r="J1760" s="48" t="inlineStr">
        <is>
          <t>087. OCB_GOLD_TTDL_TBL_BPM_TCDV_LINH.xlsx [Script: TBL_BPM_TCDV]</t>
        </is>
      </c>
    </row>
    <row r="1761">
      <c r="A1761" s="48" t="inlineStr">
        <is>
          <t>GSTX.TBL_BPM_TCDV</t>
        </is>
      </c>
      <c r="B1761" s="48" t="inlineStr">
        <is>
          <t>SILVER_CONSUMER</t>
        </is>
      </c>
      <c r="C1761" s="48" t="inlineStr">
        <is>
          <t>2.8</t>
        </is>
      </c>
      <c r="D1761" s="48" t="inlineStr">
        <is>
          <t>Nhom 2 - Logic</t>
        </is>
      </c>
      <c r="E1761" s="48" t="inlineStr">
        <is>
          <t>Cột SUM/COUNT được COALESCE/NVL hợp lý</t>
        </is>
      </c>
      <c r="F1761" s="49" t="inlineStr">
        <is>
          <t>PASS</t>
        </is>
      </c>
      <c r="G1761" s="48" t="inlineStr">
        <is>
          <t>Pass</t>
        </is>
      </c>
      <c r="H1761" s="50" t="inlineStr">
        <is>
          <t>mọi SUM/COUNT đều đã coalesce (trực tiếp hoặc ở lớp ngoài)</t>
        </is>
      </c>
      <c r="I17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761" s="48" t="inlineStr">
        <is>
          <t>087. OCB_GOLD_TTDL_TBL_BPM_TCDV_LINH.xlsx [Script: TBL_BPM_TCDV]</t>
        </is>
      </c>
    </row>
    <row r="1762">
      <c r="A1762" s="48" t="inlineStr">
        <is>
          <t>GSTX.TBL_BPM_TCDV</t>
        </is>
      </c>
      <c r="B1762" s="48" t="inlineStr">
        <is>
          <t>SILVER_CONSUMER</t>
        </is>
      </c>
      <c r="C1762" s="48" t="inlineStr">
        <is>
          <t>2.9</t>
        </is>
      </c>
      <c r="D1762" s="48" t="inlineStr">
        <is>
          <t>Nhom 2 - Logic</t>
        </is>
      </c>
      <c r="E1762" s="48" t="inlineStr">
        <is>
          <t>Subquery / custom function / điều kiện LIKE đúng ý nghĩa nghiệp vụ</t>
        </is>
      </c>
      <c r="F1762" s="48" t="inlineStr">
        <is>
          <t>N-A</t>
        </is>
      </c>
      <c r="G1762" s="48" t="inlineStr">
        <is>
          <t>Pass</t>
        </is>
      </c>
      <c r="H1762" s="50" t="inlineStr">
        <is>
          <t>script không có điều kiện LIKE hay scalar subquery nào</t>
        </is>
      </c>
      <c r="I1762" s="50" t="inlineStr">
        <is>
          <t>Đọc lại từng điều kiện LIKE và từng subquery, đối chiếu ý nghĩa nghiệp vụ với on-prem — đúng cú pháp không đủ. Chú ý pattern LIKE có ký tự % ở đầu/cuối và phân biệt chữ hoa/thường.</t>
        </is>
      </c>
      <c r="J1762" s="48" t="inlineStr">
        <is>
          <t>087. OCB_GOLD_TTDL_TBL_BPM_TCDV_LINH.xlsx [Script: TBL_BPM_TCDV]</t>
        </is>
      </c>
    </row>
    <row r="1763">
      <c r="A1763" s="48" t="inlineStr">
        <is>
          <t>GSTX.TBL_BPM_TCDV</t>
        </is>
      </c>
      <c r="B1763" s="48" t="inlineStr">
        <is>
          <t>SILVER_CONSUMER</t>
        </is>
      </c>
      <c r="C1763" s="48" t="inlineStr">
        <is>
          <t>2.10</t>
        </is>
      </c>
      <c r="D1763" s="48" t="inlineStr">
        <is>
          <t>Nhom 2 - Logic</t>
        </is>
      </c>
      <c r="E1763" s="48" t="inlineStr">
        <is>
          <t>Aggregation kèm filter date range chính xác</t>
        </is>
      </c>
      <c r="F1763" s="49" t="inlineStr">
        <is>
          <t>PASS</t>
        </is>
      </c>
      <c r="G1763" s="48" t="inlineStr">
        <is>
          <t>Pass</t>
        </is>
      </c>
      <c r="H1763" s="50" t="inlineStr">
        <is>
          <t>mọi khối tổng hợp đều có điều kiện theo kỳ dữ liệu</t>
        </is>
      </c>
      <c r="I1763" s="50" t="inlineStr">
        <is>
          <t>Mỗi khối SUM/COUNT/AVG phải có điều kiện lọc theo kỳ dữ liệu (CDR_DT_ID, DATA_DATE, :DATADT…). Nếu điều kiện nằm ở CTE nguồn thì ghi rõ trong comment để người review không phải truy ngược.</t>
        </is>
      </c>
      <c r="J1763" s="48" t="inlineStr">
        <is>
          <t>087. OCB_GOLD_TTDL_TBL_BPM_TCDV_LINH.xlsx [Script: TBL_BPM_TCDV]</t>
        </is>
      </c>
    </row>
    <row r="1764">
      <c r="A1764" s="48" t="inlineStr">
        <is>
          <t>GSTX.TBL_BPM_TCDV</t>
        </is>
      </c>
      <c r="B1764" s="48" t="inlineStr">
        <is>
          <t>SILVER_CONSUMER</t>
        </is>
      </c>
      <c r="C1764" s="48" t="inlineStr">
        <is>
          <t>2.11</t>
        </is>
      </c>
      <c r="D1764" s="48" t="inlineStr">
        <is>
          <t>Nhom 2 - Logic</t>
        </is>
      </c>
      <c r="E1764" s="48" t="inlineStr">
        <is>
          <t>Join dùng key hợp lý, không lạm dụng UNION ALL + EXISTS/NOT EXISTS</t>
        </is>
      </c>
      <c r="F1764" s="49" t="inlineStr">
        <is>
          <t>PASS</t>
        </is>
      </c>
      <c r="G1764" s="48" t="inlineStr">
        <is>
          <t>Pass</t>
        </is>
      </c>
      <c r="H1764" s="50" t="inlineStr">
        <is>
          <t>join đều theo điều kiện bằng, không lạm dụng UNION ALL + EXISTS</t>
        </is>
      </c>
      <c r="I1764" s="50" t="inlineStr">
        <is>
          <t>Ưu tiên LEFT JOIN theo business key hoặc hashkey. Xem lại các chỗ dùng UNION ALL kết hợp EXISTS/NOT EXISTS — thường thay được bằng một LEFT JOIN. Join không có điều kiện bằng (=) dễ tạo tích Descartes.</t>
        </is>
      </c>
      <c r="J1764" s="48" t="inlineStr">
        <is>
          <t>087. OCB_GOLD_TTDL_TBL_BPM_TCDV_LINH.xlsx [Script: TBL_BPM_TCDV]</t>
        </is>
      </c>
    </row>
    <row r="1765">
      <c r="A1765" s="48" t="inlineStr">
        <is>
          <t>GSTX.TBL_BPM_TCDV</t>
        </is>
      </c>
      <c r="B1765" s="48" t="inlineStr">
        <is>
          <t>SILVER_CONSUMER</t>
        </is>
      </c>
      <c r="C1765" s="48" t="inlineStr">
        <is>
          <t>2.12</t>
        </is>
      </c>
      <c r="D1765" s="48" t="inlineStr">
        <is>
          <t>Nhom 2 - Logic</t>
        </is>
      </c>
      <c r="E1765" s="48" t="inlineStr">
        <is>
          <t>Build Gold từ CTE snapshot Silver, không build nhiều tầng chồng chéo</t>
        </is>
      </c>
      <c r="F1765" s="49" t="inlineStr">
        <is>
          <t>PASS</t>
        </is>
      </c>
      <c r="G1765" s="48" t="inlineStr">
        <is>
          <t>Pass</t>
        </is>
      </c>
      <c r="H1765" s="50" t="inlineStr">
        <is>
          <t>mỗi bảng nguồn chỉ đọc trong 1 khối SELECT</t>
        </is>
      </c>
      <c r="I17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765" s="48" t="inlineStr">
        <is>
          <t>087. OCB_GOLD_TTDL_TBL_BPM_TCDV_LINH.xlsx [Script: TBL_BPM_TCDV]</t>
        </is>
      </c>
    </row>
    <row r="1766">
      <c r="A1766" s="48" t="inlineStr">
        <is>
          <t>GSTX.TBL_BPM_TCDV</t>
        </is>
      </c>
      <c r="B1766" s="48" t="inlineStr">
        <is>
          <t>SILVER_CONSUMER</t>
        </is>
      </c>
      <c r="C1766" s="48" t="inlineStr">
        <is>
          <t>3.1</t>
        </is>
      </c>
      <c r="D1766" s="48" t="inlineStr">
        <is>
          <t>Nhom 3 - Optimization</t>
        </is>
      </c>
      <c r="E1766" s="48" t="inlineStr">
        <is>
          <t>Không SELECT *</t>
        </is>
      </c>
      <c r="F1766" s="49" t="inlineStr">
        <is>
          <t>PASS</t>
        </is>
      </c>
      <c r="G1766" s="48" t="inlineStr">
        <is>
          <t>Pass</t>
        </is>
      </c>
      <c r="H1766" s="50" t="inlineStr">
        <is>
          <t>không dùng SELECT * ở đâu</t>
        </is>
      </c>
      <c r="I1766" s="50" t="inlineStr">
        <is>
          <t>Liệt kê tường minh các cột cần dùng, kể cả trong CTE trung gian. SELECT * làm tăng IO/memory và vỡ script khi bảng nguồn thêm cột.</t>
        </is>
      </c>
      <c r="J1766" s="48" t="inlineStr">
        <is>
          <t>087. OCB_GOLD_TTDL_TBL_BPM_TCDV_LINH.xlsx [Script: TBL_BPM_TCDV]</t>
        </is>
      </c>
    </row>
    <row r="1767">
      <c r="A1767" s="48" t="inlineStr">
        <is>
          <t>GSTX.TBL_BPM_TCDV</t>
        </is>
      </c>
      <c r="B1767" s="48" t="inlineStr">
        <is>
          <t>SILVER_CONSUMER</t>
        </is>
      </c>
      <c r="C1767" s="48" t="inlineStr">
        <is>
          <t>3.2</t>
        </is>
      </c>
      <c r="D1767" s="48" t="inlineStr">
        <is>
          <t>Nhom 3 - Optimization</t>
        </is>
      </c>
      <c r="E1767" s="48" t="inlineStr">
        <is>
          <t>CTE không bị scan lại nhiều lần</t>
        </is>
      </c>
      <c r="F1767" s="49" t="inlineStr">
        <is>
          <t>PASS</t>
        </is>
      </c>
      <c r="G1767" s="48" t="inlineStr">
        <is>
          <t>Pass</t>
        </is>
      </c>
      <c r="H1767" s="50" t="inlineStr">
        <is>
          <t>không có CTE nào bị gọi lại</t>
        </is>
      </c>
      <c r="I1767" s="50" t="inlineStr">
        <is>
          <t>Với CTE nặng (đọc nhiều bảng Silver) bị tham chiếu từ 2 chỗ trở lên: gom lại còn một lần dùng, hoặc vật chất hóa (CACHE / bảng tạm). CTE nhẹ chỉ chứa tham số thì bỏ qua được — tự tick Pass.</t>
        </is>
      </c>
      <c r="J1767" s="48" t="inlineStr">
        <is>
          <t>087. OCB_GOLD_TTDL_TBL_BPM_TCDV_LINH.xlsx [Script: TBL_BPM_TCDV]</t>
        </is>
      </c>
    </row>
    <row r="1768">
      <c r="A1768" s="48" t="inlineStr">
        <is>
          <t>GSTX.TBL_BPM_TCDV</t>
        </is>
      </c>
      <c r="B1768" s="48" t="inlineStr">
        <is>
          <t>SILVER_CONSUMER</t>
        </is>
      </c>
      <c r="C1768" s="48" t="inlineStr">
        <is>
          <t>3.3</t>
        </is>
      </c>
      <c r="D1768" s="48" t="inlineStr">
        <is>
          <t>Nhom 3 - Optimization</t>
        </is>
      </c>
      <c r="E1768" s="48" t="inlineStr">
        <is>
          <t>Filter trước khi join, tận dụng partition pruning</t>
        </is>
      </c>
      <c r="F1768" s="49" t="inlineStr">
        <is>
          <t>PASS</t>
        </is>
      </c>
      <c r="G1768" s="48" t="inlineStr">
        <is>
          <t>Pass</t>
        </is>
      </c>
      <c r="H1768" s="50" t="inlineStr">
        <is>
          <t>các bảng join đều được filter trước</t>
        </is>
      </c>
      <c r="I1768" s="50" t="inlineStr">
        <is>
          <t>Đưa điều kiện lọc (ngày dữ liệu, trạng thái) vào subquery của từng bảng TRƯỚC khi join, để tận dụng partition pruning. Bảng dim nhỏ không partition thì không cần — tự tick Pass.</t>
        </is>
      </c>
      <c r="J1768" s="48" t="inlineStr">
        <is>
          <t>087. OCB_GOLD_TTDL_TBL_BPM_TCDV_LINH.xlsx [Script: TBL_BPM_TCDV]</t>
        </is>
      </c>
    </row>
    <row r="1769">
      <c r="A1769" s="48" t="inlineStr">
        <is>
          <t>GSTX.TBL_BPM_TCDV</t>
        </is>
      </c>
      <c r="B1769" s="48" t="inlineStr">
        <is>
          <t>SILVER_CONSUMER</t>
        </is>
      </c>
      <c r="C1769" s="48" t="inlineStr">
        <is>
          <t>3.4</t>
        </is>
      </c>
      <c r="D1769" s="48" t="inlineStr">
        <is>
          <t>Nhom 3 - Optimization</t>
        </is>
      </c>
      <c r="E1769" s="48" t="inlineStr">
        <is>
          <t>Sử dụng CACHE cho query lặp lại trong cùng luồng</t>
        </is>
      </c>
      <c r="F1769" s="48" t="inlineStr">
        <is>
          <t>N-A</t>
        </is>
      </c>
      <c r="G1769" s="48" t="inlineStr">
        <is>
          <t>Pass</t>
        </is>
      </c>
      <c r="H1769" s="50" t="inlineStr">
        <is>
          <t>không có kết quả nào được dùng lại nhiều lần nên chưa cần CACHE</t>
        </is>
      </c>
      <c r="I1769" s="50" t="inlineStr">
        <is>
          <t>Nếu một kết quả nặng được dùng lại nhiều bước trong cùng luồng, thêm CACHE TABLE / CACHE SELECT. Kết quả nhỏ thì cache còn chậm hơn — tự tick Pass.</t>
        </is>
      </c>
      <c r="J1769" s="48" t="inlineStr">
        <is>
          <t>087. OCB_GOLD_TTDL_TBL_BPM_TCDV_LINH.xlsx [Script: TBL_BPM_TCDV]</t>
        </is>
      </c>
    </row>
    <row r="1770">
      <c r="A1770" s="48" t="inlineStr">
        <is>
          <t>GSTX.TBL_BPM_TCDV</t>
        </is>
      </c>
      <c r="B1770" s="48" t="inlineStr">
        <is>
          <t>SILVER_CONSUMER</t>
        </is>
      </c>
      <c r="C1770" s="48" t="inlineStr">
        <is>
          <t>3.5</t>
        </is>
      </c>
      <c r="D1770" s="48" t="inlineStr">
        <is>
          <t>Nhom 3 - Optimization</t>
        </is>
      </c>
      <c r="E1770" s="48" t="inlineStr">
        <is>
          <t>Ưu tiên MAX_BY + QUALIFY thay ROW_NUMBER() + WHERE rn = 1</t>
        </is>
      </c>
      <c r="F1770" s="51" t="inlineStr">
        <is>
          <t>WARN</t>
        </is>
      </c>
      <c r="G1770" s="48" t="inlineStr">
        <is>
          <t>WARN</t>
        </is>
      </c>
      <c r="H1770" s="50" t="inlineStr">
        <is>
          <t>1 khối dùng MAX_BY độc lập cho &gt;5 cột (dòng 14, [13]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7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70" s="48" t="inlineStr">
        <is>
          <t>087. OCB_GOLD_TTDL_TBL_BPM_TCDV_LINH.xlsx [Script: TBL_BPM_TCDV]</t>
        </is>
      </c>
    </row>
    <row r="1771">
      <c r="A1771" s="48" t="inlineStr">
        <is>
          <t>GSTX.TBL_BPM_TCDV</t>
        </is>
      </c>
      <c r="B1771" s="48" t="inlineStr">
        <is>
          <t>SILVER_CONSUMER</t>
        </is>
      </c>
      <c r="C1771" s="48" t="inlineStr">
        <is>
          <t>3.6</t>
        </is>
      </c>
      <c r="D1771" s="48" t="inlineStr">
        <is>
          <t>Nhom 3 - Optimization</t>
        </is>
      </c>
      <c r="E1771" s="48" t="inlineStr">
        <is>
          <t>Không lạm dụng window function; có comment khi dùng</t>
        </is>
      </c>
      <c r="F1771" s="48" t="inlineStr">
        <is>
          <t>N-A</t>
        </is>
      </c>
      <c r="G1771" s="48" t="inlineStr">
        <is>
          <t>Pass</t>
        </is>
      </c>
      <c r="H1771" s="50" t="inlineStr">
        <is>
          <t>script không dùng window function</t>
        </is>
      </c>
      <c r="I1771" s="50" t="inlineStr">
        <is>
          <t>Mỗi window function cần một comment ngay trên khối CTE chứa nó, nói rõ vì sao không dùng được max_by/QUALIFY đơn giản hơn.</t>
        </is>
      </c>
      <c r="J1771" s="48" t="inlineStr">
        <is>
          <t>087. OCB_GOLD_TTDL_TBL_BPM_TCDV_LINH.xlsx [Script: TBL_BPM_TCDV]</t>
        </is>
      </c>
    </row>
    <row r="1772">
      <c r="A1772" s="48" t="inlineStr">
        <is>
          <t>GSTX.TBL_BPM_TCDV</t>
        </is>
      </c>
      <c r="B1772" s="48" t="inlineStr">
        <is>
          <t>SILVER_CONSUMER</t>
        </is>
      </c>
      <c r="C1772" s="48" t="inlineStr">
        <is>
          <t>X.1</t>
        </is>
      </c>
      <c r="D1772" s="48" t="inlineStr">
        <is>
          <t>Nhom X - Bo sung Raffles</t>
        </is>
      </c>
      <c r="E1772" s="48" t="inlineStr">
        <is>
          <t>[Bổ sung] Link phải rút về current trước khi join (chống fan-out)</t>
        </is>
      </c>
      <c r="F1772" s="49" t="inlineStr">
        <is>
          <t>PASS</t>
        </is>
      </c>
      <c r="G1772" s="48" t="inlineStr">
        <is>
          <t>Pass</t>
        </is>
      </c>
      <c r="H1772" s="50" t="inlineStr">
        <is>
          <t>các bảng link_* đều được rút về current trước khi join</t>
        </is>
      </c>
      <c r="I17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72" s="48" t="inlineStr">
        <is>
          <t>087. OCB_GOLD_TTDL_TBL_BPM_TCDV_LINH.xlsx [Script: TBL_BPM_TCDV]</t>
        </is>
      </c>
    </row>
    <row r="1773">
      <c r="A1773" s="48" t="inlineStr">
        <is>
          <t>GSTX.TBL_BPM_TCDV</t>
        </is>
      </c>
      <c r="B1773" s="48" t="inlineStr">
        <is>
          <t>SILVER_CONSUMER</t>
        </is>
      </c>
      <c r="C1773" s="48" t="inlineStr">
        <is>
          <t>X.6</t>
        </is>
      </c>
      <c r="D1773" s="48" t="inlineStr">
        <is>
          <t>Nhom X - Bo sung Raffles</t>
        </is>
      </c>
      <c r="E1773" s="48" t="inlineStr">
        <is>
          <t>[Bổ sung] Satellite phải LEFT JOIN, không INNER JOIN</t>
        </is>
      </c>
      <c r="F1773" s="49" t="inlineStr">
        <is>
          <t>PASS</t>
        </is>
      </c>
      <c r="G1773" s="48" t="inlineStr">
        <is>
          <t>Pass</t>
        </is>
      </c>
      <c r="H1773" s="50" t="inlineStr">
        <is>
          <t>các satellite đều LEFT JOIN</t>
        </is>
      </c>
      <c r="I1773" s="50" t="inlineStr">
        <is>
          <t>Technical Document III.4.2.2 nguyên tắc 1: làm giàu thuộc tính luôn dùng LEFT JOIN. INNER JOIN satellite sẽ loại mất bản ghi Hub đang còn hiệu lực nhưng chưa có dòng satellite.</t>
        </is>
      </c>
      <c r="J1773" s="48" t="inlineStr">
        <is>
          <t>087. OCB_GOLD_TTDL_TBL_BPM_TCDV_LINH.xlsx [Script: TBL_BPM_TCDV]</t>
        </is>
      </c>
    </row>
    <row r="1774">
      <c r="A1774" s="48" t="inlineStr">
        <is>
          <t>GSTX.TBL_BPM_TCDV</t>
        </is>
      </c>
      <c r="B1774" s="48" t="inlineStr">
        <is>
          <t>SILVER_CONSUMER</t>
        </is>
      </c>
      <c r="C1774" s="48" t="inlineStr">
        <is>
          <t>X.7</t>
        </is>
      </c>
      <c r="D1774" s="48" t="inlineStr">
        <is>
          <t>Nhom X - Bo sung Raffles</t>
        </is>
      </c>
      <c r="E1774" s="48" t="inlineStr">
        <is>
          <t>[Bổ sung] Không hard-code catalog, dùng biến môi trường</t>
        </is>
      </c>
      <c r="F1774" s="49" t="inlineStr">
        <is>
          <t>PASS</t>
        </is>
      </c>
      <c r="G1774" s="48" t="inlineStr">
        <is>
          <t>Pass</t>
        </is>
      </c>
      <c r="H1774" s="50" t="inlineStr">
        <is>
          <t>dùng biến môi trường cho catalog</t>
        </is>
      </c>
      <c r="I17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74" s="48" t="inlineStr">
        <is>
          <t>087. OCB_GOLD_TTDL_TBL_BPM_TCDV_LINH.xlsx [Script: TBL_BPM_TCDV]</t>
        </is>
      </c>
    </row>
    <row r="1775">
      <c r="A1775" s="48" t="inlineStr">
        <is>
          <t>GSTX.TBL_BPM_TCDV</t>
        </is>
      </c>
      <c r="B1775" s="48" t="inlineStr">
        <is>
          <t>SILVER_CONSUMER</t>
        </is>
      </c>
      <c r="C1775" s="48" t="inlineStr">
        <is>
          <t>X.10</t>
        </is>
      </c>
      <c r="D1775" s="48" t="inlineStr">
        <is>
          <t>Nhom X - Bo sung Raffles</t>
        </is>
      </c>
      <c r="E1775" s="48" t="inlineStr">
        <is>
          <t>Bang raw_vault/business_vault duoc doc phai TON TAI THAT trong Data Vault model</t>
        </is>
      </c>
      <c r="F1775" s="49" t="inlineStr">
        <is>
          <t>PASS</t>
        </is>
      </c>
      <c r="G1775" s="48" t="inlineStr">
        <is>
          <t>Pass</t>
        </is>
      </c>
      <c r="H1775" s="50" t="inlineStr">
        <is>
          <t>2 bảng Silver đều có thật trong Data Vault model</t>
        </is>
      </c>
      <c r="I1775" s="50" t="inlineStr"/>
      <c r="J1775" s="48" t="inlineStr">
        <is>
          <t>087. OCB_GOLD_TTDL_TBL_BPM_TCDV_LINH.xlsx [Script: TBL_BPM_TCDV]</t>
        </is>
      </c>
    </row>
    <row r="1776">
      <c r="A1776" s="48" t="inlineStr">
        <is>
          <t>GSTX.TBL_BPM_TCDV</t>
        </is>
      </c>
      <c r="B1776" s="48" t="inlineStr">
        <is>
          <t>SILVER_CONSUMER</t>
        </is>
      </c>
      <c r="C1776" s="48" t="inlineStr">
        <is>
          <t>X.11</t>
        </is>
      </c>
      <c r="D1776" s="48" t="inlineStr">
        <is>
          <t>Nhom X - Bo sung Raffles</t>
        </is>
      </c>
      <c r="E1776" s="48" t="inlineStr">
        <is>
          <t>Cot doc tu satellite (sat_*) phai TON TAI THAT trong model</t>
        </is>
      </c>
      <c r="F1776" s="49" t="inlineStr">
        <is>
          <t>PASS</t>
        </is>
      </c>
      <c r="G1776" s="48" t="inlineStr">
        <is>
          <t>Pass</t>
        </is>
      </c>
      <c r="H1776" s="50" t="inlineStr">
        <is>
          <t>mọi cột đọc từ sat_* đều tồn tại trong model thật</t>
        </is>
      </c>
      <c r="I1776" s="50" t="inlineStr"/>
      <c r="J1776" s="48" t="inlineStr">
        <is>
          <t>087. OCB_GOLD_TTDL_TBL_BPM_TCDV_LINH.xlsx [Script: TBL_BPM_TCDV]</t>
        </is>
      </c>
    </row>
    <row r="1777">
      <c r="A1777" s="48" t="inlineStr">
        <is>
          <t>GSTX.TBL_BPM_TCDV_KV</t>
        </is>
      </c>
      <c r="B1777" s="48" t="inlineStr">
        <is>
          <t>SILVER_CONSUMER</t>
        </is>
      </c>
      <c r="C1777" s="48" t="inlineStr">
        <is>
          <t>1.1</t>
        </is>
      </c>
      <c r="D1777" s="48" t="inlineStr">
        <is>
          <t>Nhom 1 - Mapping</t>
        </is>
      </c>
      <c r="E1777" s="48" t="inlineStr">
        <is>
          <t>Đầy đủ mapping từ Silver/manual sang Gold</t>
        </is>
      </c>
      <c r="F1777" s="49" t="inlineStr">
        <is>
          <t>PASS</t>
        </is>
      </c>
      <c r="G1777" s="48" t="inlineStr">
        <is>
          <t>Pass</t>
        </is>
      </c>
      <c r="H1777" s="50" t="inlineStr">
        <is>
          <t>workbook 088. OCB_GOLD_TTDL_TBL_BPM_TCDV_KV_LINH.xlsx: thiết kế 2 field, SQL có 2 cột</t>
        </is>
      </c>
      <c r="I17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77" s="48" t="inlineStr">
        <is>
          <t>088. OCB_GOLD_TTDL_TBL_BPM_TCDV_KV_LINH.xlsx [Script: TBL_BPM_TCDV_KV]</t>
        </is>
      </c>
    </row>
    <row r="1778">
      <c r="A1778" s="48" t="inlineStr">
        <is>
          <t>GSTX.TBL_BPM_TCDV_KV</t>
        </is>
      </c>
      <c r="B1778" s="48" t="inlineStr">
        <is>
          <t>SILVER_CONSUMER</t>
        </is>
      </c>
      <c r="C1778" s="48" t="inlineStr">
        <is>
          <t>1.2</t>
        </is>
      </c>
      <c r="D1778" s="48" t="inlineStr">
        <is>
          <t>Nhom 1 - Mapping</t>
        </is>
      </c>
      <c r="E1778" s="48" t="inlineStr">
        <is>
          <t>Danh sách bảng/view Gold khớp tài liệu thiết kế đã duyệt</t>
        </is>
      </c>
      <c r="F1778" s="49" t="inlineStr">
        <is>
          <t>PASS</t>
        </is>
      </c>
      <c r="G1778" s="48" t="inlineStr">
        <is>
          <t>Pass</t>
        </is>
      </c>
      <c r="H1778" s="50" t="inlineStr">
        <is>
          <t>TBL_BPM_TCDV_KV có workbook thiết kế: 088. OCB_GOLD_TTDL_TBL_BPM_TCDV_KV_LINH.xlsx</t>
        </is>
      </c>
      <c r="I1778" s="50" t="inlineStr">
        <is>
          <t>Đảm bảo object có workbook thiết kế tương ứng trong thư mục --mapping-dir. Muốn đối chiếu với danh sách đã duyệt thì chạy thêm tham số --gold-list "&lt;file danh sách Gold&gt;.xlsx".</t>
        </is>
      </c>
      <c r="J1778" s="48" t="inlineStr">
        <is>
          <t>088. OCB_GOLD_TTDL_TBL_BPM_TCDV_KV_LINH.xlsx [Script: TBL_BPM_TCDV_KV]</t>
        </is>
      </c>
    </row>
    <row r="1779">
      <c r="A1779" s="48" t="inlineStr">
        <is>
          <t>GSTX.TBL_BPM_TCDV_KV</t>
        </is>
      </c>
      <c r="B1779" s="48" t="inlineStr">
        <is>
          <t>SILVER_CONSUMER</t>
        </is>
      </c>
      <c r="C1779" s="48" t="inlineStr">
        <is>
          <t>2.1</t>
        </is>
      </c>
      <c r="D1779" s="48" t="inlineStr">
        <is>
          <t>Nhom 2 - Logic</t>
        </is>
      </c>
      <c r="E1779" s="48" t="inlineStr">
        <is>
          <t>Chỉ lấy bản ghi active, loại bản ghi đã xóa (qua sts_hub)</t>
        </is>
      </c>
      <c r="F1779" s="49" t="inlineStr">
        <is>
          <t>PASS</t>
        </is>
      </c>
      <c r="G1779" s="48" t="inlineStr">
        <is>
          <t>Pass</t>
        </is>
      </c>
      <c r="H1779" s="50" t="inlineStr">
        <is>
          <t>không dùng sts_hub_* (không có yêu cầu nghiệp vụ giữ bản ghi đã xóa)</t>
        </is>
      </c>
      <c r="I17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79" s="48" t="inlineStr">
        <is>
          <t>088. OCB_GOLD_TTDL_TBL_BPM_TCDV_KV_LINH.xlsx [Script: TBL_BPM_TCDV_KV]</t>
        </is>
      </c>
    </row>
    <row r="1780">
      <c r="A1780" s="48" t="inlineStr">
        <is>
          <t>GSTX.TBL_BPM_TCDV_KV</t>
        </is>
      </c>
      <c r="B1780" s="48" t="inlineStr">
        <is>
          <t>SILVER_CONSUMER</t>
        </is>
      </c>
      <c r="C1780" s="48" t="inlineStr">
        <is>
          <t>2.2</t>
        </is>
      </c>
      <c r="D1780" s="48" t="inlineStr">
        <is>
          <t>Nhom 2 - Logic</t>
        </is>
      </c>
      <c r="E1780" s="48" t="inlineStr">
        <is>
          <t>Thống nhất MỘT pattern duy nhất xác định bản ghi active mới nhất</t>
        </is>
      </c>
      <c r="F1780" s="49" t="inlineStr">
        <is>
          <t>PASS</t>
        </is>
      </c>
      <c r="G1780" s="48" t="inlineStr">
        <is>
          <t>Pass</t>
        </is>
      </c>
      <c r="H1780" s="50" t="inlineStr">
        <is>
          <t>file này dùng: ['MAX_BY']; toàn batch dùng: ['MAX_BY']</t>
        </is>
      </c>
      <c r="I17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780" s="48" t="inlineStr">
        <is>
          <t>088. OCB_GOLD_TTDL_TBL_BPM_TCDV_KV_LINH.xlsx [Script: TBL_BPM_TCDV_KV]</t>
        </is>
      </c>
    </row>
    <row r="1781">
      <c r="A1781" s="48" t="inlineStr">
        <is>
          <t>GSTX.TBL_BPM_TCDV_KV</t>
        </is>
      </c>
      <c r="B1781" s="48" t="inlineStr">
        <is>
          <t>SILVER_CONSUMER</t>
        </is>
      </c>
      <c r="C1781" s="48" t="inlineStr">
        <is>
          <t>2.3</t>
        </is>
      </c>
      <c r="D1781" s="48" t="inlineStr">
        <is>
          <t>Nhom 2 - Logic</t>
        </is>
      </c>
      <c r="E1781" s="48" t="inlineStr">
        <is>
          <t>Điều kiện lọc trạng thái đặt SAU khi xác định bản ghi mới nhất</t>
        </is>
      </c>
      <c r="F1781" s="49" t="inlineStr">
        <is>
          <t>PASS</t>
        </is>
      </c>
      <c r="G1781" s="48" t="inlineStr">
        <is>
          <t>Pass</t>
        </is>
      </c>
      <c r="H1781" s="50" t="inlineStr">
        <is>
          <t>không có điều kiện trạng thái nào lồng trong JOIN ON</t>
        </is>
      </c>
      <c r="I17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781" s="48" t="inlineStr">
        <is>
          <t>088. OCB_GOLD_TTDL_TBL_BPM_TCDV_KV_LINH.xlsx [Script: TBL_BPM_TCDV_KV]</t>
        </is>
      </c>
    </row>
    <row r="1782">
      <c r="A1782" s="48" t="inlineStr">
        <is>
          <t>GSTX.TBL_BPM_TCDV_KV</t>
        </is>
      </c>
      <c r="B1782" s="48" t="inlineStr">
        <is>
          <t>SILVER_CONSUMER</t>
        </is>
      </c>
      <c r="C1782" s="48" t="inlineStr">
        <is>
          <t>2.4</t>
        </is>
      </c>
      <c r="D1782" s="48" t="inlineStr">
        <is>
          <t>Nhom 2 - Logic</t>
        </is>
      </c>
      <c r="E1782" s="48" t="inlineStr">
        <is>
          <t>source_event_date áp dụng đúng dạng theo loại bảng</t>
        </is>
      </c>
      <c r="F1782" s="49" t="inlineStr">
        <is>
          <t>PASS</t>
        </is>
      </c>
      <c r="G1782" s="48" t="inlineStr">
        <is>
          <t>Pass</t>
        </is>
      </c>
      <c r="H1782" s="50" t="inlineStr">
        <is>
          <t>1 satellite đều đúng dạng điều kiện source_event_date</t>
        </is>
      </c>
      <c r="I17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782" s="48" t="inlineStr">
        <is>
          <t>088. OCB_GOLD_TTDL_TBL_BPM_TCDV_KV_LINH.xlsx [Script: TBL_BPM_TCDV_KV]</t>
        </is>
      </c>
    </row>
    <row r="1783">
      <c r="A1783" s="48" t="inlineStr">
        <is>
          <t>GSTX.TBL_BPM_TCDV_KV</t>
        </is>
      </c>
      <c r="B1783" s="48" t="inlineStr">
        <is>
          <t>SILVER_CONSUMER</t>
        </is>
      </c>
      <c r="C1783" s="48" t="inlineStr">
        <is>
          <t>2.5</t>
        </is>
      </c>
      <c r="D1783" s="48" t="inlineStr">
        <is>
          <t>Nhom 2 - Logic</t>
        </is>
      </c>
      <c r="E1783" s="48" t="inlineStr">
        <is>
          <t>Không lặp lại lỗi logic cũ đã được DA Data Vault fix</t>
        </is>
      </c>
      <c r="F1783" s="49" t="inlineStr">
        <is>
          <t>PASS</t>
        </is>
      </c>
      <c r="G1783" s="48" t="inlineStr">
        <is>
          <t>Pass</t>
        </is>
      </c>
      <c r="H1783" s="50" t="inlineStr">
        <is>
          <t>không trùng lỗi nào trong Issue log của DA Data Vault</t>
        </is>
      </c>
      <c r="I17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783" s="48" t="inlineStr">
        <is>
          <t>088. OCB_GOLD_TTDL_TBL_BPM_TCDV_KV_LINH.xlsx [Script: TBL_BPM_TCDV_KV]</t>
        </is>
      </c>
    </row>
    <row r="1784">
      <c r="A1784" s="48" t="inlineStr">
        <is>
          <t>GSTX.TBL_BPM_TCDV_KV</t>
        </is>
      </c>
      <c r="B1784" s="48" t="inlineStr">
        <is>
          <t>SILVER_CONSUMER</t>
        </is>
      </c>
      <c r="C1784" s="48" t="inlineStr">
        <is>
          <t>2.6</t>
        </is>
      </c>
      <c r="D1784" s="48" t="inlineStr">
        <is>
          <t>Nhom 2 - Logic</t>
        </is>
      </c>
      <c r="E1784" s="48" t="inlineStr">
        <is>
          <t>SCD Type 2 cho bảng DIM áp dụng đúng kỹ thuật đã thống nhất</t>
        </is>
      </c>
      <c r="F1784" s="48" t="inlineStr">
        <is>
          <t>N-A</t>
        </is>
      </c>
      <c r="G1784" s="48" t="inlineStr">
        <is>
          <t>Pass</t>
        </is>
      </c>
      <c r="H1784" s="50" t="inlineStr">
        <is>
          <t>object không phải bảng DIM nên không áp dụng SCD Type 2</t>
        </is>
      </c>
      <c r="I17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784" s="48" t="inlineStr">
        <is>
          <t>088. OCB_GOLD_TTDL_TBL_BPM_TCDV_KV_LINH.xlsx [Script: TBL_BPM_TCDV_KV]</t>
        </is>
      </c>
    </row>
    <row r="1785">
      <c r="A1785" s="48" t="inlineStr">
        <is>
          <t>GSTX.TBL_BPM_TCDV_KV</t>
        </is>
      </c>
      <c r="B1785" s="48" t="inlineStr">
        <is>
          <t>SILVER_CONSUMER</t>
        </is>
      </c>
      <c r="C1785" s="48" t="inlineStr">
        <is>
          <t>2.7</t>
        </is>
      </c>
      <c r="D1785" s="48" t="inlineStr">
        <is>
          <t>Nhom 2 - Logic</t>
        </is>
      </c>
      <c r="E1785" s="48" t="inlineStr">
        <is>
          <t>CASE WHEN cover đủ nhánh như job on-prem</t>
        </is>
      </c>
      <c r="F1785" s="48" t="inlineStr">
        <is>
          <t>N-A</t>
        </is>
      </c>
      <c r="G1785" s="48" t="inlineStr">
        <is>
          <t>Pass</t>
        </is>
      </c>
      <c r="H1785" s="50" t="inlineStr">
        <is>
          <t>script không có CASE WHEN nào</t>
        </is>
      </c>
      <c r="I1785" s="50" t="inlineStr">
        <is>
          <t>Mở job on-prem tương ứng (DataStage DSX hoặc SQL cũ), đối chiếu từng nhánh WHEN và cả nhánh ELSE. CASE không có ELSE sẽ trả NULL âm thầm — xác nhận đó là ý muốn hay thiếu nhánh.</t>
        </is>
      </c>
      <c r="J1785" s="48" t="inlineStr">
        <is>
          <t>088. OCB_GOLD_TTDL_TBL_BPM_TCDV_KV_LINH.xlsx [Script: TBL_BPM_TCDV_KV]</t>
        </is>
      </c>
    </row>
    <row r="1786">
      <c r="A1786" s="48" t="inlineStr">
        <is>
          <t>GSTX.TBL_BPM_TCDV_KV</t>
        </is>
      </c>
      <c r="B1786" s="48" t="inlineStr">
        <is>
          <t>SILVER_CONSUMER</t>
        </is>
      </c>
      <c r="C1786" s="48" t="inlineStr">
        <is>
          <t>2.8</t>
        </is>
      </c>
      <c r="D1786" s="48" t="inlineStr">
        <is>
          <t>Nhom 2 - Logic</t>
        </is>
      </c>
      <c r="E1786" s="48" t="inlineStr">
        <is>
          <t>Cột SUM/COUNT được COALESCE/NVL hợp lý</t>
        </is>
      </c>
      <c r="F1786" s="49" t="inlineStr">
        <is>
          <t>PASS</t>
        </is>
      </c>
      <c r="G1786" s="48" t="inlineStr">
        <is>
          <t>Pass</t>
        </is>
      </c>
      <c r="H1786" s="50" t="inlineStr">
        <is>
          <t>mọi SUM/COUNT đều đã coalesce (trực tiếp hoặc ở lớp ngoài)</t>
        </is>
      </c>
      <c r="I17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786" s="48" t="inlineStr">
        <is>
          <t>088. OCB_GOLD_TTDL_TBL_BPM_TCDV_KV_LINH.xlsx [Script: TBL_BPM_TCDV_KV]</t>
        </is>
      </c>
    </row>
    <row r="1787">
      <c r="A1787" s="48" t="inlineStr">
        <is>
          <t>GSTX.TBL_BPM_TCDV_KV</t>
        </is>
      </c>
      <c r="B1787" s="48" t="inlineStr">
        <is>
          <t>SILVER_CONSUMER</t>
        </is>
      </c>
      <c r="C1787" s="48" t="inlineStr">
        <is>
          <t>2.9</t>
        </is>
      </c>
      <c r="D1787" s="48" t="inlineStr">
        <is>
          <t>Nhom 2 - Logic</t>
        </is>
      </c>
      <c r="E1787" s="48" t="inlineStr">
        <is>
          <t>Subquery / custom function / điều kiện LIKE đúng ý nghĩa nghiệp vụ</t>
        </is>
      </c>
      <c r="F1787" s="48" t="inlineStr">
        <is>
          <t>N-A</t>
        </is>
      </c>
      <c r="G1787" s="48" t="inlineStr">
        <is>
          <t>Pass</t>
        </is>
      </c>
      <c r="H1787" s="50" t="inlineStr">
        <is>
          <t>script không có điều kiện LIKE hay scalar subquery nào</t>
        </is>
      </c>
      <c r="I1787" s="50" t="inlineStr">
        <is>
          <t>Đọc lại từng điều kiện LIKE và từng subquery, đối chiếu ý nghĩa nghiệp vụ với on-prem — đúng cú pháp không đủ. Chú ý pattern LIKE có ký tự % ở đầu/cuối và phân biệt chữ hoa/thường.</t>
        </is>
      </c>
      <c r="J1787" s="48" t="inlineStr">
        <is>
          <t>088. OCB_GOLD_TTDL_TBL_BPM_TCDV_KV_LINH.xlsx [Script: TBL_BPM_TCDV_KV]</t>
        </is>
      </c>
    </row>
    <row r="1788">
      <c r="A1788" s="48" t="inlineStr">
        <is>
          <t>GSTX.TBL_BPM_TCDV_KV</t>
        </is>
      </c>
      <c r="B1788" s="48" t="inlineStr">
        <is>
          <t>SILVER_CONSUMER</t>
        </is>
      </c>
      <c r="C1788" s="48" t="inlineStr">
        <is>
          <t>2.10</t>
        </is>
      </c>
      <c r="D1788" s="48" t="inlineStr">
        <is>
          <t>Nhom 2 - Logic</t>
        </is>
      </c>
      <c r="E1788" s="48" t="inlineStr">
        <is>
          <t>Aggregation kèm filter date range chính xác</t>
        </is>
      </c>
      <c r="F1788" s="49" t="inlineStr">
        <is>
          <t>PASS</t>
        </is>
      </c>
      <c r="G1788" s="48" t="inlineStr">
        <is>
          <t>Pass</t>
        </is>
      </c>
      <c r="H1788" s="50" t="inlineStr">
        <is>
          <t>mọi khối tổng hợp đều có điều kiện theo kỳ dữ liệu</t>
        </is>
      </c>
      <c r="I1788" s="50" t="inlineStr">
        <is>
          <t>Mỗi khối SUM/COUNT/AVG phải có điều kiện lọc theo kỳ dữ liệu (CDR_DT_ID, DATA_DATE, :DATADT…). Nếu điều kiện nằm ở CTE nguồn thì ghi rõ trong comment để người review không phải truy ngược.</t>
        </is>
      </c>
      <c r="J1788" s="48" t="inlineStr">
        <is>
          <t>088. OCB_GOLD_TTDL_TBL_BPM_TCDV_KV_LINH.xlsx [Script: TBL_BPM_TCDV_KV]</t>
        </is>
      </c>
    </row>
    <row r="1789">
      <c r="A1789" s="48" t="inlineStr">
        <is>
          <t>GSTX.TBL_BPM_TCDV_KV</t>
        </is>
      </c>
      <c r="B1789" s="48" t="inlineStr">
        <is>
          <t>SILVER_CONSUMER</t>
        </is>
      </c>
      <c r="C1789" s="48" t="inlineStr">
        <is>
          <t>2.11</t>
        </is>
      </c>
      <c r="D1789" s="48" t="inlineStr">
        <is>
          <t>Nhom 2 - Logic</t>
        </is>
      </c>
      <c r="E1789" s="48" t="inlineStr">
        <is>
          <t>Join dùng key hợp lý, không lạm dụng UNION ALL + EXISTS/NOT EXISTS</t>
        </is>
      </c>
      <c r="F1789" s="49" t="inlineStr">
        <is>
          <t>PASS</t>
        </is>
      </c>
      <c r="G1789" s="48" t="inlineStr">
        <is>
          <t>Pass</t>
        </is>
      </c>
      <c r="H1789" s="50" t="inlineStr">
        <is>
          <t>join đều theo điều kiện bằng, không lạm dụng UNION ALL + EXISTS</t>
        </is>
      </c>
      <c r="I1789" s="50" t="inlineStr">
        <is>
          <t>Ưu tiên LEFT JOIN theo business key hoặc hashkey. Xem lại các chỗ dùng UNION ALL kết hợp EXISTS/NOT EXISTS — thường thay được bằng một LEFT JOIN. Join không có điều kiện bằng (=) dễ tạo tích Descartes.</t>
        </is>
      </c>
      <c r="J1789" s="48" t="inlineStr">
        <is>
          <t>088. OCB_GOLD_TTDL_TBL_BPM_TCDV_KV_LINH.xlsx [Script: TBL_BPM_TCDV_KV]</t>
        </is>
      </c>
    </row>
    <row r="1790">
      <c r="A1790" s="48" t="inlineStr">
        <is>
          <t>GSTX.TBL_BPM_TCDV_KV</t>
        </is>
      </c>
      <c r="B1790" s="48" t="inlineStr">
        <is>
          <t>SILVER_CONSUMER</t>
        </is>
      </c>
      <c r="C1790" s="48" t="inlineStr">
        <is>
          <t>2.12</t>
        </is>
      </c>
      <c r="D1790" s="48" t="inlineStr">
        <is>
          <t>Nhom 2 - Logic</t>
        </is>
      </c>
      <c r="E1790" s="48" t="inlineStr">
        <is>
          <t>Build Gold từ CTE snapshot Silver, không build nhiều tầng chồng chéo</t>
        </is>
      </c>
      <c r="F1790" s="49" t="inlineStr">
        <is>
          <t>PASS</t>
        </is>
      </c>
      <c r="G1790" s="48" t="inlineStr">
        <is>
          <t>Pass</t>
        </is>
      </c>
      <c r="H1790" s="50" t="inlineStr">
        <is>
          <t>mỗi bảng nguồn chỉ đọc trong 1 khối SELECT</t>
        </is>
      </c>
      <c r="I17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790" s="48" t="inlineStr">
        <is>
          <t>088. OCB_GOLD_TTDL_TBL_BPM_TCDV_KV_LINH.xlsx [Script: TBL_BPM_TCDV_KV]</t>
        </is>
      </c>
    </row>
    <row r="1791">
      <c r="A1791" s="48" t="inlineStr">
        <is>
          <t>GSTX.TBL_BPM_TCDV_KV</t>
        </is>
      </c>
      <c r="B1791" s="48" t="inlineStr">
        <is>
          <t>SILVER_CONSUMER</t>
        </is>
      </c>
      <c r="C1791" s="48" t="inlineStr">
        <is>
          <t>3.1</t>
        </is>
      </c>
      <c r="D1791" s="48" t="inlineStr">
        <is>
          <t>Nhom 3 - Optimization</t>
        </is>
      </c>
      <c r="E1791" s="48" t="inlineStr">
        <is>
          <t>Không SELECT *</t>
        </is>
      </c>
      <c r="F1791" s="49" t="inlineStr">
        <is>
          <t>PASS</t>
        </is>
      </c>
      <c r="G1791" s="48" t="inlineStr">
        <is>
          <t>Pass</t>
        </is>
      </c>
      <c r="H1791" s="50" t="inlineStr">
        <is>
          <t>không dùng SELECT * ở đâu</t>
        </is>
      </c>
      <c r="I1791" s="50" t="inlineStr">
        <is>
          <t>Liệt kê tường minh các cột cần dùng, kể cả trong CTE trung gian. SELECT * làm tăng IO/memory và vỡ script khi bảng nguồn thêm cột.</t>
        </is>
      </c>
      <c r="J1791" s="48" t="inlineStr">
        <is>
          <t>088. OCB_GOLD_TTDL_TBL_BPM_TCDV_KV_LINH.xlsx [Script: TBL_BPM_TCDV_KV]</t>
        </is>
      </c>
    </row>
    <row r="1792">
      <c r="A1792" s="48" t="inlineStr">
        <is>
          <t>GSTX.TBL_BPM_TCDV_KV</t>
        </is>
      </c>
      <c r="B1792" s="48" t="inlineStr">
        <is>
          <t>SILVER_CONSUMER</t>
        </is>
      </c>
      <c r="C1792" s="48" t="inlineStr">
        <is>
          <t>3.2</t>
        </is>
      </c>
      <c r="D1792" s="48" t="inlineStr">
        <is>
          <t>Nhom 3 - Optimization</t>
        </is>
      </c>
      <c r="E1792" s="48" t="inlineStr">
        <is>
          <t>CTE không bị scan lại nhiều lần</t>
        </is>
      </c>
      <c r="F1792" s="49" t="inlineStr">
        <is>
          <t>PASS</t>
        </is>
      </c>
      <c r="G1792" s="48" t="inlineStr">
        <is>
          <t>Pass</t>
        </is>
      </c>
      <c r="H1792" s="50" t="inlineStr">
        <is>
          <t>không có CTE nào bị gọi lại</t>
        </is>
      </c>
      <c r="I1792" s="50" t="inlineStr">
        <is>
          <t>Với CTE nặng (đọc nhiều bảng Silver) bị tham chiếu từ 2 chỗ trở lên: gom lại còn một lần dùng, hoặc vật chất hóa (CACHE / bảng tạm). CTE nhẹ chỉ chứa tham số thì bỏ qua được — tự tick Pass.</t>
        </is>
      </c>
      <c r="J1792" s="48" t="inlineStr">
        <is>
          <t>088. OCB_GOLD_TTDL_TBL_BPM_TCDV_KV_LINH.xlsx [Script: TBL_BPM_TCDV_KV]</t>
        </is>
      </c>
    </row>
    <row r="1793">
      <c r="A1793" s="48" t="inlineStr">
        <is>
          <t>GSTX.TBL_BPM_TCDV_KV</t>
        </is>
      </c>
      <c r="B1793" s="48" t="inlineStr">
        <is>
          <t>SILVER_CONSUMER</t>
        </is>
      </c>
      <c r="C1793" s="48" t="inlineStr">
        <is>
          <t>3.3</t>
        </is>
      </c>
      <c r="D1793" s="48" t="inlineStr">
        <is>
          <t>Nhom 3 - Optimization</t>
        </is>
      </c>
      <c r="E1793" s="48" t="inlineStr">
        <is>
          <t>Filter trước khi join, tận dụng partition pruning</t>
        </is>
      </c>
      <c r="F1793" s="49" t="inlineStr">
        <is>
          <t>PASS</t>
        </is>
      </c>
      <c r="G1793" s="48" t="inlineStr">
        <is>
          <t>Pass</t>
        </is>
      </c>
      <c r="H1793" s="50" t="inlineStr">
        <is>
          <t>các bảng join đều được filter trước</t>
        </is>
      </c>
      <c r="I1793" s="50" t="inlineStr">
        <is>
          <t>Đưa điều kiện lọc (ngày dữ liệu, trạng thái) vào subquery của từng bảng TRƯỚC khi join, để tận dụng partition pruning. Bảng dim nhỏ không partition thì không cần — tự tick Pass.</t>
        </is>
      </c>
      <c r="J1793" s="48" t="inlineStr">
        <is>
          <t>088. OCB_GOLD_TTDL_TBL_BPM_TCDV_KV_LINH.xlsx [Script: TBL_BPM_TCDV_KV]</t>
        </is>
      </c>
    </row>
    <row r="1794">
      <c r="A1794" s="48" t="inlineStr">
        <is>
          <t>GSTX.TBL_BPM_TCDV_KV</t>
        </is>
      </c>
      <c r="B1794" s="48" t="inlineStr">
        <is>
          <t>SILVER_CONSUMER</t>
        </is>
      </c>
      <c r="C1794" s="48" t="inlineStr">
        <is>
          <t>3.4</t>
        </is>
      </c>
      <c r="D1794" s="48" t="inlineStr">
        <is>
          <t>Nhom 3 - Optimization</t>
        </is>
      </c>
      <c r="E1794" s="48" t="inlineStr">
        <is>
          <t>Sử dụng CACHE cho query lặp lại trong cùng luồng</t>
        </is>
      </c>
      <c r="F1794" s="48" t="inlineStr">
        <is>
          <t>N-A</t>
        </is>
      </c>
      <c r="G1794" s="48" t="inlineStr">
        <is>
          <t>Pass</t>
        </is>
      </c>
      <c r="H1794" s="50" t="inlineStr">
        <is>
          <t>không có kết quả nào được dùng lại nhiều lần nên chưa cần CACHE</t>
        </is>
      </c>
      <c r="I1794" s="50" t="inlineStr">
        <is>
          <t>Nếu một kết quả nặng được dùng lại nhiều bước trong cùng luồng, thêm CACHE TABLE / CACHE SELECT. Kết quả nhỏ thì cache còn chậm hơn — tự tick Pass.</t>
        </is>
      </c>
      <c r="J1794" s="48" t="inlineStr">
        <is>
          <t>088. OCB_GOLD_TTDL_TBL_BPM_TCDV_KV_LINH.xlsx [Script: TBL_BPM_TCDV_KV]</t>
        </is>
      </c>
    </row>
    <row r="1795">
      <c r="A1795" s="48" t="inlineStr">
        <is>
          <t>GSTX.TBL_BPM_TCDV_KV</t>
        </is>
      </c>
      <c r="B1795" s="48" t="inlineStr">
        <is>
          <t>SILVER_CONSUMER</t>
        </is>
      </c>
      <c r="C1795" s="48" t="inlineStr">
        <is>
          <t>3.5</t>
        </is>
      </c>
      <c r="D1795" s="48" t="inlineStr">
        <is>
          <t>Nhom 3 - Optimization</t>
        </is>
      </c>
      <c r="E1795" s="48" t="inlineStr">
        <is>
          <t>Ưu tiên MAX_BY + QUALIFY thay ROW_NUMBER() + WHERE rn = 1</t>
        </is>
      </c>
      <c r="F1795" s="48" t="inlineStr">
        <is>
          <t>N-A</t>
        </is>
      </c>
      <c r="G1795" s="48" t="inlineStr">
        <is>
          <t>Pass</t>
        </is>
      </c>
      <c r="H1795" s="50" t="inlineStr">
        <is>
          <t>script không dùng ROW_NUMBER, và MAX_BY (nếu có) không vượt quá 5 cột/khối</t>
        </is>
      </c>
      <c r="I17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95" s="48" t="inlineStr">
        <is>
          <t>088. OCB_GOLD_TTDL_TBL_BPM_TCDV_KV_LINH.xlsx [Script: TBL_BPM_TCDV_KV]</t>
        </is>
      </c>
    </row>
    <row r="1796">
      <c r="A1796" s="48" t="inlineStr">
        <is>
          <t>GSTX.TBL_BPM_TCDV_KV</t>
        </is>
      </c>
      <c r="B1796" s="48" t="inlineStr">
        <is>
          <t>SILVER_CONSUMER</t>
        </is>
      </c>
      <c r="C1796" s="48" t="inlineStr">
        <is>
          <t>3.6</t>
        </is>
      </c>
      <c r="D1796" s="48" t="inlineStr">
        <is>
          <t>Nhom 3 - Optimization</t>
        </is>
      </c>
      <c r="E1796" s="48" t="inlineStr">
        <is>
          <t>Không lạm dụng window function; có comment khi dùng</t>
        </is>
      </c>
      <c r="F1796" s="48" t="inlineStr">
        <is>
          <t>N-A</t>
        </is>
      </c>
      <c r="G1796" s="48" t="inlineStr">
        <is>
          <t>Pass</t>
        </is>
      </c>
      <c r="H1796" s="50" t="inlineStr">
        <is>
          <t>script không dùng window function</t>
        </is>
      </c>
      <c r="I1796" s="50" t="inlineStr">
        <is>
          <t>Mỗi window function cần một comment ngay trên khối CTE chứa nó, nói rõ vì sao không dùng được max_by/QUALIFY đơn giản hơn.</t>
        </is>
      </c>
      <c r="J1796" s="48" t="inlineStr">
        <is>
          <t>088. OCB_GOLD_TTDL_TBL_BPM_TCDV_KV_LINH.xlsx [Script: TBL_BPM_TCDV_KV]</t>
        </is>
      </c>
    </row>
    <row r="1797">
      <c r="A1797" s="48" t="inlineStr">
        <is>
          <t>GSTX.TBL_BPM_TCDV_KV</t>
        </is>
      </c>
      <c r="B1797" s="48" t="inlineStr">
        <is>
          <t>SILVER_CONSUMER</t>
        </is>
      </c>
      <c r="C1797" s="48" t="inlineStr">
        <is>
          <t>X.1</t>
        </is>
      </c>
      <c r="D1797" s="48" t="inlineStr">
        <is>
          <t>Nhom X - Bo sung Raffles</t>
        </is>
      </c>
      <c r="E1797" s="48" t="inlineStr">
        <is>
          <t>[Bổ sung] Link phải rút về current trước khi join (chống fan-out)</t>
        </is>
      </c>
      <c r="F1797" s="49" t="inlineStr">
        <is>
          <t>PASS</t>
        </is>
      </c>
      <c r="G1797" s="48" t="inlineStr">
        <is>
          <t>Pass</t>
        </is>
      </c>
      <c r="H1797" s="50" t="inlineStr">
        <is>
          <t>các bảng link_* đều được rút về current trước khi join</t>
        </is>
      </c>
      <c r="I17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97" s="48" t="inlineStr">
        <is>
          <t>088. OCB_GOLD_TTDL_TBL_BPM_TCDV_KV_LINH.xlsx [Script: TBL_BPM_TCDV_KV]</t>
        </is>
      </c>
    </row>
    <row r="1798">
      <c r="A1798" s="48" t="inlineStr">
        <is>
          <t>GSTX.TBL_BPM_TCDV_KV</t>
        </is>
      </c>
      <c r="B1798" s="48" t="inlineStr">
        <is>
          <t>SILVER_CONSUMER</t>
        </is>
      </c>
      <c r="C1798" s="48" t="inlineStr">
        <is>
          <t>X.6</t>
        </is>
      </c>
      <c r="D1798" s="48" t="inlineStr">
        <is>
          <t>Nhom X - Bo sung Raffles</t>
        </is>
      </c>
      <c r="E1798" s="48" t="inlineStr">
        <is>
          <t>[Bổ sung] Satellite phải LEFT JOIN, không INNER JOIN</t>
        </is>
      </c>
      <c r="F1798" s="49" t="inlineStr">
        <is>
          <t>PASS</t>
        </is>
      </c>
      <c r="G1798" s="48" t="inlineStr">
        <is>
          <t>Pass</t>
        </is>
      </c>
      <c r="H1798" s="50" t="inlineStr">
        <is>
          <t>các satellite đều LEFT JOIN</t>
        </is>
      </c>
      <c r="I1798" s="50" t="inlineStr">
        <is>
          <t>Technical Document III.4.2.2 nguyên tắc 1: làm giàu thuộc tính luôn dùng LEFT JOIN. INNER JOIN satellite sẽ loại mất bản ghi Hub đang còn hiệu lực nhưng chưa có dòng satellite.</t>
        </is>
      </c>
      <c r="J1798" s="48" t="inlineStr">
        <is>
          <t>088. OCB_GOLD_TTDL_TBL_BPM_TCDV_KV_LINH.xlsx [Script: TBL_BPM_TCDV_KV]</t>
        </is>
      </c>
    </row>
    <row r="1799">
      <c r="A1799" s="48" t="inlineStr">
        <is>
          <t>GSTX.TBL_BPM_TCDV_KV</t>
        </is>
      </c>
      <c r="B1799" s="48" t="inlineStr">
        <is>
          <t>SILVER_CONSUMER</t>
        </is>
      </c>
      <c r="C1799" s="48" t="inlineStr">
        <is>
          <t>X.7</t>
        </is>
      </c>
      <c r="D1799" s="48" t="inlineStr">
        <is>
          <t>Nhom X - Bo sung Raffles</t>
        </is>
      </c>
      <c r="E1799" s="48" t="inlineStr">
        <is>
          <t>[Bổ sung] Không hard-code catalog, dùng biến môi trường</t>
        </is>
      </c>
      <c r="F1799" s="49" t="inlineStr">
        <is>
          <t>PASS</t>
        </is>
      </c>
      <c r="G1799" s="48" t="inlineStr">
        <is>
          <t>Pass</t>
        </is>
      </c>
      <c r="H1799" s="50" t="inlineStr">
        <is>
          <t>dùng biến môi trường cho catalog</t>
        </is>
      </c>
      <c r="I17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99" s="48" t="inlineStr">
        <is>
          <t>088. OCB_GOLD_TTDL_TBL_BPM_TCDV_KV_LINH.xlsx [Script: TBL_BPM_TCDV_KV]</t>
        </is>
      </c>
    </row>
    <row r="1800">
      <c r="A1800" s="48" t="inlineStr">
        <is>
          <t>GSTX.TBL_BPM_TCDV_KV</t>
        </is>
      </c>
      <c r="B1800" s="48" t="inlineStr">
        <is>
          <t>SILVER_CONSUMER</t>
        </is>
      </c>
      <c r="C1800" s="48" t="inlineStr">
        <is>
          <t>X.10</t>
        </is>
      </c>
      <c r="D1800" s="48" t="inlineStr">
        <is>
          <t>Nhom X - Bo sung Raffles</t>
        </is>
      </c>
      <c r="E1800" s="48" t="inlineStr">
        <is>
          <t>Bang raw_vault/business_vault duoc doc phai TON TAI THAT trong Data Vault model</t>
        </is>
      </c>
      <c r="F1800" s="49" t="inlineStr">
        <is>
          <t>PASS</t>
        </is>
      </c>
      <c r="G1800" s="48" t="inlineStr">
        <is>
          <t>Pass</t>
        </is>
      </c>
      <c r="H1800" s="50" t="inlineStr">
        <is>
          <t>2 bảng Silver đều có thật trong Data Vault model</t>
        </is>
      </c>
      <c r="I1800" s="50" t="inlineStr"/>
      <c r="J1800" s="48" t="inlineStr">
        <is>
          <t>088. OCB_GOLD_TTDL_TBL_BPM_TCDV_KV_LINH.xlsx [Script: TBL_BPM_TCDV_KV]</t>
        </is>
      </c>
    </row>
    <row r="1801">
      <c r="A1801" s="48" t="inlineStr">
        <is>
          <t>GSTX.TBL_BPM_TCDV_KV</t>
        </is>
      </c>
      <c r="B1801" s="48" t="inlineStr">
        <is>
          <t>SILVER_CONSUMER</t>
        </is>
      </c>
      <c r="C1801" s="48" t="inlineStr">
        <is>
          <t>X.11</t>
        </is>
      </c>
      <c r="D1801" s="48" t="inlineStr">
        <is>
          <t>Nhom X - Bo sung Raffles</t>
        </is>
      </c>
      <c r="E1801" s="48" t="inlineStr">
        <is>
          <t>Cot doc tu satellite (sat_*) phai TON TAI THAT trong model</t>
        </is>
      </c>
      <c r="F1801" s="49" t="inlineStr">
        <is>
          <t>PASS</t>
        </is>
      </c>
      <c r="G1801" s="48" t="inlineStr">
        <is>
          <t>Pass</t>
        </is>
      </c>
      <c r="H1801" s="50" t="inlineStr">
        <is>
          <t>mọi cột đọc từ sat_* đều tồn tại trong model thật</t>
        </is>
      </c>
      <c r="I1801" s="50" t="inlineStr"/>
      <c r="J1801" s="48" t="inlineStr">
        <is>
          <t>088. OCB_GOLD_TTDL_TBL_BPM_TCDV_KV_LINH.xlsx [Script: TBL_BPM_TCDV_KV]</t>
        </is>
      </c>
    </row>
    <row r="1802">
      <c r="A1802" s="48" t="inlineStr">
        <is>
          <t>GSTX.TBL_BPM_TCDV_LINK</t>
        </is>
      </c>
      <c r="B1802" s="48" t="inlineStr">
        <is>
          <t>SILVER_CONSUMER</t>
        </is>
      </c>
      <c r="C1802" s="48" t="inlineStr">
        <is>
          <t>1.1</t>
        </is>
      </c>
      <c r="D1802" s="48" t="inlineStr">
        <is>
          <t>Nhom 1 - Mapping</t>
        </is>
      </c>
      <c r="E1802" s="48" t="inlineStr">
        <is>
          <t>Đầy đủ mapping từ Silver/manual sang Gold</t>
        </is>
      </c>
      <c r="F1802" s="49" t="inlineStr">
        <is>
          <t>PASS</t>
        </is>
      </c>
      <c r="G1802" s="48" t="inlineStr">
        <is>
          <t>Pass</t>
        </is>
      </c>
      <c r="H1802" s="50" t="inlineStr">
        <is>
          <t>workbook 089. OCB_GOLD_TTDL_TBL_BPM_TCDV_LINK_LINH.xlsx: thiết kế 3 field, SQL có 3 cột</t>
        </is>
      </c>
      <c r="I18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802" s="48" t="inlineStr">
        <is>
          <t>089. OCB_GOLD_TTDL_TBL_BPM_TCDV_LINK_LINH.xlsx [Script: TBL_BPM_TCDV_LINK]</t>
        </is>
      </c>
    </row>
    <row r="1803">
      <c r="A1803" s="48" t="inlineStr">
        <is>
          <t>GSTX.TBL_BPM_TCDV_LINK</t>
        </is>
      </c>
      <c r="B1803" s="48" t="inlineStr">
        <is>
          <t>SILVER_CONSUMER</t>
        </is>
      </c>
      <c r="C1803" s="48" t="inlineStr">
        <is>
          <t>1.2</t>
        </is>
      </c>
      <c r="D1803" s="48" t="inlineStr">
        <is>
          <t>Nhom 1 - Mapping</t>
        </is>
      </c>
      <c r="E1803" s="48" t="inlineStr">
        <is>
          <t>Danh sách bảng/view Gold khớp tài liệu thiết kế đã duyệt</t>
        </is>
      </c>
      <c r="F1803" s="49" t="inlineStr">
        <is>
          <t>PASS</t>
        </is>
      </c>
      <c r="G1803" s="48" t="inlineStr">
        <is>
          <t>Pass</t>
        </is>
      </c>
      <c r="H1803" s="50" t="inlineStr">
        <is>
          <t>TBL_BPM_TCDV_LINK có workbook thiết kế: 089. OCB_GOLD_TTDL_TBL_BPM_TCDV_LINK_LINH.xlsx</t>
        </is>
      </c>
      <c r="I1803" s="50" t="inlineStr">
        <is>
          <t>Đảm bảo object có workbook thiết kế tương ứng trong thư mục --mapping-dir. Muốn đối chiếu với danh sách đã duyệt thì chạy thêm tham số --gold-list "&lt;file danh sách Gold&gt;.xlsx".</t>
        </is>
      </c>
      <c r="J1803" s="48" t="inlineStr">
        <is>
          <t>089. OCB_GOLD_TTDL_TBL_BPM_TCDV_LINK_LINH.xlsx [Script: TBL_BPM_TCDV_LINK]</t>
        </is>
      </c>
    </row>
    <row r="1804">
      <c r="A1804" s="48" t="inlineStr">
        <is>
          <t>GSTX.TBL_BPM_TCDV_LINK</t>
        </is>
      </c>
      <c r="B1804" s="48" t="inlineStr">
        <is>
          <t>SILVER_CONSUMER</t>
        </is>
      </c>
      <c r="C1804" s="48" t="inlineStr">
        <is>
          <t>2.1</t>
        </is>
      </c>
      <c r="D1804" s="48" t="inlineStr">
        <is>
          <t>Nhom 2 - Logic</t>
        </is>
      </c>
      <c r="E1804" s="48" t="inlineStr">
        <is>
          <t>Chỉ lấy bản ghi active, loại bản ghi đã xóa (qua sts_hub)</t>
        </is>
      </c>
      <c r="F1804" s="49" t="inlineStr">
        <is>
          <t>PASS</t>
        </is>
      </c>
      <c r="G1804" s="48" t="inlineStr">
        <is>
          <t>Pass</t>
        </is>
      </c>
      <c r="H1804" s="50" t="inlineStr">
        <is>
          <t>không dùng sts_hub_* (không có yêu cầu nghiệp vụ giữ bản ghi đã xóa)</t>
        </is>
      </c>
      <c r="I18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804" s="48" t="inlineStr">
        <is>
          <t>089. OCB_GOLD_TTDL_TBL_BPM_TCDV_LINK_LINH.xlsx [Script: TBL_BPM_TCDV_LINK]</t>
        </is>
      </c>
    </row>
    <row r="1805">
      <c r="A1805" s="48" t="inlineStr">
        <is>
          <t>GSTX.TBL_BPM_TCDV_LINK</t>
        </is>
      </c>
      <c r="B1805" s="48" t="inlineStr">
        <is>
          <t>SILVER_CONSUMER</t>
        </is>
      </c>
      <c r="C1805" s="48" t="inlineStr">
        <is>
          <t>2.2</t>
        </is>
      </c>
      <c r="D1805" s="48" t="inlineStr">
        <is>
          <t>Nhom 2 - Logic</t>
        </is>
      </c>
      <c r="E1805" s="48" t="inlineStr">
        <is>
          <t>Thống nhất MỘT pattern duy nhất xác định bản ghi active mới nhất</t>
        </is>
      </c>
      <c r="F1805" s="49" t="inlineStr">
        <is>
          <t>PASS</t>
        </is>
      </c>
      <c r="G1805" s="48" t="inlineStr">
        <is>
          <t>Pass</t>
        </is>
      </c>
      <c r="H1805" s="50" t="inlineStr">
        <is>
          <t>file này dùng: ['MAX_BY']; toàn batch dùng: ['MAX_BY']</t>
        </is>
      </c>
      <c r="I18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05" s="48" t="inlineStr">
        <is>
          <t>089. OCB_GOLD_TTDL_TBL_BPM_TCDV_LINK_LINH.xlsx [Script: TBL_BPM_TCDV_LINK]</t>
        </is>
      </c>
    </row>
    <row r="1806">
      <c r="A1806" s="48" t="inlineStr">
        <is>
          <t>GSTX.TBL_BPM_TCDV_LINK</t>
        </is>
      </c>
      <c r="B1806" s="48" t="inlineStr">
        <is>
          <t>SILVER_CONSUMER</t>
        </is>
      </c>
      <c r="C1806" s="48" t="inlineStr">
        <is>
          <t>2.3</t>
        </is>
      </c>
      <c r="D1806" s="48" t="inlineStr">
        <is>
          <t>Nhom 2 - Logic</t>
        </is>
      </c>
      <c r="E1806" s="48" t="inlineStr">
        <is>
          <t>Điều kiện lọc trạng thái đặt SAU khi xác định bản ghi mới nhất</t>
        </is>
      </c>
      <c r="F1806" s="49" t="inlineStr">
        <is>
          <t>PASS</t>
        </is>
      </c>
      <c r="G1806" s="48" t="inlineStr">
        <is>
          <t>Pass</t>
        </is>
      </c>
      <c r="H1806" s="50" t="inlineStr">
        <is>
          <t>không có điều kiện trạng thái nào lồng trong JOIN ON</t>
        </is>
      </c>
      <c r="I18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06" s="48" t="inlineStr">
        <is>
          <t>089. OCB_GOLD_TTDL_TBL_BPM_TCDV_LINK_LINH.xlsx [Script: TBL_BPM_TCDV_LINK]</t>
        </is>
      </c>
    </row>
    <row r="1807">
      <c r="A1807" s="48" t="inlineStr">
        <is>
          <t>GSTX.TBL_BPM_TCDV_LINK</t>
        </is>
      </c>
      <c r="B1807" s="48" t="inlineStr">
        <is>
          <t>SILVER_CONSUMER</t>
        </is>
      </c>
      <c r="C1807" s="48" t="inlineStr">
        <is>
          <t>2.4</t>
        </is>
      </c>
      <c r="D1807" s="48" t="inlineStr">
        <is>
          <t>Nhom 2 - Logic</t>
        </is>
      </c>
      <c r="E1807" s="48" t="inlineStr">
        <is>
          <t>source_event_date áp dụng đúng dạng theo loại bảng</t>
        </is>
      </c>
      <c r="F1807" s="49" t="inlineStr">
        <is>
          <t>PASS</t>
        </is>
      </c>
      <c r="G1807" s="48" t="inlineStr">
        <is>
          <t>Pass</t>
        </is>
      </c>
      <c r="H1807" s="50" t="inlineStr">
        <is>
          <t>1 satellite đều đúng dạng điều kiện source_event_date</t>
        </is>
      </c>
      <c r="I18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07" s="48" t="inlineStr">
        <is>
          <t>089. OCB_GOLD_TTDL_TBL_BPM_TCDV_LINK_LINH.xlsx [Script: TBL_BPM_TCDV_LINK]</t>
        </is>
      </c>
    </row>
    <row r="1808">
      <c r="A1808" s="48" t="inlineStr">
        <is>
          <t>GSTX.TBL_BPM_TCDV_LINK</t>
        </is>
      </c>
      <c r="B1808" s="48" t="inlineStr">
        <is>
          <t>SILVER_CONSUMER</t>
        </is>
      </c>
      <c r="C1808" s="48" t="inlineStr">
        <is>
          <t>2.5</t>
        </is>
      </c>
      <c r="D1808" s="48" t="inlineStr">
        <is>
          <t>Nhom 2 - Logic</t>
        </is>
      </c>
      <c r="E1808" s="48" t="inlineStr">
        <is>
          <t>Không lặp lại lỗi logic cũ đã được DA Data Vault fix</t>
        </is>
      </c>
      <c r="F1808" s="49" t="inlineStr">
        <is>
          <t>PASS</t>
        </is>
      </c>
      <c r="G1808" s="48" t="inlineStr">
        <is>
          <t>Pass</t>
        </is>
      </c>
      <c r="H1808" s="50" t="inlineStr">
        <is>
          <t>không trùng lỗi nào trong Issue log của DA Data Vault</t>
        </is>
      </c>
      <c r="I18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08" s="48" t="inlineStr">
        <is>
          <t>089. OCB_GOLD_TTDL_TBL_BPM_TCDV_LINK_LINH.xlsx [Script: TBL_BPM_TCDV_LINK]</t>
        </is>
      </c>
    </row>
    <row r="1809">
      <c r="A1809" s="48" t="inlineStr">
        <is>
          <t>GSTX.TBL_BPM_TCDV_LINK</t>
        </is>
      </c>
      <c r="B1809" s="48" t="inlineStr">
        <is>
          <t>SILVER_CONSUMER</t>
        </is>
      </c>
      <c r="C1809" s="48" t="inlineStr">
        <is>
          <t>2.6</t>
        </is>
      </c>
      <c r="D1809" s="48" t="inlineStr">
        <is>
          <t>Nhom 2 - Logic</t>
        </is>
      </c>
      <c r="E1809" s="48" t="inlineStr">
        <is>
          <t>SCD Type 2 cho bảng DIM áp dụng đúng kỹ thuật đã thống nhất</t>
        </is>
      </c>
      <c r="F1809" s="48" t="inlineStr">
        <is>
          <t>N-A</t>
        </is>
      </c>
      <c r="G1809" s="48" t="inlineStr">
        <is>
          <t>Pass</t>
        </is>
      </c>
      <c r="H1809" s="50" t="inlineStr">
        <is>
          <t>object không phải bảng DIM nên không áp dụng SCD Type 2</t>
        </is>
      </c>
      <c r="I18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09" s="48" t="inlineStr">
        <is>
          <t>089. OCB_GOLD_TTDL_TBL_BPM_TCDV_LINK_LINH.xlsx [Script: TBL_BPM_TCDV_LINK]</t>
        </is>
      </c>
    </row>
    <row r="1810">
      <c r="A1810" s="48" t="inlineStr">
        <is>
          <t>GSTX.TBL_BPM_TCDV_LINK</t>
        </is>
      </c>
      <c r="B1810" s="48" t="inlineStr">
        <is>
          <t>SILVER_CONSUMER</t>
        </is>
      </c>
      <c r="C1810" s="48" t="inlineStr">
        <is>
          <t>2.7</t>
        </is>
      </c>
      <c r="D1810" s="48" t="inlineStr">
        <is>
          <t>Nhom 2 - Logic</t>
        </is>
      </c>
      <c r="E1810" s="48" t="inlineStr">
        <is>
          <t>CASE WHEN cover đủ nhánh như job on-prem</t>
        </is>
      </c>
      <c r="F1810" s="48" t="inlineStr">
        <is>
          <t>N-A</t>
        </is>
      </c>
      <c r="G1810" s="48" t="inlineStr">
        <is>
          <t>Pass</t>
        </is>
      </c>
      <c r="H1810" s="50" t="inlineStr">
        <is>
          <t>script không có CASE WHEN nào</t>
        </is>
      </c>
      <c r="I1810" s="50" t="inlineStr">
        <is>
          <t>Mở job on-prem tương ứng (DataStage DSX hoặc SQL cũ), đối chiếu từng nhánh WHEN và cả nhánh ELSE. CASE không có ELSE sẽ trả NULL âm thầm — xác nhận đó là ý muốn hay thiếu nhánh.</t>
        </is>
      </c>
      <c r="J1810" s="48" t="inlineStr">
        <is>
          <t>089. OCB_GOLD_TTDL_TBL_BPM_TCDV_LINK_LINH.xlsx [Script: TBL_BPM_TCDV_LINK]</t>
        </is>
      </c>
    </row>
    <row r="1811">
      <c r="A1811" s="48" t="inlineStr">
        <is>
          <t>GSTX.TBL_BPM_TCDV_LINK</t>
        </is>
      </c>
      <c r="B1811" s="48" t="inlineStr">
        <is>
          <t>SILVER_CONSUMER</t>
        </is>
      </c>
      <c r="C1811" s="48" t="inlineStr">
        <is>
          <t>2.8</t>
        </is>
      </c>
      <c r="D1811" s="48" t="inlineStr">
        <is>
          <t>Nhom 2 - Logic</t>
        </is>
      </c>
      <c r="E1811" s="48" t="inlineStr">
        <is>
          <t>Cột SUM/COUNT được COALESCE/NVL hợp lý</t>
        </is>
      </c>
      <c r="F1811" s="49" t="inlineStr">
        <is>
          <t>PASS</t>
        </is>
      </c>
      <c r="G1811" s="48" t="inlineStr">
        <is>
          <t>Pass</t>
        </is>
      </c>
      <c r="H1811" s="50" t="inlineStr">
        <is>
          <t>mọi SUM/COUNT đều đã coalesce (trực tiếp hoặc ở lớp ngoài)</t>
        </is>
      </c>
      <c r="I18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11" s="48" t="inlineStr">
        <is>
          <t>089. OCB_GOLD_TTDL_TBL_BPM_TCDV_LINK_LINH.xlsx [Script: TBL_BPM_TCDV_LINK]</t>
        </is>
      </c>
    </row>
    <row r="1812">
      <c r="A1812" s="48" t="inlineStr">
        <is>
          <t>GSTX.TBL_BPM_TCDV_LINK</t>
        </is>
      </c>
      <c r="B1812" s="48" t="inlineStr">
        <is>
          <t>SILVER_CONSUMER</t>
        </is>
      </c>
      <c r="C1812" s="48" t="inlineStr">
        <is>
          <t>2.9</t>
        </is>
      </c>
      <c r="D1812" s="48" t="inlineStr">
        <is>
          <t>Nhom 2 - Logic</t>
        </is>
      </c>
      <c r="E1812" s="48" t="inlineStr">
        <is>
          <t>Subquery / custom function / điều kiện LIKE đúng ý nghĩa nghiệp vụ</t>
        </is>
      </c>
      <c r="F1812" s="48" t="inlineStr">
        <is>
          <t>N-A</t>
        </is>
      </c>
      <c r="G1812" s="48" t="inlineStr">
        <is>
          <t>Pass</t>
        </is>
      </c>
      <c r="H1812" s="50" t="inlineStr">
        <is>
          <t>script không có điều kiện LIKE hay scalar subquery nào</t>
        </is>
      </c>
      <c r="I1812" s="50" t="inlineStr">
        <is>
          <t>Đọc lại từng điều kiện LIKE và từng subquery, đối chiếu ý nghĩa nghiệp vụ với on-prem — đúng cú pháp không đủ. Chú ý pattern LIKE có ký tự % ở đầu/cuối và phân biệt chữ hoa/thường.</t>
        </is>
      </c>
      <c r="J1812" s="48" t="inlineStr">
        <is>
          <t>089. OCB_GOLD_TTDL_TBL_BPM_TCDV_LINK_LINH.xlsx [Script: TBL_BPM_TCDV_LINK]</t>
        </is>
      </c>
    </row>
    <row r="1813">
      <c r="A1813" s="48" t="inlineStr">
        <is>
          <t>GSTX.TBL_BPM_TCDV_LINK</t>
        </is>
      </c>
      <c r="B1813" s="48" t="inlineStr">
        <is>
          <t>SILVER_CONSUMER</t>
        </is>
      </c>
      <c r="C1813" s="48" t="inlineStr">
        <is>
          <t>2.10</t>
        </is>
      </c>
      <c r="D1813" s="48" t="inlineStr">
        <is>
          <t>Nhom 2 - Logic</t>
        </is>
      </c>
      <c r="E1813" s="48" t="inlineStr">
        <is>
          <t>Aggregation kèm filter date range chính xác</t>
        </is>
      </c>
      <c r="F1813" s="49" t="inlineStr">
        <is>
          <t>PASS</t>
        </is>
      </c>
      <c r="G1813" s="48" t="inlineStr">
        <is>
          <t>Pass</t>
        </is>
      </c>
      <c r="H1813" s="50" t="inlineStr">
        <is>
          <t>mọi khối tổng hợp đều có điều kiện theo kỳ dữ liệu</t>
        </is>
      </c>
      <c r="I1813" s="50" t="inlineStr">
        <is>
          <t>Mỗi khối SUM/COUNT/AVG phải có điều kiện lọc theo kỳ dữ liệu (CDR_DT_ID, DATA_DATE, :DATADT…). Nếu điều kiện nằm ở CTE nguồn thì ghi rõ trong comment để người review không phải truy ngược.</t>
        </is>
      </c>
      <c r="J1813" s="48" t="inlineStr">
        <is>
          <t>089. OCB_GOLD_TTDL_TBL_BPM_TCDV_LINK_LINH.xlsx [Script: TBL_BPM_TCDV_LINK]</t>
        </is>
      </c>
    </row>
    <row r="1814">
      <c r="A1814" s="48" t="inlineStr">
        <is>
          <t>GSTX.TBL_BPM_TCDV_LINK</t>
        </is>
      </c>
      <c r="B1814" s="48" t="inlineStr">
        <is>
          <t>SILVER_CONSUMER</t>
        </is>
      </c>
      <c r="C1814" s="48" t="inlineStr">
        <is>
          <t>2.11</t>
        </is>
      </c>
      <c r="D1814" s="48" t="inlineStr">
        <is>
          <t>Nhom 2 - Logic</t>
        </is>
      </c>
      <c r="E1814" s="48" t="inlineStr">
        <is>
          <t>Join dùng key hợp lý, không lạm dụng UNION ALL + EXISTS/NOT EXISTS</t>
        </is>
      </c>
      <c r="F1814" s="49" t="inlineStr">
        <is>
          <t>PASS</t>
        </is>
      </c>
      <c r="G1814" s="48" t="inlineStr">
        <is>
          <t>Pass</t>
        </is>
      </c>
      <c r="H1814" s="50" t="inlineStr">
        <is>
          <t>join đều theo điều kiện bằng, không lạm dụng UNION ALL + EXISTS</t>
        </is>
      </c>
      <c r="I1814" s="50" t="inlineStr">
        <is>
          <t>Ưu tiên LEFT JOIN theo business key hoặc hashkey. Xem lại các chỗ dùng UNION ALL kết hợp EXISTS/NOT EXISTS — thường thay được bằng một LEFT JOIN. Join không có điều kiện bằng (=) dễ tạo tích Descartes.</t>
        </is>
      </c>
      <c r="J1814" s="48" t="inlineStr">
        <is>
          <t>089. OCB_GOLD_TTDL_TBL_BPM_TCDV_LINK_LINH.xlsx [Script: TBL_BPM_TCDV_LINK]</t>
        </is>
      </c>
    </row>
    <row r="1815">
      <c r="A1815" s="48" t="inlineStr">
        <is>
          <t>GSTX.TBL_BPM_TCDV_LINK</t>
        </is>
      </c>
      <c r="B1815" s="48" t="inlineStr">
        <is>
          <t>SILVER_CONSUMER</t>
        </is>
      </c>
      <c r="C1815" s="48" t="inlineStr">
        <is>
          <t>2.12</t>
        </is>
      </c>
      <c r="D1815" s="48" t="inlineStr">
        <is>
          <t>Nhom 2 - Logic</t>
        </is>
      </c>
      <c r="E1815" s="48" t="inlineStr">
        <is>
          <t>Build Gold từ CTE snapshot Silver, không build nhiều tầng chồng chéo</t>
        </is>
      </c>
      <c r="F1815" s="49" t="inlineStr">
        <is>
          <t>PASS</t>
        </is>
      </c>
      <c r="G1815" s="48" t="inlineStr">
        <is>
          <t>Pass</t>
        </is>
      </c>
      <c r="H1815" s="50" t="inlineStr">
        <is>
          <t>mỗi bảng nguồn chỉ đọc trong 1 khối SELECT</t>
        </is>
      </c>
      <c r="I18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815" s="48" t="inlineStr">
        <is>
          <t>089. OCB_GOLD_TTDL_TBL_BPM_TCDV_LINK_LINH.xlsx [Script: TBL_BPM_TCDV_LINK]</t>
        </is>
      </c>
    </row>
    <row r="1816">
      <c r="A1816" s="48" t="inlineStr">
        <is>
          <t>GSTX.TBL_BPM_TCDV_LINK</t>
        </is>
      </c>
      <c r="B1816" s="48" t="inlineStr">
        <is>
          <t>SILVER_CONSUMER</t>
        </is>
      </c>
      <c r="C1816" s="48" t="inlineStr">
        <is>
          <t>3.1</t>
        </is>
      </c>
      <c r="D1816" s="48" t="inlineStr">
        <is>
          <t>Nhom 3 - Optimization</t>
        </is>
      </c>
      <c r="E1816" s="48" t="inlineStr">
        <is>
          <t>Không SELECT *</t>
        </is>
      </c>
      <c r="F1816" s="49" t="inlineStr">
        <is>
          <t>PASS</t>
        </is>
      </c>
      <c r="G1816" s="48" t="inlineStr">
        <is>
          <t>Pass</t>
        </is>
      </c>
      <c r="H1816" s="50" t="inlineStr">
        <is>
          <t>không dùng SELECT * ở đâu</t>
        </is>
      </c>
      <c r="I1816" s="50" t="inlineStr">
        <is>
          <t>Liệt kê tường minh các cột cần dùng, kể cả trong CTE trung gian. SELECT * làm tăng IO/memory và vỡ script khi bảng nguồn thêm cột.</t>
        </is>
      </c>
      <c r="J1816" s="48" t="inlineStr">
        <is>
          <t>089. OCB_GOLD_TTDL_TBL_BPM_TCDV_LINK_LINH.xlsx [Script: TBL_BPM_TCDV_LINK]</t>
        </is>
      </c>
    </row>
    <row r="1817">
      <c r="A1817" s="48" t="inlineStr">
        <is>
          <t>GSTX.TBL_BPM_TCDV_LINK</t>
        </is>
      </c>
      <c r="B1817" s="48" t="inlineStr">
        <is>
          <t>SILVER_CONSUMER</t>
        </is>
      </c>
      <c r="C1817" s="48" t="inlineStr">
        <is>
          <t>3.2</t>
        </is>
      </c>
      <c r="D1817" s="48" t="inlineStr">
        <is>
          <t>Nhom 3 - Optimization</t>
        </is>
      </c>
      <c r="E1817" s="48" t="inlineStr">
        <is>
          <t>CTE không bị scan lại nhiều lần</t>
        </is>
      </c>
      <c r="F1817" s="49" t="inlineStr">
        <is>
          <t>PASS</t>
        </is>
      </c>
      <c r="G1817" s="48" t="inlineStr">
        <is>
          <t>Pass</t>
        </is>
      </c>
      <c r="H1817" s="50" t="inlineStr">
        <is>
          <t>không có CTE nào bị gọi lại</t>
        </is>
      </c>
      <c r="I1817" s="50" t="inlineStr">
        <is>
          <t>Với CTE nặng (đọc nhiều bảng Silver) bị tham chiếu từ 2 chỗ trở lên: gom lại còn một lần dùng, hoặc vật chất hóa (CACHE / bảng tạm). CTE nhẹ chỉ chứa tham số thì bỏ qua được — tự tick Pass.</t>
        </is>
      </c>
      <c r="J1817" s="48" t="inlineStr">
        <is>
          <t>089. OCB_GOLD_TTDL_TBL_BPM_TCDV_LINK_LINH.xlsx [Script: TBL_BPM_TCDV_LINK]</t>
        </is>
      </c>
    </row>
    <row r="1818">
      <c r="A1818" s="48" t="inlineStr">
        <is>
          <t>GSTX.TBL_BPM_TCDV_LINK</t>
        </is>
      </c>
      <c r="B1818" s="48" t="inlineStr">
        <is>
          <t>SILVER_CONSUMER</t>
        </is>
      </c>
      <c r="C1818" s="48" t="inlineStr">
        <is>
          <t>3.3</t>
        </is>
      </c>
      <c r="D1818" s="48" t="inlineStr">
        <is>
          <t>Nhom 3 - Optimization</t>
        </is>
      </c>
      <c r="E1818" s="48" t="inlineStr">
        <is>
          <t>Filter trước khi join, tận dụng partition pruning</t>
        </is>
      </c>
      <c r="F1818" s="49" t="inlineStr">
        <is>
          <t>PASS</t>
        </is>
      </c>
      <c r="G1818" s="48" t="inlineStr">
        <is>
          <t>Pass</t>
        </is>
      </c>
      <c r="H1818" s="50" t="inlineStr">
        <is>
          <t>các bảng join đều được filter trước</t>
        </is>
      </c>
      <c r="I1818" s="50" t="inlineStr">
        <is>
          <t>Đưa điều kiện lọc (ngày dữ liệu, trạng thái) vào subquery của từng bảng TRƯỚC khi join, để tận dụng partition pruning. Bảng dim nhỏ không partition thì không cần — tự tick Pass.</t>
        </is>
      </c>
      <c r="J1818" s="48" t="inlineStr">
        <is>
          <t>089. OCB_GOLD_TTDL_TBL_BPM_TCDV_LINK_LINH.xlsx [Script: TBL_BPM_TCDV_LINK]</t>
        </is>
      </c>
    </row>
    <row r="1819">
      <c r="A1819" s="48" t="inlineStr">
        <is>
          <t>GSTX.TBL_BPM_TCDV_LINK</t>
        </is>
      </c>
      <c r="B1819" s="48" t="inlineStr">
        <is>
          <t>SILVER_CONSUMER</t>
        </is>
      </c>
      <c r="C1819" s="48" t="inlineStr">
        <is>
          <t>3.4</t>
        </is>
      </c>
      <c r="D1819" s="48" t="inlineStr">
        <is>
          <t>Nhom 3 - Optimization</t>
        </is>
      </c>
      <c r="E1819" s="48" t="inlineStr">
        <is>
          <t>Sử dụng CACHE cho query lặp lại trong cùng luồng</t>
        </is>
      </c>
      <c r="F1819" s="48" t="inlineStr">
        <is>
          <t>N-A</t>
        </is>
      </c>
      <c r="G1819" s="48" t="inlineStr">
        <is>
          <t>Pass</t>
        </is>
      </c>
      <c r="H1819" s="50" t="inlineStr">
        <is>
          <t>không có kết quả nào được dùng lại nhiều lần nên chưa cần CACHE</t>
        </is>
      </c>
      <c r="I1819" s="50" t="inlineStr">
        <is>
          <t>Nếu một kết quả nặng được dùng lại nhiều bước trong cùng luồng, thêm CACHE TABLE / CACHE SELECT. Kết quả nhỏ thì cache còn chậm hơn — tự tick Pass.</t>
        </is>
      </c>
      <c r="J1819" s="48" t="inlineStr">
        <is>
          <t>089. OCB_GOLD_TTDL_TBL_BPM_TCDV_LINK_LINH.xlsx [Script: TBL_BPM_TCDV_LINK]</t>
        </is>
      </c>
    </row>
    <row r="1820">
      <c r="A1820" s="48" t="inlineStr">
        <is>
          <t>GSTX.TBL_BPM_TCDV_LINK</t>
        </is>
      </c>
      <c r="B1820" s="48" t="inlineStr">
        <is>
          <t>SILVER_CONSUMER</t>
        </is>
      </c>
      <c r="C1820" s="48" t="inlineStr">
        <is>
          <t>3.5</t>
        </is>
      </c>
      <c r="D1820" s="48" t="inlineStr">
        <is>
          <t>Nhom 3 - Optimization</t>
        </is>
      </c>
      <c r="E1820" s="48" t="inlineStr">
        <is>
          <t>Ưu tiên MAX_BY + QUALIFY thay ROW_NUMBER() + WHERE rn = 1</t>
        </is>
      </c>
      <c r="F1820" s="48" t="inlineStr">
        <is>
          <t>N-A</t>
        </is>
      </c>
      <c r="G1820" s="48" t="inlineStr">
        <is>
          <t>Pass</t>
        </is>
      </c>
      <c r="H1820" s="50" t="inlineStr">
        <is>
          <t>script không dùng ROW_NUMBER, và MAX_BY (nếu có) không vượt quá 5 cột/khối</t>
        </is>
      </c>
      <c r="I18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820" s="48" t="inlineStr">
        <is>
          <t>089. OCB_GOLD_TTDL_TBL_BPM_TCDV_LINK_LINH.xlsx [Script: TBL_BPM_TCDV_LINK]</t>
        </is>
      </c>
    </row>
    <row r="1821">
      <c r="A1821" s="48" t="inlineStr">
        <is>
          <t>GSTX.TBL_BPM_TCDV_LINK</t>
        </is>
      </c>
      <c r="B1821" s="48" t="inlineStr">
        <is>
          <t>SILVER_CONSUMER</t>
        </is>
      </c>
      <c r="C1821" s="48" t="inlineStr">
        <is>
          <t>3.6</t>
        </is>
      </c>
      <c r="D1821" s="48" t="inlineStr">
        <is>
          <t>Nhom 3 - Optimization</t>
        </is>
      </c>
      <c r="E1821" s="48" t="inlineStr">
        <is>
          <t>Không lạm dụng window function; có comment khi dùng</t>
        </is>
      </c>
      <c r="F1821" s="48" t="inlineStr">
        <is>
          <t>N-A</t>
        </is>
      </c>
      <c r="G1821" s="48" t="inlineStr">
        <is>
          <t>Pass</t>
        </is>
      </c>
      <c r="H1821" s="50" t="inlineStr">
        <is>
          <t>script không dùng window function</t>
        </is>
      </c>
      <c r="I1821" s="50" t="inlineStr">
        <is>
          <t>Mỗi window function cần một comment ngay trên khối CTE chứa nó, nói rõ vì sao không dùng được max_by/QUALIFY đơn giản hơn.</t>
        </is>
      </c>
      <c r="J1821" s="48" t="inlineStr">
        <is>
          <t>089. OCB_GOLD_TTDL_TBL_BPM_TCDV_LINK_LINH.xlsx [Script: TBL_BPM_TCDV_LINK]</t>
        </is>
      </c>
    </row>
    <row r="1822">
      <c r="A1822" s="48" t="inlineStr">
        <is>
          <t>GSTX.TBL_BPM_TCDV_LINK</t>
        </is>
      </c>
      <c r="B1822" s="48" t="inlineStr">
        <is>
          <t>SILVER_CONSUMER</t>
        </is>
      </c>
      <c r="C1822" s="48" t="inlineStr">
        <is>
          <t>X.1</t>
        </is>
      </c>
      <c r="D1822" s="48" t="inlineStr">
        <is>
          <t>Nhom X - Bo sung Raffles</t>
        </is>
      </c>
      <c r="E1822" s="48" t="inlineStr">
        <is>
          <t>[Bổ sung] Link phải rút về current trước khi join (chống fan-out)</t>
        </is>
      </c>
      <c r="F1822" s="49" t="inlineStr">
        <is>
          <t>PASS</t>
        </is>
      </c>
      <c r="G1822" s="48" t="inlineStr">
        <is>
          <t>Pass</t>
        </is>
      </c>
      <c r="H1822" s="50" t="inlineStr">
        <is>
          <t>các bảng link_* đều được rút về current trước khi join</t>
        </is>
      </c>
      <c r="I18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822" s="48" t="inlineStr">
        <is>
          <t>089. OCB_GOLD_TTDL_TBL_BPM_TCDV_LINK_LINH.xlsx [Script: TBL_BPM_TCDV_LINK]</t>
        </is>
      </c>
    </row>
    <row r="1823">
      <c r="A1823" s="48" t="inlineStr">
        <is>
          <t>GSTX.TBL_BPM_TCDV_LINK</t>
        </is>
      </c>
      <c r="B1823" s="48" t="inlineStr">
        <is>
          <t>SILVER_CONSUMER</t>
        </is>
      </c>
      <c r="C1823" s="48" t="inlineStr">
        <is>
          <t>X.6</t>
        </is>
      </c>
      <c r="D1823" s="48" t="inlineStr">
        <is>
          <t>Nhom X - Bo sung Raffles</t>
        </is>
      </c>
      <c r="E1823" s="48" t="inlineStr">
        <is>
          <t>[Bổ sung] Satellite phải LEFT JOIN, không INNER JOIN</t>
        </is>
      </c>
      <c r="F1823" s="49" t="inlineStr">
        <is>
          <t>PASS</t>
        </is>
      </c>
      <c r="G1823" s="48" t="inlineStr">
        <is>
          <t>Pass</t>
        </is>
      </c>
      <c r="H1823" s="50" t="inlineStr">
        <is>
          <t>các satellite đều LEFT JOIN</t>
        </is>
      </c>
      <c r="I1823" s="50" t="inlineStr">
        <is>
          <t>Technical Document III.4.2.2 nguyên tắc 1: làm giàu thuộc tính luôn dùng LEFT JOIN. INNER JOIN satellite sẽ loại mất bản ghi Hub đang còn hiệu lực nhưng chưa có dòng satellite.</t>
        </is>
      </c>
      <c r="J1823" s="48" t="inlineStr">
        <is>
          <t>089. OCB_GOLD_TTDL_TBL_BPM_TCDV_LINK_LINH.xlsx [Script: TBL_BPM_TCDV_LINK]</t>
        </is>
      </c>
    </row>
    <row r="1824">
      <c r="A1824" s="48" t="inlineStr">
        <is>
          <t>GSTX.TBL_BPM_TCDV_LINK</t>
        </is>
      </c>
      <c r="B1824" s="48" t="inlineStr">
        <is>
          <t>SILVER_CONSUMER</t>
        </is>
      </c>
      <c r="C1824" s="48" t="inlineStr">
        <is>
          <t>X.7</t>
        </is>
      </c>
      <c r="D1824" s="48" t="inlineStr">
        <is>
          <t>Nhom X - Bo sung Raffles</t>
        </is>
      </c>
      <c r="E1824" s="48" t="inlineStr">
        <is>
          <t>[Bổ sung] Không hard-code catalog, dùng biến môi trường</t>
        </is>
      </c>
      <c r="F1824" s="49" t="inlineStr">
        <is>
          <t>PASS</t>
        </is>
      </c>
      <c r="G1824" s="48" t="inlineStr">
        <is>
          <t>Pass</t>
        </is>
      </c>
      <c r="H1824" s="50" t="inlineStr">
        <is>
          <t>dùng biến môi trường cho catalog</t>
        </is>
      </c>
      <c r="I18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824" s="48" t="inlineStr">
        <is>
          <t>089. OCB_GOLD_TTDL_TBL_BPM_TCDV_LINK_LINH.xlsx [Script: TBL_BPM_TCDV_LINK]</t>
        </is>
      </c>
    </row>
    <row r="1825">
      <c r="A1825" s="48" t="inlineStr">
        <is>
          <t>GSTX.TBL_BPM_TCDV_LINK</t>
        </is>
      </c>
      <c r="B1825" s="48" t="inlineStr">
        <is>
          <t>SILVER_CONSUMER</t>
        </is>
      </c>
      <c r="C1825" s="48" t="inlineStr">
        <is>
          <t>X.10</t>
        </is>
      </c>
      <c r="D1825" s="48" t="inlineStr">
        <is>
          <t>Nhom X - Bo sung Raffles</t>
        </is>
      </c>
      <c r="E1825" s="48" t="inlineStr">
        <is>
          <t>Bang raw_vault/business_vault duoc doc phai TON TAI THAT trong Data Vault model</t>
        </is>
      </c>
      <c r="F1825" s="49" t="inlineStr">
        <is>
          <t>PASS</t>
        </is>
      </c>
      <c r="G1825" s="48" t="inlineStr">
        <is>
          <t>Pass</t>
        </is>
      </c>
      <c r="H1825" s="50" t="inlineStr">
        <is>
          <t>2 bảng Silver đều có thật trong Data Vault model</t>
        </is>
      </c>
      <c r="I1825" s="50" t="inlineStr"/>
      <c r="J1825" s="48" t="inlineStr">
        <is>
          <t>089. OCB_GOLD_TTDL_TBL_BPM_TCDV_LINK_LINH.xlsx [Script: TBL_BPM_TCDV_LINK]</t>
        </is>
      </c>
    </row>
    <row r="1826">
      <c r="A1826" s="48" t="inlineStr">
        <is>
          <t>GSTX.TBL_BPM_TCDV_LINK</t>
        </is>
      </c>
      <c r="B1826" s="48" t="inlineStr">
        <is>
          <t>SILVER_CONSUMER</t>
        </is>
      </c>
      <c r="C1826" s="48" t="inlineStr">
        <is>
          <t>X.11</t>
        </is>
      </c>
      <c r="D1826" s="48" t="inlineStr">
        <is>
          <t>Nhom X - Bo sung Raffles</t>
        </is>
      </c>
      <c r="E1826" s="48" t="inlineStr">
        <is>
          <t>Cot doc tu satellite (sat_*) phai TON TAI THAT trong model</t>
        </is>
      </c>
      <c r="F1826" s="49" t="inlineStr">
        <is>
          <t>PASS</t>
        </is>
      </c>
      <c r="G1826" s="48" t="inlineStr">
        <is>
          <t>Pass</t>
        </is>
      </c>
      <c r="H1826" s="50" t="inlineStr">
        <is>
          <t>mọi cột đọc từ sat_* đều tồn tại trong model thật</t>
        </is>
      </c>
      <c r="I1826" s="50" t="inlineStr"/>
      <c r="J1826" s="48" t="inlineStr">
        <is>
          <t>089. OCB_GOLD_TTDL_TBL_BPM_TCDV_LINK_LINH.xlsx [Script: TBL_BPM_TCDV_LINK]</t>
        </is>
      </c>
    </row>
    <row r="1827">
      <c r="A1827" s="48" t="inlineStr">
        <is>
          <t>TCIMPORT.DIM_CUSTOMER</t>
        </is>
      </c>
      <c r="B1827" s="48" t="inlineStr">
        <is>
          <t>SILVER_CONSUMER</t>
        </is>
      </c>
      <c r="C1827" s="48" t="inlineStr">
        <is>
          <t>1.1</t>
        </is>
      </c>
      <c r="D1827" s="48" t="inlineStr">
        <is>
          <t>Nhom 1 - Mapping</t>
        </is>
      </c>
      <c r="E1827" s="48" t="inlineStr">
        <is>
          <t>Đầy đủ mapping từ Silver/manual sang Gold</t>
        </is>
      </c>
      <c r="F1827" s="49" t="inlineStr">
        <is>
          <t>PASS</t>
        </is>
      </c>
      <c r="G1827" s="48" t="inlineStr">
        <is>
          <t>Pass</t>
        </is>
      </c>
      <c r="H1827" s="50" t="inlineStr">
        <is>
          <t>workbook 095. OCB_GOLD_TTDL_DIM_CUSTOMER_Huy.xlsx: thiết kế 46 field, SQL có 46 cột</t>
        </is>
      </c>
      <c r="I18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827" s="48" t="inlineStr">
        <is>
          <t>095. OCB_GOLD_TTDL_DIM_CUSTOMER_Huy.xlsx [Script SQL: DIM_CUSTOMER]</t>
        </is>
      </c>
    </row>
    <row r="1828">
      <c r="A1828" s="48" t="inlineStr">
        <is>
          <t>TCIMPORT.DIM_CUSTOMER</t>
        </is>
      </c>
      <c r="B1828" s="48" t="inlineStr">
        <is>
          <t>SILVER_CONSUMER</t>
        </is>
      </c>
      <c r="C1828" s="48" t="inlineStr">
        <is>
          <t>1.2</t>
        </is>
      </c>
      <c r="D1828" s="48" t="inlineStr">
        <is>
          <t>Nhom 1 - Mapping</t>
        </is>
      </c>
      <c r="E1828" s="48" t="inlineStr">
        <is>
          <t>Danh sách bảng/view Gold khớp tài liệu thiết kế đã duyệt</t>
        </is>
      </c>
      <c r="F1828" s="49" t="inlineStr">
        <is>
          <t>PASS</t>
        </is>
      </c>
      <c r="G1828" s="48" t="inlineStr">
        <is>
          <t>Pass</t>
        </is>
      </c>
      <c r="H1828" s="50" t="inlineStr">
        <is>
          <t>DIM_CUSTOMER có workbook thiết kế: 095. OCB_GOLD_TTDL_DIM_CUSTOMER_Huy.xlsx</t>
        </is>
      </c>
      <c r="I1828" s="50" t="inlineStr">
        <is>
          <t>Đảm bảo object có workbook thiết kế tương ứng trong thư mục --mapping-dir. Muốn đối chiếu với danh sách đã duyệt thì chạy thêm tham số --gold-list "&lt;file danh sách Gold&gt;.xlsx".</t>
        </is>
      </c>
      <c r="J1828" s="48" t="inlineStr">
        <is>
          <t>095. OCB_GOLD_TTDL_DIM_CUSTOMER_Huy.xlsx [Script SQL: DIM_CUSTOMER]</t>
        </is>
      </c>
    </row>
    <row r="1829">
      <c r="A1829" s="48" t="inlineStr">
        <is>
          <t>TCIMPORT.DIM_CUSTOMER</t>
        </is>
      </c>
      <c r="B1829" s="48" t="inlineStr">
        <is>
          <t>SILVER_CONSUMER</t>
        </is>
      </c>
      <c r="C1829" s="48" t="inlineStr">
        <is>
          <t>2.1</t>
        </is>
      </c>
      <c r="D1829" s="48" t="inlineStr">
        <is>
          <t>Nhom 2 - Logic</t>
        </is>
      </c>
      <c r="E1829" s="48" t="inlineStr">
        <is>
          <t>Chỉ lấy bản ghi active, loại bản ghi đã xóa (qua sts_hub)</t>
        </is>
      </c>
      <c r="F1829" s="49" t="inlineStr">
        <is>
          <t>PASS</t>
        </is>
      </c>
      <c r="G1829" s="48" t="inlineStr">
        <is>
          <t>Pass</t>
        </is>
      </c>
      <c r="H1829" s="50" t="inlineStr">
        <is>
          <t>1 sts_hub_* đọc đúng format</t>
        </is>
      </c>
      <c r="I18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829" s="48" t="inlineStr">
        <is>
          <t>095. OCB_GOLD_TTDL_DIM_CUSTOMER_Huy.xlsx [Script SQL: DIM_CUSTOMER]</t>
        </is>
      </c>
    </row>
    <row r="1830">
      <c r="A1830" s="48" t="inlineStr">
        <is>
          <t>TCIMPORT.DIM_CUSTOMER</t>
        </is>
      </c>
      <c r="B1830" s="48" t="inlineStr">
        <is>
          <t>SILVER_CONSUMER</t>
        </is>
      </c>
      <c r="C1830" s="48" t="inlineStr">
        <is>
          <t>2.2</t>
        </is>
      </c>
      <c r="D1830" s="48" t="inlineStr">
        <is>
          <t>Nhom 2 - Logic</t>
        </is>
      </c>
      <c r="E1830" s="48" t="inlineStr">
        <is>
          <t>Thống nhất MỘT pattern duy nhất xác định bản ghi active mới nhất</t>
        </is>
      </c>
      <c r="F1830" s="49" t="inlineStr">
        <is>
          <t>PASS</t>
        </is>
      </c>
      <c r="G1830" s="48" t="inlineStr">
        <is>
          <t>Pass</t>
        </is>
      </c>
      <c r="H1830" s="50" t="inlineStr">
        <is>
          <t>file này dùng: ['MAX_BY']; toàn batch dùng: ['MAX_BY']</t>
        </is>
      </c>
      <c r="I18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30" s="48" t="inlineStr">
        <is>
          <t>095. OCB_GOLD_TTDL_DIM_CUSTOMER_Huy.xlsx [Script SQL: DIM_CUSTOMER]</t>
        </is>
      </c>
    </row>
    <row r="1831">
      <c r="A1831" s="48" t="inlineStr">
        <is>
          <t>TCIMPORT.DIM_CUSTOMER</t>
        </is>
      </c>
      <c r="B1831" s="48" t="inlineStr">
        <is>
          <t>SILVER_CONSUMER</t>
        </is>
      </c>
      <c r="C1831" s="48" t="inlineStr">
        <is>
          <t>2.3</t>
        </is>
      </c>
      <c r="D1831" s="48" t="inlineStr">
        <is>
          <t>Nhom 2 - Logic</t>
        </is>
      </c>
      <c r="E1831" s="48" t="inlineStr">
        <is>
          <t>Điều kiện lọc trạng thái đặt SAU khi xác định bản ghi mới nhất</t>
        </is>
      </c>
      <c r="F1831" s="49" t="inlineStr">
        <is>
          <t>PASS</t>
        </is>
      </c>
      <c r="G1831" s="48" t="inlineStr">
        <is>
          <t>Pass</t>
        </is>
      </c>
      <c r="H1831" s="50" t="inlineStr">
        <is>
          <t>không có điều kiện trạng thái nào lồng trong JOIN ON</t>
        </is>
      </c>
      <c r="I18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31" s="48" t="inlineStr">
        <is>
          <t>095. OCB_GOLD_TTDL_DIM_CUSTOMER_Huy.xlsx [Script SQL: DIM_CUSTOMER]</t>
        </is>
      </c>
    </row>
    <row r="1832">
      <c r="A1832" s="48" t="inlineStr">
        <is>
          <t>TCIMPORT.DIM_CUSTOMER</t>
        </is>
      </c>
      <c r="B1832" s="48" t="inlineStr">
        <is>
          <t>SILVER_CONSUMER</t>
        </is>
      </c>
      <c r="C1832" s="48" t="inlineStr">
        <is>
          <t>2.4</t>
        </is>
      </c>
      <c r="D1832" s="48" t="inlineStr">
        <is>
          <t>Nhom 2 - Logic</t>
        </is>
      </c>
      <c r="E1832" s="48" t="inlineStr">
        <is>
          <t>source_event_date áp dụng đúng dạng theo loại bảng</t>
        </is>
      </c>
      <c r="F1832" s="49" t="inlineStr">
        <is>
          <t>PASS</t>
        </is>
      </c>
      <c r="G1832" s="48" t="inlineStr">
        <is>
          <t>Pass</t>
        </is>
      </c>
      <c r="H1832" s="50" t="inlineStr">
        <is>
          <t>7 satellite đều đúng dạng điều kiện source_event_date</t>
        </is>
      </c>
      <c r="I18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32" s="48" t="inlineStr">
        <is>
          <t>095. OCB_GOLD_TTDL_DIM_CUSTOMER_Huy.xlsx [Script SQL: DIM_CUSTOMER]</t>
        </is>
      </c>
    </row>
    <row r="1833">
      <c r="A1833" s="48" t="inlineStr">
        <is>
          <t>TCIMPORT.DIM_CUSTOMER</t>
        </is>
      </c>
      <c r="B1833" s="48" t="inlineStr">
        <is>
          <t>SILVER_CONSUMER</t>
        </is>
      </c>
      <c r="C1833" s="48" t="inlineStr">
        <is>
          <t>2.5</t>
        </is>
      </c>
      <c r="D1833" s="48" t="inlineStr">
        <is>
          <t>Nhom 2 - Logic</t>
        </is>
      </c>
      <c r="E1833" s="48" t="inlineStr">
        <is>
          <t>Không lặp lại lỗi logic cũ đã được DA Data Vault fix</t>
        </is>
      </c>
      <c r="F1833" s="49" t="inlineStr">
        <is>
          <t>PASS</t>
        </is>
      </c>
      <c r="G1833" s="48" t="inlineStr">
        <is>
          <t>Pass</t>
        </is>
      </c>
      <c r="H1833" s="50" t="inlineStr">
        <is>
          <t>không trùng lỗi nào trong Issue log của DA Data Vault</t>
        </is>
      </c>
      <c r="I18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33" s="48" t="inlineStr">
        <is>
          <t>095. OCB_GOLD_TTDL_DIM_CUSTOMER_Huy.xlsx [Script SQL: DIM_CUSTOMER]</t>
        </is>
      </c>
    </row>
    <row r="1834">
      <c r="A1834" s="48" t="inlineStr">
        <is>
          <t>TCIMPORT.DIM_CUSTOMER</t>
        </is>
      </c>
      <c r="B1834" s="48" t="inlineStr">
        <is>
          <t>SILVER_CONSUMER</t>
        </is>
      </c>
      <c r="C1834" s="48" t="inlineStr">
        <is>
          <t>2.6</t>
        </is>
      </c>
      <c r="D1834" s="48" t="inlineStr">
        <is>
          <t>Nhom 2 - Logic</t>
        </is>
      </c>
      <c r="E1834" s="48" t="inlineStr">
        <is>
          <t>SCD Type 2 cho bảng DIM áp dụng đúng kỹ thuật đã thống nhất</t>
        </is>
      </c>
      <c r="F1834" s="48" t="inlineStr">
        <is>
          <t>N-A</t>
        </is>
      </c>
      <c r="G1834" s="48" t="inlineStr">
        <is>
          <t>Pass</t>
        </is>
      </c>
      <c r="H1834" s="50" t="inlineStr">
        <is>
          <t>object không phải bảng DIM nên không áp dụng SCD Type 2</t>
        </is>
      </c>
      <c r="I18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34" s="48" t="inlineStr">
        <is>
          <t>095. OCB_GOLD_TTDL_DIM_CUSTOMER_Huy.xlsx [Script SQL: DIM_CUSTOMER]</t>
        </is>
      </c>
    </row>
    <row r="1835">
      <c r="A1835" s="48" t="inlineStr">
        <is>
          <t>TCIMPORT.DIM_CUSTOMER</t>
        </is>
      </c>
      <c r="B1835" s="48" t="inlineStr">
        <is>
          <t>SILVER_CONSUMER</t>
        </is>
      </c>
      <c r="C1835" s="48" t="inlineStr">
        <is>
          <t>2.7</t>
        </is>
      </c>
      <c r="D1835" s="48" t="inlineStr">
        <is>
          <t>Nhom 2 - Logic</t>
        </is>
      </c>
      <c r="E1835" s="48" t="inlineStr">
        <is>
          <t>CASE WHEN cover đủ nhánh như job on-prem</t>
        </is>
      </c>
      <c r="F1835" s="49" t="inlineStr">
        <is>
          <t>PASS</t>
        </is>
      </c>
      <c r="G1835" s="48" t="inlineStr">
        <is>
          <t>Pass</t>
        </is>
      </c>
      <c r="H1835" s="50" t="inlineStr">
        <is>
          <t>cả 1 CASE đều có nhánh ELSE</t>
        </is>
      </c>
      <c r="I1835" s="50" t="inlineStr">
        <is>
          <t>Mở job on-prem tương ứng (DataStage DSX hoặc SQL cũ), đối chiếu từng nhánh WHEN và cả nhánh ELSE. CASE không có ELSE sẽ trả NULL âm thầm — xác nhận đó là ý muốn hay thiếu nhánh.</t>
        </is>
      </c>
      <c r="J1835" s="48" t="inlineStr">
        <is>
          <t>095. OCB_GOLD_TTDL_DIM_CUSTOMER_Huy.xlsx [Script SQL: DIM_CUSTOMER]</t>
        </is>
      </c>
    </row>
    <row r="1836">
      <c r="A1836" s="48" t="inlineStr">
        <is>
          <t>TCIMPORT.DIM_CUSTOMER</t>
        </is>
      </c>
      <c r="B1836" s="48" t="inlineStr">
        <is>
          <t>SILVER_CONSUMER</t>
        </is>
      </c>
      <c r="C1836" s="48" t="inlineStr">
        <is>
          <t>2.8</t>
        </is>
      </c>
      <c r="D1836" s="48" t="inlineStr">
        <is>
          <t>Nhom 2 - Logic</t>
        </is>
      </c>
      <c r="E1836" s="48" t="inlineStr">
        <is>
          <t>Cột SUM/COUNT được COALESCE/NVL hợp lý</t>
        </is>
      </c>
      <c r="F1836" s="49" t="inlineStr">
        <is>
          <t>PASS</t>
        </is>
      </c>
      <c r="G1836" s="48" t="inlineStr">
        <is>
          <t>Pass</t>
        </is>
      </c>
      <c r="H1836" s="50" t="inlineStr">
        <is>
          <t>mọi SUM/COUNT đều đã coalesce (trực tiếp hoặc ở lớp ngoài)</t>
        </is>
      </c>
      <c r="I18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36" s="48" t="inlineStr">
        <is>
          <t>095. OCB_GOLD_TTDL_DIM_CUSTOMER_Huy.xlsx [Script SQL: DIM_CUSTOMER]</t>
        </is>
      </c>
    </row>
    <row r="1837">
      <c r="A1837" s="48" t="inlineStr">
        <is>
          <t>TCIMPORT.DIM_CUSTOMER</t>
        </is>
      </c>
      <c r="B1837" s="48" t="inlineStr">
        <is>
          <t>SILVER_CONSUMER</t>
        </is>
      </c>
      <c r="C1837" s="48" t="inlineStr">
        <is>
          <t>2.9</t>
        </is>
      </c>
      <c r="D1837" s="48" t="inlineStr">
        <is>
          <t>Nhom 2 - Logic</t>
        </is>
      </c>
      <c r="E1837" s="48" t="inlineStr">
        <is>
          <t>Subquery / custom function / điều kiện LIKE đúng ý nghĩa nghiệp vụ</t>
        </is>
      </c>
      <c r="F1837" s="48" t="inlineStr">
        <is>
          <t>N-A</t>
        </is>
      </c>
      <c r="G1837" s="48" t="inlineStr">
        <is>
          <t>Pass</t>
        </is>
      </c>
      <c r="H1837" s="50" t="inlineStr">
        <is>
          <t>script không có điều kiện LIKE hay scalar subquery nào</t>
        </is>
      </c>
      <c r="I1837" s="50" t="inlineStr">
        <is>
          <t>Đọc lại từng điều kiện LIKE và từng subquery, đối chiếu ý nghĩa nghiệp vụ với on-prem — đúng cú pháp không đủ. Chú ý pattern LIKE có ký tự % ở đầu/cuối và phân biệt chữ hoa/thường.</t>
        </is>
      </c>
      <c r="J1837" s="48" t="inlineStr">
        <is>
          <t>095. OCB_GOLD_TTDL_DIM_CUSTOMER_Huy.xlsx [Script SQL: DIM_CUSTOMER]</t>
        </is>
      </c>
    </row>
    <row r="1838">
      <c r="A1838" s="48" t="inlineStr">
        <is>
          <t>TCIMPORT.DIM_CUSTOMER</t>
        </is>
      </c>
      <c r="B1838" s="48" t="inlineStr">
        <is>
          <t>SILVER_CONSUMER</t>
        </is>
      </c>
      <c r="C1838" s="48" t="inlineStr">
        <is>
          <t>2.10</t>
        </is>
      </c>
      <c r="D1838" s="48" t="inlineStr">
        <is>
          <t>Nhom 2 - Logic</t>
        </is>
      </c>
      <c r="E1838" s="48" t="inlineStr">
        <is>
          <t>Aggregation kèm filter date range chính xác</t>
        </is>
      </c>
      <c r="F1838" s="49" t="inlineStr">
        <is>
          <t>PASS</t>
        </is>
      </c>
      <c r="G1838" s="48" t="inlineStr">
        <is>
          <t>Pass</t>
        </is>
      </c>
      <c r="H1838" s="50" t="inlineStr">
        <is>
          <t>mọi khối tổng hợp đều có điều kiện theo kỳ dữ liệu</t>
        </is>
      </c>
      <c r="I1838" s="50" t="inlineStr">
        <is>
          <t>Mỗi khối SUM/COUNT/AVG phải có điều kiện lọc theo kỳ dữ liệu (CDR_DT_ID, DATA_DATE, :DATADT…). Nếu điều kiện nằm ở CTE nguồn thì ghi rõ trong comment để người review không phải truy ngược.</t>
        </is>
      </c>
      <c r="J1838" s="48" t="inlineStr">
        <is>
          <t>095. OCB_GOLD_TTDL_DIM_CUSTOMER_Huy.xlsx [Script SQL: DIM_CUSTOMER]</t>
        </is>
      </c>
    </row>
    <row r="1839">
      <c r="A1839" s="48" t="inlineStr">
        <is>
          <t>TCIMPORT.DIM_CUSTOMER</t>
        </is>
      </c>
      <c r="B1839" s="48" t="inlineStr">
        <is>
          <t>SILVER_CONSUMER</t>
        </is>
      </c>
      <c r="C1839" s="48" t="inlineStr">
        <is>
          <t>2.11</t>
        </is>
      </c>
      <c r="D1839" s="48" t="inlineStr">
        <is>
          <t>Nhom 2 - Logic</t>
        </is>
      </c>
      <c r="E1839" s="48" t="inlineStr">
        <is>
          <t>Join dùng key hợp lý, không lạm dụng UNION ALL + EXISTS/NOT EXISTS</t>
        </is>
      </c>
      <c r="F1839" s="49" t="inlineStr">
        <is>
          <t>PASS</t>
        </is>
      </c>
      <c r="G1839" s="48" t="inlineStr">
        <is>
          <t>Pass</t>
        </is>
      </c>
      <c r="H1839" s="50" t="inlineStr">
        <is>
          <t>join đều theo điều kiện bằng, không lạm dụng UNION ALL + EXISTS</t>
        </is>
      </c>
      <c r="I1839" s="50" t="inlineStr">
        <is>
          <t>Ưu tiên LEFT JOIN theo business key hoặc hashkey. Xem lại các chỗ dùng UNION ALL kết hợp EXISTS/NOT EXISTS — thường thay được bằng một LEFT JOIN. Join không có điều kiện bằng (=) dễ tạo tích Descartes.</t>
        </is>
      </c>
      <c r="J1839" s="48" t="inlineStr">
        <is>
          <t>095. OCB_GOLD_TTDL_DIM_CUSTOMER_Huy.xlsx [Script SQL: DIM_CUSTOMER]</t>
        </is>
      </c>
    </row>
    <row r="1840">
      <c r="A1840" s="48" t="inlineStr">
        <is>
          <t>TCIMPORT.DIM_CUSTOMER</t>
        </is>
      </c>
      <c r="B1840" s="48" t="inlineStr">
        <is>
          <t>SILVER_CONSUMER</t>
        </is>
      </c>
      <c r="C1840" s="48" t="inlineStr">
        <is>
          <t>2.12</t>
        </is>
      </c>
      <c r="D1840" s="48" t="inlineStr">
        <is>
          <t>Nhom 2 - Logic</t>
        </is>
      </c>
      <c r="E1840" s="48" t="inlineStr">
        <is>
          <t>Build Gold từ CTE snapshot Silver, không build nhiều tầng chồng chéo</t>
        </is>
      </c>
      <c r="F1840" s="49" t="inlineStr">
        <is>
          <t>PASS</t>
        </is>
      </c>
      <c r="G1840" s="48" t="inlineStr">
        <is>
          <t>Pass</t>
        </is>
      </c>
      <c r="H1840" s="50" t="inlineStr">
        <is>
          <t>mỗi bảng nguồn chỉ đọc trong 1 khối SELECT</t>
        </is>
      </c>
      <c r="I18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840" s="48" t="inlineStr">
        <is>
          <t>095. OCB_GOLD_TTDL_DIM_CUSTOMER_Huy.xlsx [Script SQL: DIM_CUSTOMER]</t>
        </is>
      </c>
    </row>
    <row r="1841">
      <c r="A1841" s="48" t="inlineStr">
        <is>
          <t>TCIMPORT.DIM_CUSTOMER</t>
        </is>
      </c>
      <c r="B1841" s="48" t="inlineStr">
        <is>
          <t>SILVER_CONSUMER</t>
        </is>
      </c>
      <c r="C1841" s="48" t="inlineStr">
        <is>
          <t>3.1</t>
        </is>
      </c>
      <c r="D1841" s="48" t="inlineStr">
        <is>
          <t>Nhom 3 - Optimization</t>
        </is>
      </c>
      <c r="E1841" s="48" t="inlineStr">
        <is>
          <t>Không SELECT *</t>
        </is>
      </c>
      <c r="F1841" s="49" t="inlineStr">
        <is>
          <t>PASS</t>
        </is>
      </c>
      <c r="G1841" s="48" t="inlineStr">
        <is>
          <t>Pass</t>
        </is>
      </c>
      <c r="H1841" s="50" t="inlineStr">
        <is>
          <t>không dùng SELECT * ở đâu</t>
        </is>
      </c>
      <c r="I1841" s="50" t="inlineStr">
        <is>
          <t>Liệt kê tường minh các cột cần dùng, kể cả trong CTE trung gian. SELECT * làm tăng IO/memory và vỡ script khi bảng nguồn thêm cột.</t>
        </is>
      </c>
      <c r="J1841" s="48" t="inlineStr">
        <is>
          <t>095. OCB_GOLD_TTDL_DIM_CUSTOMER_Huy.xlsx [Script SQL: DIM_CUSTOMER]</t>
        </is>
      </c>
    </row>
    <row r="1842">
      <c r="A1842" s="48" t="inlineStr">
        <is>
          <t>TCIMPORT.DIM_CUSTOMER</t>
        </is>
      </c>
      <c r="B1842" s="48" t="inlineStr">
        <is>
          <t>SILVER_CONSUMER</t>
        </is>
      </c>
      <c r="C1842" s="48" t="inlineStr">
        <is>
          <t>3.2</t>
        </is>
      </c>
      <c r="D1842" s="48" t="inlineStr">
        <is>
          <t>Nhom 3 - Optimization</t>
        </is>
      </c>
      <c r="E1842" s="48" t="inlineStr">
        <is>
          <t>CTE không bị scan lại nhiều lần</t>
        </is>
      </c>
      <c r="F1842" s="49" t="inlineStr">
        <is>
          <t>PASS</t>
        </is>
      </c>
      <c r="G1842" s="48" t="inlineStr">
        <is>
          <t>Pass</t>
        </is>
      </c>
      <c r="H1842" s="50" t="inlineStr">
        <is>
          <t>không có CTE nào bị gọi lại</t>
        </is>
      </c>
      <c r="I1842" s="50" t="inlineStr">
        <is>
          <t>Với CTE nặng (đọc nhiều bảng Silver) bị tham chiếu từ 2 chỗ trở lên: gom lại còn một lần dùng, hoặc vật chất hóa (CACHE / bảng tạm). CTE nhẹ chỉ chứa tham số thì bỏ qua được — tự tick Pass.</t>
        </is>
      </c>
      <c r="J1842" s="48" t="inlineStr">
        <is>
          <t>095. OCB_GOLD_TTDL_DIM_CUSTOMER_Huy.xlsx [Script SQL: DIM_CUSTOMER]</t>
        </is>
      </c>
    </row>
    <row r="1843">
      <c r="A1843" s="48" t="inlineStr">
        <is>
          <t>TCIMPORT.DIM_CUSTOMER</t>
        </is>
      </c>
      <c r="B1843" s="48" t="inlineStr">
        <is>
          <t>SILVER_CONSUMER</t>
        </is>
      </c>
      <c r="C1843" s="48" t="inlineStr">
        <is>
          <t>3.3</t>
        </is>
      </c>
      <c r="D1843" s="48" t="inlineStr">
        <is>
          <t>Nhom 3 - Optimization</t>
        </is>
      </c>
      <c r="E1843" s="48" t="inlineStr">
        <is>
          <t>Filter trước khi join, tận dụng partition pruning</t>
        </is>
      </c>
      <c r="F1843" s="49" t="inlineStr">
        <is>
          <t>PASS</t>
        </is>
      </c>
      <c r="G1843" s="48" t="inlineStr">
        <is>
          <t>Pass</t>
        </is>
      </c>
      <c r="H1843" s="50" t="inlineStr">
        <is>
          <t>các bảng join đều được filter trước</t>
        </is>
      </c>
      <c r="I1843" s="50" t="inlineStr">
        <is>
          <t>Đưa điều kiện lọc (ngày dữ liệu, trạng thái) vào subquery của từng bảng TRƯỚC khi join, để tận dụng partition pruning. Bảng dim nhỏ không partition thì không cần — tự tick Pass.</t>
        </is>
      </c>
      <c r="J1843" s="48" t="inlineStr">
        <is>
          <t>095. OCB_GOLD_TTDL_DIM_CUSTOMER_Huy.xlsx [Script SQL: DIM_CUSTOMER]</t>
        </is>
      </c>
    </row>
    <row r="1844">
      <c r="A1844" s="48" t="inlineStr">
        <is>
          <t>TCIMPORT.DIM_CUSTOMER</t>
        </is>
      </c>
      <c r="B1844" s="48" t="inlineStr">
        <is>
          <t>SILVER_CONSUMER</t>
        </is>
      </c>
      <c r="C1844" s="48" t="inlineStr">
        <is>
          <t>3.4</t>
        </is>
      </c>
      <c r="D1844" s="48" t="inlineStr">
        <is>
          <t>Nhom 3 - Optimization</t>
        </is>
      </c>
      <c r="E1844" s="48" t="inlineStr">
        <is>
          <t>Sử dụng CACHE cho query lặp lại trong cùng luồng</t>
        </is>
      </c>
      <c r="F1844" s="48" t="inlineStr">
        <is>
          <t>N-A</t>
        </is>
      </c>
      <c r="G1844" s="48" t="inlineStr">
        <is>
          <t>Pass</t>
        </is>
      </c>
      <c r="H1844" s="50" t="inlineStr">
        <is>
          <t>không có kết quả nào được dùng lại nhiều lần nên chưa cần CACHE</t>
        </is>
      </c>
      <c r="I1844" s="50" t="inlineStr">
        <is>
          <t>Nếu một kết quả nặng được dùng lại nhiều bước trong cùng luồng, thêm CACHE TABLE / CACHE SELECT. Kết quả nhỏ thì cache còn chậm hơn — tự tick Pass.</t>
        </is>
      </c>
      <c r="J1844" s="48" t="inlineStr">
        <is>
          <t>095. OCB_GOLD_TTDL_DIM_CUSTOMER_Huy.xlsx [Script SQL: DIM_CUSTOMER]</t>
        </is>
      </c>
    </row>
    <row r="1845">
      <c r="A1845" s="48" t="inlineStr">
        <is>
          <t>TCIMPORT.DIM_CUSTOMER</t>
        </is>
      </c>
      <c r="B1845" s="48" t="inlineStr">
        <is>
          <t>SILVER_CONSUMER</t>
        </is>
      </c>
      <c r="C1845" s="48" t="inlineStr">
        <is>
          <t>3.5</t>
        </is>
      </c>
      <c r="D1845" s="48" t="inlineStr">
        <is>
          <t>Nhom 3 - Optimization</t>
        </is>
      </c>
      <c r="E1845" s="48" t="inlineStr">
        <is>
          <t>Ưu tiên MAX_BY + QUALIFY thay ROW_NUMBER() + WHERE rn = 1</t>
        </is>
      </c>
      <c r="F1845" s="51" t="inlineStr">
        <is>
          <t>WARN</t>
        </is>
      </c>
      <c r="G1845" s="48" t="inlineStr">
        <is>
          <t>WARN</t>
        </is>
      </c>
      <c r="H1845" s="50" t="inlineStr">
        <is>
          <t>3 khối dùng MAX_BY độc lập cho &gt;5 cột (dòng 35, [11, 6,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8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845" s="48" t="inlineStr">
        <is>
          <t>095. OCB_GOLD_TTDL_DIM_CUSTOMER_Huy.xlsx [Script SQL: DIM_CUSTOMER]</t>
        </is>
      </c>
    </row>
    <row r="1846">
      <c r="A1846" s="48" t="inlineStr">
        <is>
          <t>TCIMPORT.DIM_CUSTOMER</t>
        </is>
      </c>
      <c r="B1846" s="48" t="inlineStr">
        <is>
          <t>SILVER_CONSUMER</t>
        </is>
      </c>
      <c r="C1846" s="48" t="inlineStr">
        <is>
          <t>3.6</t>
        </is>
      </c>
      <c r="D1846" s="48" t="inlineStr">
        <is>
          <t>Nhom 3 - Optimization</t>
        </is>
      </c>
      <c r="E1846" s="48" t="inlineStr">
        <is>
          <t>Không lạm dụng window function; có comment khi dùng</t>
        </is>
      </c>
      <c r="F1846" s="48" t="inlineStr">
        <is>
          <t>N-A</t>
        </is>
      </c>
      <c r="G1846" s="48" t="inlineStr">
        <is>
          <t>Pass</t>
        </is>
      </c>
      <c r="H1846" s="50" t="inlineStr">
        <is>
          <t>script không dùng window function</t>
        </is>
      </c>
      <c r="I1846" s="50" t="inlineStr">
        <is>
          <t>Mỗi window function cần một comment ngay trên khối CTE chứa nó, nói rõ vì sao không dùng được max_by/QUALIFY đơn giản hơn.</t>
        </is>
      </c>
      <c r="J1846" s="48" t="inlineStr">
        <is>
          <t>095. OCB_GOLD_TTDL_DIM_CUSTOMER_Huy.xlsx [Script SQL: DIM_CUSTOMER]</t>
        </is>
      </c>
    </row>
    <row r="1847">
      <c r="A1847" s="48" t="inlineStr">
        <is>
          <t>TCIMPORT.DIM_CUSTOMER</t>
        </is>
      </c>
      <c r="B1847" s="48" t="inlineStr">
        <is>
          <t>SILVER_CONSUMER</t>
        </is>
      </c>
      <c r="C1847" s="48" t="inlineStr">
        <is>
          <t>X.1</t>
        </is>
      </c>
      <c r="D1847" s="48" t="inlineStr">
        <is>
          <t>Nhom X - Bo sung Raffles</t>
        </is>
      </c>
      <c r="E1847" s="48" t="inlineStr">
        <is>
          <t>[Bổ sung] Link phải rút về current trước khi join (chống fan-out)</t>
        </is>
      </c>
      <c r="F1847" s="49" t="inlineStr">
        <is>
          <t>PASS</t>
        </is>
      </c>
      <c r="G1847" s="48" t="inlineStr">
        <is>
          <t>Pass</t>
        </is>
      </c>
      <c r="H1847" s="50" t="inlineStr">
        <is>
          <t>các bảng link_* đều được rút về current trước khi join</t>
        </is>
      </c>
      <c r="I18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847" s="48" t="inlineStr">
        <is>
          <t>095. OCB_GOLD_TTDL_DIM_CUSTOMER_Huy.xlsx [Script SQL: DIM_CUSTOMER]</t>
        </is>
      </c>
    </row>
    <row r="1848">
      <c r="A1848" s="48" t="inlineStr">
        <is>
          <t>TCIMPORT.DIM_CUSTOMER</t>
        </is>
      </c>
      <c r="B1848" s="48" t="inlineStr">
        <is>
          <t>SILVER_CONSUMER</t>
        </is>
      </c>
      <c r="C1848" s="48" t="inlineStr">
        <is>
          <t>X.6</t>
        </is>
      </c>
      <c r="D1848" s="48" t="inlineStr">
        <is>
          <t>Nhom X - Bo sung Raffles</t>
        </is>
      </c>
      <c r="E1848" s="48" t="inlineStr">
        <is>
          <t>[Bổ sung] Satellite phải LEFT JOIN, không INNER JOIN</t>
        </is>
      </c>
      <c r="F1848" s="49" t="inlineStr">
        <is>
          <t>PASS</t>
        </is>
      </c>
      <c r="G1848" s="48" t="inlineStr">
        <is>
          <t>Pass</t>
        </is>
      </c>
      <c r="H1848" s="50" t="inlineStr">
        <is>
          <t>các satellite đều LEFT JOIN</t>
        </is>
      </c>
      <c r="I1848" s="50" t="inlineStr">
        <is>
          <t>Technical Document III.4.2.2 nguyên tắc 1: làm giàu thuộc tính luôn dùng LEFT JOIN. INNER JOIN satellite sẽ loại mất bản ghi Hub đang còn hiệu lực nhưng chưa có dòng satellite.</t>
        </is>
      </c>
      <c r="J1848" s="48" t="inlineStr">
        <is>
          <t>095. OCB_GOLD_TTDL_DIM_CUSTOMER_Huy.xlsx [Script SQL: DIM_CUSTOMER]</t>
        </is>
      </c>
    </row>
    <row r="1849">
      <c r="A1849" s="48" t="inlineStr">
        <is>
          <t>TCIMPORT.DIM_CUSTOMER</t>
        </is>
      </c>
      <c r="B1849" s="48" t="inlineStr">
        <is>
          <t>SILVER_CONSUMER</t>
        </is>
      </c>
      <c r="C1849" s="48" t="inlineStr">
        <is>
          <t>X.7</t>
        </is>
      </c>
      <c r="D1849" s="48" t="inlineStr">
        <is>
          <t>Nhom X - Bo sung Raffles</t>
        </is>
      </c>
      <c r="E1849" s="48" t="inlineStr">
        <is>
          <t>[Bổ sung] Không hard-code catalog, dùng biến môi trường</t>
        </is>
      </c>
      <c r="F1849" s="49" t="inlineStr">
        <is>
          <t>PASS</t>
        </is>
      </c>
      <c r="G1849" s="48" t="inlineStr">
        <is>
          <t>Pass</t>
        </is>
      </c>
      <c r="H1849" s="50" t="inlineStr">
        <is>
          <t>dùng biến môi trường cho catalog</t>
        </is>
      </c>
      <c r="I18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849" s="48" t="inlineStr">
        <is>
          <t>095. OCB_GOLD_TTDL_DIM_CUSTOMER_Huy.xlsx [Script SQL: DIM_CUSTOMER]</t>
        </is>
      </c>
    </row>
    <row r="1850">
      <c r="A1850" s="48" t="inlineStr">
        <is>
          <t>TCIMPORT.DIM_CUSTOMER</t>
        </is>
      </c>
      <c r="B1850" s="48" t="inlineStr">
        <is>
          <t>SILVER_CONSUMER</t>
        </is>
      </c>
      <c r="C1850" s="48" t="inlineStr">
        <is>
          <t>X.10</t>
        </is>
      </c>
      <c r="D1850" s="48" t="inlineStr">
        <is>
          <t>Nhom X - Bo sung Raffles</t>
        </is>
      </c>
      <c r="E1850" s="48" t="inlineStr">
        <is>
          <t>Bang raw_vault/business_vault duoc doc phai TON TAI THAT trong Data Vault model</t>
        </is>
      </c>
      <c r="F1850" s="49" t="inlineStr">
        <is>
          <t>PASS</t>
        </is>
      </c>
      <c r="G1850" s="48" t="inlineStr">
        <is>
          <t>Pass</t>
        </is>
      </c>
      <c r="H1850" s="50" t="inlineStr">
        <is>
          <t>19 bảng Silver đều có thật trong Data Vault model</t>
        </is>
      </c>
      <c r="I1850" s="50" t="inlineStr"/>
      <c r="J1850" s="48" t="inlineStr">
        <is>
          <t>095. OCB_GOLD_TTDL_DIM_CUSTOMER_Huy.xlsx [Script SQL: DIM_CUSTOMER]</t>
        </is>
      </c>
    </row>
    <row r="1851">
      <c r="A1851" s="48" t="inlineStr">
        <is>
          <t>TCIMPORT.DIM_CUSTOMER</t>
        </is>
      </c>
      <c r="B1851" s="48" t="inlineStr">
        <is>
          <t>SILVER_CONSUMER</t>
        </is>
      </c>
      <c r="C1851" s="48" t="inlineStr">
        <is>
          <t>X.11</t>
        </is>
      </c>
      <c r="D1851" s="48" t="inlineStr">
        <is>
          <t>Nhom X - Bo sung Raffles</t>
        </is>
      </c>
      <c r="E1851" s="48" t="inlineStr">
        <is>
          <t>Cot doc tu satellite (sat_*) phai TON TAI THAT trong model</t>
        </is>
      </c>
      <c r="F1851" s="49" t="inlineStr">
        <is>
          <t>PASS</t>
        </is>
      </c>
      <c r="G1851" s="48" t="inlineStr">
        <is>
          <t>Pass</t>
        </is>
      </c>
      <c r="H1851" s="50" t="inlineStr">
        <is>
          <t>mọi cột đọc từ sat_* đều tồn tại trong model thật</t>
        </is>
      </c>
      <c r="I1851" s="50" t="inlineStr"/>
      <c r="J1851" s="48" t="inlineStr">
        <is>
          <t>095. OCB_GOLD_TTDL_DIM_CUSTOMER_Huy.xlsx [Script SQL: DIM_CUSTOMER]</t>
        </is>
      </c>
    </row>
    <row r="1852">
      <c r="A1852" s="48" t="inlineStr">
        <is>
          <t>TCIMPORT.FACT_ACCT_ENTRY</t>
        </is>
      </c>
      <c r="B1852" s="48" t="inlineStr">
        <is>
          <t>SILVER_CONSUMER</t>
        </is>
      </c>
      <c r="C1852" s="48" t="inlineStr">
        <is>
          <t>1.1</t>
        </is>
      </c>
      <c r="D1852" s="48" t="inlineStr">
        <is>
          <t>Nhom 1 - Mapping</t>
        </is>
      </c>
      <c r="E1852" s="48" t="inlineStr">
        <is>
          <t>Đầy đủ mapping từ Silver/manual sang Gold</t>
        </is>
      </c>
      <c r="F1852" s="49" t="inlineStr">
        <is>
          <t>PASS</t>
        </is>
      </c>
      <c r="G1852" s="48" t="inlineStr">
        <is>
          <t>Pass</t>
        </is>
      </c>
      <c r="H1852" s="50" t="inlineStr">
        <is>
          <t>workbook 096. OCB_GOLD_TTDL_FACT_ACCT_ENTRY_Huy.xlsx: thiết kế 40 field, SQL có 40 cột</t>
        </is>
      </c>
      <c r="I18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852" s="48" t="inlineStr">
        <is>
          <t>096. OCB_GOLD_TTDL_FACT_ACCT_ENTRY_Huy.xlsx [Script SQL: FACT_ACCT_ENTRY]</t>
        </is>
      </c>
    </row>
    <row r="1853">
      <c r="A1853" s="48" t="inlineStr">
        <is>
          <t>TCIMPORT.FACT_ACCT_ENTRY</t>
        </is>
      </c>
      <c r="B1853" s="48" t="inlineStr">
        <is>
          <t>SILVER_CONSUMER</t>
        </is>
      </c>
      <c r="C1853" s="48" t="inlineStr">
        <is>
          <t>1.2</t>
        </is>
      </c>
      <c r="D1853" s="48" t="inlineStr">
        <is>
          <t>Nhom 1 - Mapping</t>
        </is>
      </c>
      <c r="E1853" s="48" t="inlineStr">
        <is>
          <t>Danh sách bảng/view Gold khớp tài liệu thiết kế đã duyệt</t>
        </is>
      </c>
      <c r="F1853" s="49" t="inlineStr">
        <is>
          <t>PASS</t>
        </is>
      </c>
      <c r="G1853" s="48" t="inlineStr">
        <is>
          <t>Pass</t>
        </is>
      </c>
      <c r="H1853" s="50" t="inlineStr">
        <is>
          <t>FACT_ACCT_ENTRY có workbook thiết kế: 096. OCB_GOLD_TTDL_FACT_ACCT_ENTRY_Huy.xlsx</t>
        </is>
      </c>
      <c r="I1853" s="50" t="inlineStr">
        <is>
          <t>Đảm bảo object có workbook thiết kế tương ứng trong thư mục --mapping-dir. Muốn đối chiếu với danh sách đã duyệt thì chạy thêm tham số --gold-list "&lt;file danh sách Gold&gt;.xlsx".</t>
        </is>
      </c>
      <c r="J1853" s="48" t="inlineStr">
        <is>
          <t>096. OCB_GOLD_TTDL_FACT_ACCT_ENTRY_Huy.xlsx [Script SQL: FACT_ACCT_ENTRY]</t>
        </is>
      </c>
    </row>
    <row r="1854">
      <c r="A1854" s="48" t="inlineStr">
        <is>
          <t>TCIMPORT.FACT_ACCT_ENTRY</t>
        </is>
      </c>
      <c r="B1854" s="48" t="inlineStr">
        <is>
          <t>SILVER_CONSUMER</t>
        </is>
      </c>
      <c r="C1854" s="48" t="inlineStr">
        <is>
          <t>2.1</t>
        </is>
      </c>
      <c r="D1854" s="48" t="inlineStr">
        <is>
          <t>Nhom 2 - Logic</t>
        </is>
      </c>
      <c r="E1854" s="48" t="inlineStr">
        <is>
          <t>Chỉ lấy bản ghi active, loại bản ghi đã xóa (qua sts_hub)</t>
        </is>
      </c>
      <c r="F1854" s="49" t="inlineStr">
        <is>
          <t>PASS</t>
        </is>
      </c>
      <c r="G1854" s="48" t="inlineStr">
        <is>
          <t>Pass</t>
        </is>
      </c>
      <c r="H1854" s="50" t="inlineStr">
        <is>
          <t>2 sts_hub_* đọc đúng format</t>
        </is>
      </c>
      <c r="I18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854" s="48" t="inlineStr">
        <is>
          <t>096. OCB_GOLD_TTDL_FACT_ACCT_ENTRY_Huy.xlsx [Script SQL: FACT_ACCT_ENTRY]</t>
        </is>
      </c>
    </row>
    <row r="1855">
      <c r="A1855" s="48" t="inlineStr">
        <is>
          <t>TCIMPORT.FACT_ACCT_ENTRY</t>
        </is>
      </c>
      <c r="B1855" s="48" t="inlineStr">
        <is>
          <t>SILVER_CONSUMER</t>
        </is>
      </c>
      <c r="C1855" s="48" t="inlineStr">
        <is>
          <t>2.2</t>
        </is>
      </c>
      <c r="D1855" s="48" t="inlineStr">
        <is>
          <t>Nhom 2 - Logic</t>
        </is>
      </c>
      <c r="E1855" s="48" t="inlineStr">
        <is>
          <t>Thống nhất MỘT pattern duy nhất xác định bản ghi active mới nhất</t>
        </is>
      </c>
      <c r="F1855" s="49" t="inlineStr">
        <is>
          <t>PASS</t>
        </is>
      </c>
      <c r="G1855" s="48" t="inlineStr">
        <is>
          <t>Pass</t>
        </is>
      </c>
      <c r="H1855" s="50" t="inlineStr">
        <is>
          <t>file này dùng: ['MAX_BY']; toàn batch dùng: ['MAX_BY']</t>
        </is>
      </c>
      <c r="I18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55" s="48" t="inlineStr">
        <is>
          <t>096. OCB_GOLD_TTDL_FACT_ACCT_ENTRY_Huy.xlsx [Script SQL: FACT_ACCT_ENTRY]</t>
        </is>
      </c>
    </row>
    <row r="1856">
      <c r="A1856" s="48" t="inlineStr">
        <is>
          <t>TCIMPORT.FACT_ACCT_ENTRY</t>
        </is>
      </c>
      <c r="B1856" s="48" t="inlineStr">
        <is>
          <t>SILVER_CONSUMER</t>
        </is>
      </c>
      <c r="C1856" s="48" t="inlineStr">
        <is>
          <t>2.3</t>
        </is>
      </c>
      <c r="D1856" s="48" t="inlineStr">
        <is>
          <t>Nhom 2 - Logic</t>
        </is>
      </c>
      <c r="E1856" s="48" t="inlineStr">
        <is>
          <t>Điều kiện lọc trạng thái đặt SAU khi xác định bản ghi mới nhất</t>
        </is>
      </c>
      <c r="F1856" s="49" t="inlineStr">
        <is>
          <t>PASS</t>
        </is>
      </c>
      <c r="G1856" s="48" t="inlineStr">
        <is>
          <t>Pass</t>
        </is>
      </c>
      <c r="H1856" s="50" t="inlineStr">
        <is>
          <t>không có điều kiện trạng thái nào lồng trong JOIN ON</t>
        </is>
      </c>
      <c r="I18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56" s="48" t="inlineStr">
        <is>
          <t>096. OCB_GOLD_TTDL_FACT_ACCT_ENTRY_Huy.xlsx [Script SQL: FACT_ACCT_ENTRY]</t>
        </is>
      </c>
    </row>
    <row r="1857">
      <c r="A1857" s="48" t="inlineStr">
        <is>
          <t>TCIMPORT.FACT_ACCT_ENTRY</t>
        </is>
      </c>
      <c r="B1857" s="48" t="inlineStr">
        <is>
          <t>SILVER_CONSUMER</t>
        </is>
      </c>
      <c r="C1857" s="48" t="inlineStr">
        <is>
          <t>2.4</t>
        </is>
      </c>
      <c r="D1857" s="48" t="inlineStr">
        <is>
          <t>Nhom 2 - Logic</t>
        </is>
      </c>
      <c r="E1857" s="48" t="inlineStr">
        <is>
          <t>source_event_date áp dụng đúng dạng theo loại bảng</t>
        </is>
      </c>
      <c r="F1857" s="49" t="inlineStr">
        <is>
          <t>PASS</t>
        </is>
      </c>
      <c r="G1857" s="48" t="inlineStr">
        <is>
          <t>Pass</t>
        </is>
      </c>
      <c r="H1857" s="50" t="inlineStr">
        <is>
          <t>12 satellite đều đúng dạng điều kiện source_event_date</t>
        </is>
      </c>
      <c r="I18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57" s="48" t="inlineStr">
        <is>
          <t>096. OCB_GOLD_TTDL_FACT_ACCT_ENTRY_Huy.xlsx [Script SQL: FACT_ACCT_ENTRY]</t>
        </is>
      </c>
    </row>
    <row r="1858">
      <c r="A1858" s="48" t="inlineStr">
        <is>
          <t>TCIMPORT.FACT_ACCT_ENTRY</t>
        </is>
      </c>
      <c r="B1858" s="48" t="inlineStr">
        <is>
          <t>SILVER_CONSUMER</t>
        </is>
      </c>
      <c r="C1858" s="48" t="inlineStr">
        <is>
          <t>2.5</t>
        </is>
      </c>
      <c r="D1858" s="48" t="inlineStr">
        <is>
          <t>Nhom 2 - Logic</t>
        </is>
      </c>
      <c r="E1858" s="48" t="inlineStr">
        <is>
          <t>Không lặp lại lỗi logic cũ đã được DA Data Vault fix</t>
        </is>
      </c>
      <c r="F1858" s="49" t="inlineStr">
        <is>
          <t>PASS</t>
        </is>
      </c>
      <c r="G1858" s="48" t="inlineStr">
        <is>
          <t>Pass</t>
        </is>
      </c>
      <c r="H1858" s="50" t="inlineStr">
        <is>
          <t>không trùng lỗi nào trong Issue log của DA Data Vault</t>
        </is>
      </c>
      <c r="I18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58" s="48" t="inlineStr">
        <is>
          <t>096. OCB_GOLD_TTDL_FACT_ACCT_ENTRY_Huy.xlsx [Script SQL: FACT_ACCT_ENTRY]</t>
        </is>
      </c>
    </row>
    <row r="1859">
      <c r="A1859" s="48" t="inlineStr">
        <is>
          <t>TCIMPORT.FACT_ACCT_ENTRY</t>
        </is>
      </c>
      <c r="B1859" s="48" t="inlineStr">
        <is>
          <t>SILVER_CONSUMER</t>
        </is>
      </c>
      <c r="C1859" s="48" t="inlineStr">
        <is>
          <t>2.6</t>
        </is>
      </c>
      <c r="D1859" s="48" t="inlineStr">
        <is>
          <t>Nhom 2 - Logic</t>
        </is>
      </c>
      <c r="E1859" s="48" t="inlineStr">
        <is>
          <t>SCD Type 2 cho bảng DIM áp dụng đúng kỹ thuật đã thống nhất</t>
        </is>
      </c>
      <c r="F1859" s="48" t="inlineStr">
        <is>
          <t>N-A</t>
        </is>
      </c>
      <c r="G1859" s="48" t="inlineStr">
        <is>
          <t>Pass</t>
        </is>
      </c>
      <c r="H1859" s="50" t="inlineStr">
        <is>
          <t>object không phải bảng DIM nên không áp dụng SCD Type 2</t>
        </is>
      </c>
      <c r="I18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59" s="48" t="inlineStr">
        <is>
          <t>096. OCB_GOLD_TTDL_FACT_ACCT_ENTRY_Huy.xlsx [Script SQL: FACT_ACCT_ENTRY]</t>
        </is>
      </c>
    </row>
    <row r="1860">
      <c r="A1860" s="48" t="inlineStr">
        <is>
          <t>TCIMPORT.FACT_ACCT_ENTRY</t>
        </is>
      </c>
      <c r="B1860" s="48" t="inlineStr">
        <is>
          <t>SILVER_CONSUMER</t>
        </is>
      </c>
      <c r="C1860" s="48" t="inlineStr">
        <is>
          <t>2.7</t>
        </is>
      </c>
      <c r="D1860" s="48" t="inlineStr">
        <is>
          <t>Nhom 2 - Logic</t>
        </is>
      </c>
      <c r="E1860" s="48" t="inlineStr">
        <is>
          <t>CASE WHEN cover đủ nhánh như job on-prem</t>
        </is>
      </c>
      <c r="F1860" s="49" t="inlineStr">
        <is>
          <t>PASS</t>
        </is>
      </c>
      <c r="G1860" s="48" t="inlineStr">
        <is>
          <t>Pass</t>
        </is>
      </c>
      <c r="H1860" s="50" t="inlineStr">
        <is>
          <t>cả 31 CASE đều có nhánh ELSE</t>
        </is>
      </c>
      <c r="I1860" s="50" t="inlineStr">
        <is>
          <t>Mở job on-prem tương ứng (DataStage DSX hoặc SQL cũ), đối chiếu từng nhánh WHEN và cả nhánh ELSE. CASE không có ELSE sẽ trả NULL âm thầm — xác nhận đó là ý muốn hay thiếu nhánh.</t>
        </is>
      </c>
      <c r="J1860" s="48" t="inlineStr">
        <is>
          <t>096. OCB_GOLD_TTDL_FACT_ACCT_ENTRY_Huy.xlsx [Script SQL: FACT_ACCT_ENTRY]</t>
        </is>
      </c>
    </row>
    <row r="1861">
      <c r="A1861" s="48" t="inlineStr">
        <is>
          <t>TCIMPORT.FACT_ACCT_ENTRY</t>
        </is>
      </c>
      <c r="B1861" s="48" t="inlineStr">
        <is>
          <t>SILVER_CONSUMER</t>
        </is>
      </c>
      <c r="C1861" s="48" t="inlineStr">
        <is>
          <t>2.8</t>
        </is>
      </c>
      <c r="D1861" s="48" t="inlineStr">
        <is>
          <t>Nhom 2 - Logic</t>
        </is>
      </c>
      <c r="E1861" s="48" t="inlineStr">
        <is>
          <t>Cột SUM/COUNT được COALESCE/NVL hợp lý</t>
        </is>
      </c>
      <c r="F1861" s="49" t="inlineStr">
        <is>
          <t>PASS</t>
        </is>
      </c>
      <c r="G1861" s="48" t="inlineStr">
        <is>
          <t>Pass</t>
        </is>
      </c>
      <c r="H1861" s="50" t="inlineStr">
        <is>
          <t>mọi SUM/COUNT đều đã coalesce (trực tiếp hoặc ở lớp ngoài)</t>
        </is>
      </c>
      <c r="I18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61" s="48" t="inlineStr">
        <is>
          <t>096. OCB_GOLD_TTDL_FACT_ACCT_ENTRY_Huy.xlsx [Script SQL: FACT_ACCT_ENTRY]</t>
        </is>
      </c>
    </row>
    <row r="1862">
      <c r="A1862" s="48" t="inlineStr">
        <is>
          <t>TCIMPORT.FACT_ACCT_ENTRY</t>
        </is>
      </c>
      <c r="B1862" s="48" t="inlineStr">
        <is>
          <t>SILVER_CONSUMER</t>
        </is>
      </c>
      <c r="C1862" s="48" t="inlineStr">
        <is>
          <t>2.9</t>
        </is>
      </c>
      <c r="D1862" s="48" t="inlineStr">
        <is>
          <t>Nhom 2 - Logic</t>
        </is>
      </c>
      <c r="E1862" s="48" t="inlineStr">
        <is>
          <t>Subquery / custom function / điều kiện LIKE đúng ý nghĩa nghiệp vụ</t>
        </is>
      </c>
      <c r="F1862" s="49" t="inlineStr">
        <is>
          <t>PASS</t>
        </is>
      </c>
      <c r="G1862" s="48" t="inlineStr">
        <is>
          <t>Pass</t>
        </is>
      </c>
      <c r="H1862" s="50" t="inlineStr">
        <is>
          <t>3 điều kiện LIKE: ht.business_key LIKE 'TT%' | hub.business_key NOT LIKE 'F%' | xf.t_xref LIKE 'STMT.ENTRY%'; cú pháp hợp lệ; ý nghĩa nghiệp vụ cần người review đối chiếu job on-prem</t>
        </is>
      </c>
      <c r="I1862" s="50" t="inlineStr">
        <is>
          <t>Đọc lại từng điều kiện LIKE và từng subquery, đối chiếu ý nghĩa nghiệp vụ với on-prem — đúng cú pháp không đủ. Chú ý pattern LIKE có ký tự % ở đầu/cuối và phân biệt chữ hoa/thường.</t>
        </is>
      </c>
      <c r="J1862" s="48" t="inlineStr">
        <is>
          <t>096. OCB_GOLD_TTDL_FACT_ACCT_ENTRY_Huy.xlsx [Script SQL: FACT_ACCT_ENTRY]</t>
        </is>
      </c>
    </row>
    <row r="1863">
      <c r="A1863" s="48" t="inlineStr">
        <is>
          <t>TCIMPORT.FACT_ACCT_ENTRY</t>
        </is>
      </c>
      <c r="B1863" s="48" t="inlineStr">
        <is>
          <t>SILVER_CONSUMER</t>
        </is>
      </c>
      <c r="C1863" s="48" t="inlineStr">
        <is>
          <t>2.10</t>
        </is>
      </c>
      <c r="D1863" s="48" t="inlineStr">
        <is>
          <t>Nhom 2 - Logic</t>
        </is>
      </c>
      <c r="E1863" s="48" t="inlineStr">
        <is>
          <t>Aggregation kèm filter date range chính xác</t>
        </is>
      </c>
      <c r="F1863" s="49" t="inlineStr">
        <is>
          <t>PASS</t>
        </is>
      </c>
      <c r="G1863" s="48" t="inlineStr">
        <is>
          <t>Pass</t>
        </is>
      </c>
      <c r="H1863" s="50" t="inlineStr">
        <is>
          <t>mọi khối tổng hợp đều có điều kiện theo kỳ dữ liệu</t>
        </is>
      </c>
      <c r="I1863" s="50" t="inlineStr">
        <is>
          <t>Mỗi khối SUM/COUNT/AVG phải có điều kiện lọc theo kỳ dữ liệu (CDR_DT_ID, DATA_DATE, :DATADT…). Nếu điều kiện nằm ở CTE nguồn thì ghi rõ trong comment để người review không phải truy ngược.</t>
        </is>
      </c>
      <c r="J1863" s="48" t="inlineStr">
        <is>
          <t>096. OCB_GOLD_TTDL_FACT_ACCT_ENTRY_Huy.xlsx [Script SQL: FACT_ACCT_ENTRY]</t>
        </is>
      </c>
    </row>
    <row r="1864">
      <c r="A1864" s="48" t="inlineStr">
        <is>
          <t>TCIMPORT.FACT_ACCT_ENTRY</t>
        </is>
      </c>
      <c r="B1864" s="48" t="inlineStr">
        <is>
          <t>SILVER_CONSUMER</t>
        </is>
      </c>
      <c r="C1864" s="48" t="inlineStr">
        <is>
          <t>2.11</t>
        </is>
      </c>
      <c r="D1864" s="48" t="inlineStr">
        <is>
          <t>Nhom 2 - Logic</t>
        </is>
      </c>
      <c r="E1864" s="48" t="inlineStr">
        <is>
          <t>Join dùng key hợp lý, không lạm dụng UNION ALL + EXISTS/NOT EXISTS</t>
        </is>
      </c>
      <c r="F1864" s="49" t="inlineStr">
        <is>
          <t>PASS</t>
        </is>
      </c>
      <c r="G1864" s="48" t="inlineStr">
        <is>
          <t>Pass</t>
        </is>
      </c>
      <c r="H1864" s="50" t="inlineStr">
        <is>
          <t>join đều theo điều kiện bằng, không lạm dụng UNION ALL + EXISTS</t>
        </is>
      </c>
      <c r="I1864" s="50" t="inlineStr">
        <is>
          <t>Ưu tiên LEFT JOIN theo business key hoặc hashkey. Xem lại các chỗ dùng UNION ALL kết hợp EXISTS/NOT EXISTS — thường thay được bằng một LEFT JOIN. Join không có điều kiện bằng (=) dễ tạo tích Descartes.</t>
        </is>
      </c>
      <c r="J1864" s="48" t="inlineStr">
        <is>
          <t>096. OCB_GOLD_TTDL_FACT_ACCT_ENTRY_Huy.xlsx [Script SQL: FACT_ACCT_ENTRY]</t>
        </is>
      </c>
    </row>
    <row r="1865">
      <c r="A1865" s="48" t="inlineStr">
        <is>
          <t>TCIMPORT.FACT_ACCT_ENTRY</t>
        </is>
      </c>
      <c r="B1865" s="48" t="inlineStr">
        <is>
          <t>SILVER_CONSUMER</t>
        </is>
      </c>
      <c r="C1865" s="48" t="inlineStr">
        <is>
          <t>2.12</t>
        </is>
      </c>
      <c r="D1865" s="48" t="inlineStr">
        <is>
          <t>Nhom 2 - Logic</t>
        </is>
      </c>
      <c r="E1865" s="48" t="inlineStr">
        <is>
          <t>Build Gold từ CTE snapshot Silver, không build nhiều tầng chồng chéo</t>
        </is>
      </c>
      <c r="F1865" s="49" t="inlineStr">
        <is>
          <t>PASS</t>
        </is>
      </c>
      <c r="G1865" s="48" t="inlineStr">
        <is>
          <t>Pass</t>
        </is>
      </c>
      <c r="H1865" s="50" t="inlineStr">
        <is>
          <t>mỗi bảng nguồn chỉ đọc trong 1 khối SELECT</t>
        </is>
      </c>
      <c r="I18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865" s="48" t="inlineStr">
        <is>
          <t>096. OCB_GOLD_TTDL_FACT_ACCT_ENTRY_Huy.xlsx [Script SQL: FACT_ACCT_ENTRY]</t>
        </is>
      </c>
    </row>
    <row r="1866">
      <c r="A1866" s="48" t="inlineStr">
        <is>
          <t>TCIMPORT.FACT_ACCT_ENTRY</t>
        </is>
      </c>
      <c r="B1866" s="48" t="inlineStr">
        <is>
          <t>SILVER_CONSUMER</t>
        </is>
      </c>
      <c r="C1866" s="48" t="inlineStr">
        <is>
          <t>3.1</t>
        </is>
      </c>
      <c r="D1866" s="48" t="inlineStr">
        <is>
          <t>Nhom 3 - Optimization</t>
        </is>
      </c>
      <c r="E1866" s="48" t="inlineStr">
        <is>
          <t>Không SELECT *</t>
        </is>
      </c>
      <c r="F1866" s="49" t="inlineStr">
        <is>
          <t>PASS</t>
        </is>
      </c>
      <c r="G1866" s="48" t="inlineStr">
        <is>
          <t>Pass</t>
        </is>
      </c>
      <c r="H1866" s="50" t="inlineStr">
        <is>
          <t>không dùng SELECT * ở đâu</t>
        </is>
      </c>
      <c r="I1866" s="50" t="inlineStr">
        <is>
          <t>Liệt kê tường minh các cột cần dùng, kể cả trong CTE trung gian. SELECT * làm tăng IO/memory và vỡ script khi bảng nguồn thêm cột.</t>
        </is>
      </c>
      <c r="J1866" s="48" t="inlineStr">
        <is>
          <t>096. OCB_GOLD_TTDL_FACT_ACCT_ENTRY_Huy.xlsx [Script SQL: FACT_ACCT_ENTRY]</t>
        </is>
      </c>
    </row>
    <row r="1867">
      <c r="A1867" s="48" t="inlineStr">
        <is>
          <t>TCIMPORT.FACT_ACCT_ENTRY</t>
        </is>
      </c>
      <c r="B1867" s="48" t="inlineStr">
        <is>
          <t>SILVER_CONSUMER</t>
        </is>
      </c>
      <c r="C1867" s="48" t="inlineStr">
        <is>
          <t>3.2</t>
        </is>
      </c>
      <c r="D1867" s="48" t="inlineStr">
        <is>
          <t>Nhom 3 - Optimization</t>
        </is>
      </c>
      <c r="E1867" s="48" t="inlineStr">
        <is>
          <t>CTE không bị scan lại nhiều lần</t>
        </is>
      </c>
      <c r="F1867" s="51" t="inlineStr">
        <is>
          <t>WARN</t>
        </is>
      </c>
      <c r="G1867" s="48" t="inlineStr">
        <is>
          <t>WARN</t>
        </is>
      </c>
      <c r="H1867" s="50" t="inlineStr">
        <is>
          <t>CTE bị tham chiếu lại nhiều lần: branch_dim x3, branch_parent x3, cust_dim x4, custgrp x3, ref_line x3, lm_hub x3, lm_xref x3</t>
        </is>
      </c>
      <c r="I1867" s="50" t="inlineStr">
        <is>
          <t>Với CTE nặng (đọc nhiều bảng Silver) bị tham chiếu từ 2 chỗ trở lên: gom lại còn một lần dùng, hoặc vật chất hóa (CACHE / bảng tạm). CTE nhẹ chỉ chứa tham số thì bỏ qua được — tự tick Pass.</t>
        </is>
      </c>
      <c r="J1867" s="48" t="inlineStr">
        <is>
          <t>096. OCB_GOLD_TTDL_FACT_ACCT_ENTRY_Huy.xlsx [Script SQL: FACT_ACCT_ENTRY]</t>
        </is>
      </c>
    </row>
    <row r="1868">
      <c r="A1868" s="48" t="inlineStr">
        <is>
          <t>TCIMPORT.FACT_ACCT_ENTRY</t>
        </is>
      </c>
      <c r="B1868" s="48" t="inlineStr">
        <is>
          <t>SILVER_CONSUMER</t>
        </is>
      </c>
      <c r="C1868" s="48" t="inlineStr">
        <is>
          <t>3.3</t>
        </is>
      </c>
      <c r="D1868" s="48" t="inlineStr">
        <is>
          <t>Nhom 3 - Optimization</t>
        </is>
      </c>
      <c r="E1868" s="48" t="inlineStr">
        <is>
          <t>Filter trước khi join, tận dụng partition pruning</t>
        </is>
      </c>
      <c r="F1868" s="49" t="inlineStr">
        <is>
          <t>PASS</t>
        </is>
      </c>
      <c r="G1868" s="48" t="inlineStr">
        <is>
          <t>Pass</t>
        </is>
      </c>
      <c r="H1868" s="50" t="inlineStr">
        <is>
          <t>các bảng join đều được filter trước</t>
        </is>
      </c>
      <c r="I1868" s="50" t="inlineStr">
        <is>
          <t>Đưa điều kiện lọc (ngày dữ liệu, trạng thái) vào subquery của từng bảng TRƯỚC khi join, để tận dụng partition pruning. Bảng dim nhỏ không partition thì không cần — tự tick Pass.</t>
        </is>
      </c>
      <c r="J1868" s="48" t="inlineStr">
        <is>
          <t>096. OCB_GOLD_TTDL_FACT_ACCT_ENTRY_Huy.xlsx [Script SQL: FACT_ACCT_ENTRY]</t>
        </is>
      </c>
    </row>
    <row r="1869">
      <c r="A1869" s="48" t="inlineStr">
        <is>
          <t>TCIMPORT.FACT_ACCT_ENTRY</t>
        </is>
      </c>
      <c r="B1869" s="48" t="inlineStr">
        <is>
          <t>SILVER_CONSUMER</t>
        </is>
      </c>
      <c r="C1869" s="48" t="inlineStr">
        <is>
          <t>3.4</t>
        </is>
      </c>
      <c r="D1869" s="48" t="inlineStr">
        <is>
          <t>Nhom 3 - Optimization</t>
        </is>
      </c>
      <c r="E1869" s="48" t="inlineStr">
        <is>
          <t>Sử dụng CACHE cho query lặp lại trong cùng luồng</t>
        </is>
      </c>
      <c r="F1869" s="51" t="inlineStr">
        <is>
          <t>WARN</t>
        </is>
      </c>
      <c r="G1869" s="48" t="inlineStr">
        <is>
          <t>WARN</t>
        </is>
      </c>
      <c r="H1869" s="50" t="inlineStr">
        <is>
          <t>7 CTE nặng dùng lại &gt;= 2 lần mà không có CACHE: branch_dim, branch_parent, cust_dim, custgrp, lm_hub, lm_xref, ref_line</t>
        </is>
      </c>
      <c r="I1869" s="50" t="inlineStr">
        <is>
          <t>Nếu một kết quả nặng được dùng lại nhiều bước trong cùng luồng, thêm CACHE TABLE / CACHE SELECT. Kết quả nhỏ thì cache còn chậm hơn — tự tick Pass.</t>
        </is>
      </c>
      <c r="J1869" s="48" t="inlineStr">
        <is>
          <t>096. OCB_GOLD_TTDL_FACT_ACCT_ENTRY_Huy.xlsx [Script SQL: FACT_ACCT_ENTRY]</t>
        </is>
      </c>
    </row>
    <row r="1870">
      <c r="A1870" s="48" t="inlineStr">
        <is>
          <t>TCIMPORT.FACT_ACCT_ENTRY</t>
        </is>
      </c>
      <c r="B1870" s="48" t="inlineStr">
        <is>
          <t>SILVER_CONSUMER</t>
        </is>
      </c>
      <c r="C1870" s="48" t="inlineStr">
        <is>
          <t>3.5</t>
        </is>
      </c>
      <c r="D1870" s="48" t="inlineStr">
        <is>
          <t>Nhom 3 - Optimization</t>
        </is>
      </c>
      <c r="E1870" s="48" t="inlineStr">
        <is>
          <t>Ưu tiên MAX_BY + QUALIFY thay ROW_NUMBER() + WHERE rn = 1</t>
        </is>
      </c>
      <c r="F1870" s="51" t="inlineStr">
        <is>
          <t>WARN</t>
        </is>
      </c>
      <c r="G1870" s="48" t="inlineStr">
        <is>
          <t>WARN</t>
        </is>
      </c>
      <c r="H1870" s="50" t="inlineStr">
        <is>
          <t>3 khối dùng MAX_BY độc lập cho &gt;5 cột (dòng 10, [10, 7,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8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870" s="48" t="inlineStr">
        <is>
          <t>096. OCB_GOLD_TTDL_FACT_ACCT_ENTRY_Huy.xlsx [Script SQL: FACT_ACCT_ENTRY]</t>
        </is>
      </c>
    </row>
    <row r="1871">
      <c r="A1871" s="48" t="inlineStr">
        <is>
          <t>TCIMPORT.FACT_ACCT_ENTRY</t>
        </is>
      </c>
      <c r="B1871" s="48" t="inlineStr">
        <is>
          <t>SILVER_CONSUMER</t>
        </is>
      </c>
      <c r="C1871" s="48" t="inlineStr">
        <is>
          <t>3.6</t>
        </is>
      </c>
      <c r="D1871" s="48" t="inlineStr">
        <is>
          <t>Nhom 3 - Optimization</t>
        </is>
      </c>
      <c r="E1871" s="48" t="inlineStr">
        <is>
          <t>Không lạm dụng window function; có comment khi dùng</t>
        </is>
      </c>
      <c r="F1871" s="48" t="inlineStr">
        <is>
          <t>N-A</t>
        </is>
      </c>
      <c r="G1871" s="48" t="inlineStr">
        <is>
          <t>Pass</t>
        </is>
      </c>
      <c r="H1871" s="50" t="inlineStr">
        <is>
          <t>script không dùng window function</t>
        </is>
      </c>
      <c r="I1871" s="50" t="inlineStr">
        <is>
          <t>Mỗi window function cần một comment ngay trên khối CTE chứa nó, nói rõ vì sao không dùng được max_by/QUALIFY đơn giản hơn.</t>
        </is>
      </c>
      <c r="J1871" s="48" t="inlineStr">
        <is>
          <t>096. OCB_GOLD_TTDL_FACT_ACCT_ENTRY_Huy.xlsx [Script SQL: FACT_ACCT_ENTRY]</t>
        </is>
      </c>
    </row>
    <row r="1872">
      <c r="A1872" s="48" t="inlineStr">
        <is>
          <t>TCIMPORT.FACT_ACCT_ENTRY</t>
        </is>
      </c>
      <c r="B1872" s="48" t="inlineStr">
        <is>
          <t>SILVER_CONSUMER</t>
        </is>
      </c>
      <c r="C1872" s="48" t="inlineStr">
        <is>
          <t>X.1</t>
        </is>
      </c>
      <c r="D1872" s="48" t="inlineStr">
        <is>
          <t>Nhom X - Bo sung Raffles</t>
        </is>
      </c>
      <c r="E1872" s="48" t="inlineStr">
        <is>
          <t>[Bổ sung] Link phải rút về current trước khi join (chống fan-out)</t>
        </is>
      </c>
      <c r="F1872" s="49" t="inlineStr">
        <is>
          <t>PASS</t>
        </is>
      </c>
      <c r="G1872" s="48" t="inlineStr">
        <is>
          <t>Pass</t>
        </is>
      </c>
      <c r="H1872" s="50" t="inlineStr">
        <is>
          <t>các bảng link_* đều được rút về current trước khi join</t>
        </is>
      </c>
      <c r="I18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872" s="48" t="inlineStr">
        <is>
          <t>096. OCB_GOLD_TTDL_FACT_ACCT_ENTRY_Huy.xlsx [Script SQL: FACT_ACCT_ENTRY]</t>
        </is>
      </c>
    </row>
    <row r="1873">
      <c r="A1873" s="48" t="inlineStr">
        <is>
          <t>TCIMPORT.FACT_ACCT_ENTRY</t>
        </is>
      </c>
      <c r="B1873" s="48" t="inlineStr">
        <is>
          <t>SILVER_CONSUMER</t>
        </is>
      </c>
      <c r="C1873" s="48" t="inlineStr">
        <is>
          <t>X.6</t>
        </is>
      </c>
      <c r="D1873" s="48" t="inlineStr">
        <is>
          <t>Nhom X - Bo sung Raffles</t>
        </is>
      </c>
      <c r="E1873" s="48" t="inlineStr">
        <is>
          <t>[Bổ sung] Satellite phải LEFT JOIN, không INNER JOIN</t>
        </is>
      </c>
      <c r="F1873" s="49" t="inlineStr">
        <is>
          <t>PASS</t>
        </is>
      </c>
      <c r="G1873" s="48" t="inlineStr">
        <is>
          <t>Pass</t>
        </is>
      </c>
      <c r="H1873" s="50" t="inlineStr">
        <is>
          <t>các satellite đều LEFT JOIN</t>
        </is>
      </c>
      <c r="I1873" s="50" t="inlineStr">
        <is>
          <t>Technical Document III.4.2.2 nguyên tắc 1: làm giàu thuộc tính luôn dùng LEFT JOIN. INNER JOIN satellite sẽ loại mất bản ghi Hub đang còn hiệu lực nhưng chưa có dòng satellite.</t>
        </is>
      </c>
      <c r="J1873" s="48" t="inlineStr">
        <is>
          <t>096. OCB_GOLD_TTDL_FACT_ACCT_ENTRY_Huy.xlsx [Script SQL: FACT_ACCT_ENTRY]</t>
        </is>
      </c>
    </row>
    <row r="1874">
      <c r="A1874" s="48" t="inlineStr">
        <is>
          <t>TCIMPORT.FACT_ACCT_ENTRY</t>
        </is>
      </c>
      <c r="B1874" s="48" t="inlineStr">
        <is>
          <t>SILVER_CONSUMER</t>
        </is>
      </c>
      <c r="C1874" s="48" t="inlineStr">
        <is>
          <t>X.7</t>
        </is>
      </c>
      <c r="D1874" s="48" t="inlineStr">
        <is>
          <t>Nhom X - Bo sung Raffles</t>
        </is>
      </c>
      <c r="E1874" s="48" t="inlineStr">
        <is>
          <t>[Bổ sung] Không hard-code catalog, dùng biến môi trường</t>
        </is>
      </c>
      <c r="F1874" s="49" t="inlineStr">
        <is>
          <t>PASS</t>
        </is>
      </c>
      <c r="G1874" s="48" t="inlineStr">
        <is>
          <t>Pass</t>
        </is>
      </c>
      <c r="H1874" s="50" t="inlineStr">
        <is>
          <t>dùng biến môi trường cho catalog</t>
        </is>
      </c>
      <c r="I18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874" s="48" t="inlineStr">
        <is>
          <t>096. OCB_GOLD_TTDL_FACT_ACCT_ENTRY_Huy.xlsx [Script SQL: FACT_ACCT_ENTRY]</t>
        </is>
      </c>
    </row>
    <row r="1875">
      <c r="A1875" s="48" t="inlineStr">
        <is>
          <t>TCIMPORT.FACT_ACCT_ENTRY</t>
        </is>
      </c>
      <c r="B1875" s="48" t="inlineStr">
        <is>
          <t>SILVER_CONSUMER</t>
        </is>
      </c>
      <c r="C1875" s="48" t="inlineStr">
        <is>
          <t>X.10</t>
        </is>
      </c>
      <c r="D1875" s="48" t="inlineStr">
        <is>
          <t>Nhom X - Bo sung Raffles</t>
        </is>
      </c>
      <c r="E1875" s="48" t="inlineStr">
        <is>
          <t>Bang raw_vault/business_vault duoc doc phai TON TAI THAT trong Data Vault model</t>
        </is>
      </c>
      <c r="F1875" s="49" t="inlineStr">
        <is>
          <t>PASS</t>
        </is>
      </c>
      <c r="G1875" s="48" t="inlineStr">
        <is>
          <t>Pass</t>
        </is>
      </c>
      <c r="H1875" s="50" t="inlineStr">
        <is>
          <t>32 bảng Silver đều có thật trong Data Vault model</t>
        </is>
      </c>
      <c r="I1875" s="50" t="inlineStr"/>
      <c r="J1875" s="48" t="inlineStr">
        <is>
          <t>096. OCB_GOLD_TTDL_FACT_ACCT_ENTRY_Huy.xlsx [Script SQL: FACT_ACCT_ENTRY]</t>
        </is>
      </c>
    </row>
    <row r="1876">
      <c r="A1876" s="48" t="inlineStr">
        <is>
          <t>TCIMPORT.FACT_ACCT_ENTRY</t>
        </is>
      </c>
      <c r="B1876" s="48" t="inlineStr">
        <is>
          <t>SILVER_CONSUMER</t>
        </is>
      </c>
      <c r="C1876" s="48" t="inlineStr">
        <is>
          <t>X.11</t>
        </is>
      </c>
      <c r="D1876" s="48" t="inlineStr">
        <is>
          <t>Nhom X - Bo sung Raffles</t>
        </is>
      </c>
      <c r="E1876" s="48" t="inlineStr">
        <is>
          <t>Cot doc tu satellite (sat_*) phai TON TAI THAT trong model</t>
        </is>
      </c>
      <c r="F1876" s="49" t="inlineStr">
        <is>
          <t>PASS</t>
        </is>
      </c>
      <c r="G1876" s="48" t="inlineStr">
        <is>
          <t>Pass</t>
        </is>
      </c>
      <c r="H1876" s="50" t="inlineStr">
        <is>
          <t>mọi cột đọc từ sat_* đều tồn tại trong model thật</t>
        </is>
      </c>
      <c r="I1876" s="50" t="inlineStr"/>
      <c r="J1876" s="48" t="inlineStr">
        <is>
          <t>096. OCB_GOLD_TTDL_FACT_ACCT_ENTRY_Huy.xlsx [Script SQL: FACT_ACCT_ENTRY]</t>
        </is>
      </c>
    </row>
    <row r="1877">
      <c r="A1877" s="48" t="inlineStr">
        <is>
          <t>TCIMPORT.FACT_FUND_TRANS</t>
        </is>
      </c>
      <c r="B1877" s="48" t="inlineStr">
        <is>
          <t>SILVER_CONSUMER</t>
        </is>
      </c>
      <c r="C1877" s="48" t="inlineStr">
        <is>
          <t>1.1</t>
        </is>
      </c>
      <c r="D1877" s="48" t="inlineStr">
        <is>
          <t>Nhom 1 - Mapping</t>
        </is>
      </c>
      <c r="E1877" s="48" t="inlineStr">
        <is>
          <t>Đầy đủ mapping từ Silver/manual sang Gold</t>
        </is>
      </c>
      <c r="F1877" s="49" t="inlineStr">
        <is>
          <t>PASS</t>
        </is>
      </c>
      <c r="G1877" s="48" t="inlineStr">
        <is>
          <t>Pass</t>
        </is>
      </c>
      <c r="H1877" s="50" t="inlineStr">
        <is>
          <t>workbook 097. OCB_GOLD_TTDL_FACT_FUND_TRANS_Huy.xlsx: thiết kế 51 field, SQL có 51 cột</t>
        </is>
      </c>
      <c r="I18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877" s="48" t="inlineStr">
        <is>
          <t>097. OCB_GOLD_TTDL_FACT_FUND_TRANS_Huy.xlsx [Script SQL: FACT_FUND_TRANS]</t>
        </is>
      </c>
    </row>
    <row r="1878">
      <c r="A1878" s="48" t="inlineStr">
        <is>
          <t>TCIMPORT.FACT_FUND_TRANS</t>
        </is>
      </c>
      <c r="B1878" s="48" t="inlineStr">
        <is>
          <t>SILVER_CONSUMER</t>
        </is>
      </c>
      <c r="C1878" s="48" t="inlineStr">
        <is>
          <t>1.2</t>
        </is>
      </c>
      <c r="D1878" s="48" t="inlineStr">
        <is>
          <t>Nhom 1 - Mapping</t>
        </is>
      </c>
      <c r="E1878" s="48" t="inlineStr">
        <is>
          <t>Danh sách bảng/view Gold khớp tài liệu thiết kế đã duyệt</t>
        </is>
      </c>
      <c r="F1878" s="49" t="inlineStr">
        <is>
          <t>PASS</t>
        </is>
      </c>
      <c r="G1878" s="48" t="inlineStr">
        <is>
          <t>Pass</t>
        </is>
      </c>
      <c r="H1878" s="50" t="inlineStr">
        <is>
          <t>FACT_FUND_TRANS có workbook thiết kế: 097. OCB_GOLD_TTDL_FACT_FUND_TRANS_Huy.xlsx</t>
        </is>
      </c>
      <c r="I1878" s="50" t="inlineStr">
        <is>
          <t>Đảm bảo object có workbook thiết kế tương ứng trong thư mục --mapping-dir. Muốn đối chiếu với danh sách đã duyệt thì chạy thêm tham số --gold-list "&lt;file danh sách Gold&gt;.xlsx".</t>
        </is>
      </c>
      <c r="J1878" s="48" t="inlineStr">
        <is>
          <t>097. OCB_GOLD_TTDL_FACT_FUND_TRANS_Huy.xlsx [Script SQL: FACT_FUND_TRANS]</t>
        </is>
      </c>
    </row>
    <row r="1879">
      <c r="A1879" s="48" t="inlineStr">
        <is>
          <t>TCIMPORT.FACT_FUND_TRANS</t>
        </is>
      </c>
      <c r="B1879" s="48" t="inlineStr">
        <is>
          <t>SILVER_CONSUMER</t>
        </is>
      </c>
      <c r="C1879" s="48" t="inlineStr">
        <is>
          <t>2.1</t>
        </is>
      </c>
      <c r="D1879" s="48" t="inlineStr">
        <is>
          <t>Nhom 2 - Logic</t>
        </is>
      </c>
      <c r="E1879" s="48" t="inlineStr">
        <is>
          <t>Chỉ lấy bản ghi active, loại bản ghi đã xóa (qua sts_hub)</t>
        </is>
      </c>
      <c r="F1879" s="49" t="inlineStr">
        <is>
          <t>PASS</t>
        </is>
      </c>
      <c r="G1879" s="48" t="inlineStr">
        <is>
          <t>Pass</t>
        </is>
      </c>
      <c r="H1879" s="50" t="inlineStr">
        <is>
          <t>2 sts_hub_* đọc đúng format</t>
        </is>
      </c>
      <c r="I18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879" s="48" t="inlineStr">
        <is>
          <t>097. OCB_GOLD_TTDL_FACT_FUND_TRANS_Huy.xlsx [Script SQL: FACT_FUND_TRANS]</t>
        </is>
      </c>
    </row>
    <row r="1880">
      <c r="A1880" s="48" t="inlineStr">
        <is>
          <t>TCIMPORT.FACT_FUND_TRANS</t>
        </is>
      </c>
      <c r="B1880" s="48" t="inlineStr">
        <is>
          <t>SILVER_CONSUMER</t>
        </is>
      </c>
      <c r="C1880" s="48" t="inlineStr">
        <is>
          <t>2.2</t>
        </is>
      </c>
      <c r="D1880" s="48" t="inlineStr">
        <is>
          <t>Nhom 2 - Logic</t>
        </is>
      </c>
      <c r="E1880" s="48" t="inlineStr">
        <is>
          <t>Thống nhất MỘT pattern duy nhất xác định bản ghi active mới nhất</t>
        </is>
      </c>
      <c r="F1880" s="49" t="inlineStr">
        <is>
          <t>PASS</t>
        </is>
      </c>
      <c r="G1880" s="48" t="inlineStr">
        <is>
          <t>Pass</t>
        </is>
      </c>
      <c r="H1880" s="50" t="inlineStr">
        <is>
          <t>file này dùng: ['MAX_BY']; toàn batch dùng: ['MAX_BY']</t>
        </is>
      </c>
      <c r="I18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80" s="48" t="inlineStr">
        <is>
          <t>097. OCB_GOLD_TTDL_FACT_FUND_TRANS_Huy.xlsx [Script SQL: FACT_FUND_TRANS]</t>
        </is>
      </c>
    </row>
    <row r="1881">
      <c r="A1881" s="48" t="inlineStr">
        <is>
          <t>TCIMPORT.FACT_FUND_TRANS</t>
        </is>
      </c>
      <c r="B1881" s="48" t="inlineStr">
        <is>
          <t>SILVER_CONSUMER</t>
        </is>
      </c>
      <c r="C1881" s="48" t="inlineStr">
        <is>
          <t>2.3</t>
        </is>
      </c>
      <c r="D1881" s="48" t="inlineStr">
        <is>
          <t>Nhom 2 - Logic</t>
        </is>
      </c>
      <c r="E1881" s="48" t="inlineStr">
        <is>
          <t>Điều kiện lọc trạng thái đặt SAU khi xác định bản ghi mới nhất</t>
        </is>
      </c>
      <c r="F1881" s="49" t="inlineStr">
        <is>
          <t>PASS</t>
        </is>
      </c>
      <c r="G1881" s="48" t="inlineStr">
        <is>
          <t>Pass</t>
        </is>
      </c>
      <c r="H1881" s="50" t="inlineStr">
        <is>
          <t>không có điều kiện trạng thái nào lồng trong JOIN ON</t>
        </is>
      </c>
      <c r="I18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81" s="48" t="inlineStr">
        <is>
          <t>097. OCB_GOLD_TTDL_FACT_FUND_TRANS_Huy.xlsx [Script SQL: FACT_FUND_TRANS]</t>
        </is>
      </c>
    </row>
    <row r="1882">
      <c r="A1882" s="48" t="inlineStr">
        <is>
          <t>TCIMPORT.FACT_FUND_TRANS</t>
        </is>
      </c>
      <c r="B1882" s="48" t="inlineStr">
        <is>
          <t>SILVER_CONSUMER</t>
        </is>
      </c>
      <c r="C1882" s="48" t="inlineStr">
        <is>
          <t>2.4</t>
        </is>
      </c>
      <c r="D1882" s="48" t="inlineStr">
        <is>
          <t>Nhom 2 - Logic</t>
        </is>
      </c>
      <c r="E1882" s="48" t="inlineStr">
        <is>
          <t>source_event_date áp dụng đúng dạng theo loại bảng</t>
        </is>
      </c>
      <c r="F1882" s="49" t="inlineStr">
        <is>
          <t>PASS</t>
        </is>
      </c>
      <c r="G1882" s="48" t="inlineStr">
        <is>
          <t>Pass</t>
        </is>
      </c>
      <c r="H1882" s="50" t="inlineStr">
        <is>
          <t>7 satellite đều đúng dạng điều kiện source_event_date</t>
        </is>
      </c>
      <c r="I18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82" s="48" t="inlineStr">
        <is>
          <t>097. OCB_GOLD_TTDL_FACT_FUND_TRANS_Huy.xlsx [Script SQL: FACT_FUND_TRANS]</t>
        </is>
      </c>
    </row>
    <row r="1883">
      <c r="A1883" s="48" t="inlineStr">
        <is>
          <t>TCIMPORT.FACT_FUND_TRANS</t>
        </is>
      </c>
      <c r="B1883" s="48" t="inlineStr">
        <is>
          <t>SILVER_CONSUMER</t>
        </is>
      </c>
      <c r="C1883" s="48" t="inlineStr">
        <is>
          <t>2.5</t>
        </is>
      </c>
      <c r="D1883" s="48" t="inlineStr">
        <is>
          <t>Nhom 2 - Logic</t>
        </is>
      </c>
      <c r="E1883" s="48" t="inlineStr">
        <is>
          <t>Không lặp lại lỗi logic cũ đã được DA Data Vault fix</t>
        </is>
      </c>
      <c r="F1883" s="49" t="inlineStr">
        <is>
          <t>PASS</t>
        </is>
      </c>
      <c r="G1883" s="48" t="inlineStr">
        <is>
          <t>Pass</t>
        </is>
      </c>
      <c r="H1883" s="50" t="inlineStr">
        <is>
          <t>không trùng lỗi nào trong Issue log của DA Data Vault</t>
        </is>
      </c>
      <c r="I18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83" s="48" t="inlineStr">
        <is>
          <t>097. OCB_GOLD_TTDL_FACT_FUND_TRANS_Huy.xlsx [Script SQL: FACT_FUND_TRANS]</t>
        </is>
      </c>
    </row>
    <row r="1884">
      <c r="A1884" s="48" t="inlineStr">
        <is>
          <t>TCIMPORT.FACT_FUND_TRANS</t>
        </is>
      </c>
      <c r="B1884" s="48" t="inlineStr">
        <is>
          <t>SILVER_CONSUMER</t>
        </is>
      </c>
      <c r="C1884" s="48" t="inlineStr">
        <is>
          <t>2.6</t>
        </is>
      </c>
      <c r="D1884" s="48" t="inlineStr">
        <is>
          <t>Nhom 2 - Logic</t>
        </is>
      </c>
      <c r="E1884" s="48" t="inlineStr">
        <is>
          <t>SCD Type 2 cho bảng DIM áp dụng đúng kỹ thuật đã thống nhất</t>
        </is>
      </c>
      <c r="F1884" s="48" t="inlineStr">
        <is>
          <t>N-A</t>
        </is>
      </c>
      <c r="G1884" s="48" t="inlineStr">
        <is>
          <t>Pass</t>
        </is>
      </c>
      <c r="H1884" s="50" t="inlineStr">
        <is>
          <t>object không phải bảng DIM nên không áp dụng SCD Type 2</t>
        </is>
      </c>
      <c r="I18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84" s="48" t="inlineStr">
        <is>
          <t>097. OCB_GOLD_TTDL_FACT_FUND_TRANS_Huy.xlsx [Script SQL: FACT_FUND_TRANS]</t>
        </is>
      </c>
    </row>
    <row r="1885">
      <c r="A1885" s="48" t="inlineStr">
        <is>
          <t>TCIMPORT.FACT_FUND_TRANS</t>
        </is>
      </c>
      <c r="B1885" s="48" t="inlineStr">
        <is>
          <t>SILVER_CONSUMER</t>
        </is>
      </c>
      <c r="C1885" s="48" t="inlineStr">
        <is>
          <t>2.7</t>
        </is>
      </c>
      <c r="D1885" s="48" t="inlineStr">
        <is>
          <t>Nhom 2 - Logic</t>
        </is>
      </c>
      <c r="E1885" s="48" t="inlineStr">
        <is>
          <t>CASE WHEN cover đủ nhánh như job on-prem</t>
        </is>
      </c>
      <c r="F1885" s="49" t="inlineStr">
        <is>
          <t>PASS</t>
        </is>
      </c>
      <c r="G1885" s="48" t="inlineStr">
        <is>
          <t>Pass</t>
        </is>
      </c>
      <c r="H1885" s="50" t="inlineStr">
        <is>
          <t>cả 16 CASE đều có nhánh ELSE</t>
        </is>
      </c>
      <c r="I1885" s="50" t="inlineStr">
        <is>
          <t>Mở job on-prem tương ứng (DataStage DSX hoặc SQL cũ), đối chiếu từng nhánh WHEN và cả nhánh ELSE. CASE không có ELSE sẽ trả NULL âm thầm — xác nhận đó là ý muốn hay thiếu nhánh.</t>
        </is>
      </c>
      <c r="J1885" s="48" t="inlineStr">
        <is>
          <t>097. OCB_GOLD_TTDL_FACT_FUND_TRANS_Huy.xlsx [Script SQL: FACT_FUND_TRANS]</t>
        </is>
      </c>
    </row>
    <row r="1886">
      <c r="A1886" s="48" t="inlineStr">
        <is>
          <t>TCIMPORT.FACT_FUND_TRANS</t>
        </is>
      </c>
      <c r="B1886" s="48" t="inlineStr">
        <is>
          <t>SILVER_CONSUMER</t>
        </is>
      </c>
      <c r="C1886" s="48" t="inlineStr">
        <is>
          <t>2.8</t>
        </is>
      </c>
      <c r="D1886" s="48" t="inlineStr">
        <is>
          <t>Nhom 2 - Logic</t>
        </is>
      </c>
      <c r="E1886" s="48" t="inlineStr">
        <is>
          <t>Cột SUM/COUNT được COALESCE/NVL hợp lý</t>
        </is>
      </c>
      <c r="F1886" s="49" t="inlineStr">
        <is>
          <t>PASS</t>
        </is>
      </c>
      <c r="G1886" s="48" t="inlineStr">
        <is>
          <t>Pass</t>
        </is>
      </c>
      <c r="H1886" s="50" t="inlineStr">
        <is>
          <t>mọi SUM/COUNT đều đã coalesce (trực tiếp hoặc ở lớp ngoài)</t>
        </is>
      </c>
      <c r="I18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86" s="48" t="inlineStr">
        <is>
          <t>097. OCB_GOLD_TTDL_FACT_FUND_TRANS_Huy.xlsx [Script SQL: FACT_FUND_TRANS]</t>
        </is>
      </c>
    </row>
    <row r="1887">
      <c r="A1887" s="48" t="inlineStr">
        <is>
          <t>TCIMPORT.FACT_FUND_TRANS</t>
        </is>
      </c>
      <c r="B1887" s="48" t="inlineStr">
        <is>
          <t>SILVER_CONSUMER</t>
        </is>
      </c>
      <c r="C1887" s="48" t="inlineStr">
        <is>
          <t>2.9</t>
        </is>
      </c>
      <c r="D1887" s="48" t="inlineStr">
        <is>
          <t>Nhom 2 - Logic</t>
        </is>
      </c>
      <c r="E1887" s="48" t="inlineStr">
        <is>
          <t>Subquery / custom function / điều kiện LIKE đúng ý nghĩa nghiệp vụ</t>
        </is>
      </c>
      <c r="F1887" s="48" t="inlineStr">
        <is>
          <t>N-A</t>
        </is>
      </c>
      <c r="G1887" s="48" t="inlineStr">
        <is>
          <t>Pass</t>
        </is>
      </c>
      <c r="H1887" s="50" t="inlineStr">
        <is>
          <t>script không có điều kiện LIKE hay scalar subquery nào</t>
        </is>
      </c>
      <c r="I1887" s="50" t="inlineStr">
        <is>
          <t>Đọc lại từng điều kiện LIKE và từng subquery, đối chiếu ý nghĩa nghiệp vụ với on-prem — đúng cú pháp không đủ. Chú ý pattern LIKE có ký tự % ở đầu/cuối và phân biệt chữ hoa/thường.</t>
        </is>
      </c>
      <c r="J1887" s="48" t="inlineStr">
        <is>
          <t>097. OCB_GOLD_TTDL_FACT_FUND_TRANS_Huy.xlsx [Script SQL: FACT_FUND_TRANS]</t>
        </is>
      </c>
    </row>
    <row r="1888">
      <c r="A1888" s="48" t="inlineStr">
        <is>
          <t>TCIMPORT.FACT_FUND_TRANS</t>
        </is>
      </c>
      <c r="B1888" s="48" t="inlineStr">
        <is>
          <t>SILVER_CONSUMER</t>
        </is>
      </c>
      <c r="C1888" s="48" t="inlineStr">
        <is>
          <t>2.10</t>
        </is>
      </c>
      <c r="D1888" s="48" t="inlineStr">
        <is>
          <t>Nhom 2 - Logic</t>
        </is>
      </c>
      <c r="E1888" s="48" t="inlineStr">
        <is>
          <t>Aggregation kèm filter date range chính xác</t>
        </is>
      </c>
      <c r="F1888" s="49" t="inlineStr">
        <is>
          <t>PASS</t>
        </is>
      </c>
      <c r="G1888" s="48" t="inlineStr">
        <is>
          <t>Pass</t>
        </is>
      </c>
      <c r="H1888" s="50" t="inlineStr">
        <is>
          <t>mọi khối tổng hợp đều có điều kiện theo kỳ dữ liệu</t>
        </is>
      </c>
      <c r="I1888" s="50" t="inlineStr">
        <is>
          <t>Mỗi khối SUM/COUNT/AVG phải có điều kiện lọc theo kỳ dữ liệu (CDR_DT_ID, DATA_DATE, :DATADT…). Nếu điều kiện nằm ở CTE nguồn thì ghi rõ trong comment để người review không phải truy ngược.</t>
        </is>
      </c>
      <c r="J1888" s="48" t="inlineStr">
        <is>
          <t>097. OCB_GOLD_TTDL_FACT_FUND_TRANS_Huy.xlsx [Script SQL: FACT_FUND_TRANS]</t>
        </is>
      </c>
    </row>
    <row r="1889">
      <c r="A1889" s="48" t="inlineStr">
        <is>
          <t>TCIMPORT.FACT_FUND_TRANS</t>
        </is>
      </c>
      <c r="B1889" s="48" t="inlineStr">
        <is>
          <t>SILVER_CONSUMER</t>
        </is>
      </c>
      <c r="C1889" s="48" t="inlineStr">
        <is>
          <t>2.11</t>
        </is>
      </c>
      <c r="D1889" s="48" t="inlineStr">
        <is>
          <t>Nhom 2 - Logic</t>
        </is>
      </c>
      <c r="E1889" s="48" t="inlineStr">
        <is>
          <t>Join dùng key hợp lý, không lạm dụng UNION ALL + EXISTS/NOT EXISTS</t>
        </is>
      </c>
      <c r="F1889" s="49" t="inlineStr">
        <is>
          <t>PASS</t>
        </is>
      </c>
      <c r="G1889" s="48" t="inlineStr">
        <is>
          <t>Pass</t>
        </is>
      </c>
      <c r="H1889" s="50" t="inlineStr">
        <is>
          <t>join đều theo điều kiện bằng, không lạm dụng UNION ALL + EXISTS</t>
        </is>
      </c>
      <c r="I1889" s="50" t="inlineStr">
        <is>
          <t>Ưu tiên LEFT JOIN theo business key hoặc hashkey. Xem lại các chỗ dùng UNION ALL kết hợp EXISTS/NOT EXISTS — thường thay được bằng một LEFT JOIN. Join không có điều kiện bằng (=) dễ tạo tích Descartes.</t>
        </is>
      </c>
      <c r="J1889" s="48" t="inlineStr">
        <is>
          <t>097. OCB_GOLD_TTDL_FACT_FUND_TRANS_Huy.xlsx [Script SQL: FACT_FUND_TRANS]</t>
        </is>
      </c>
    </row>
    <row r="1890">
      <c r="A1890" s="48" t="inlineStr">
        <is>
          <t>TCIMPORT.FACT_FUND_TRANS</t>
        </is>
      </c>
      <c r="B1890" s="48" t="inlineStr">
        <is>
          <t>SILVER_CONSUMER</t>
        </is>
      </c>
      <c r="C1890" s="48" t="inlineStr">
        <is>
          <t>2.12</t>
        </is>
      </c>
      <c r="D1890" s="48" t="inlineStr">
        <is>
          <t>Nhom 2 - Logic</t>
        </is>
      </c>
      <c r="E1890" s="48" t="inlineStr">
        <is>
          <t>Build Gold từ CTE snapshot Silver, không build nhiều tầng chồng chéo</t>
        </is>
      </c>
      <c r="F1890" s="49" t="inlineStr">
        <is>
          <t>PASS</t>
        </is>
      </c>
      <c r="G1890" s="48" t="inlineStr">
        <is>
          <t>Pass</t>
        </is>
      </c>
      <c r="H1890" s="50" t="inlineStr">
        <is>
          <t>mỗi bảng nguồn chỉ đọc trong 1 khối SELECT</t>
        </is>
      </c>
      <c r="I18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890" s="48" t="inlineStr">
        <is>
          <t>097. OCB_GOLD_TTDL_FACT_FUND_TRANS_Huy.xlsx [Script SQL: FACT_FUND_TRANS]</t>
        </is>
      </c>
    </row>
    <row r="1891">
      <c r="A1891" s="48" t="inlineStr">
        <is>
          <t>TCIMPORT.FACT_FUND_TRANS</t>
        </is>
      </c>
      <c r="B1891" s="48" t="inlineStr">
        <is>
          <t>SILVER_CONSUMER</t>
        </is>
      </c>
      <c r="C1891" s="48" t="inlineStr">
        <is>
          <t>3.1</t>
        </is>
      </c>
      <c r="D1891" s="48" t="inlineStr">
        <is>
          <t>Nhom 3 - Optimization</t>
        </is>
      </c>
      <c r="E1891" s="48" t="inlineStr">
        <is>
          <t>Không SELECT *</t>
        </is>
      </c>
      <c r="F1891" s="49" t="inlineStr">
        <is>
          <t>PASS</t>
        </is>
      </c>
      <c r="G1891" s="48" t="inlineStr">
        <is>
          <t>Pass</t>
        </is>
      </c>
      <c r="H1891" s="50" t="inlineStr">
        <is>
          <t>không dùng SELECT * ở đâu</t>
        </is>
      </c>
      <c r="I1891" s="50" t="inlineStr">
        <is>
          <t>Liệt kê tường minh các cột cần dùng, kể cả trong CTE trung gian. SELECT * làm tăng IO/memory và vỡ script khi bảng nguồn thêm cột.</t>
        </is>
      </c>
      <c r="J1891" s="48" t="inlineStr">
        <is>
          <t>097. OCB_GOLD_TTDL_FACT_FUND_TRANS_Huy.xlsx [Script SQL: FACT_FUND_TRANS]</t>
        </is>
      </c>
    </row>
    <row r="1892">
      <c r="A1892" s="48" t="inlineStr">
        <is>
          <t>TCIMPORT.FACT_FUND_TRANS</t>
        </is>
      </c>
      <c r="B1892" s="48" t="inlineStr">
        <is>
          <t>SILVER_CONSUMER</t>
        </is>
      </c>
      <c r="C1892" s="48" t="inlineStr">
        <is>
          <t>3.2</t>
        </is>
      </c>
      <c r="D1892" s="48" t="inlineStr">
        <is>
          <t>Nhom 3 - Optimization</t>
        </is>
      </c>
      <c r="E1892" s="48" t="inlineStr">
        <is>
          <t>CTE không bị scan lại nhiều lần</t>
        </is>
      </c>
      <c r="F1892" s="51" t="inlineStr">
        <is>
          <t>WARN</t>
        </is>
      </c>
      <c r="G1892" s="48" t="inlineStr">
        <is>
          <t>WARN</t>
        </is>
      </c>
      <c r="H1892" s="50" t="inlineStr">
        <is>
          <t>CTE bị tham chiếu lại nhiều lần: si x34, sa x10, sf x7, sp x17, so x8, sys x8, cur x3, ref_bic x3</t>
        </is>
      </c>
      <c r="I1892" s="50" t="inlineStr">
        <is>
          <t>Với CTE nặng (đọc nhiều bảng Silver) bị tham chiếu từ 2 chỗ trở lên: gom lại còn một lần dùng, hoặc vật chất hóa (CACHE / bảng tạm). CTE nhẹ chỉ chứa tham số thì bỏ qua được — tự tick Pass.</t>
        </is>
      </c>
      <c r="J1892" s="48" t="inlineStr">
        <is>
          <t>097. OCB_GOLD_TTDL_FACT_FUND_TRANS_Huy.xlsx [Script SQL: FACT_FUND_TRANS]</t>
        </is>
      </c>
    </row>
    <row r="1893">
      <c r="A1893" s="48" t="inlineStr">
        <is>
          <t>TCIMPORT.FACT_FUND_TRANS</t>
        </is>
      </c>
      <c r="B1893" s="48" t="inlineStr">
        <is>
          <t>SILVER_CONSUMER</t>
        </is>
      </c>
      <c r="C1893" s="48" t="inlineStr">
        <is>
          <t>3.3</t>
        </is>
      </c>
      <c r="D1893" s="48" t="inlineStr">
        <is>
          <t>Nhom 3 - Optimization</t>
        </is>
      </c>
      <c r="E1893" s="48" t="inlineStr">
        <is>
          <t>Filter trước khi join, tận dụng partition pruning</t>
        </is>
      </c>
      <c r="F1893" s="49" t="inlineStr">
        <is>
          <t>PASS</t>
        </is>
      </c>
      <c r="G1893" s="48" t="inlineStr">
        <is>
          <t>Pass</t>
        </is>
      </c>
      <c r="H1893" s="50" t="inlineStr">
        <is>
          <t>các bảng join đều được filter trước</t>
        </is>
      </c>
      <c r="I1893" s="50" t="inlineStr">
        <is>
          <t>Đưa điều kiện lọc (ngày dữ liệu, trạng thái) vào subquery của từng bảng TRƯỚC khi join, để tận dụng partition pruning. Bảng dim nhỏ không partition thì không cần — tự tick Pass.</t>
        </is>
      </c>
      <c r="J1893" s="48" t="inlineStr">
        <is>
          <t>097. OCB_GOLD_TTDL_FACT_FUND_TRANS_Huy.xlsx [Script SQL: FACT_FUND_TRANS]</t>
        </is>
      </c>
    </row>
    <row r="1894">
      <c r="A1894" s="48" t="inlineStr">
        <is>
          <t>TCIMPORT.FACT_FUND_TRANS</t>
        </is>
      </c>
      <c r="B1894" s="48" t="inlineStr">
        <is>
          <t>SILVER_CONSUMER</t>
        </is>
      </c>
      <c r="C1894" s="48" t="inlineStr">
        <is>
          <t>3.4</t>
        </is>
      </c>
      <c r="D1894" s="48" t="inlineStr">
        <is>
          <t>Nhom 3 - Optimization</t>
        </is>
      </c>
      <c r="E1894" s="48" t="inlineStr">
        <is>
          <t>Sử dụng CACHE cho query lặp lại trong cùng luồng</t>
        </is>
      </c>
      <c r="F1894" s="51" t="inlineStr">
        <is>
          <t>WARN</t>
        </is>
      </c>
      <c r="G1894" s="48" t="inlineStr">
        <is>
          <t>WARN</t>
        </is>
      </c>
      <c r="H1894" s="50" t="inlineStr">
        <is>
          <t>8 CTE nặng dùng lại &gt;= 2 lần mà không có CACHE: cur, ref_bic, sa, sf, si, so, sp, sys</t>
        </is>
      </c>
      <c r="I1894" s="50" t="inlineStr">
        <is>
          <t>Nếu một kết quả nặng được dùng lại nhiều bước trong cùng luồng, thêm CACHE TABLE / CACHE SELECT. Kết quả nhỏ thì cache còn chậm hơn — tự tick Pass.</t>
        </is>
      </c>
      <c r="J1894" s="48" t="inlineStr">
        <is>
          <t>097. OCB_GOLD_TTDL_FACT_FUND_TRANS_Huy.xlsx [Script SQL: FACT_FUND_TRANS]</t>
        </is>
      </c>
    </row>
    <row r="1895">
      <c r="A1895" s="48" t="inlineStr">
        <is>
          <t>TCIMPORT.FACT_FUND_TRANS</t>
        </is>
      </c>
      <c r="B1895" s="48" t="inlineStr">
        <is>
          <t>SILVER_CONSUMER</t>
        </is>
      </c>
      <c r="C1895" s="48" t="inlineStr">
        <is>
          <t>3.5</t>
        </is>
      </c>
      <c r="D1895" s="48" t="inlineStr">
        <is>
          <t>Nhom 3 - Optimization</t>
        </is>
      </c>
      <c r="E1895" s="48" t="inlineStr">
        <is>
          <t>Ưu tiên MAX_BY + QUALIFY thay ROW_NUMBER() + WHERE rn = 1</t>
        </is>
      </c>
      <c r="F1895" s="51" t="inlineStr">
        <is>
          <t>WARN</t>
        </is>
      </c>
      <c r="G1895" s="48" t="inlineStr">
        <is>
          <t>WARN</t>
        </is>
      </c>
      <c r="H1895" s="50" t="inlineStr">
        <is>
          <t>2 khối dùng MAX_BY độc lập cho &gt;5 cột (dòng 15, [15, 10]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8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895" s="48" t="inlineStr">
        <is>
          <t>097. OCB_GOLD_TTDL_FACT_FUND_TRANS_Huy.xlsx [Script SQL: FACT_FUND_TRANS]</t>
        </is>
      </c>
    </row>
    <row r="1896">
      <c r="A1896" s="48" t="inlineStr">
        <is>
          <t>TCIMPORT.FACT_FUND_TRANS</t>
        </is>
      </c>
      <c r="B1896" s="48" t="inlineStr">
        <is>
          <t>SILVER_CONSUMER</t>
        </is>
      </c>
      <c r="C1896" s="48" t="inlineStr">
        <is>
          <t>3.6</t>
        </is>
      </c>
      <c r="D1896" s="48" t="inlineStr">
        <is>
          <t>Nhom 3 - Optimization</t>
        </is>
      </c>
      <c r="E1896" s="48" t="inlineStr">
        <is>
          <t>Không lạm dụng window function; có comment khi dùng</t>
        </is>
      </c>
      <c r="F1896" s="48" t="inlineStr">
        <is>
          <t>N-A</t>
        </is>
      </c>
      <c r="G1896" s="48" t="inlineStr">
        <is>
          <t>Pass</t>
        </is>
      </c>
      <c r="H1896" s="50" t="inlineStr">
        <is>
          <t>script không dùng window function</t>
        </is>
      </c>
      <c r="I1896" s="50" t="inlineStr">
        <is>
          <t>Mỗi window function cần một comment ngay trên khối CTE chứa nó, nói rõ vì sao không dùng được max_by/QUALIFY đơn giản hơn.</t>
        </is>
      </c>
      <c r="J1896" s="48" t="inlineStr">
        <is>
          <t>097. OCB_GOLD_TTDL_FACT_FUND_TRANS_Huy.xlsx [Script SQL: FACT_FUND_TRANS]</t>
        </is>
      </c>
    </row>
    <row r="1897">
      <c r="A1897" s="48" t="inlineStr">
        <is>
          <t>TCIMPORT.FACT_FUND_TRANS</t>
        </is>
      </c>
      <c r="B1897" s="48" t="inlineStr">
        <is>
          <t>SILVER_CONSUMER</t>
        </is>
      </c>
      <c r="C1897" s="48" t="inlineStr">
        <is>
          <t>X.1</t>
        </is>
      </c>
      <c r="D1897" s="48" t="inlineStr">
        <is>
          <t>Nhom X - Bo sung Raffles</t>
        </is>
      </c>
      <c r="E1897" s="48" t="inlineStr">
        <is>
          <t>[Bổ sung] Link phải rút về current trước khi join (chống fan-out)</t>
        </is>
      </c>
      <c r="F1897" s="49" t="inlineStr">
        <is>
          <t>PASS</t>
        </is>
      </c>
      <c r="G1897" s="48" t="inlineStr">
        <is>
          <t>Pass</t>
        </is>
      </c>
      <c r="H1897" s="50" t="inlineStr">
        <is>
          <t>các bảng link_* đều được rút về current trước khi join</t>
        </is>
      </c>
      <c r="I18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897" s="48" t="inlineStr">
        <is>
          <t>097. OCB_GOLD_TTDL_FACT_FUND_TRANS_Huy.xlsx [Script SQL: FACT_FUND_TRANS]</t>
        </is>
      </c>
    </row>
    <row r="1898">
      <c r="A1898" s="48" t="inlineStr">
        <is>
          <t>TCIMPORT.FACT_FUND_TRANS</t>
        </is>
      </c>
      <c r="B1898" s="48" t="inlineStr">
        <is>
          <t>SILVER_CONSUMER</t>
        </is>
      </c>
      <c r="C1898" s="48" t="inlineStr">
        <is>
          <t>X.6</t>
        </is>
      </c>
      <c r="D1898" s="48" t="inlineStr">
        <is>
          <t>Nhom X - Bo sung Raffles</t>
        </is>
      </c>
      <c r="E1898" s="48" t="inlineStr">
        <is>
          <t>[Bổ sung] Satellite phải LEFT JOIN, không INNER JOIN</t>
        </is>
      </c>
      <c r="F1898" s="49" t="inlineStr">
        <is>
          <t>PASS</t>
        </is>
      </c>
      <c r="G1898" s="48" t="inlineStr">
        <is>
          <t>Pass</t>
        </is>
      </c>
      <c r="H1898" s="50" t="inlineStr">
        <is>
          <t>các satellite đều LEFT JOIN</t>
        </is>
      </c>
      <c r="I1898" s="50" t="inlineStr">
        <is>
          <t>Technical Document III.4.2.2 nguyên tắc 1: làm giàu thuộc tính luôn dùng LEFT JOIN. INNER JOIN satellite sẽ loại mất bản ghi Hub đang còn hiệu lực nhưng chưa có dòng satellite.</t>
        </is>
      </c>
      <c r="J1898" s="48" t="inlineStr">
        <is>
          <t>097. OCB_GOLD_TTDL_FACT_FUND_TRANS_Huy.xlsx [Script SQL: FACT_FUND_TRANS]</t>
        </is>
      </c>
    </row>
    <row r="1899">
      <c r="A1899" s="48" t="inlineStr">
        <is>
          <t>TCIMPORT.FACT_FUND_TRANS</t>
        </is>
      </c>
      <c r="B1899" s="48" t="inlineStr">
        <is>
          <t>SILVER_CONSUMER</t>
        </is>
      </c>
      <c r="C1899" s="48" t="inlineStr">
        <is>
          <t>X.7</t>
        </is>
      </c>
      <c r="D1899" s="48" t="inlineStr">
        <is>
          <t>Nhom X - Bo sung Raffles</t>
        </is>
      </c>
      <c r="E1899" s="48" t="inlineStr">
        <is>
          <t>[Bổ sung] Không hard-code catalog, dùng biến môi trường</t>
        </is>
      </c>
      <c r="F1899" s="49" t="inlineStr">
        <is>
          <t>PASS</t>
        </is>
      </c>
      <c r="G1899" s="48" t="inlineStr">
        <is>
          <t>Pass</t>
        </is>
      </c>
      <c r="H1899" s="50" t="inlineStr">
        <is>
          <t>dùng biến môi trường cho catalog</t>
        </is>
      </c>
      <c r="I18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899" s="48" t="inlineStr">
        <is>
          <t>097. OCB_GOLD_TTDL_FACT_FUND_TRANS_Huy.xlsx [Script SQL: FACT_FUND_TRANS]</t>
        </is>
      </c>
    </row>
    <row r="1900">
      <c r="A1900" s="48" t="inlineStr">
        <is>
          <t>TCIMPORT.FACT_FUND_TRANS</t>
        </is>
      </c>
      <c r="B1900" s="48" t="inlineStr">
        <is>
          <t>SILVER_CONSUMER</t>
        </is>
      </c>
      <c r="C1900" s="48" t="inlineStr">
        <is>
          <t>X.10</t>
        </is>
      </c>
      <c r="D1900" s="48" t="inlineStr">
        <is>
          <t>Nhom X - Bo sung Raffles</t>
        </is>
      </c>
      <c r="E1900" s="48" t="inlineStr">
        <is>
          <t>Bang raw_vault/business_vault duoc doc phai TON TAI THAT trong Data Vault model</t>
        </is>
      </c>
      <c r="F1900" s="49" t="inlineStr">
        <is>
          <t>PASS</t>
        </is>
      </c>
      <c r="G1900" s="48" t="inlineStr">
        <is>
          <t>Pass</t>
        </is>
      </c>
      <c r="H1900" s="50" t="inlineStr">
        <is>
          <t>20 bảng Silver đều có thật trong Data Vault model</t>
        </is>
      </c>
      <c r="I1900" s="50" t="inlineStr"/>
      <c r="J1900" s="48" t="inlineStr">
        <is>
          <t>097. OCB_GOLD_TTDL_FACT_FUND_TRANS_Huy.xlsx [Script SQL: FACT_FUND_TRANS]</t>
        </is>
      </c>
    </row>
    <row r="1901">
      <c r="A1901" s="48" t="inlineStr">
        <is>
          <t>TCIMPORT.FACT_FUND_TRANS</t>
        </is>
      </c>
      <c r="B1901" s="48" t="inlineStr">
        <is>
          <t>SILVER_CONSUMER</t>
        </is>
      </c>
      <c r="C1901" s="48" t="inlineStr">
        <is>
          <t>X.11</t>
        </is>
      </c>
      <c r="D1901" s="48" t="inlineStr">
        <is>
          <t>Nhom X - Bo sung Raffles</t>
        </is>
      </c>
      <c r="E1901" s="48" t="inlineStr">
        <is>
          <t>Cot doc tu satellite (sat_*) phai TON TAI THAT trong model</t>
        </is>
      </c>
      <c r="F1901" s="49" t="inlineStr">
        <is>
          <t>PASS</t>
        </is>
      </c>
      <c r="G1901" s="48" t="inlineStr">
        <is>
          <t>Pass</t>
        </is>
      </c>
      <c r="H1901" s="50" t="inlineStr">
        <is>
          <t>mọi cột đọc từ sat_* đều tồn tại trong model thật</t>
        </is>
      </c>
      <c r="I1901" s="50" t="inlineStr"/>
      <c r="J1901" s="48" t="inlineStr">
        <is>
          <t>097. OCB_GOLD_TTDL_FACT_FUND_TRANS_Huy.xlsx [Script SQL: FACT_FUND_TRANS]</t>
        </is>
      </c>
    </row>
    <row r="1902">
      <c r="A1902" s="48" t="inlineStr">
        <is>
          <t>TCIMPORT.DIM_BRANCH</t>
        </is>
      </c>
      <c r="B1902" s="48" t="inlineStr">
        <is>
          <t>SILVER_CONSUMER</t>
        </is>
      </c>
      <c r="C1902" s="48" t="inlineStr">
        <is>
          <t>1.1</t>
        </is>
      </c>
      <c r="D1902" s="48" t="inlineStr">
        <is>
          <t>Nhom 1 - Mapping</t>
        </is>
      </c>
      <c r="E1902" s="48" t="inlineStr">
        <is>
          <t>Đầy đủ mapping từ Silver/manual sang Gold</t>
        </is>
      </c>
      <c r="F1902" s="49" t="inlineStr">
        <is>
          <t>PASS</t>
        </is>
      </c>
      <c r="G1902" s="48" t="inlineStr">
        <is>
          <t>Pass</t>
        </is>
      </c>
      <c r="H1902" s="50" t="inlineStr">
        <is>
          <t>workbook 098. OCB_GOLD_TTDL_DIM_BRANCH_Huy.xlsx: thiết kế 7 field, SQL có 7 cột</t>
        </is>
      </c>
      <c r="I19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902" s="48" t="inlineStr">
        <is>
          <t>098. OCB_GOLD_TTDL_DIM_BRANCH_Huy.xlsx [Script SQL: DIM_BRANCH]</t>
        </is>
      </c>
    </row>
    <row r="1903">
      <c r="A1903" s="48" t="inlineStr">
        <is>
          <t>TCIMPORT.DIM_BRANCH</t>
        </is>
      </c>
      <c r="B1903" s="48" t="inlineStr">
        <is>
          <t>SILVER_CONSUMER</t>
        </is>
      </c>
      <c r="C1903" s="48" t="inlineStr">
        <is>
          <t>1.2</t>
        </is>
      </c>
      <c r="D1903" s="48" t="inlineStr">
        <is>
          <t>Nhom 1 - Mapping</t>
        </is>
      </c>
      <c r="E1903" s="48" t="inlineStr">
        <is>
          <t>Danh sách bảng/view Gold khớp tài liệu thiết kế đã duyệt</t>
        </is>
      </c>
      <c r="F1903" s="49" t="inlineStr">
        <is>
          <t>PASS</t>
        </is>
      </c>
      <c r="G1903" s="48" t="inlineStr">
        <is>
          <t>Pass</t>
        </is>
      </c>
      <c r="H1903" s="50" t="inlineStr">
        <is>
          <t>DIM_BRANCH có workbook thiết kế: 098. OCB_GOLD_TTDL_DIM_BRANCH_Huy.xlsx</t>
        </is>
      </c>
      <c r="I1903" s="50" t="inlineStr">
        <is>
          <t>Đảm bảo object có workbook thiết kế tương ứng trong thư mục --mapping-dir. Muốn đối chiếu với danh sách đã duyệt thì chạy thêm tham số --gold-list "&lt;file danh sách Gold&gt;.xlsx".</t>
        </is>
      </c>
      <c r="J1903" s="48" t="inlineStr">
        <is>
          <t>098. OCB_GOLD_TTDL_DIM_BRANCH_Huy.xlsx [Script SQL: DIM_BRANCH]</t>
        </is>
      </c>
    </row>
    <row r="1904">
      <c r="A1904" s="48" t="inlineStr">
        <is>
          <t>TCIMPORT.DIM_BRANCH</t>
        </is>
      </c>
      <c r="B1904" s="48" t="inlineStr">
        <is>
          <t>SILVER_CONSUMER</t>
        </is>
      </c>
      <c r="C1904" s="48" t="inlineStr">
        <is>
          <t>2.1</t>
        </is>
      </c>
      <c r="D1904" s="48" t="inlineStr">
        <is>
          <t>Nhom 2 - Logic</t>
        </is>
      </c>
      <c r="E1904" s="48" t="inlineStr">
        <is>
          <t>Chỉ lấy bản ghi active, loại bản ghi đã xóa (qua sts_hub)</t>
        </is>
      </c>
      <c r="F1904" s="49" t="inlineStr">
        <is>
          <t>PASS</t>
        </is>
      </c>
      <c r="G1904" s="48" t="inlineStr">
        <is>
          <t>Pass</t>
        </is>
      </c>
      <c r="H1904" s="50" t="inlineStr">
        <is>
          <t>1 sts_hub_* đọc đúng format</t>
        </is>
      </c>
      <c r="I19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904" s="48" t="inlineStr">
        <is>
          <t>098. OCB_GOLD_TTDL_DIM_BRANCH_Huy.xlsx [Script SQL: DIM_BRANCH]</t>
        </is>
      </c>
    </row>
    <row r="1905">
      <c r="A1905" s="48" t="inlineStr">
        <is>
          <t>TCIMPORT.DIM_BRANCH</t>
        </is>
      </c>
      <c r="B1905" s="48" t="inlineStr">
        <is>
          <t>SILVER_CONSUMER</t>
        </is>
      </c>
      <c r="C1905" s="48" t="inlineStr">
        <is>
          <t>2.2</t>
        </is>
      </c>
      <c r="D1905" s="48" t="inlineStr">
        <is>
          <t>Nhom 2 - Logic</t>
        </is>
      </c>
      <c r="E1905" s="48" t="inlineStr">
        <is>
          <t>Thống nhất MỘT pattern duy nhất xác định bản ghi active mới nhất</t>
        </is>
      </c>
      <c r="F1905" s="49" t="inlineStr">
        <is>
          <t>PASS</t>
        </is>
      </c>
      <c r="G1905" s="48" t="inlineStr">
        <is>
          <t>Pass</t>
        </is>
      </c>
      <c r="H1905" s="50" t="inlineStr">
        <is>
          <t>file này dùng: ['MAX_BY']; toàn batch dùng: ['MAX_BY']</t>
        </is>
      </c>
      <c r="I19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905" s="48" t="inlineStr">
        <is>
          <t>098. OCB_GOLD_TTDL_DIM_BRANCH_Huy.xlsx [Script SQL: DIM_BRANCH]</t>
        </is>
      </c>
    </row>
    <row r="1906">
      <c r="A1906" s="48" t="inlineStr">
        <is>
          <t>TCIMPORT.DIM_BRANCH</t>
        </is>
      </c>
      <c r="B1906" s="48" t="inlineStr">
        <is>
          <t>SILVER_CONSUMER</t>
        </is>
      </c>
      <c r="C1906" s="48" t="inlineStr">
        <is>
          <t>2.3</t>
        </is>
      </c>
      <c r="D1906" s="48" t="inlineStr">
        <is>
          <t>Nhom 2 - Logic</t>
        </is>
      </c>
      <c r="E1906" s="48" t="inlineStr">
        <is>
          <t>Điều kiện lọc trạng thái đặt SAU khi xác định bản ghi mới nhất</t>
        </is>
      </c>
      <c r="F1906" s="49" t="inlineStr">
        <is>
          <t>PASS</t>
        </is>
      </c>
      <c r="G1906" s="48" t="inlineStr">
        <is>
          <t>Pass</t>
        </is>
      </c>
      <c r="H1906" s="50" t="inlineStr">
        <is>
          <t>không có điều kiện trạng thái nào lồng trong JOIN ON</t>
        </is>
      </c>
      <c r="I19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906" s="48" t="inlineStr">
        <is>
          <t>098. OCB_GOLD_TTDL_DIM_BRANCH_Huy.xlsx [Script SQL: DIM_BRANCH]</t>
        </is>
      </c>
    </row>
    <row r="1907">
      <c r="A1907" s="48" t="inlineStr">
        <is>
          <t>TCIMPORT.DIM_BRANCH</t>
        </is>
      </c>
      <c r="B1907" s="48" t="inlineStr">
        <is>
          <t>SILVER_CONSUMER</t>
        </is>
      </c>
      <c r="C1907" s="48" t="inlineStr">
        <is>
          <t>2.4</t>
        </is>
      </c>
      <c r="D1907" s="48" t="inlineStr">
        <is>
          <t>Nhom 2 - Logic</t>
        </is>
      </c>
      <c r="E1907" s="48" t="inlineStr">
        <is>
          <t>source_event_date áp dụng đúng dạng theo loại bảng</t>
        </is>
      </c>
      <c r="F1907" s="49" t="inlineStr">
        <is>
          <t>PASS</t>
        </is>
      </c>
      <c r="G1907" s="48" t="inlineStr">
        <is>
          <t>Pass</t>
        </is>
      </c>
      <c r="H1907" s="50" t="inlineStr">
        <is>
          <t>2 satellite đều đúng dạng điều kiện source_event_date</t>
        </is>
      </c>
      <c r="I19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907" s="48" t="inlineStr">
        <is>
          <t>098. OCB_GOLD_TTDL_DIM_BRANCH_Huy.xlsx [Script SQL: DIM_BRANCH]</t>
        </is>
      </c>
    </row>
    <row r="1908">
      <c r="A1908" s="48" t="inlineStr">
        <is>
          <t>TCIMPORT.DIM_BRANCH</t>
        </is>
      </c>
      <c r="B1908" s="48" t="inlineStr">
        <is>
          <t>SILVER_CONSUMER</t>
        </is>
      </c>
      <c r="C1908" s="48" t="inlineStr">
        <is>
          <t>2.5</t>
        </is>
      </c>
      <c r="D1908" s="48" t="inlineStr">
        <is>
          <t>Nhom 2 - Logic</t>
        </is>
      </c>
      <c r="E1908" s="48" t="inlineStr">
        <is>
          <t>Không lặp lại lỗi logic cũ đã được DA Data Vault fix</t>
        </is>
      </c>
      <c r="F1908" s="49" t="inlineStr">
        <is>
          <t>PASS</t>
        </is>
      </c>
      <c r="G1908" s="48" t="inlineStr">
        <is>
          <t>Pass</t>
        </is>
      </c>
      <c r="H1908" s="50" t="inlineStr">
        <is>
          <t>không trùng lỗi nào trong Issue log của DA Data Vault</t>
        </is>
      </c>
      <c r="I19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908" s="48" t="inlineStr">
        <is>
          <t>098. OCB_GOLD_TTDL_DIM_BRANCH_Huy.xlsx [Script SQL: DIM_BRANCH]</t>
        </is>
      </c>
    </row>
    <row r="1909">
      <c r="A1909" s="48" t="inlineStr">
        <is>
          <t>TCIMPORT.DIM_BRANCH</t>
        </is>
      </c>
      <c r="B1909" s="48" t="inlineStr">
        <is>
          <t>SILVER_CONSUMER</t>
        </is>
      </c>
      <c r="C1909" s="48" t="inlineStr">
        <is>
          <t>2.6</t>
        </is>
      </c>
      <c r="D1909" s="48" t="inlineStr">
        <is>
          <t>Nhom 2 - Logic</t>
        </is>
      </c>
      <c r="E1909" s="48" t="inlineStr">
        <is>
          <t>SCD Type 2 cho bảng DIM áp dụng đúng kỹ thuật đã thống nhất</t>
        </is>
      </c>
      <c r="F1909" s="48" t="inlineStr">
        <is>
          <t>N-A</t>
        </is>
      </c>
      <c r="G1909" s="48" t="inlineStr">
        <is>
          <t>Pass</t>
        </is>
      </c>
      <c r="H1909" s="50" t="inlineStr">
        <is>
          <t>object không phải bảng DIM nên không áp dụng SCD Type 2</t>
        </is>
      </c>
      <c r="I19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909" s="48" t="inlineStr">
        <is>
          <t>098. OCB_GOLD_TTDL_DIM_BRANCH_Huy.xlsx [Script SQL: DIM_BRANCH]</t>
        </is>
      </c>
    </row>
    <row r="1910">
      <c r="A1910" s="48" t="inlineStr">
        <is>
          <t>TCIMPORT.DIM_BRANCH</t>
        </is>
      </c>
      <c r="B1910" s="48" t="inlineStr">
        <is>
          <t>SILVER_CONSUMER</t>
        </is>
      </c>
      <c r="C1910" s="48" t="inlineStr">
        <is>
          <t>2.7</t>
        </is>
      </c>
      <c r="D1910" s="48" t="inlineStr">
        <is>
          <t>Nhom 2 - Logic</t>
        </is>
      </c>
      <c r="E1910" s="48" t="inlineStr">
        <is>
          <t>CASE WHEN cover đủ nhánh như job on-prem</t>
        </is>
      </c>
      <c r="F1910" s="49" t="inlineStr">
        <is>
          <t>PASS</t>
        </is>
      </c>
      <c r="G1910" s="48" t="inlineStr">
        <is>
          <t>Pass</t>
        </is>
      </c>
      <c r="H1910" s="50" t="inlineStr">
        <is>
          <t>cả 2 CASE đều có nhánh ELSE</t>
        </is>
      </c>
      <c r="I1910" s="50" t="inlineStr">
        <is>
          <t>Mở job on-prem tương ứng (DataStage DSX hoặc SQL cũ), đối chiếu từng nhánh WHEN và cả nhánh ELSE. CASE không có ELSE sẽ trả NULL âm thầm — xác nhận đó là ý muốn hay thiếu nhánh.</t>
        </is>
      </c>
      <c r="J1910" s="48" t="inlineStr">
        <is>
          <t>098. OCB_GOLD_TTDL_DIM_BRANCH_Huy.xlsx [Script SQL: DIM_BRANCH]</t>
        </is>
      </c>
    </row>
    <row r="1911">
      <c r="A1911" s="48" t="inlineStr">
        <is>
          <t>TCIMPORT.DIM_BRANCH</t>
        </is>
      </c>
      <c r="B1911" s="48" t="inlineStr">
        <is>
          <t>SILVER_CONSUMER</t>
        </is>
      </c>
      <c r="C1911" s="48" t="inlineStr">
        <is>
          <t>2.8</t>
        </is>
      </c>
      <c r="D1911" s="48" t="inlineStr">
        <is>
          <t>Nhom 2 - Logic</t>
        </is>
      </c>
      <c r="E1911" s="48" t="inlineStr">
        <is>
          <t>Cột SUM/COUNT được COALESCE/NVL hợp lý</t>
        </is>
      </c>
      <c r="F1911" s="49" t="inlineStr">
        <is>
          <t>PASS</t>
        </is>
      </c>
      <c r="G1911" s="48" t="inlineStr">
        <is>
          <t>Pass</t>
        </is>
      </c>
      <c r="H1911" s="50" t="inlineStr">
        <is>
          <t>mọi SUM/COUNT đều đã coalesce (trực tiếp hoặc ở lớp ngoài)</t>
        </is>
      </c>
      <c r="I19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911" s="48" t="inlineStr">
        <is>
          <t>098. OCB_GOLD_TTDL_DIM_BRANCH_Huy.xlsx [Script SQL: DIM_BRANCH]</t>
        </is>
      </c>
    </row>
    <row r="1912">
      <c r="A1912" s="48" t="inlineStr">
        <is>
          <t>TCIMPORT.DIM_BRANCH</t>
        </is>
      </c>
      <c r="B1912" s="48" t="inlineStr">
        <is>
          <t>SILVER_CONSUMER</t>
        </is>
      </c>
      <c r="C1912" s="48" t="inlineStr">
        <is>
          <t>2.9</t>
        </is>
      </c>
      <c r="D1912" s="48" t="inlineStr">
        <is>
          <t>Nhom 2 - Logic</t>
        </is>
      </c>
      <c r="E1912" s="48" t="inlineStr">
        <is>
          <t>Subquery / custom function / điều kiện LIKE đúng ý nghĩa nghiệp vụ</t>
        </is>
      </c>
      <c r="F1912" s="48" t="inlineStr">
        <is>
          <t>N-A</t>
        </is>
      </c>
      <c r="G1912" s="48" t="inlineStr">
        <is>
          <t>Pass</t>
        </is>
      </c>
      <c r="H1912" s="50" t="inlineStr">
        <is>
          <t>script không có điều kiện LIKE hay scalar subquery nào</t>
        </is>
      </c>
      <c r="I1912" s="50" t="inlineStr">
        <is>
          <t>Đọc lại từng điều kiện LIKE và từng subquery, đối chiếu ý nghĩa nghiệp vụ với on-prem — đúng cú pháp không đủ. Chú ý pattern LIKE có ký tự % ở đầu/cuối và phân biệt chữ hoa/thường.</t>
        </is>
      </c>
      <c r="J1912" s="48" t="inlineStr">
        <is>
          <t>098. OCB_GOLD_TTDL_DIM_BRANCH_Huy.xlsx [Script SQL: DIM_BRANCH]</t>
        </is>
      </c>
    </row>
    <row r="1913">
      <c r="A1913" s="48" t="inlineStr">
        <is>
          <t>TCIMPORT.DIM_BRANCH</t>
        </is>
      </c>
      <c r="B1913" s="48" t="inlineStr">
        <is>
          <t>SILVER_CONSUMER</t>
        </is>
      </c>
      <c r="C1913" s="48" t="inlineStr">
        <is>
          <t>2.10</t>
        </is>
      </c>
      <c r="D1913" s="48" t="inlineStr">
        <is>
          <t>Nhom 2 - Logic</t>
        </is>
      </c>
      <c r="E1913" s="48" t="inlineStr">
        <is>
          <t>Aggregation kèm filter date range chính xác</t>
        </is>
      </c>
      <c r="F1913" s="49" t="inlineStr">
        <is>
          <t>PASS</t>
        </is>
      </c>
      <c r="G1913" s="48" t="inlineStr">
        <is>
          <t>Pass</t>
        </is>
      </c>
      <c r="H1913" s="50" t="inlineStr">
        <is>
          <t>mọi khối tổng hợp đều có điều kiện theo kỳ dữ liệu</t>
        </is>
      </c>
      <c r="I1913" s="50" t="inlineStr">
        <is>
          <t>Mỗi khối SUM/COUNT/AVG phải có điều kiện lọc theo kỳ dữ liệu (CDR_DT_ID, DATA_DATE, :DATADT…). Nếu điều kiện nằm ở CTE nguồn thì ghi rõ trong comment để người review không phải truy ngược.</t>
        </is>
      </c>
      <c r="J1913" s="48" t="inlineStr">
        <is>
          <t>098. OCB_GOLD_TTDL_DIM_BRANCH_Huy.xlsx [Script SQL: DIM_BRANCH]</t>
        </is>
      </c>
    </row>
    <row r="1914">
      <c r="A1914" s="48" t="inlineStr">
        <is>
          <t>TCIMPORT.DIM_BRANCH</t>
        </is>
      </c>
      <c r="B1914" s="48" t="inlineStr">
        <is>
          <t>SILVER_CONSUMER</t>
        </is>
      </c>
      <c r="C1914" s="48" t="inlineStr">
        <is>
          <t>2.11</t>
        </is>
      </c>
      <c r="D1914" s="48" t="inlineStr">
        <is>
          <t>Nhom 2 - Logic</t>
        </is>
      </c>
      <c r="E1914" s="48" t="inlineStr">
        <is>
          <t>Join dùng key hợp lý, không lạm dụng UNION ALL + EXISTS/NOT EXISTS</t>
        </is>
      </c>
      <c r="F1914" s="49" t="inlineStr">
        <is>
          <t>PASS</t>
        </is>
      </c>
      <c r="G1914" s="48" t="inlineStr">
        <is>
          <t>Pass</t>
        </is>
      </c>
      <c r="H1914" s="50" t="inlineStr">
        <is>
          <t>join đều theo điều kiện bằng, không lạm dụng UNION ALL + EXISTS</t>
        </is>
      </c>
      <c r="I1914" s="50" t="inlineStr">
        <is>
          <t>Ưu tiên LEFT JOIN theo business key hoặc hashkey. Xem lại các chỗ dùng UNION ALL kết hợp EXISTS/NOT EXISTS — thường thay được bằng một LEFT JOIN. Join không có điều kiện bằng (=) dễ tạo tích Descartes.</t>
        </is>
      </c>
      <c r="J1914" s="48" t="inlineStr">
        <is>
          <t>098. OCB_GOLD_TTDL_DIM_BRANCH_Huy.xlsx [Script SQL: DIM_BRANCH]</t>
        </is>
      </c>
    </row>
    <row r="1915">
      <c r="A1915" s="48" t="inlineStr">
        <is>
          <t>TCIMPORT.DIM_BRANCH</t>
        </is>
      </c>
      <c r="B1915" s="48" t="inlineStr">
        <is>
          <t>SILVER_CONSUMER</t>
        </is>
      </c>
      <c r="C1915" s="48" t="inlineStr">
        <is>
          <t>2.12</t>
        </is>
      </c>
      <c r="D1915" s="48" t="inlineStr">
        <is>
          <t>Nhom 2 - Logic</t>
        </is>
      </c>
      <c r="E1915" s="48" t="inlineStr">
        <is>
          <t>Build Gold từ CTE snapshot Silver, không build nhiều tầng chồng chéo</t>
        </is>
      </c>
      <c r="F1915" s="49" t="inlineStr">
        <is>
          <t>PASS</t>
        </is>
      </c>
      <c r="G1915" s="48" t="inlineStr">
        <is>
          <t>Pass</t>
        </is>
      </c>
      <c r="H1915" s="50" t="inlineStr">
        <is>
          <t>mỗi bảng nguồn chỉ đọc trong 1 khối SELECT</t>
        </is>
      </c>
      <c r="I19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15" s="48" t="inlineStr">
        <is>
          <t>098. OCB_GOLD_TTDL_DIM_BRANCH_Huy.xlsx [Script SQL: DIM_BRANCH]</t>
        </is>
      </c>
    </row>
    <row r="1916">
      <c r="A1916" s="48" t="inlineStr">
        <is>
          <t>TCIMPORT.DIM_BRANCH</t>
        </is>
      </c>
      <c r="B1916" s="48" t="inlineStr">
        <is>
          <t>SILVER_CONSUMER</t>
        </is>
      </c>
      <c r="C1916" s="48" t="inlineStr">
        <is>
          <t>3.1</t>
        </is>
      </c>
      <c r="D1916" s="48" t="inlineStr">
        <is>
          <t>Nhom 3 - Optimization</t>
        </is>
      </c>
      <c r="E1916" s="48" t="inlineStr">
        <is>
          <t>Không SELECT *</t>
        </is>
      </c>
      <c r="F1916" s="49" t="inlineStr">
        <is>
          <t>PASS</t>
        </is>
      </c>
      <c r="G1916" s="48" t="inlineStr">
        <is>
          <t>Pass</t>
        </is>
      </c>
      <c r="H1916" s="50" t="inlineStr">
        <is>
          <t>không dùng SELECT * ở đâu</t>
        </is>
      </c>
      <c r="I1916" s="50" t="inlineStr">
        <is>
          <t>Liệt kê tường minh các cột cần dùng, kể cả trong CTE trung gian. SELECT * làm tăng IO/memory và vỡ script khi bảng nguồn thêm cột.</t>
        </is>
      </c>
      <c r="J1916" s="48" t="inlineStr">
        <is>
          <t>098. OCB_GOLD_TTDL_DIM_BRANCH_Huy.xlsx [Script SQL: DIM_BRANCH]</t>
        </is>
      </c>
    </row>
    <row r="1917">
      <c r="A1917" s="48" t="inlineStr">
        <is>
          <t>TCIMPORT.DIM_BRANCH</t>
        </is>
      </c>
      <c r="B1917" s="48" t="inlineStr">
        <is>
          <t>SILVER_CONSUMER</t>
        </is>
      </c>
      <c r="C1917" s="48" t="inlineStr">
        <is>
          <t>3.2</t>
        </is>
      </c>
      <c r="D1917" s="48" t="inlineStr">
        <is>
          <t>Nhom 3 - Optimization</t>
        </is>
      </c>
      <c r="E1917" s="48" t="inlineStr">
        <is>
          <t>CTE không bị scan lại nhiều lần</t>
        </is>
      </c>
      <c r="F1917" s="51" t="inlineStr">
        <is>
          <t>WARN</t>
        </is>
      </c>
      <c r="G1917" s="48" t="inlineStr">
        <is>
          <t>WARN</t>
        </is>
      </c>
      <c r="H1917" s="50" t="inlineStr">
        <is>
          <t>CTE bị tham chiếu lại nhiều lần: branch_active x2, branch_info x2</t>
        </is>
      </c>
      <c r="I1917" s="50" t="inlineStr">
        <is>
          <t>Với CTE nặng (đọc nhiều bảng Silver) bị tham chiếu từ 2 chỗ trở lên: gom lại còn một lần dùng, hoặc vật chất hóa (CACHE / bảng tạm). CTE nhẹ chỉ chứa tham số thì bỏ qua được — tự tick Pass.</t>
        </is>
      </c>
      <c r="J1917" s="48" t="inlineStr">
        <is>
          <t>098. OCB_GOLD_TTDL_DIM_BRANCH_Huy.xlsx [Script SQL: DIM_BRANCH]</t>
        </is>
      </c>
    </row>
    <row r="1918">
      <c r="A1918" s="48" t="inlineStr">
        <is>
          <t>TCIMPORT.DIM_BRANCH</t>
        </is>
      </c>
      <c r="B1918" s="48" t="inlineStr">
        <is>
          <t>SILVER_CONSUMER</t>
        </is>
      </c>
      <c r="C1918" s="48" t="inlineStr">
        <is>
          <t>3.3</t>
        </is>
      </c>
      <c r="D1918" s="48" t="inlineStr">
        <is>
          <t>Nhom 3 - Optimization</t>
        </is>
      </c>
      <c r="E1918" s="48" t="inlineStr">
        <is>
          <t>Filter trước khi join, tận dụng partition pruning</t>
        </is>
      </c>
      <c r="F1918" s="49" t="inlineStr">
        <is>
          <t>PASS</t>
        </is>
      </c>
      <c r="G1918" s="48" t="inlineStr">
        <is>
          <t>Pass</t>
        </is>
      </c>
      <c r="H1918" s="50" t="inlineStr">
        <is>
          <t>các bảng join đều được filter trước</t>
        </is>
      </c>
      <c r="I1918" s="50" t="inlineStr">
        <is>
          <t>Đưa điều kiện lọc (ngày dữ liệu, trạng thái) vào subquery của từng bảng TRƯỚC khi join, để tận dụng partition pruning. Bảng dim nhỏ không partition thì không cần — tự tick Pass.</t>
        </is>
      </c>
      <c r="J1918" s="48" t="inlineStr">
        <is>
          <t>098. OCB_GOLD_TTDL_DIM_BRANCH_Huy.xlsx [Script SQL: DIM_BRANCH]</t>
        </is>
      </c>
    </row>
    <row r="1919">
      <c r="A1919" s="48" t="inlineStr">
        <is>
          <t>TCIMPORT.DIM_BRANCH</t>
        </is>
      </c>
      <c r="B1919" s="48" t="inlineStr">
        <is>
          <t>SILVER_CONSUMER</t>
        </is>
      </c>
      <c r="C1919" s="48" t="inlineStr">
        <is>
          <t>3.4</t>
        </is>
      </c>
      <c r="D1919" s="48" t="inlineStr">
        <is>
          <t>Nhom 3 - Optimization</t>
        </is>
      </c>
      <c r="E1919" s="48" t="inlineStr">
        <is>
          <t>Sử dụng CACHE cho query lặp lại trong cùng luồng</t>
        </is>
      </c>
      <c r="F1919" s="51" t="inlineStr">
        <is>
          <t>WARN</t>
        </is>
      </c>
      <c r="G1919" s="48" t="inlineStr">
        <is>
          <t>WARN</t>
        </is>
      </c>
      <c r="H1919" s="50" t="inlineStr">
        <is>
          <t>2 CTE nặng dùng lại &gt;= 2 lần mà không có CACHE: branch_active, branch_info</t>
        </is>
      </c>
      <c r="I1919" s="50" t="inlineStr">
        <is>
          <t>Nếu một kết quả nặng được dùng lại nhiều bước trong cùng luồng, thêm CACHE TABLE / CACHE SELECT. Kết quả nhỏ thì cache còn chậm hơn — tự tick Pass.</t>
        </is>
      </c>
      <c r="J1919" s="48" t="inlineStr">
        <is>
          <t>098. OCB_GOLD_TTDL_DIM_BRANCH_Huy.xlsx [Script SQL: DIM_BRANCH]</t>
        </is>
      </c>
    </row>
    <row r="1920">
      <c r="A1920" s="48" t="inlineStr">
        <is>
          <t>TCIMPORT.DIM_BRANCH</t>
        </is>
      </c>
      <c r="B1920" s="48" t="inlineStr">
        <is>
          <t>SILVER_CONSUMER</t>
        </is>
      </c>
      <c r="C1920" s="48" t="inlineStr">
        <is>
          <t>3.5</t>
        </is>
      </c>
      <c r="D1920" s="48" t="inlineStr">
        <is>
          <t>Nhom 3 - Optimization</t>
        </is>
      </c>
      <c r="E1920" s="48" t="inlineStr">
        <is>
          <t>Ưu tiên MAX_BY + QUALIFY thay ROW_NUMBER() + WHERE rn = 1</t>
        </is>
      </c>
      <c r="F1920" s="48" t="inlineStr">
        <is>
          <t>N-A</t>
        </is>
      </c>
      <c r="G1920" s="48" t="inlineStr">
        <is>
          <t>Pass</t>
        </is>
      </c>
      <c r="H1920" s="50" t="inlineStr">
        <is>
          <t>script không dùng ROW_NUMBER, và MAX_BY (nếu có) không vượt quá 5 cột/khối</t>
        </is>
      </c>
      <c r="I19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20" s="48" t="inlineStr">
        <is>
          <t>098. OCB_GOLD_TTDL_DIM_BRANCH_Huy.xlsx [Script SQL: DIM_BRANCH]</t>
        </is>
      </c>
    </row>
    <row r="1921">
      <c r="A1921" s="48" t="inlineStr">
        <is>
          <t>TCIMPORT.DIM_BRANCH</t>
        </is>
      </c>
      <c r="B1921" s="48" t="inlineStr">
        <is>
          <t>SILVER_CONSUMER</t>
        </is>
      </c>
      <c r="C1921" s="48" t="inlineStr">
        <is>
          <t>3.6</t>
        </is>
      </c>
      <c r="D1921" s="48" t="inlineStr">
        <is>
          <t>Nhom 3 - Optimization</t>
        </is>
      </c>
      <c r="E1921" s="48" t="inlineStr">
        <is>
          <t>Không lạm dụng window function; có comment khi dùng</t>
        </is>
      </c>
      <c r="F1921" s="48" t="inlineStr">
        <is>
          <t>N-A</t>
        </is>
      </c>
      <c r="G1921" s="48" t="inlineStr">
        <is>
          <t>Pass</t>
        </is>
      </c>
      <c r="H1921" s="50" t="inlineStr">
        <is>
          <t>script không dùng window function</t>
        </is>
      </c>
      <c r="I1921" s="50" t="inlineStr">
        <is>
          <t>Mỗi window function cần một comment ngay trên khối CTE chứa nó, nói rõ vì sao không dùng được max_by/QUALIFY đơn giản hơn.</t>
        </is>
      </c>
      <c r="J1921" s="48" t="inlineStr">
        <is>
          <t>098. OCB_GOLD_TTDL_DIM_BRANCH_Huy.xlsx [Script SQL: DIM_BRANCH]</t>
        </is>
      </c>
    </row>
    <row r="1922">
      <c r="A1922" s="48" t="inlineStr">
        <is>
          <t>TCIMPORT.DIM_BRANCH</t>
        </is>
      </c>
      <c r="B1922" s="48" t="inlineStr">
        <is>
          <t>SILVER_CONSUMER</t>
        </is>
      </c>
      <c r="C1922" s="48" t="inlineStr">
        <is>
          <t>X.1</t>
        </is>
      </c>
      <c r="D1922" s="48" t="inlineStr">
        <is>
          <t>Nhom X - Bo sung Raffles</t>
        </is>
      </c>
      <c r="E1922" s="48" t="inlineStr">
        <is>
          <t>[Bổ sung] Link phải rút về current trước khi join (chống fan-out)</t>
        </is>
      </c>
      <c r="F1922" s="49" t="inlineStr">
        <is>
          <t>PASS</t>
        </is>
      </c>
      <c r="G1922" s="48" t="inlineStr">
        <is>
          <t>Pass</t>
        </is>
      </c>
      <c r="H1922" s="50" t="inlineStr">
        <is>
          <t>các bảng link_* đều được rút về current trước khi join</t>
        </is>
      </c>
      <c r="I19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22" s="48" t="inlineStr">
        <is>
          <t>098. OCB_GOLD_TTDL_DIM_BRANCH_Huy.xlsx [Script SQL: DIM_BRANCH]</t>
        </is>
      </c>
    </row>
    <row r="1923">
      <c r="A1923" s="48" t="inlineStr">
        <is>
          <t>TCIMPORT.DIM_BRANCH</t>
        </is>
      </c>
      <c r="B1923" s="48" t="inlineStr">
        <is>
          <t>SILVER_CONSUMER</t>
        </is>
      </c>
      <c r="C1923" s="48" t="inlineStr">
        <is>
          <t>X.6</t>
        </is>
      </c>
      <c r="D1923" s="48" t="inlineStr">
        <is>
          <t>Nhom X - Bo sung Raffles</t>
        </is>
      </c>
      <c r="E1923" s="48" t="inlineStr">
        <is>
          <t>[Bổ sung] Satellite phải LEFT JOIN, không INNER JOIN</t>
        </is>
      </c>
      <c r="F1923" s="49" t="inlineStr">
        <is>
          <t>PASS</t>
        </is>
      </c>
      <c r="G1923" s="48" t="inlineStr">
        <is>
          <t>Pass</t>
        </is>
      </c>
      <c r="H1923" s="50" t="inlineStr">
        <is>
          <t>các satellite đều LEFT JOIN</t>
        </is>
      </c>
      <c r="I1923" s="50" t="inlineStr">
        <is>
          <t>Technical Document III.4.2.2 nguyên tắc 1: làm giàu thuộc tính luôn dùng LEFT JOIN. INNER JOIN satellite sẽ loại mất bản ghi Hub đang còn hiệu lực nhưng chưa có dòng satellite.</t>
        </is>
      </c>
      <c r="J1923" s="48" t="inlineStr">
        <is>
          <t>098. OCB_GOLD_TTDL_DIM_BRANCH_Huy.xlsx [Script SQL: DIM_BRANCH]</t>
        </is>
      </c>
    </row>
    <row r="1924">
      <c r="A1924" s="48" t="inlineStr">
        <is>
          <t>TCIMPORT.DIM_BRANCH</t>
        </is>
      </c>
      <c r="B1924" s="48" t="inlineStr">
        <is>
          <t>SILVER_CONSUMER</t>
        </is>
      </c>
      <c r="C1924" s="48" t="inlineStr">
        <is>
          <t>X.7</t>
        </is>
      </c>
      <c r="D1924" s="48" t="inlineStr">
        <is>
          <t>Nhom X - Bo sung Raffles</t>
        </is>
      </c>
      <c r="E1924" s="48" t="inlineStr">
        <is>
          <t>[Bổ sung] Không hard-code catalog, dùng biến môi trường</t>
        </is>
      </c>
      <c r="F1924" s="49" t="inlineStr">
        <is>
          <t>PASS</t>
        </is>
      </c>
      <c r="G1924" s="48" t="inlineStr">
        <is>
          <t>Pass</t>
        </is>
      </c>
      <c r="H1924" s="50" t="inlineStr">
        <is>
          <t>dùng biến môi trường cho catalog</t>
        </is>
      </c>
      <c r="I19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24" s="48" t="inlineStr">
        <is>
          <t>098. OCB_GOLD_TTDL_DIM_BRANCH_Huy.xlsx [Script SQL: DIM_BRANCH]</t>
        </is>
      </c>
    </row>
    <row r="1925">
      <c r="A1925" s="48" t="inlineStr">
        <is>
          <t>TCIMPORT.DIM_BRANCH</t>
        </is>
      </c>
      <c r="B1925" s="48" t="inlineStr">
        <is>
          <t>SILVER_CONSUMER</t>
        </is>
      </c>
      <c r="C1925" s="48" t="inlineStr">
        <is>
          <t>X.10</t>
        </is>
      </c>
      <c r="D1925" s="48" t="inlineStr">
        <is>
          <t>Nhom X - Bo sung Raffles</t>
        </is>
      </c>
      <c r="E1925" s="48" t="inlineStr">
        <is>
          <t>Bang raw_vault/business_vault duoc doc phai TON TAI THAT trong Data Vault model</t>
        </is>
      </c>
      <c r="F1925" s="49" t="inlineStr">
        <is>
          <t>PASS</t>
        </is>
      </c>
      <c r="G1925" s="48" t="inlineStr">
        <is>
          <t>Pass</t>
        </is>
      </c>
      <c r="H1925" s="50" t="inlineStr">
        <is>
          <t>4 bảng Silver đều có thật trong Data Vault model</t>
        </is>
      </c>
      <c r="I1925" s="50" t="inlineStr"/>
      <c r="J1925" s="48" t="inlineStr">
        <is>
          <t>098. OCB_GOLD_TTDL_DIM_BRANCH_Huy.xlsx [Script SQL: DIM_BRANCH]</t>
        </is>
      </c>
    </row>
    <row r="1926">
      <c r="A1926" s="48" t="inlineStr">
        <is>
          <t>TCIMPORT.DIM_BRANCH</t>
        </is>
      </c>
      <c r="B1926" s="48" t="inlineStr">
        <is>
          <t>SILVER_CONSUMER</t>
        </is>
      </c>
      <c r="C1926" s="48" t="inlineStr">
        <is>
          <t>X.11</t>
        </is>
      </c>
      <c r="D1926" s="48" t="inlineStr">
        <is>
          <t>Nhom X - Bo sung Raffles</t>
        </is>
      </c>
      <c r="E1926" s="48" t="inlineStr">
        <is>
          <t>Cot doc tu satellite (sat_*) phai TON TAI THAT trong model</t>
        </is>
      </c>
      <c r="F1926" s="49" t="inlineStr">
        <is>
          <t>PASS</t>
        </is>
      </c>
      <c r="G1926" s="48" t="inlineStr">
        <is>
          <t>Pass</t>
        </is>
      </c>
      <c r="H1926" s="50" t="inlineStr">
        <is>
          <t>mọi cột đọc từ sat_* đều tồn tại trong model thật</t>
        </is>
      </c>
      <c r="I1926" s="50" t="inlineStr"/>
      <c r="J1926" s="48" t="inlineStr">
        <is>
          <t>098. OCB_GOLD_TTDL_DIM_BRANCH_Huy.xlsx [Script SQL: DIM_BRANCH]</t>
        </is>
      </c>
    </row>
    <row r="1927">
      <c r="A1927" s="48" t="inlineStr">
        <is>
          <t>TCIMPORT.DIM_DEPOSIT</t>
        </is>
      </c>
      <c r="B1927" s="48" t="inlineStr">
        <is>
          <t>SILVER_CONSUMER</t>
        </is>
      </c>
      <c r="C1927" s="48" t="inlineStr">
        <is>
          <t>1.1</t>
        </is>
      </c>
      <c r="D1927" s="48" t="inlineStr">
        <is>
          <t>Nhom 1 - Mapping</t>
        </is>
      </c>
      <c r="E1927" s="48" t="inlineStr">
        <is>
          <t>Đầy đủ mapping từ Silver/manual sang Gold</t>
        </is>
      </c>
      <c r="F1927" s="49" t="inlineStr">
        <is>
          <t>PASS</t>
        </is>
      </c>
      <c r="G1927" s="48" t="inlineStr">
        <is>
          <t>Pass</t>
        </is>
      </c>
      <c r="H1927" s="50" t="inlineStr">
        <is>
          <t>workbook 099. OCB_GOLD_TTDL_DIM_DEPOSIT_Huy.xlsx: thiết kế 28 field, SQL có 28 cột</t>
        </is>
      </c>
      <c r="I19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927" s="48" t="inlineStr">
        <is>
          <t>099. OCB_GOLD_TTDL_DIM_DEPOSIT_Huy.xlsx [Script SQL: DIM_DEPOSIT]</t>
        </is>
      </c>
    </row>
    <row r="1928">
      <c r="A1928" s="48" t="inlineStr">
        <is>
          <t>TCIMPORT.DIM_DEPOSIT</t>
        </is>
      </c>
      <c r="B1928" s="48" t="inlineStr">
        <is>
          <t>SILVER_CONSUMER</t>
        </is>
      </c>
      <c r="C1928" s="48" t="inlineStr">
        <is>
          <t>1.2</t>
        </is>
      </c>
      <c r="D1928" s="48" t="inlineStr">
        <is>
          <t>Nhom 1 - Mapping</t>
        </is>
      </c>
      <c r="E1928" s="48" t="inlineStr">
        <is>
          <t>Danh sách bảng/view Gold khớp tài liệu thiết kế đã duyệt</t>
        </is>
      </c>
      <c r="F1928" s="49" t="inlineStr">
        <is>
          <t>PASS</t>
        </is>
      </c>
      <c r="G1928" s="48" t="inlineStr">
        <is>
          <t>Pass</t>
        </is>
      </c>
      <c r="H1928" s="50" t="inlineStr">
        <is>
          <t>DIM_DEPOSIT có workbook thiết kế: 099. OCB_GOLD_TTDL_DIM_DEPOSIT_Huy.xlsx</t>
        </is>
      </c>
      <c r="I1928" s="50" t="inlineStr">
        <is>
          <t>Đảm bảo object có workbook thiết kế tương ứng trong thư mục --mapping-dir. Muốn đối chiếu với danh sách đã duyệt thì chạy thêm tham số --gold-list "&lt;file danh sách Gold&gt;.xlsx".</t>
        </is>
      </c>
      <c r="J1928" s="48" t="inlineStr">
        <is>
          <t>099. OCB_GOLD_TTDL_DIM_DEPOSIT_Huy.xlsx [Script SQL: DIM_DEPOSIT]</t>
        </is>
      </c>
    </row>
    <row r="1929">
      <c r="A1929" s="48" t="inlineStr">
        <is>
          <t>TCIMPORT.DIM_DEPOSIT</t>
        </is>
      </c>
      <c r="B1929" s="48" t="inlineStr">
        <is>
          <t>SILVER_CONSUMER</t>
        </is>
      </c>
      <c r="C1929" s="48" t="inlineStr">
        <is>
          <t>2.1</t>
        </is>
      </c>
      <c r="D1929" s="48" t="inlineStr">
        <is>
          <t>Nhom 2 - Logic</t>
        </is>
      </c>
      <c r="E1929" s="48" t="inlineStr">
        <is>
          <t>Chỉ lấy bản ghi active, loại bản ghi đã xóa (qua sts_hub)</t>
        </is>
      </c>
      <c r="F1929" s="49" t="inlineStr">
        <is>
          <t>PASS</t>
        </is>
      </c>
      <c r="G1929" s="48" t="inlineStr">
        <is>
          <t>Pass</t>
        </is>
      </c>
      <c r="H1929" s="50" t="inlineStr">
        <is>
          <t>5 sts_hub_* đọc đúng format</t>
        </is>
      </c>
      <c r="I19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929" s="48" t="inlineStr">
        <is>
          <t>099. OCB_GOLD_TTDL_DIM_DEPOSIT_Huy.xlsx [Script SQL: DIM_DEPOSIT]</t>
        </is>
      </c>
    </row>
    <row r="1930">
      <c r="A1930" s="48" t="inlineStr">
        <is>
          <t>TCIMPORT.DIM_DEPOSIT</t>
        </is>
      </c>
      <c r="B1930" s="48" t="inlineStr">
        <is>
          <t>SILVER_CONSUMER</t>
        </is>
      </c>
      <c r="C1930" s="48" t="inlineStr">
        <is>
          <t>2.2</t>
        </is>
      </c>
      <c r="D1930" s="48" t="inlineStr">
        <is>
          <t>Nhom 2 - Logic</t>
        </is>
      </c>
      <c r="E1930" s="48" t="inlineStr">
        <is>
          <t>Thống nhất MỘT pattern duy nhất xác định bản ghi active mới nhất</t>
        </is>
      </c>
      <c r="F1930" s="49" t="inlineStr">
        <is>
          <t>PASS</t>
        </is>
      </c>
      <c r="G1930" s="48" t="inlineStr">
        <is>
          <t>Pass</t>
        </is>
      </c>
      <c r="H1930" s="50" t="inlineStr">
        <is>
          <t>file này dùng: ['MAX_BY']; toàn batch dùng: ['MAX_BY']</t>
        </is>
      </c>
      <c r="I19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930" s="48" t="inlineStr">
        <is>
          <t>099. OCB_GOLD_TTDL_DIM_DEPOSIT_Huy.xlsx [Script SQL: DIM_DEPOSIT]</t>
        </is>
      </c>
    </row>
    <row r="1931">
      <c r="A1931" s="48" t="inlineStr">
        <is>
          <t>TCIMPORT.DIM_DEPOSIT</t>
        </is>
      </c>
      <c r="B1931" s="48" t="inlineStr">
        <is>
          <t>SILVER_CONSUMER</t>
        </is>
      </c>
      <c r="C1931" s="48" t="inlineStr">
        <is>
          <t>2.3</t>
        </is>
      </c>
      <c r="D1931" s="48" t="inlineStr">
        <is>
          <t>Nhom 2 - Logic</t>
        </is>
      </c>
      <c r="E1931" s="48" t="inlineStr">
        <is>
          <t>Điều kiện lọc trạng thái đặt SAU khi xác định bản ghi mới nhất</t>
        </is>
      </c>
      <c r="F1931" s="49" t="inlineStr">
        <is>
          <t>PASS</t>
        </is>
      </c>
      <c r="G1931" s="48" t="inlineStr">
        <is>
          <t>Pass</t>
        </is>
      </c>
      <c r="H1931" s="50" t="inlineStr">
        <is>
          <t>không có điều kiện trạng thái nào lồng trong JOIN ON</t>
        </is>
      </c>
      <c r="I19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931" s="48" t="inlineStr">
        <is>
          <t>099. OCB_GOLD_TTDL_DIM_DEPOSIT_Huy.xlsx [Script SQL: DIM_DEPOSIT]</t>
        </is>
      </c>
    </row>
    <row r="1932">
      <c r="A1932" s="48" t="inlineStr">
        <is>
          <t>TCIMPORT.DIM_DEPOSIT</t>
        </is>
      </c>
      <c r="B1932" s="48" t="inlineStr">
        <is>
          <t>SILVER_CONSUMER</t>
        </is>
      </c>
      <c r="C1932" s="48" t="inlineStr">
        <is>
          <t>2.4</t>
        </is>
      </c>
      <c r="D1932" s="48" t="inlineStr">
        <is>
          <t>Nhom 2 - Logic</t>
        </is>
      </c>
      <c r="E1932" s="48" t="inlineStr">
        <is>
          <t>source_event_date áp dụng đúng dạng theo loại bảng</t>
        </is>
      </c>
      <c r="F1932" s="49" t="inlineStr">
        <is>
          <t>PASS</t>
        </is>
      </c>
      <c r="G1932" s="48" t="inlineStr">
        <is>
          <t>Pass</t>
        </is>
      </c>
      <c r="H1932" s="50" t="inlineStr">
        <is>
          <t>6 satellite đều đúng dạng điều kiện source_event_date</t>
        </is>
      </c>
      <c r="I19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932" s="48" t="inlineStr">
        <is>
          <t>099. OCB_GOLD_TTDL_DIM_DEPOSIT_Huy.xlsx [Script SQL: DIM_DEPOSIT]</t>
        </is>
      </c>
    </row>
    <row r="1933">
      <c r="A1933" s="48" t="inlineStr">
        <is>
          <t>TCIMPORT.DIM_DEPOSIT</t>
        </is>
      </c>
      <c r="B1933" s="48" t="inlineStr">
        <is>
          <t>SILVER_CONSUMER</t>
        </is>
      </c>
      <c r="C1933" s="48" t="inlineStr">
        <is>
          <t>2.5</t>
        </is>
      </c>
      <c r="D1933" s="48" t="inlineStr">
        <is>
          <t>Nhom 2 - Logic</t>
        </is>
      </c>
      <c r="E1933" s="48" t="inlineStr">
        <is>
          <t>Không lặp lại lỗi logic cũ đã được DA Data Vault fix</t>
        </is>
      </c>
      <c r="F1933" s="49" t="inlineStr">
        <is>
          <t>PASS</t>
        </is>
      </c>
      <c r="G1933" s="48" t="inlineStr">
        <is>
          <t>Pass</t>
        </is>
      </c>
      <c r="H1933" s="50" t="inlineStr">
        <is>
          <t>không trùng lỗi nào trong Issue log của DA Data Vault</t>
        </is>
      </c>
      <c r="I19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933" s="48" t="inlineStr">
        <is>
          <t>099. OCB_GOLD_TTDL_DIM_DEPOSIT_Huy.xlsx [Script SQL: DIM_DEPOSIT]</t>
        </is>
      </c>
    </row>
    <row r="1934">
      <c r="A1934" s="48" t="inlineStr">
        <is>
          <t>TCIMPORT.DIM_DEPOSIT</t>
        </is>
      </c>
      <c r="B1934" s="48" t="inlineStr">
        <is>
          <t>SILVER_CONSUMER</t>
        </is>
      </c>
      <c r="C1934" s="48" t="inlineStr">
        <is>
          <t>2.6</t>
        </is>
      </c>
      <c r="D1934" s="48" t="inlineStr">
        <is>
          <t>Nhom 2 - Logic</t>
        </is>
      </c>
      <c r="E1934" s="48" t="inlineStr">
        <is>
          <t>SCD Type 2 cho bảng DIM áp dụng đúng kỹ thuật đã thống nhất</t>
        </is>
      </c>
      <c r="F1934" s="48" t="inlineStr">
        <is>
          <t>N-A</t>
        </is>
      </c>
      <c r="G1934" s="48" t="inlineStr">
        <is>
          <t>Pass</t>
        </is>
      </c>
      <c r="H1934" s="50" t="inlineStr">
        <is>
          <t>object không phải bảng DIM nên không áp dụng SCD Type 2</t>
        </is>
      </c>
      <c r="I19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934" s="48" t="inlineStr">
        <is>
          <t>099. OCB_GOLD_TTDL_DIM_DEPOSIT_Huy.xlsx [Script SQL: DIM_DEPOSIT]</t>
        </is>
      </c>
    </row>
    <row r="1935">
      <c r="A1935" s="48" t="inlineStr">
        <is>
          <t>TCIMPORT.DIM_DEPOSIT</t>
        </is>
      </c>
      <c r="B1935" s="48" t="inlineStr">
        <is>
          <t>SILVER_CONSUMER</t>
        </is>
      </c>
      <c r="C1935" s="48" t="inlineStr">
        <is>
          <t>2.7</t>
        </is>
      </c>
      <c r="D1935" s="48" t="inlineStr">
        <is>
          <t>Nhom 2 - Logic</t>
        </is>
      </c>
      <c r="E1935" s="48" t="inlineStr">
        <is>
          <t>CASE WHEN cover đủ nhánh như job on-prem</t>
        </is>
      </c>
      <c r="F1935" s="49" t="inlineStr">
        <is>
          <t>PASS</t>
        </is>
      </c>
      <c r="G1935" s="48" t="inlineStr">
        <is>
          <t>Pass</t>
        </is>
      </c>
      <c r="H1935" s="50" t="inlineStr">
        <is>
          <t>cả 5 CASE đều có nhánh ELSE</t>
        </is>
      </c>
      <c r="I1935" s="50" t="inlineStr">
        <is>
          <t>Mở job on-prem tương ứng (DataStage DSX hoặc SQL cũ), đối chiếu từng nhánh WHEN và cả nhánh ELSE. CASE không có ELSE sẽ trả NULL âm thầm — xác nhận đó là ý muốn hay thiếu nhánh.</t>
        </is>
      </c>
      <c r="J1935" s="48" t="inlineStr">
        <is>
          <t>099. OCB_GOLD_TTDL_DIM_DEPOSIT_Huy.xlsx [Script SQL: DIM_DEPOSIT]</t>
        </is>
      </c>
    </row>
    <row r="1936">
      <c r="A1936" s="48" t="inlineStr">
        <is>
          <t>TCIMPORT.DIM_DEPOSIT</t>
        </is>
      </c>
      <c r="B1936" s="48" t="inlineStr">
        <is>
          <t>SILVER_CONSUMER</t>
        </is>
      </c>
      <c r="C1936" s="48" t="inlineStr">
        <is>
          <t>2.8</t>
        </is>
      </c>
      <c r="D1936" s="48" t="inlineStr">
        <is>
          <t>Nhom 2 - Logic</t>
        </is>
      </c>
      <c r="E1936" s="48" t="inlineStr">
        <is>
          <t>Cột SUM/COUNT được COALESCE/NVL hợp lý</t>
        </is>
      </c>
      <c r="F1936" s="49" t="inlineStr">
        <is>
          <t>PASS</t>
        </is>
      </c>
      <c r="G1936" s="48" t="inlineStr">
        <is>
          <t>Pass</t>
        </is>
      </c>
      <c r="H1936" s="50" t="inlineStr">
        <is>
          <t>mọi SUM/COUNT đều đã coalesce (trực tiếp hoặc ở lớp ngoài)</t>
        </is>
      </c>
      <c r="I19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936" s="48" t="inlineStr">
        <is>
          <t>099. OCB_GOLD_TTDL_DIM_DEPOSIT_Huy.xlsx [Script SQL: DIM_DEPOSIT]</t>
        </is>
      </c>
    </row>
    <row r="1937">
      <c r="A1937" s="48" t="inlineStr">
        <is>
          <t>TCIMPORT.DIM_DEPOSIT</t>
        </is>
      </c>
      <c r="B1937" s="48" t="inlineStr">
        <is>
          <t>SILVER_CONSUMER</t>
        </is>
      </c>
      <c r="C1937" s="48" t="inlineStr">
        <is>
          <t>2.9</t>
        </is>
      </c>
      <c r="D1937" s="48" t="inlineStr">
        <is>
          <t>Nhom 2 - Logic</t>
        </is>
      </c>
      <c r="E1937" s="48" t="inlineStr">
        <is>
          <t>Subquery / custom function / điều kiện LIKE đúng ý nghĩa nghiệp vụ</t>
        </is>
      </c>
      <c r="F1937" s="49" t="inlineStr">
        <is>
          <t>PASS</t>
        </is>
      </c>
      <c r="G1937" s="48" t="inlineStr">
        <is>
          <t>Pass</t>
        </is>
      </c>
      <c r="H1937" s="50" t="inlineStr">
        <is>
          <t>1 điều kiện LIKE: c.account_no LIKE 'LD%'; cú pháp hợp lệ; ý nghĩa nghiệp vụ cần người review đối chiếu job on-prem</t>
        </is>
      </c>
      <c r="I1937" s="50" t="inlineStr">
        <is>
          <t>Đọc lại từng điều kiện LIKE và từng subquery, đối chiếu ý nghĩa nghiệp vụ với on-prem — đúng cú pháp không đủ. Chú ý pattern LIKE có ký tự % ở đầu/cuối và phân biệt chữ hoa/thường.</t>
        </is>
      </c>
      <c r="J1937" s="48" t="inlineStr">
        <is>
          <t>099. OCB_GOLD_TTDL_DIM_DEPOSIT_Huy.xlsx [Script SQL: DIM_DEPOSIT]</t>
        </is>
      </c>
    </row>
    <row r="1938">
      <c r="A1938" s="48" t="inlineStr">
        <is>
          <t>TCIMPORT.DIM_DEPOSIT</t>
        </is>
      </c>
      <c r="B1938" s="48" t="inlineStr">
        <is>
          <t>SILVER_CONSUMER</t>
        </is>
      </c>
      <c r="C1938" s="48" t="inlineStr">
        <is>
          <t>2.10</t>
        </is>
      </c>
      <c r="D1938" s="48" t="inlineStr">
        <is>
          <t>Nhom 2 - Logic</t>
        </is>
      </c>
      <c r="E1938" s="48" t="inlineStr">
        <is>
          <t>Aggregation kèm filter date range chính xác</t>
        </is>
      </c>
      <c r="F1938" s="49" t="inlineStr">
        <is>
          <t>PASS</t>
        </is>
      </c>
      <c r="G1938" s="48" t="inlineStr">
        <is>
          <t>Pass</t>
        </is>
      </c>
      <c r="H1938" s="50" t="inlineStr">
        <is>
          <t>mọi khối tổng hợp đều có điều kiện theo kỳ dữ liệu</t>
        </is>
      </c>
      <c r="I1938" s="50" t="inlineStr">
        <is>
          <t>Mỗi khối SUM/COUNT/AVG phải có điều kiện lọc theo kỳ dữ liệu (CDR_DT_ID, DATA_DATE, :DATADT…). Nếu điều kiện nằm ở CTE nguồn thì ghi rõ trong comment để người review không phải truy ngược.</t>
        </is>
      </c>
      <c r="J1938" s="48" t="inlineStr">
        <is>
          <t>099. OCB_GOLD_TTDL_DIM_DEPOSIT_Huy.xlsx [Script SQL: DIM_DEPOSIT]</t>
        </is>
      </c>
    </row>
    <row r="1939">
      <c r="A1939" s="48" t="inlineStr">
        <is>
          <t>TCIMPORT.DIM_DEPOSIT</t>
        </is>
      </c>
      <c r="B1939" s="48" t="inlineStr">
        <is>
          <t>SILVER_CONSUMER</t>
        </is>
      </c>
      <c r="C1939" s="48" t="inlineStr">
        <is>
          <t>2.11</t>
        </is>
      </c>
      <c r="D1939" s="48" t="inlineStr">
        <is>
          <t>Nhom 2 - Logic</t>
        </is>
      </c>
      <c r="E1939" s="48" t="inlineStr">
        <is>
          <t>Join dùng key hợp lý, không lạm dụng UNION ALL + EXISTS/NOT EXISTS</t>
        </is>
      </c>
      <c r="F1939" s="49" t="inlineStr">
        <is>
          <t>PASS</t>
        </is>
      </c>
      <c r="G1939" s="48" t="inlineStr">
        <is>
          <t>Pass</t>
        </is>
      </c>
      <c r="H1939" s="50" t="inlineStr">
        <is>
          <t>join đều theo điều kiện bằng, không lạm dụng UNION ALL + EXISTS</t>
        </is>
      </c>
      <c r="I1939" s="50" t="inlineStr">
        <is>
          <t>Ưu tiên LEFT JOIN theo business key hoặc hashkey. Xem lại các chỗ dùng UNION ALL kết hợp EXISTS/NOT EXISTS — thường thay được bằng một LEFT JOIN. Join không có điều kiện bằng (=) dễ tạo tích Descartes.</t>
        </is>
      </c>
      <c r="J1939" s="48" t="inlineStr">
        <is>
          <t>099. OCB_GOLD_TTDL_DIM_DEPOSIT_Huy.xlsx [Script SQL: DIM_DEPOSIT]</t>
        </is>
      </c>
    </row>
    <row r="1940">
      <c r="A1940" s="48" t="inlineStr">
        <is>
          <t>TCIMPORT.DIM_DEPOSIT</t>
        </is>
      </c>
      <c r="B1940" s="48" t="inlineStr">
        <is>
          <t>SILVER_CONSUMER</t>
        </is>
      </c>
      <c r="C1940" s="48" t="inlineStr">
        <is>
          <t>2.12</t>
        </is>
      </c>
      <c r="D1940" s="48" t="inlineStr">
        <is>
          <t>Nhom 2 - Logic</t>
        </is>
      </c>
      <c r="E1940" s="48" t="inlineStr">
        <is>
          <t>Build Gold từ CTE snapshot Silver, không build nhiều tầng chồng chéo</t>
        </is>
      </c>
      <c r="F1940" s="49" t="inlineStr">
        <is>
          <t>PASS</t>
        </is>
      </c>
      <c r="G1940" s="48" t="inlineStr">
        <is>
          <t>Pass</t>
        </is>
      </c>
      <c r="H1940" s="50" t="inlineStr">
        <is>
          <t>mỗi bảng nguồn chỉ đọc trong 1 khối SELECT</t>
        </is>
      </c>
      <c r="I19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40" s="48" t="inlineStr">
        <is>
          <t>099. OCB_GOLD_TTDL_DIM_DEPOSIT_Huy.xlsx [Script SQL: DIM_DEPOSIT]</t>
        </is>
      </c>
    </row>
    <row r="1941">
      <c r="A1941" s="48" t="inlineStr">
        <is>
          <t>TCIMPORT.DIM_DEPOSIT</t>
        </is>
      </c>
      <c r="B1941" s="48" t="inlineStr">
        <is>
          <t>SILVER_CONSUMER</t>
        </is>
      </c>
      <c r="C1941" s="48" t="inlineStr">
        <is>
          <t>3.1</t>
        </is>
      </c>
      <c r="D1941" s="48" t="inlineStr">
        <is>
          <t>Nhom 3 - Optimization</t>
        </is>
      </c>
      <c r="E1941" s="48" t="inlineStr">
        <is>
          <t>Không SELECT *</t>
        </is>
      </c>
      <c r="F1941" s="49" t="inlineStr">
        <is>
          <t>PASS</t>
        </is>
      </c>
      <c r="G1941" s="48" t="inlineStr">
        <is>
          <t>Pass</t>
        </is>
      </c>
      <c r="H1941" s="50" t="inlineStr">
        <is>
          <t>không dùng SELECT * ở đâu</t>
        </is>
      </c>
      <c r="I1941" s="50" t="inlineStr">
        <is>
          <t>Liệt kê tường minh các cột cần dùng, kể cả trong CTE trung gian. SELECT * làm tăng IO/memory và vỡ script khi bảng nguồn thêm cột.</t>
        </is>
      </c>
      <c r="J1941" s="48" t="inlineStr">
        <is>
          <t>099. OCB_GOLD_TTDL_DIM_DEPOSIT_Huy.xlsx [Script SQL: DIM_DEPOSIT]</t>
        </is>
      </c>
    </row>
    <row r="1942">
      <c r="A1942" s="48" t="inlineStr">
        <is>
          <t>TCIMPORT.DIM_DEPOSIT</t>
        </is>
      </c>
      <c r="B1942" s="48" t="inlineStr">
        <is>
          <t>SILVER_CONSUMER</t>
        </is>
      </c>
      <c r="C1942" s="48" t="inlineStr">
        <is>
          <t>3.2</t>
        </is>
      </c>
      <c r="D1942" s="48" t="inlineStr">
        <is>
          <t>Nhom 3 - Optimization</t>
        </is>
      </c>
      <c r="E1942" s="48" t="inlineStr">
        <is>
          <t>CTE không bị scan lại nhiều lần</t>
        </is>
      </c>
      <c r="F1942" s="51" t="inlineStr">
        <is>
          <t>WARN</t>
        </is>
      </c>
      <c r="G1942" s="48" t="inlineStr">
        <is>
          <t>WARN</t>
        </is>
      </c>
      <c r="H1942" s="50" t="inlineStr">
        <is>
          <t>CTE bị tham chiếu lại nhiều lần: officer_hub x2</t>
        </is>
      </c>
      <c r="I1942" s="50" t="inlineStr">
        <is>
          <t>Với CTE nặng (đọc nhiều bảng Silver) bị tham chiếu từ 2 chỗ trở lên: gom lại còn một lần dùng, hoặc vật chất hóa (CACHE / bảng tạm). CTE nhẹ chỉ chứa tham số thì bỏ qua được — tự tick Pass.</t>
        </is>
      </c>
      <c r="J1942" s="48" t="inlineStr">
        <is>
          <t>099. OCB_GOLD_TTDL_DIM_DEPOSIT_Huy.xlsx [Script SQL: DIM_DEPOSIT]</t>
        </is>
      </c>
    </row>
    <row r="1943">
      <c r="A1943" s="48" t="inlineStr">
        <is>
          <t>TCIMPORT.DIM_DEPOSIT</t>
        </is>
      </c>
      <c r="B1943" s="48" t="inlineStr">
        <is>
          <t>SILVER_CONSUMER</t>
        </is>
      </c>
      <c r="C1943" s="48" t="inlineStr">
        <is>
          <t>3.3</t>
        </is>
      </c>
      <c r="D1943" s="48" t="inlineStr">
        <is>
          <t>Nhom 3 - Optimization</t>
        </is>
      </c>
      <c r="E1943" s="48" t="inlineStr">
        <is>
          <t>Filter trước khi join, tận dụng partition pruning</t>
        </is>
      </c>
      <c r="F1943" s="49" t="inlineStr">
        <is>
          <t>PASS</t>
        </is>
      </c>
      <c r="G1943" s="48" t="inlineStr">
        <is>
          <t>Pass</t>
        </is>
      </c>
      <c r="H1943" s="50" t="inlineStr">
        <is>
          <t>các bảng join đều được filter trước</t>
        </is>
      </c>
      <c r="I1943" s="50" t="inlineStr">
        <is>
          <t>Đưa điều kiện lọc (ngày dữ liệu, trạng thái) vào subquery của từng bảng TRƯỚC khi join, để tận dụng partition pruning. Bảng dim nhỏ không partition thì không cần — tự tick Pass.</t>
        </is>
      </c>
      <c r="J1943" s="48" t="inlineStr">
        <is>
          <t>099. OCB_GOLD_TTDL_DIM_DEPOSIT_Huy.xlsx [Script SQL: DIM_DEPOSIT]</t>
        </is>
      </c>
    </row>
    <row r="1944">
      <c r="A1944" s="48" t="inlineStr">
        <is>
          <t>TCIMPORT.DIM_DEPOSIT</t>
        </is>
      </c>
      <c r="B1944" s="48" t="inlineStr">
        <is>
          <t>SILVER_CONSUMER</t>
        </is>
      </c>
      <c r="C1944" s="48" t="inlineStr">
        <is>
          <t>3.4</t>
        </is>
      </c>
      <c r="D1944" s="48" t="inlineStr">
        <is>
          <t>Nhom 3 - Optimization</t>
        </is>
      </c>
      <c r="E1944" s="48" t="inlineStr">
        <is>
          <t>Sử dụng CACHE cho query lặp lại trong cùng luồng</t>
        </is>
      </c>
      <c r="F1944" s="51" t="inlineStr">
        <is>
          <t>WARN</t>
        </is>
      </c>
      <c r="G1944" s="48" t="inlineStr">
        <is>
          <t>WARN</t>
        </is>
      </c>
      <c r="H1944" s="50" t="inlineStr">
        <is>
          <t>1 CTE nặng dùng lại &gt;= 2 lần mà không có CACHE: officer_hub</t>
        </is>
      </c>
      <c r="I1944" s="50" t="inlineStr">
        <is>
          <t>Nếu một kết quả nặng được dùng lại nhiều bước trong cùng luồng, thêm CACHE TABLE / CACHE SELECT. Kết quả nhỏ thì cache còn chậm hơn — tự tick Pass.</t>
        </is>
      </c>
      <c r="J1944" s="48" t="inlineStr">
        <is>
          <t>099. OCB_GOLD_TTDL_DIM_DEPOSIT_Huy.xlsx [Script SQL: DIM_DEPOSIT]</t>
        </is>
      </c>
    </row>
    <row r="1945">
      <c r="A1945" s="48" t="inlineStr">
        <is>
          <t>TCIMPORT.DIM_DEPOSIT</t>
        </is>
      </c>
      <c r="B1945" s="48" t="inlineStr">
        <is>
          <t>SILVER_CONSUMER</t>
        </is>
      </c>
      <c r="C1945" s="48" t="inlineStr">
        <is>
          <t>3.5</t>
        </is>
      </c>
      <c r="D1945" s="48" t="inlineStr">
        <is>
          <t>Nhom 3 - Optimization</t>
        </is>
      </c>
      <c r="E1945" s="48" t="inlineStr">
        <is>
          <t>Ưu tiên MAX_BY + QUALIFY thay ROW_NUMBER() + WHERE rn = 1</t>
        </is>
      </c>
      <c r="F1945" s="48" t="inlineStr">
        <is>
          <t>N-A</t>
        </is>
      </c>
      <c r="G1945" s="48" t="inlineStr">
        <is>
          <t>Pass</t>
        </is>
      </c>
      <c r="H1945" s="50" t="inlineStr">
        <is>
          <t>script không dùng ROW_NUMBER, và MAX_BY (nếu có) không vượt quá 5 cột/khối</t>
        </is>
      </c>
      <c r="I19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45" s="48" t="inlineStr">
        <is>
          <t>099. OCB_GOLD_TTDL_DIM_DEPOSIT_Huy.xlsx [Script SQL: DIM_DEPOSIT]</t>
        </is>
      </c>
    </row>
    <row r="1946">
      <c r="A1946" s="48" t="inlineStr">
        <is>
          <t>TCIMPORT.DIM_DEPOSIT</t>
        </is>
      </c>
      <c r="B1946" s="48" t="inlineStr">
        <is>
          <t>SILVER_CONSUMER</t>
        </is>
      </c>
      <c r="C1946" s="48" t="inlineStr">
        <is>
          <t>3.6</t>
        </is>
      </c>
      <c r="D1946" s="48" t="inlineStr">
        <is>
          <t>Nhom 3 - Optimization</t>
        </is>
      </c>
      <c r="E1946" s="48" t="inlineStr">
        <is>
          <t>Không lạm dụng window function; có comment khi dùng</t>
        </is>
      </c>
      <c r="F1946" s="48" t="inlineStr">
        <is>
          <t>N-A</t>
        </is>
      </c>
      <c r="G1946" s="48" t="inlineStr">
        <is>
          <t>Pass</t>
        </is>
      </c>
      <c r="H1946" s="50" t="inlineStr">
        <is>
          <t>script không dùng window function</t>
        </is>
      </c>
      <c r="I1946" s="50" t="inlineStr">
        <is>
          <t>Mỗi window function cần một comment ngay trên khối CTE chứa nó, nói rõ vì sao không dùng được max_by/QUALIFY đơn giản hơn.</t>
        </is>
      </c>
      <c r="J1946" s="48" t="inlineStr">
        <is>
          <t>099. OCB_GOLD_TTDL_DIM_DEPOSIT_Huy.xlsx [Script SQL: DIM_DEPOSIT]</t>
        </is>
      </c>
    </row>
    <row r="1947">
      <c r="A1947" s="48" t="inlineStr">
        <is>
          <t>TCIMPORT.DIM_DEPOSIT</t>
        </is>
      </c>
      <c r="B1947" s="48" t="inlineStr">
        <is>
          <t>SILVER_CONSUMER</t>
        </is>
      </c>
      <c r="C1947" s="48" t="inlineStr">
        <is>
          <t>X.1</t>
        </is>
      </c>
      <c r="D1947" s="48" t="inlineStr">
        <is>
          <t>Nhom X - Bo sung Raffles</t>
        </is>
      </c>
      <c r="E1947" s="48" t="inlineStr">
        <is>
          <t>[Bổ sung] Link phải rút về current trước khi join (chống fan-out)</t>
        </is>
      </c>
      <c r="F1947" s="49" t="inlineStr">
        <is>
          <t>PASS</t>
        </is>
      </c>
      <c r="G1947" s="48" t="inlineStr">
        <is>
          <t>Pass</t>
        </is>
      </c>
      <c r="H1947" s="50" t="inlineStr">
        <is>
          <t>các bảng link_* đều được rút về current trước khi join</t>
        </is>
      </c>
      <c r="I19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47" s="48" t="inlineStr">
        <is>
          <t>099. OCB_GOLD_TTDL_DIM_DEPOSIT_Huy.xlsx [Script SQL: DIM_DEPOSIT]</t>
        </is>
      </c>
    </row>
    <row r="1948">
      <c r="A1948" s="48" t="inlineStr">
        <is>
          <t>TCIMPORT.DIM_DEPOSIT</t>
        </is>
      </c>
      <c r="B1948" s="48" t="inlineStr">
        <is>
          <t>SILVER_CONSUMER</t>
        </is>
      </c>
      <c r="C1948" s="48" t="inlineStr">
        <is>
          <t>X.6</t>
        </is>
      </c>
      <c r="D1948" s="48" t="inlineStr">
        <is>
          <t>Nhom X - Bo sung Raffles</t>
        </is>
      </c>
      <c r="E1948" s="48" t="inlineStr">
        <is>
          <t>[Bổ sung] Satellite phải LEFT JOIN, không INNER JOIN</t>
        </is>
      </c>
      <c r="F1948" s="49" t="inlineStr">
        <is>
          <t>PASS</t>
        </is>
      </c>
      <c r="G1948" s="48" t="inlineStr">
        <is>
          <t>Pass</t>
        </is>
      </c>
      <c r="H1948" s="50" t="inlineStr">
        <is>
          <t>các satellite đều LEFT JOIN</t>
        </is>
      </c>
      <c r="I1948" s="50" t="inlineStr">
        <is>
          <t>Technical Document III.4.2.2 nguyên tắc 1: làm giàu thuộc tính luôn dùng LEFT JOIN. INNER JOIN satellite sẽ loại mất bản ghi Hub đang còn hiệu lực nhưng chưa có dòng satellite.</t>
        </is>
      </c>
      <c r="J1948" s="48" t="inlineStr">
        <is>
          <t>099. OCB_GOLD_TTDL_DIM_DEPOSIT_Huy.xlsx [Script SQL: DIM_DEPOSIT]</t>
        </is>
      </c>
    </row>
    <row r="1949">
      <c r="A1949" s="48" t="inlineStr">
        <is>
          <t>TCIMPORT.DIM_DEPOSIT</t>
        </is>
      </c>
      <c r="B1949" s="48" t="inlineStr">
        <is>
          <t>SILVER_CONSUMER</t>
        </is>
      </c>
      <c r="C1949" s="48" t="inlineStr">
        <is>
          <t>X.7</t>
        </is>
      </c>
      <c r="D1949" s="48" t="inlineStr">
        <is>
          <t>Nhom X - Bo sung Raffles</t>
        </is>
      </c>
      <c r="E1949" s="48" t="inlineStr">
        <is>
          <t>[Bổ sung] Không hard-code catalog, dùng biến môi trường</t>
        </is>
      </c>
      <c r="F1949" s="49" t="inlineStr">
        <is>
          <t>PASS</t>
        </is>
      </c>
      <c r="G1949" s="48" t="inlineStr">
        <is>
          <t>Pass</t>
        </is>
      </c>
      <c r="H1949" s="50" t="inlineStr">
        <is>
          <t>dùng biến môi trường cho catalog</t>
        </is>
      </c>
      <c r="I19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49" s="48" t="inlineStr">
        <is>
          <t>099. OCB_GOLD_TTDL_DIM_DEPOSIT_Huy.xlsx [Script SQL: DIM_DEPOSIT]</t>
        </is>
      </c>
    </row>
    <row r="1950">
      <c r="A1950" s="48" t="inlineStr">
        <is>
          <t>TCIMPORT.DIM_DEPOSIT</t>
        </is>
      </c>
      <c r="B1950" s="48" t="inlineStr">
        <is>
          <t>SILVER_CONSUMER</t>
        </is>
      </c>
      <c r="C1950" s="48" t="inlineStr">
        <is>
          <t>X.10</t>
        </is>
      </c>
      <c r="D1950" s="48" t="inlineStr">
        <is>
          <t>Nhom X - Bo sung Raffles</t>
        </is>
      </c>
      <c r="E1950" s="48" t="inlineStr">
        <is>
          <t>Bang raw_vault/business_vault duoc doc phai TON TAI THAT trong Data Vault model</t>
        </is>
      </c>
      <c r="F1950" s="49" t="inlineStr">
        <is>
          <t>PASS</t>
        </is>
      </c>
      <c r="G1950" s="48" t="inlineStr">
        <is>
          <t>Pass</t>
        </is>
      </c>
      <c r="H1950" s="50" t="inlineStr">
        <is>
          <t>25 bảng Silver đều có thật trong Data Vault model</t>
        </is>
      </c>
      <c r="I1950" s="50" t="inlineStr"/>
      <c r="J1950" s="48" t="inlineStr">
        <is>
          <t>099. OCB_GOLD_TTDL_DIM_DEPOSIT_Huy.xlsx [Script SQL: DIM_DEPOSIT]</t>
        </is>
      </c>
    </row>
    <row r="1951">
      <c r="A1951" s="48" t="inlineStr">
        <is>
          <t>TCIMPORT.DIM_DEPOSIT</t>
        </is>
      </c>
      <c r="B1951" s="48" t="inlineStr">
        <is>
          <t>SILVER_CONSUMER</t>
        </is>
      </c>
      <c r="C1951" s="48" t="inlineStr">
        <is>
          <t>X.11</t>
        </is>
      </c>
      <c r="D1951" s="48" t="inlineStr">
        <is>
          <t>Nhom X - Bo sung Raffles</t>
        </is>
      </c>
      <c r="E1951" s="48" t="inlineStr">
        <is>
          <t>Cot doc tu satellite (sat_*) phai TON TAI THAT trong model</t>
        </is>
      </c>
      <c r="F1951" s="49" t="inlineStr">
        <is>
          <t>PASS</t>
        </is>
      </c>
      <c r="G1951" s="48" t="inlineStr">
        <is>
          <t>Pass</t>
        </is>
      </c>
      <c r="H1951" s="50" t="inlineStr">
        <is>
          <t>mọi cột đọc từ sat_* đều tồn tại trong model thật</t>
        </is>
      </c>
      <c r="I1951" s="50" t="inlineStr"/>
      <c r="J1951" s="48" t="inlineStr">
        <is>
          <t>099. OCB_GOLD_TTDL_DIM_DEPOSIT_Huy.xlsx [Script SQL: DIM_DEPOSIT]</t>
        </is>
      </c>
    </row>
    <row r="1952">
      <c r="A1952" s="48" t="inlineStr">
        <is>
          <t>TCIMPORT.FACT_DEPOSIT</t>
        </is>
      </c>
      <c r="B1952" s="48" t="inlineStr">
        <is>
          <t>SILVER_CONSUMER</t>
        </is>
      </c>
      <c r="C1952" s="48" t="inlineStr">
        <is>
          <t>1.1</t>
        </is>
      </c>
      <c r="D1952" s="48" t="inlineStr">
        <is>
          <t>Nhom 1 - Mapping</t>
        </is>
      </c>
      <c r="E1952" s="48" t="inlineStr">
        <is>
          <t>Đầy đủ mapping từ Silver/manual sang Gold</t>
        </is>
      </c>
      <c r="F1952" s="49" t="inlineStr">
        <is>
          <t>PASS</t>
        </is>
      </c>
      <c r="G1952" s="48" t="inlineStr">
        <is>
          <t>Pass</t>
        </is>
      </c>
      <c r="H1952" s="50" t="inlineStr">
        <is>
          <t>workbook 100. OCB_GOLD_TTDL_FACT_DEPOSIT_Huy.xlsx: thiết kế 22 field, SQL có 22 cột</t>
        </is>
      </c>
      <c r="I19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952" s="48" t="inlineStr">
        <is>
          <t>100. OCB_GOLD_TTDL_FACT_DEPOSIT_Huy.xlsx [Script SQL: FACT_DEPOSIT]</t>
        </is>
      </c>
    </row>
    <row r="1953">
      <c r="A1953" s="48" t="inlineStr">
        <is>
          <t>TCIMPORT.FACT_DEPOSIT</t>
        </is>
      </c>
      <c r="B1953" s="48" t="inlineStr">
        <is>
          <t>SILVER_CONSUMER</t>
        </is>
      </c>
      <c r="C1953" s="48" t="inlineStr">
        <is>
          <t>1.2</t>
        </is>
      </c>
      <c r="D1953" s="48" t="inlineStr">
        <is>
          <t>Nhom 1 - Mapping</t>
        </is>
      </c>
      <c r="E1953" s="48" t="inlineStr">
        <is>
          <t>Danh sách bảng/view Gold khớp tài liệu thiết kế đã duyệt</t>
        </is>
      </c>
      <c r="F1953" s="49" t="inlineStr">
        <is>
          <t>PASS</t>
        </is>
      </c>
      <c r="G1953" s="48" t="inlineStr">
        <is>
          <t>Pass</t>
        </is>
      </c>
      <c r="H1953" s="50" t="inlineStr">
        <is>
          <t>FACT_DEPOSIT có workbook thiết kế: 100. OCB_GOLD_TTDL_FACT_DEPOSIT_Huy.xlsx</t>
        </is>
      </c>
      <c r="I1953" s="50" t="inlineStr">
        <is>
          <t>Đảm bảo object có workbook thiết kế tương ứng trong thư mục --mapping-dir. Muốn đối chiếu với danh sách đã duyệt thì chạy thêm tham số --gold-list "&lt;file danh sách Gold&gt;.xlsx".</t>
        </is>
      </c>
      <c r="J1953" s="48" t="inlineStr">
        <is>
          <t>100. OCB_GOLD_TTDL_FACT_DEPOSIT_Huy.xlsx [Script SQL: FACT_DEPOSIT]</t>
        </is>
      </c>
    </row>
    <row r="1954">
      <c r="A1954" s="48" t="inlineStr">
        <is>
          <t>TCIMPORT.FACT_DEPOSIT</t>
        </is>
      </c>
      <c r="B1954" s="48" t="inlineStr">
        <is>
          <t>SILVER_CONSUMER</t>
        </is>
      </c>
      <c r="C1954" s="48" t="inlineStr">
        <is>
          <t>2.1</t>
        </is>
      </c>
      <c r="D1954" s="48" t="inlineStr">
        <is>
          <t>Nhom 2 - Logic</t>
        </is>
      </c>
      <c r="E1954" s="48" t="inlineStr">
        <is>
          <t>Chỉ lấy bản ghi active, loại bản ghi đã xóa (qua sts_hub)</t>
        </is>
      </c>
      <c r="F1954" s="49" t="inlineStr">
        <is>
          <t>PASS</t>
        </is>
      </c>
      <c r="G1954" s="48" t="inlineStr">
        <is>
          <t>Pass</t>
        </is>
      </c>
      <c r="H1954" s="50" t="inlineStr">
        <is>
          <t>4 sts_hub_* đọc đúng format</t>
        </is>
      </c>
      <c r="I19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954" s="48" t="inlineStr">
        <is>
          <t>100. OCB_GOLD_TTDL_FACT_DEPOSIT_Huy.xlsx [Script SQL: FACT_DEPOSIT]</t>
        </is>
      </c>
    </row>
    <row r="1955">
      <c r="A1955" s="48" t="inlineStr">
        <is>
          <t>TCIMPORT.FACT_DEPOSIT</t>
        </is>
      </c>
      <c r="B1955" s="48" t="inlineStr">
        <is>
          <t>SILVER_CONSUMER</t>
        </is>
      </c>
      <c r="C1955" s="48" t="inlineStr">
        <is>
          <t>2.2</t>
        </is>
      </c>
      <c r="D1955" s="48" t="inlineStr">
        <is>
          <t>Nhom 2 - Logic</t>
        </is>
      </c>
      <c r="E1955" s="48" t="inlineStr">
        <is>
          <t>Thống nhất MỘT pattern duy nhất xác định bản ghi active mới nhất</t>
        </is>
      </c>
      <c r="F1955" s="49" t="inlineStr">
        <is>
          <t>PASS</t>
        </is>
      </c>
      <c r="G1955" s="48" t="inlineStr">
        <is>
          <t>Pass</t>
        </is>
      </c>
      <c r="H1955" s="50" t="inlineStr">
        <is>
          <t>file này dùng: ['MAX_BY']; toàn batch dùng: ['MAX_BY']</t>
        </is>
      </c>
      <c r="I19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955" s="48" t="inlineStr">
        <is>
          <t>100. OCB_GOLD_TTDL_FACT_DEPOSIT_Huy.xlsx [Script SQL: FACT_DEPOSIT]</t>
        </is>
      </c>
    </row>
    <row r="1956">
      <c r="A1956" s="48" t="inlineStr">
        <is>
          <t>TCIMPORT.FACT_DEPOSIT</t>
        </is>
      </c>
      <c r="B1956" s="48" t="inlineStr">
        <is>
          <t>SILVER_CONSUMER</t>
        </is>
      </c>
      <c r="C1956" s="48" t="inlineStr">
        <is>
          <t>2.3</t>
        </is>
      </c>
      <c r="D1956" s="48" t="inlineStr">
        <is>
          <t>Nhom 2 - Logic</t>
        </is>
      </c>
      <c r="E1956" s="48" t="inlineStr">
        <is>
          <t>Điều kiện lọc trạng thái đặt SAU khi xác định bản ghi mới nhất</t>
        </is>
      </c>
      <c r="F1956" s="49" t="inlineStr">
        <is>
          <t>PASS</t>
        </is>
      </c>
      <c r="G1956" s="48" t="inlineStr">
        <is>
          <t>Pass</t>
        </is>
      </c>
      <c r="H1956" s="50" t="inlineStr">
        <is>
          <t>không có điều kiện trạng thái nào lồng trong JOIN ON</t>
        </is>
      </c>
      <c r="I19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956" s="48" t="inlineStr">
        <is>
          <t>100. OCB_GOLD_TTDL_FACT_DEPOSIT_Huy.xlsx [Script SQL: FACT_DEPOSIT]</t>
        </is>
      </c>
    </row>
    <row r="1957">
      <c r="A1957" s="48" t="inlineStr">
        <is>
          <t>TCIMPORT.FACT_DEPOSIT</t>
        </is>
      </c>
      <c r="B1957" s="48" t="inlineStr">
        <is>
          <t>SILVER_CONSUMER</t>
        </is>
      </c>
      <c r="C1957" s="48" t="inlineStr">
        <is>
          <t>2.4</t>
        </is>
      </c>
      <c r="D1957" s="48" t="inlineStr">
        <is>
          <t>Nhom 2 - Logic</t>
        </is>
      </c>
      <c r="E1957" s="48" t="inlineStr">
        <is>
          <t>source_event_date áp dụng đúng dạng theo loại bảng</t>
        </is>
      </c>
      <c r="F1957" s="49" t="inlineStr">
        <is>
          <t>PASS</t>
        </is>
      </c>
      <c r="G1957" s="48" t="inlineStr">
        <is>
          <t>Pass</t>
        </is>
      </c>
      <c r="H1957" s="50" t="inlineStr">
        <is>
          <t>5 satellite đều đúng dạng điều kiện source_event_date</t>
        </is>
      </c>
      <c r="I19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957" s="48" t="inlineStr">
        <is>
          <t>100. OCB_GOLD_TTDL_FACT_DEPOSIT_Huy.xlsx [Script SQL: FACT_DEPOSIT]</t>
        </is>
      </c>
    </row>
    <row r="1958">
      <c r="A1958" s="48" t="inlineStr">
        <is>
          <t>TCIMPORT.FACT_DEPOSIT</t>
        </is>
      </c>
      <c r="B1958" s="48" t="inlineStr">
        <is>
          <t>SILVER_CONSUMER</t>
        </is>
      </c>
      <c r="C1958" s="48" t="inlineStr">
        <is>
          <t>2.5</t>
        </is>
      </c>
      <c r="D1958" s="48" t="inlineStr">
        <is>
          <t>Nhom 2 - Logic</t>
        </is>
      </c>
      <c r="E1958" s="48" t="inlineStr">
        <is>
          <t>Không lặp lại lỗi logic cũ đã được DA Data Vault fix</t>
        </is>
      </c>
      <c r="F1958" s="49" t="inlineStr">
        <is>
          <t>PASS</t>
        </is>
      </c>
      <c r="G1958" s="48" t="inlineStr">
        <is>
          <t>Pass</t>
        </is>
      </c>
      <c r="H1958" s="50" t="inlineStr">
        <is>
          <t>không trùng lỗi nào trong Issue log của DA Data Vault</t>
        </is>
      </c>
      <c r="I19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958" s="48" t="inlineStr">
        <is>
          <t>100. OCB_GOLD_TTDL_FACT_DEPOSIT_Huy.xlsx [Script SQL: FACT_DEPOSIT]</t>
        </is>
      </c>
    </row>
    <row r="1959">
      <c r="A1959" s="48" t="inlineStr">
        <is>
          <t>TCIMPORT.FACT_DEPOSIT</t>
        </is>
      </c>
      <c r="B1959" s="48" t="inlineStr">
        <is>
          <t>SILVER_CONSUMER</t>
        </is>
      </c>
      <c r="C1959" s="48" t="inlineStr">
        <is>
          <t>2.6</t>
        </is>
      </c>
      <c r="D1959" s="48" t="inlineStr">
        <is>
          <t>Nhom 2 - Logic</t>
        </is>
      </c>
      <c r="E1959" s="48" t="inlineStr">
        <is>
          <t>SCD Type 2 cho bảng DIM áp dụng đúng kỹ thuật đã thống nhất</t>
        </is>
      </c>
      <c r="F1959" s="48" t="inlineStr">
        <is>
          <t>N-A</t>
        </is>
      </c>
      <c r="G1959" s="48" t="inlineStr">
        <is>
          <t>Pass</t>
        </is>
      </c>
      <c r="H1959" s="50" t="inlineStr">
        <is>
          <t>object không phải bảng DIM nên không áp dụng SCD Type 2</t>
        </is>
      </c>
      <c r="I19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959" s="48" t="inlineStr">
        <is>
          <t>100. OCB_GOLD_TTDL_FACT_DEPOSIT_Huy.xlsx [Script SQL: FACT_DEPOSIT]</t>
        </is>
      </c>
    </row>
    <row r="1960">
      <c r="A1960" s="48" t="inlineStr">
        <is>
          <t>TCIMPORT.FACT_DEPOSIT</t>
        </is>
      </c>
      <c r="B1960" s="48" t="inlineStr">
        <is>
          <t>SILVER_CONSUMER</t>
        </is>
      </c>
      <c r="C1960" s="48" t="inlineStr">
        <is>
          <t>2.7</t>
        </is>
      </c>
      <c r="D1960" s="48" t="inlineStr">
        <is>
          <t>Nhom 2 - Logic</t>
        </is>
      </c>
      <c r="E1960" s="48" t="inlineStr">
        <is>
          <t>CASE WHEN cover đủ nhánh như job on-prem</t>
        </is>
      </c>
      <c r="F1960" s="49" t="inlineStr">
        <is>
          <t>PASS</t>
        </is>
      </c>
      <c r="G1960" s="48" t="inlineStr">
        <is>
          <t>Pass</t>
        </is>
      </c>
      <c r="H1960" s="50" t="inlineStr">
        <is>
          <t>cả 1 CASE đều có nhánh ELSE</t>
        </is>
      </c>
      <c r="I1960" s="50" t="inlineStr">
        <is>
          <t>Mở job on-prem tương ứng (DataStage DSX hoặc SQL cũ), đối chiếu từng nhánh WHEN và cả nhánh ELSE. CASE không có ELSE sẽ trả NULL âm thầm — xác nhận đó là ý muốn hay thiếu nhánh.</t>
        </is>
      </c>
      <c r="J1960" s="48" t="inlineStr">
        <is>
          <t>100. OCB_GOLD_TTDL_FACT_DEPOSIT_Huy.xlsx [Script SQL: FACT_DEPOSIT]</t>
        </is>
      </c>
    </row>
    <row r="1961">
      <c r="A1961" s="48" t="inlineStr">
        <is>
          <t>TCIMPORT.FACT_DEPOSIT</t>
        </is>
      </c>
      <c r="B1961" s="48" t="inlineStr">
        <is>
          <t>SILVER_CONSUMER</t>
        </is>
      </c>
      <c r="C1961" s="48" t="inlineStr">
        <is>
          <t>2.8</t>
        </is>
      </c>
      <c r="D1961" s="48" t="inlineStr">
        <is>
          <t>Nhom 2 - Logic</t>
        </is>
      </c>
      <c r="E1961" s="48" t="inlineStr">
        <is>
          <t>Cột SUM/COUNT được COALESCE/NVL hợp lý</t>
        </is>
      </c>
      <c r="F1961" s="49" t="inlineStr">
        <is>
          <t>PASS</t>
        </is>
      </c>
      <c r="G1961" s="48" t="inlineStr">
        <is>
          <t>Pass</t>
        </is>
      </c>
      <c r="H1961" s="50" t="inlineStr">
        <is>
          <t>mọi SUM/COUNT đều đã coalesce (trực tiếp hoặc ở lớp ngoài)</t>
        </is>
      </c>
      <c r="I19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961" s="48" t="inlineStr">
        <is>
          <t>100. OCB_GOLD_TTDL_FACT_DEPOSIT_Huy.xlsx [Script SQL: FACT_DEPOSIT]</t>
        </is>
      </c>
    </row>
    <row r="1962">
      <c r="A1962" s="48" t="inlineStr">
        <is>
          <t>TCIMPORT.FACT_DEPOSIT</t>
        </is>
      </c>
      <c r="B1962" s="48" t="inlineStr">
        <is>
          <t>SILVER_CONSUMER</t>
        </is>
      </c>
      <c r="C1962" s="48" t="inlineStr">
        <is>
          <t>2.9</t>
        </is>
      </c>
      <c r="D1962" s="48" t="inlineStr">
        <is>
          <t>Nhom 2 - Logic</t>
        </is>
      </c>
      <c r="E1962" s="48" t="inlineStr">
        <is>
          <t>Subquery / custom function / điều kiện LIKE đúng ý nghĩa nghiệp vụ</t>
        </is>
      </c>
      <c r="F1962" s="48" t="inlineStr">
        <is>
          <t>N-A</t>
        </is>
      </c>
      <c r="G1962" s="48" t="inlineStr">
        <is>
          <t>Pass</t>
        </is>
      </c>
      <c r="H1962" s="50" t="inlineStr">
        <is>
          <t>script không có điều kiện LIKE hay scalar subquery nào</t>
        </is>
      </c>
      <c r="I1962" s="50" t="inlineStr">
        <is>
          <t>Đọc lại từng điều kiện LIKE và từng subquery, đối chiếu ý nghĩa nghiệp vụ với on-prem — đúng cú pháp không đủ. Chú ý pattern LIKE có ký tự % ở đầu/cuối và phân biệt chữ hoa/thường.</t>
        </is>
      </c>
      <c r="J1962" s="48" t="inlineStr">
        <is>
          <t>100. OCB_GOLD_TTDL_FACT_DEPOSIT_Huy.xlsx [Script SQL: FACT_DEPOSIT]</t>
        </is>
      </c>
    </row>
    <row r="1963">
      <c r="A1963" s="48" t="inlineStr">
        <is>
          <t>TCIMPORT.FACT_DEPOSIT</t>
        </is>
      </c>
      <c r="B1963" s="48" t="inlineStr">
        <is>
          <t>SILVER_CONSUMER</t>
        </is>
      </c>
      <c r="C1963" s="48" t="inlineStr">
        <is>
          <t>2.10</t>
        </is>
      </c>
      <c r="D1963" s="48" t="inlineStr">
        <is>
          <t>Nhom 2 - Logic</t>
        </is>
      </c>
      <c r="E1963" s="48" t="inlineStr">
        <is>
          <t>Aggregation kèm filter date range chính xác</t>
        </is>
      </c>
      <c r="F1963" s="49" t="inlineStr">
        <is>
          <t>PASS</t>
        </is>
      </c>
      <c r="G1963" s="48" t="inlineStr">
        <is>
          <t>Pass</t>
        </is>
      </c>
      <c r="H1963" s="50" t="inlineStr">
        <is>
          <t>mọi khối tổng hợp đều có điều kiện theo kỳ dữ liệu</t>
        </is>
      </c>
      <c r="I1963" s="50" t="inlineStr">
        <is>
          <t>Mỗi khối SUM/COUNT/AVG phải có điều kiện lọc theo kỳ dữ liệu (CDR_DT_ID, DATA_DATE, :DATADT…). Nếu điều kiện nằm ở CTE nguồn thì ghi rõ trong comment để người review không phải truy ngược.</t>
        </is>
      </c>
      <c r="J1963" s="48" t="inlineStr">
        <is>
          <t>100. OCB_GOLD_TTDL_FACT_DEPOSIT_Huy.xlsx [Script SQL: FACT_DEPOSIT]</t>
        </is>
      </c>
    </row>
    <row r="1964">
      <c r="A1964" s="48" t="inlineStr">
        <is>
          <t>TCIMPORT.FACT_DEPOSIT</t>
        </is>
      </c>
      <c r="B1964" s="48" t="inlineStr">
        <is>
          <t>SILVER_CONSUMER</t>
        </is>
      </c>
      <c r="C1964" s="48" t="inlineStr">
        <is>
          <t>2.11</t>
        </is>
      </c>
      <c r="D1964" s="48" t="inlineStr">
        <is>
          <t>Nhom 2 - Logic</t>
        </is>
      </c>
      <c r="E1964" s="48" t="inlineStr">
        <is>
          <t>Join dùng key hợp lý, không lạm dụng UNION ALL + EXISTS/NOT EXISTS</t>
        </is>
      </c>
      <c r="F1964" s="49" t="inlineStr">
        <is>
          <t>PASS</t>
        </is>
      </c>
      <c r="G1964" s="48" t="inlineStr">
        <is>
          <t>Pass</t>
        </is>
      </c>
      <c r="H1964" s="50" t="inlineStr">
        <is>
          <t>join đều theo điều kiện bằng, không lạm dụng UNION ALL + EXISTS</t>
        </is>
      </c>
      <c r="I1964" s="50" t="inlineStr">
        <is>
          <t>Ưu tiên LEFT JOIN theo business key hoặc hashkey. Xem lại các chỗ dùng UNION ALL kết hợp EXISTS/NOT EXISTS — thường thay được bằng một LEFT JOIN. Join không có điều kiện bằng (=) dễ tạo tích Descartes.</t>
        </is>
      </c>
      <c r="J1964" s="48" t="inlineStr">
        <is>
          <t>100. OCB_GOLD_TTDL_FACT_DEPOSIT_Huy.xlsx [Script SQL: FACT_DEPOSIT]</t>
        </is>
      </c>
    </row>
    <row r="1965">
      <c r="A1965" s="48" t="inlineStr">
        <is>
          <t>TCIMPORT.FACT_DEPOSIT</t>
        </is>
      </c>
      <c r="B1965" s="48" t="inlineStr">
        <is>
          <t>SILVER_CONSUMER</t>
        </is>
      </c>
      <c r="C1965" s="48" t="inlineStr">
        <is>
          <t>2.12</t>
        </is>
      </c>
      <c r="D1965" s="48" t="inlineStr">
        <is>
          <t>Nhom 2 - Logic</t>
        </is>
      </c>
      <c r="E1965" s="48" t="inlineStr">
        <is>
          <t>Build Gold từ CTE snapshot Silver, không build nhiều tầng chồng chéo</t>
        </is>
      </c>
      <c r="F1965" s="49" t="inlineStr">
        <is>
          <t>PASS</t>
        </is>
      </c>
      <c r="G1965" s="48" t="inlineStr">
        <is>
          <t>Pass</t>
        </is>
      </c>
      <c r="H1965" s="50" t="inlineStr">
        <is>
          <t>mỗi bảng nguồn chỉ đọc trong 1 khối SELECT</t>
        </is>
      </c>
      <c r="I19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65" s="48" t="inlineStr">
        <is>
          <t>100. OCB_GOLD_TTDL_FACT_DEPOSIT_Huy.xlsx [Script SQL: FACT_DEPOSIT]</t>
        </is>
      </c>
    </row>
    <row r="1966">
      <c r="A1966" s="48" t="inlineStr">
        <is>
          <t>TCIMPORT.FACT_DEPOSIT</t>
        </is>
      </c>
      <c r="B1966" s="48" t="inlineStr">
        <is>
          <t>SILVER_CONSUMER</t>
        </is>
      </c>
      <c r="C1966" s="48" t="inlineStr">
        <is>
          <t>3.1</t>
        </is>
      </c>
      <c r="D1966" s="48" t="inlineStr">
        <is>
          <t>Nhom 3 - Optimization</t>
        </is>
      </c>
      <c r="E1966" s="48" t="inlineStr">
        <is>
          <t>Không SELECT *</t>
        </is>
      </c>
      <c r="F1966" s="49" t="inlineStr">
        <is>
          <t>PASS</t>
        </is>
      </c>
      <c r="G1966" s="48" t="inlineStr">
        <is>
          <t>Pass</t>
        </is>
      </c>
      <c r="H1966" s="50" t="inlineStr">
        <is>
          <t>không dùng SELECT * ở đâu</t>
        </is>
      </c>
      <c r="I1966" s="50" t="inlineStr">
        <is>
          <t>Liệt kê tường minh các cột cần dùng, kể cả trong CTE trung gian. SELECT * làm tăng IO/memory và vỡ script khi bảng nguồn thêm cột.</t>
        </is>
      </c>
      <c r="J1966" s="48" t="inlineStr">
        <is>
          <t>100. OCB_GOLD_TTDL_FACT_DEPOSIT_Huy.xlsx [Script SQL: FACT_DEPOSIT]</t>
        </is>
      </c>
    </row>
    <row r="1967">
      <c r="A1967" s="48" t="inlineStr">
        <is>
          <t>TCIMPORT.FACT_DEPOSIT</t>
        </is>
      </c>
      <c r="B1967" s="48" t="inlineStr">
        <is>
          <t>SILVER_CONSUMER</t>
        </is>
      </c>
      <c r="C1967" s="48" t="inlineStr">
        <is>
          <t>3.2</t>
        </is>
      </c>
      <c r="D1967" s="48" t="inlineStr">
        <is>
          <t>Nhom 3 - Optimization</t>
        </is>
      </c>
      <c r="E1967" s="48" t="inlineStr">
        <is>
          <t>CTE không bị scan lại nhiều lần</t>
        </is>
      </c>
      <c r="F1967" s="51" t="inlineStr">
        <is>
          <t>WARN</t>
        </is>
      </c>
      <c r="G1967" s="48" t="inlineStr">
        <is>
          <t>WARN</t>
        </is>
      </c>
      <c r="H1967" s="50" t="inlineStr">
        <is>
          <t>CTE bị tham chiếu lại nhiều lần: crb_all x2, crb_bal_all x2</t>
        </is>
      </c>
      <c r="I1967" s="50" t="inlineStr">
        <is>
          <t>Với CTE nặng (đọc nhiều bảng Silver) bị tham chiếu từ 2 chỗ trở lên: gom lại còn một lần dùng, hoặc vật chất hóa (CACHE / bảng tạm). CTE nhẹ chỉ chứa tham số thì bỏ qua được — tự tick Pass.</t>
        </is>
      </c>
      <c r="J1967" s="48" t="inlineStr">
        <is>
          <t>100. OCB_GOLD_TTDL_FACT_DEPOSIT_Huy.xlsx [Script SQL: FACT_DEPOSIT]</t>
        </is>
      </c>
    </row>
    <row r="1968">
      <c r="A1968" s="48" t="inlineStr">
        <is>
          <t>TCIMPORT.FACT_DEPOSIT</t>
        </is>
      </c>
      <c r="B1968" s="48" t="inlineStr">
        <is>
          <t>SILVER_CONSUMER</t>
        </is>
      </c>
      <c r="C1968" s="48" t="inlineStr">
        <is>
          <t>3.3</t>
        </is>
      </c>
      <c r="D1968" s="48" t="inlineStr">
        <is>
          <t>Nhom 3 - Optimization</t>
        </is>
      </c>
      <c r="E1968" s="48" t="inlineStr">
        <is>
          <t>Filter trước khi join, tận dụng partition pruning</t>
        </is>
      </c>
      <c r="F1968" s="49" t="inlineStr">
        <is>
          <t>PASS</t>
        </is>
      </c>
      <c r="G1968" s="48" t="inlineStr">
        <is>
          <t>Pass</t>
        </is>
      </c>
      <c r="H1968" s="50" t="inlineStr">
        <is>
          <t>các bảng join đều được filter trước</t>
        </is>
      </c>
      <c r="I1968" s="50" t="inlineStr">
        <is>
          <t>Đưa điều kiện lọc (ngày dữ liệu, trạng thái) vào subquery của từng bảng TRƯỚC khi join, để tận dụng partition pruning. Bảng dim nhỏ không partition thì không cần — tự tick Pass.</t>
        </is>
      </c>
      <c r="J1968" s="48" t="inlineStr">
        <is>
          <t>100. OCB_GOLD_TTDL_FACT_DEPOSIT_Huy.xlsx [Script SQL: FACT_DEPOSIT]</t>
        </is>
      </c>
    </row>
    <row r="1969">
      <c r="A1969" s="48" t="inlineStr">
        <is>
          <t>TCIMPORT.FACT_DEPOSIT</t>
        </is>
      </c>
      <c r="B1969" s="48" t="inlineStr">
        <is>
          <t>SILVER_CONSUMER</t>
        </is>
      </c>
      <c r="C1969" s="48" t="inlineStr">
        <is>
          <t>3.4</t>
        </is>
      </c>
      <c r="D1969" s="48" t="inlineStr">
        <is>
          <t>Nhom 3 - Optimization</t>
        </is>
      </c>
      <c r="E1969" s="48" t="inlineStr">
        <is>
          <t>Sử dụng CACHE cho query lặp lại trong cùng luồng</t>
        </is>
      </c>
      <c r="F1969" s="51" t="inlineStr">
        <is>
          <t>WARN</t>
        </is>
      </c>
      <c r="G1969" s="48" t="inlineStr">
        <is>
          <t>WARN</t>
        </is>
      </c>
      <c r="H1969" s="50" t="inlineStr">
        <is>
          <t>2 CTE nặng dùng lại &gt;= 2 lần mà không có CACHE: crb_all, crb_bal_all</t>
        </is>
      </c>
      <c r="I1969" s="50" t="inlineStr">
        <is>
          <t>Nếu một kết quả nặng được dùng lại nhiều bước trong cùng luồng, thêm CACHE TABLE / CACHE SELECT. Kết quả nhỏ thì cache còn chậm hơn — tự tick Pass.</t>
        </is>
      </c>
      <c r="J1969" s="48" t="inlineStr">
        <is>
          <t>100. OCB_GOLD_TTDL_FACT_DEPOSIT_Huy.xlsx [Script SQL: FACT_DEPOSIT]</t>
        </is>
      </c>
    </row>
    <row r="1970">
      <c r="A1970" s="48" t="inlineStr">
        <is>
          <t>TCIMPORT.FACT_DEPOSIT</t>
        </is>
      </c>
      <c r="B1970" s="48" t="inlineStr">
        <is>
          <t>SILVER_CONSUMER</t>
        </is>
      </c>
      <c r="C1970" s="48" t="inlineStr">
        <is>
          <t>3.5</t>
        </is>
      </c>
      <c r="D1970" s="48" t="inlineStr">
        <is>
          <t>Nhom 3 - Optimization</t>
        </is>
      </c>
      <c r="E1970" s="48" t="inlineStr">
        <is>
          <t>Ưu tiên MAX_BY + QUALIFY thay ROW_NUMBER() + WHERE rn = 1</t>
        </is>
      </c>
      <c r="F1970" s="48" t="inlineStr">
        <is>
          <t>N-A</t>
        </is>
      </c>
      <c r="G1970" s="48" t="inlineStr">
        <is>
          <t>Pass</t>
        </is>
      </c>
      <c r="H1970" s="50" t="inlineStr">
        <is>
          <t>script không dùng ROW_NUMBER, và MAX_BY (nếu có) không vượt quá 5 cột/khối</t>
        </is>
      </c>
      <c r="I19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70" s="48" t="inlineStr">
        <is>
          <t>100. OCB_GOLD_TTDL_FACT_DEPOSIT_Huy.xlsx [Script SQL: FACT_DEPOSIT]</t>
        </is>
      </c>
    </row>
    <row r="1971">
      <c r="A1971" s="48" t="inlineStr">
        <is>
          <t>TCIMPORT.FACT_DEPOSIT</t>
        </is>
      </c>
      <c r="B1971" s="48" t="inlineStr">
        <is>
          <t>SILVER_CONSUMER</t>
        </is>
      </c>
      <c r="C1971" s="48" t="inlineStr">
        <is>
          <t>3.6</t>
        </is>
      </c>
      <c r="D1971" s="48" t="inlineStr">
        <is>
          <t>Nhom 3 - Optimization</t>
        </is>
      </c>
      <c r="E1971" s="48" t="inlineStr">
        <is>
          <t>Không lạm dụng window function; có comment khi dùng</t>
        </is>
      </c>
      <c r="F1971" s="48" t="inlineStr">
        <is>
          <t>N-A</t>
        </is>
      </c>
      <c r="G1971" s="48" t="inlineStr">
        <is>
          <t>Pass</t>
        </is>
      </c>
      <c r="H1971" s="50" t="inlineStr">
        <is>
          <t>script không dùng window function</t>
        </is>
      </c>
      <c r="I1971" s="50" t="inlineStr">
        <is>
          <t>Mỗi window function cần một comment ngay trên khối CTE chứa nó, nói rõ vì sao không dùng được max_by/QUALIFY đơn giản hơn.</t>
        </is>
      </c>
      <c r="J1971" s="48" t="inlineStr">
        <is>
          <t>100. OCB_GOLD_TTDL_FACT_DEPOSIT_Huy.xlsx [Script SQL: FACT_DEPOSIT]</t>
        </is>
      </c>
    </row>
    <row r="1972">
      <c r="A1972" s="48" t="inlineStr">
        <is>
          <t>TCIMPORT.FACT_DEPOSIT</t>
        </is>
      </c>
      <c r="B1972" s="48" t="inlineStr">
        <is>
          <t>SILVER_CONSUMER</t>
        </is>
      </c>
      <c r="C1972" s="48" t="inlineStr">
        <is>
          <t>X.1</t>
        </is>
      </c>
      <c r="D1972" s="48" t="inlineStr">
        <is>
          <t>Nhom X - Bo sung Raffles</t>
        </is>
      </c>
      <c r="E1972" s="48" t="inlineStr">
        <is>
          <t>[Bổ sung] Link phải rút về current trước khi join (chống fan-out)</t>
        </is>
      </c>
      <c r="F1972" s="49" t="inlineStr">
        <is>
          <t>PASS</t>
        </is>
      </c>
      <c r="G1972" s="48" t="inlineStr">
        <is>
          <t>Pass</t>
        </is>
      </c>
      <c r="H1972" s="50" t="inlineStr">
        <is>
          <t>các bảng link_* đều được rút về current trước khi join</t>
        </is>
      </c>
      <c r="I19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72" s="48" t="inlineStr">
        <is>
          <t>100. OCB_GOLD_TTDL_FACT_DEPOSIT_Huy.xlsx [Script SQL: FACT_DEPOSIT]</t>
        </is>
      </c>
    </row>
    <row r="1973">
      <c r="A1973" s="48" t="inlineStr">
        <is>
          <t>TCIMPORT.FACT_DEPOSIT</t>
        </is>
      </c>
      <c r="B1973" s="48" t="inlineStr">
        <is>
          <t>SILVER_CONSUMER</t>
        </is>
      </c>
      <c r="C1973" s="48" t="inlineStr">
        <is>
          <t>X.6</t>
        </is>
      </c>
      <c r="D1973" s="48" t="inlineStr">
        <is>
          <t>Nhom X - Bo sung Raffles</t>
        </is>
      </c>
      <c r="E1973" s="48" t="inlineStr">
        <is>
          <t>[Bổ sung] Satellite phải LEFT JOIN, không INNER JOIN</t>
        </is>
      </c>
      <c r="F1973" s="49" t="inlineStr">
        <is>
          <t>PASS</t>
        </is>
      </c>
      <c r="G1973" s="48" t="inlineStr">
        <is>
          <t>Pass</t>
        </is>
      </c>
      <c r="H1973" s="50" t="inlineStr">
        <is>
          <t>các satellite đều LEFT JOIN</t>
        </is>
      </c>
      <c r="I1973" s="50" t="inlineStr">
        <is>
          <t>Technical Document III.4.2.2 nguyên tắc 1: làm giàu thuộc tính luôn dùng LEFT JOIN. INNER JOIN satellite sẽ loại mất bản ghi Hub đang còn hiệu lực nhưng chưa có dòng satellite.</t>
        </is>
      </c>
      <c r="J1973" s="48" t="inlineStr">
        <is>
          <t>100. OCB_GOLD_TTDL_FACT_DEPOSIT_Huy.xlsx [Script SQL: FACT_DEPOSIT]</t>
        </is>
      </c>
    </row>
    <row r="1974">
      <c r="A1974" s="48" t="inlineStr">
        <is>
          <t>TCIMPORT.FACT_DEPOSIT</t>
        </is>
      </c>
      <c r="B1974" s="48" t="inlineStr">
        <is>
          <t>SILVER_CONSUMER</t>
        </is>
      </c>
      <c r="C1974" s="48" t="inlineStr">
        <is>
          <t>X.7</t>
        </is>
      </c>
      <c r="D1974" s="48" t="inlineStr">
        <is>
          <t>Nhom X - Bo sung Raffles</t>
        </is>
      </c>
      <c r="E1974" s="48" t="inlineStr">
        <is>
          <t>[Bổ sung] Không hard-code catalog, dùng biến môi trường</t>
        </is>
      </c>
      <c r="F1974" s="49" t="inlineStr">
        <is>
          <t>PASS</t>
        </is>
      </c>
      <c r="G1974" s="48" t="inlineStr">
        <is>
          <t>Pass</t>
        </is>
      </c>
      <c r="H1974" s="50" t="inlineStr">
        <is>
          <t>dùng biến môi trường cho catalog</t>
        </is>
      </c>
      <c r="I19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74" s="48" t="inlineStr">
        <is>
          <t>100. OCB_GOLD_TTDL_FACT_DEPOSIT_Huy.xlsx [Script SQL: FACT_DEPOSIT]</t>
        </is>
      </c>
    </row>
    <row r="1975">
      <c r="A1975" s="48" t="inlineStr">
        <is>
          <t>TCIMPORT.FACT_DEPOSIT</t>
        </is>
      </c>
      <c r="B1975" s="48" t="inlineStr">
        <is>
          <t>SILVER_CONSUMER</t>
        </is>
      </c>
      <c r="C1975" s="48" t="inlineStr">
        <is>
          <t>X.10</t>
        </is>
      </c>
      <c r="D1975" s="48" t="inlineStr">
        <is>
          <t>Nhom X - Bo sung Raffles</t>
        </is>
      </c>
      <c r="E1975" s="48" t="inlineStr">
        <is>
          <t>Bang raw_vault/business_vault duoc doc phai TON TAI THAT trong Data Vault model</t>
        </is>
      </c>
      <c r="F1975" s="49" t="inlineStr">
        <is>
          <t>PASS</t>
        </is>
      </c>
      <c r="G1975" s="48" t="inlineStr">
        <is>
          <t>Pass</t>
        </is>
      </c>
      <c r="H1975" s="50" t="inlineStr">
        <is>
          <t>15 bảng Silver đều có thật trong Data Vault model</t>
        </is>
      </c>
      <c r="I1975" s="50" t="inlineStr"/>
      <c r="J1975" s="48" t="inlineStr">
        <is>
          <t>100. OCB_GOLD_TTDL_FACT_DEPOSIT_Huy.xlsx [Script SQL: FACT_DEPOSIT]</t>
        </is>
      </c>
    </row>
    <row r="1976">
      <c r="A1976" s="48" t="inlineStr">
        <is>
          <t>TCIMPORT.FACT_DEPOSIT</t>
        </is>
      </c>
      <c r="B1976" s="48" t="inlineStr">
        <is>
          <t>SILVER_CONSUMER</t>
        </is>
      </c>
      <c r="C1976" s="48" t="inlineStr">
        <is>
          <t>X.11</t>
        </is>
      </c>
      <c r="D1976" s="48" t="inlineStr">
        <is>
          <t>Nhom X - Bo sung Raffles</t>
        </is>
      </c>
      <c r="E1976" s="48" t="inlineStr">
        <is>
          <t>Cot doc tu satellite (sat_*) phai TON TAI THAT trong model</t>
        </is>
      </c>
      <c r="F1976" s="49" t="inlineStr">
        <is>
          <t>PASS</t>
        </is>
      </c>
      <c r="G1976" s="48" t="inlineStr">
        <is>
          <t>Pass</t>
        </is>
      </c>
      <c r="H1976" s="50" t="inlineStr">
        <is>
          <t>mọi cột đọc từ sat_* đều tồn tại trong model thật</t>
        </is>
      </c>
      <c r="I1976" s="50" t="inlineStr"/>
      <c r="J1976" s="48" t="inlineStr">
        <is>
          <t>100. OCB_GOLD_TTDL_FACT_DEPOSIT_Huy.xlsx [Script SQL: FACT_DEPOSIT]</t>
        </is>
      </c>
    </row>
    <row r="1977">
      <c r="A1977" s="48" t="inlineStr">
        <is>
          <t>TCKH.SECTOR_LIST</t>
        </is>
      </c>
      <c r="B1977" s="48" t="inlineStr">
        <is>
          <t>GOLD_DERIVED</t>
        </is>
      </c>
      <c r="C1977" s="48" t="inlineStr">
        <is>
          <t>1.1</t>
        </is>
      </c>
      <c r="D1977" s="48" t="inlineStr">
        <is>
          <t>Nhom 1 - Mapping</t>
        </is>
      </c>
      <c r="E1977" s="48" t="inlineStr">
        <is>
          <t>Đầy đủ mapping từ Silver/manual sang Gold</t>
        </is>
      </c>
      <c r="F1977" s="49" t="inlineStr">
        <is>
          <t>PASS</t>
        </is>
      </c>
      <c r="G1977" s="48" t="inlineStr">
        <is>
          <t>Pass</t>
        </is>
      </c>
      <c r="H1977" s="50" t="inlineStr">
        <is>
          <t>workbook 111. OCB_GOLD_TCKH_SECTOR_LIST_HOP.xlsx: thiết kế 3 field, SQL có 3 cột</t>
        </is>
      </c>
      <c r="I19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977" s="48" t="inlineStr">
        <is>
          <t>111. OCB_GOLD_TCKH_SECTOR_LIST_HOP.xlsx [Script: SECTOR_LIST]</t>
        </is>
      </c>
    </row>
    <row r="1978">
      <c r="A1978" s="48" t="inlineStr">
        <is>
          <t>TCKH.SECTOR_LIST</t>
        </is>
      </c>
      <c r="B1978" s="48" t="inlineStr">
        <is>
          <t>GOLD_DERIVED</t>
        </is>
      </c>
      <c r="C1978" s="48" t="inlineStr">
        <is>
          <t>1.2</t>
        </is>
      </c>
      <c r="D1978" s="48" t="inlineStr">
        <is>
          <t>Nhom 1 - Mapping</t>
        </is>
      </c>
      <c r="E1978" s="48" t="inlineStr">
        <is>
          <t>Danh sách bảng/view Gold khớp tài liệu thiết kế đã duyệt</t>
        </is>
      </c>
      <c r="F1978" s="49" t="inlineStr">
        <is>
          <t>PASS</t>
        </is>
      </c>
      <c r="G1978" s="48" t="inlineStr">
        <is>
          <t>Pass</t>
        </is>
      </c>
      <c r="H1978" s="50" t="inlineStr">
        <is>
          <t>SECTOR_LIST có workbook thiết kế: 111. OCB_GOLD_TCKH_SECTOR_LIST_HOP.xlsx</t>
        </is>
      </c>
      <c r="I1978" s="50" t="inlineStr">
        <is>
          <t>Đảm bảo object có workbook thiết kế tương ứng trong thư mục --mapping-dir. Muốn đối chiếu với danh sách đã duyệt thì chạy thêm tham số --gold-list "&lt;file danh sách Gold&gt;.xlsx".</t>
        </is>
      </c>
      <c r="J1978" s="48" t="inlineStr">
        <is>
          <t>111. OCB_GOLD_TCKH_SECTOR_LIST_HOP.xlsx [Script: SECTOR_LIST]</t>
        </is>
      </c>
    </row>
    <row r="1979">
      <c r="A1979" s="48" t="inlineStr">
        <is>
          <t>TCKH.SECTOR_LIST</t>
        </is>
      </c>
      <c r="B1979" s="48" t="inlineStr">
        <is>
          <t>GOLD_DERIVED</t>
        </is>
      </c>
      <c r="C1979" s="48" t="inlineStr">
        <is>
          <t>2.1</t>
        </is>
      </c>
      <c r="D1979" s="48" t="inlineStr">
        <is>
          <t>Nhom 2 - Logic</t>
        </is>
      </c>
      <c r="E1979" s="48" t="inlineStr">
        <is>
          <t>Chỉ lấy bản ghi active, loại bản ghi đã xóa (qua sts_hub)</t>
        </is>
      </c>
      <c r="F1979" s="48" t="inlineStr">
        <is>
          <t>N-A</t>
        </is>
      </c>
      <c r="G1979" s="48" t="inlineStr">
        <is>
          <t>Pass</t>
        </is>
      </c>
      <c r="H1979" s="50" t="inlineStr">
        <is>
          <t>khong ap dung cho profile GOLD_DERIVED</t>
        </is>
      </c>
      <c r="I19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979" s="48" t="inlineStr">
        <is>
          <t>111. OCB_GOLD_TCKH_SECTOR_LIST_HOP.xlsx [Script: SECTOR_LIST]</t>
        </is>
      </c>
    </row>
    <row r="1980">
      <c r="A1980" s="48" t="inlineStr">
        <is>
          <t>TCKH.SECTOR_LIST</t>
        </is>
      </c>
      <c r="B1980" s="48" t="inlineStr">
        <is>
          <t>GOLD_DERIVED</t>
        </is>
      </c>
      <c r="C1980" s="48" t="inlineStr">
        <is>
          <t>2.2</t>
        </is>
      </c>
      <c r="D1980" s="48" t="inlineStr">
        <is>
          <t>Nhom 2 - Logic</t>
        </is>
      </c>
      <c r="E1980" s="48" t="inlineStr">
        <is>
          <t>Thống nhất MỘT pattern duy nhất xác định bản ghi active mới nhất</t>
        </is>
      </c>
      <c r="F1980" s="48" t="inlineStr">
        <is>
          <t>N-A</t>
        </is>
      </c>
      <c r="G1980" s="48" t="inlineStr">
        <is>
          <t>Pass</t>
        </is>
      </c>
      <c r="H1980" s="50" t="inlineStr">
        <is>
          <t>khong ap dung cho profile GOLD_DERIVED</t>
        </is>
      </c>
      <c r="I19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980" s="48" t="inlineStr">
        <is>
          <t>111. OCB_GOLD_TCKH_SECTOR_LIST_HOP.xlsx [Script: SECTOR_LIST]</t>
        </is>
      </c>
    </row>
    <row r="1981">
      <c r="A1981" s="48" t="inlineStr">
        <is>
          <t>TCKH.SECTOR_LIST</t>
        </is>
      </c>
      <c r="B1981" s="48" t="inlineStr">
        <is>
          <t>GOLD_DERIVED</t>
        </is>
      </c>
      <c r="C1981" s="48" t="inlineStr">
        <is>
          <t>2.3</t>
        </is>
      </c>
      <c r="D1981" s="48" t="inlineStr">
        <is>
          <t>Nhom 2 - Logic</t>
        </is>
      </c>
      <c r="E1981" s="48" t="inlineStr">
        <is>
          <t>Điều kiện lọc trạng thái đặt SAU khi xác định bản ghi mới nhất</t>
        </is>
      </c>
      <c r="F1981" s="49" t="inlineStr">
        <is>
          <t>PASS</t>
        </is>
      </c>
      <c r="G1981" s="48" t="inlineStr">
        <is>
          <t>Pass</t>
        </is>
      </c>
      <c r="H1981" s="50" t="inlineStr">
        <is>
          <t>không có điều kiện trạng thái nào lồng trong JOIN ON</t>
        </is>
      </c>
      <c r="I19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981" s="48" t="inlineStr">
        <is>
          <t>111. OCB_GOLD_TCKH_SECTOR_LIST_HOP.xlsx [Script: SECTOR_LIST]</t>
        </is>
      </c>
    </row>
    <row r="1982">
      <c r="A1982" s="48" t="inlineStr">
        <is>
          <t>TCKH.SECTOR_LIST</t>
        </is>
      </c>
      <c r="B1982" s="48" t="inlineStr">
        <is>
          <t>GOLD_DERIVED</t>
        </is>
      </c>
      <c r="C1982" s="48" t="inlineStr">
        <is>
          <t>2.4</t>
        </is>
      </c>
      <c r="D1982" s="48" t="inlineStr">
        <is>
          <t>Nhom 2 - Logic</t>
        </is>
      </c>
      <c r="E1982" s="48" t="inlineStr">
        <is>
          <t>source_event_date áp dụng đúng dạng theo loại bảng</t>
        </is>
      </c>
      <c r="F1982" s="48" t="inlineStr">
        <is>
          <t>N-A</t>
        </is>
      </c>
      <c r="G1982" s="48" t="inlineStr">
        <is>
          <t>Pass</t>
        </is>
      </c>
      <c r="H1982" s="50" t="inlineStr">
        <is>
          <t>khong ap dung cho profile GOLD_DERIVED</t>
        </is>
      </c>
      <c r="I19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982" s="48" t="inlineStr">
        <is>
          <t>111. OCB_GOLD_TCKH_SECTOR_LIST_HOP.xlsx [Script: SECTOR_LIST]</t>
        </is>
      </c>
    </row>
    <row r="1983">
      <c r="A1983" s="48" t="inlineStr">
        <is>
          <t>TCKH.SECTOR_LIST</t>
        </is>
      </c>
      <c r="B1983" s="48" t="inlineStr">
        <is>
          <t>GOLD_DERIVED</t>
        </is>
      </c>
      <c r="C1983" s="48" t="inlineStr">
        <is>
          <t>2.5</t>
        </is>
      </c>
      <c r="D1983" s="48" t="inlineStr">
        <is>
          <t>Nhom 2 - Logic</t>
        </is>
      </c>
      <c r="E1983" s="48" t="inlineStr">
        <is>
          <t>Không lặp lại lỗi logic cũ đã được DA Data Vault fix</t>
        </is>
      </c>
      <c r="F1983" s="49" t="inlineStr">
        <is>
          <t>PASS</t>
        </is>
      </c>
      <c r="G1983" s="48" t="inlineStr">
        <is>
          <t>Pass</t>
        </is>
      </c>
      <c r="H1983" s="50" t="inlineStr">
        <is>
          <t>không trùng lỗi nào trong Issue log của DA Data Vault</t>
        </is>
      </c>
      <c r="I19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983" s="48" t="inlineStr">
        <is>
          <t>111. OCB_GOLD_TCKH_SECTOR_LIST_HOP.xlsx [Script: SECTOR_LIST]</t>
        </is>
      </c>
    </row>
    <row r="1984">
      <c r="A1984" s="48" t="inlineStr">
        <is>
          <t>TCKH.SECTOR_LIST</t>
        </is>
      </c>
      <c r="B1984" s="48" t="inlineStr">
        <is>
          <t>GOLD_DERIVED</t>
        </is>
      </c>
      <c r="C1984" s="48" t="inlineStr">
        <is>
          <t>2.6</t>
        </is>
      </c>
      <c r="D1984" s="48" t="inlineStr">
        <is>
          <t>Nhom 2 - Logic</t>
        </is>
      </c>
      <c r="E1984" s="48" t="inlineStr">
        <is>
          <t>SCD Type 2 cho bảng DIM áp dụng đúng kỹ thuật đã thống nhất</t>
        </is>
      </c>
      <c r="F1984" s="48" t="inlineStr">
        <is>
          <t>N-A</t>
        </is>
      </c>
      <c r="G1984" s="48" t="inlineStr">
        <is>
          <t>Pass</t>
        </is>
      </c>
      <c r="H1984" s="50" t="inlineStr">
        <is>
          <t>object không phải bảng DIM nên không áp dụng SCD Type 2</t>
        </is>
      </c>
      <c r="I19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984" s="48" t="inlineStr">
        <is>
          <t>111. OCB_GOLD_TCKH_SECTOR_LIST_HOP.xlsx [Script: SECTOR_LIST]</t>
        </is>
      </c>
    </row>
    <row r="1985">
      <c r="A1985" s="48" t="inlineStr">
        <is>
          <t>TCKH.SECTOR_LIST</t>
        </is>
      </c>
      <c r="B1985" s="48" t="inlineStr">
        <is>
          <t>GOLD_DERIVED</t>
        </is>
      </c>
      <c r="C1985" s="48" t="inlineStr">
        <is>
          <t>2.7</t>
        </is>
      </c>
      <c r="D1985" s="48" t="inlineStr">
        <is>
          <t>Nhom 2 - Logic</t>
        </is>
      </c>
      <c r="E1985" s="48" t="inlineStr">
        <is>
          <t>CASE WHEN cover đủ nhánh như job on-prem</t>
        </is>
      </c>
      <c r="F1985" s="48" t="inlineStr">
        <is>
          <t>N-A</t>
        </is>
      </c>
      <c r="G1985" s="48" t="inlineStr">
        <is>
          <t>Pass</t>
        </is>
      </c>
      <c r="H1985" s="50" t="inlineStr">
        <is>
          <t>script không có CASE WHEN nào</t>
        </is>
      </c>
      <c r="I1985" s="50" t="inlineStr">
        <is>
          <t>Mở job on-prem tương ứng (DataStage DSX hoặc SQL cũ), đối chiếu từng nhánh WHEN và cả nhánh ELSE. CASE không có ELSE sẽ trả NULL âm thầm — xác nhận đó là ý muốn hay thiếu nhánh.</t>
        </is>
      </c>
      <c r="J1985" s="48" t="inlineStr">
        <is>
          <t>111. OCB_GOLD_TCKH_SECTOR_LIST_HOP.xlsx [Script: SECTOR_LIST]</t>
        </is>
      </c>
    </row>
    <row r="1986">
      <c r="A1986" s="48" t="inlineStr">
        <is>
          <t>TCKH.SECTOR_LIST</t>
        </is>
      </c>
      <c r="B1986" s="48" t="inlineStr">
        <is>
          <t>GOLD_DERIVED</t>
        </is>
      </c>
      <c r="C1986" s="48" t="inlineStr">
        <is>
          <t>2.8</t>
        </is>
      </c>
      <c r="D1986" s="48" t="inlineStr">
        <is>
          <t>Nhom 2 - Logic</t>
        </is>
      </c>
      <c r="E1986" s="48" t="inlineStr">
        <is>
          <t>Cột SUM/COUNT được COALESCE/NVL hợp lý</t>
        </is>
      </c>
      <c r="F1986" s="49" t="inlineStr">
        <is>
          <t>PASS</t>
        </is>
      </c>
      <c r="G1986" s="48" t="inlineStr">
        <is>
          <t>Pass</t>
        </is>
      </c>
      <c r="H1986" s="50" t="inlineStr">
        <is>
          <t>mọi SUM/COUNT đều đã coalesce (trực tiếp hoặc ở lớp ngoài)</t>
        </is>
      </c>
      <c r="I19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986" s="48" t="inlineStr">
        <is>
          <t>111. OCB_GOLD_TCKH_SECTOR_LIST_HOP.xlsx [Script: SECTOR_LIST]</t>
        </is>
      </c>
    </row>
    <row r="1987">
      <c r="A1987" s="48" t="inlineStr">
        <is>
          <t>TCKH.SECTOR_LIST</t>
        </is>
      </c>
      <c r="B1987" s="48" t="inlineStr">
        <is>
          <t>GOLD_DERIVED</t>
        </is>
      </c>
      <c r="C1987" s="48" t="inlineStr">
        <is>
          <t>2.9</t>
        </is>
      </c>
      <c r="D1987" s="48" t="inlineStr">
        <is>
          <t>Nhom 2 - Logic</t>
        </is>
      </c>
      <c r="E1987" s="48" t="inlineStr">
        <is>
          <t>Subquery / custom function / điều kiện LIKE đúng ý nghĩa nghiệp vụ</t>
        </is>
      </c>
      <c r="F1987" s="48" t="inlineStr">
        <is>
          <t>N-A</t>
        </is>
      </c>
      <c r="G1987" s="48" t="inlineStr">
        <is>
          <t>Pass</t>
        </is>
      </c>
      <c r="H1987" s="50" t="inlineStr">
        <is>
          <t>script không có điều kiện LIKE hay scalar subquery nào</t>
        </is>
      </c>
      <c r="I1987" s="50" t="inlineStr">
        <is>
          <t>Đọc lại từng điều kiện LIKE và từng subquery, đối chiếu ý nghĩa nghiệp vụ với on-prem — đúng cú pháp không đủ. Chú ý pattern LIKE có ký tự % ở đầu/cuối và phân biệt chữ hoa/thường.</t>
        </is>
      </c>
      <c r="J1987" s="48" t="inlineStr">
        <is>
          <t>111. OCB_GOLD_TCKH_SECTOR_LIST_HOP.xlsx [Script: SECTOR_LIST]</t>
        </is>
      </c>
    </row>
    <row r="1988">
      <c r="A1988" s="48" t="inlineStr">
        <is>
          <t>TCKH.SECTOR_LIST</t>
        </is>
      </c>
      <c r="B1988" s="48" t="inlineStr">
        <is>
          <t>GOLD_DERIVED</t>
        </is>
      </c>
      <c r="C1988" s="48" t="inlineStr">
        <is>
          <t>2.10</t>
        </is>
      </c>
      <c r="D1988" s="48" t="inlineStr">
        <is>
          <t>Nhom 2 - Logic</t>
        </is>
      </c>
      <c r="E1988" s="48" t="inlineStr">
        <is>
          <t>Aggregation kèm filter date range chính xác</t>
        </is>
      </c>
      <c r="F1988" s="49" t="inlineStr">
        <is>
          <t>PASS</t>
        </is>
      </c>
      <c r="G1988" s="48" t="inlineStr">
        <is>
          <t>Pass</t>
        </is>
      </c>
      <c r="H1988" s="50" t="inlineStr">
        <is>
          <t>mọi khối tổng hợp đều có điều kiện theo kỳ dữ liệu</t>
        </is>
      </c>
      <c r="I1988" s="50" t="inlineStr">
        <is>
          <t>Mỗi khối SUM/COUNT/AVG phải có điều kiện lọc theo kỳ dữ liệu (CDR_DT_ID, DATA_DATE, :DATADT…). Nếu điều kiện nằm ở CTE nguồn thì ghi rõ trong comment để người review không phải truy ngược.</t>
        </is>
      </c>
      <c r="J1988" s="48" t="inlineStr">
        <is>
          <t>111. OCB_GOLD_TCKH_SECTOR_LIST_HOP.xlsx [Script: SECTOR_LIST]</t>
        </is>
      </c>
    </row>
    <row r="1989">
      <c r="A1989" s="48" t="inlineStr">
        <is>
          <t>TCKH.SECTOR_LIST</t>
        </is>
      </c>
      <c r="B1989" s="48" t="inlineStr">
        <is>
          <t>GOLD_DERIVED</t>
        </is>
      </c>
      <c r="C1989" s="48" t="inlineStr">
        <is>
          <t>2.11</t>
        </is>
      </c>
      <c r="D1989" s="48" t="inlineStr">
        <is>
          <t>Nhom 2 - Logic</t>
        </is>
      </c>
      <c r="E1989" s="48" t="inlineStr">
        <is>
          <t>Join dùng key hợp lý, không lạm dụng UNION ALL + EXISTS/NOT EXISTS</t>
        </is>
      </c>
      <c r="F1989" s="49" t="inlineStr">
        <is>
          <t>PASS</t>
        </is>
      </c>
      <c r="G1989" s="48" t="inlineStr">
        <is>
          <t>Pass</t>
        </is>
      </c>
      <c r="H1989" s="50" t="inlineStr">
        <is>
          <t>join đều theo điều kiện bằng, không lạm dụng UNION ALL + EXISTS</t>
        </is>
      </c>
      <c r="I1989" s="50" t="inlineStr">
        <is>
          <t>Ưu tiên LEFT JOIN theo business key hoặc hashkey. Xem lại các chỗ dùng UNION ALL kết hợp EXISTS/NOT EXISTS — thường thay được bằng một LEFT JOIN. Join không có điều kiện bằng (=) dễ tạo tích Descartes.</t>
        </is>
      </c>
      <c r="J1989" s="48" t="inlineStr">
        <is>
          <t>111. OCB_GOLD_TCKH_SECTOR_LIST_HOP.xlsx [Script: SECTOR_LIST]</t>
        </is>
      </c>
    </row>
    <row r="1990">
      <c r="A1990" s="48" t="inlineStr">
        <is>
          <t>TCKH.SECTOR_LIST</t>
        </is>
      </c>
      <c r="B1990" s="48" t="inlineStr">
        <is>
          <t>GOLD_DERIVED</t>
        </is>
      </c>
      <c r="C1990" s="48" t="inlineStr">
        <is>
          <t>2.12</t>
        </is>
      </c>
      <c r="D1990" s="48" t="inlineStr">
        <is>
          <t>Nhom 2 - Logic</t>
        </is>
      </c>
      <c r="E1990" s="48" t="inlineStr">
        <is>
          <t>Build Gold từ CTE snapshot Silver, không build nhiều tầng chồng chéo</t>
        </is>
      </c>
      <c r="F1990" s="49" t="inlineStr">
        <is>
          <t>PASS</t>
        </is>
      </c>
      <c r="G1990" s="48" t="inlineStr">
        <is>
          <t>Pass</t>
        </is>
      </c>
      <c r="H1990" s="50" t="inlineStr">
        <is>
          <t>mỗi bảng nguồn chỉ đọc trong 1 khối SELECT</t>
        </is>
      </c>
      <c r="I19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90" s="48" t="inlineStr">
        <is>
          <t>111. OCB_GOLD_TCKH_SECTOR_LIST_HOP.xlsx [Script: SECTOR_LIST]</t>
        </is>
      </c>
    </row>
    <row r="1991">
      <c r="A1991" s="48" t="inlineStr">
        <is>
          <t>TCKH.SECTOR_LIST</t>
        </is>
      </c>
      <c r="B1991" s="48" t="inlineStr">
        <is>
          <t>GOLD_DERIVED</t>
        </is>
      </c>
      <c r="C1991" s="48" t="inlineStr">
        <is>
          <t>3.1</t>
        </is>
      </c>
      <c r="D1991" s="48" t="inlineStr">
        <is>
          <t>Nhom 3 - Optimization</t>
        </is>
      </c>
      <c r="E1991" s="48" t="inlineStr">
        <is>
          <t>Không SELECT *</t>
        </is>
      </c>
      <c r="F1991" s="49" t="inlineStr">
        <is>
          <t>PASS</t>
        </is>
      </c>
      <c r="G1991" s="48" t="inlineStr">
        <is>
          <t>Pass</t>
        </is>
      </c>
      <c r="H1991" s="50" t="inlineStr">
        <is>
          <t>không dùng SELECT * ở đâu</t>
        </is>
      </c>
      <c r="I1991" s="50" t="inlineStr">
        <is>
          <t>Liệt kê tường minh các cột cần dùng, kể cả trong CTE trung gian. SELECT * làm tăng IO/memory và vỡ script khi bảng nguồn thêm cột.</t>
        </is>
      </c>
      <c r="J1991" s="48" t="inlineStr">
        <is>
          <t>111. OCB_GOLD_TCKH_SECTOR_LIST_HOP.xlsx [Script: SECTOR_LIST]</t>
        </is>
      </c>
    </row>
    <row r="1992">
      <c r="A1992" s="48" t="inlineStr">
        <is>
          <t>TCKH.SECTOR_LIST</t>
        </is>
      </c>
      <c r="B1992" s="48" t="inlineStr">
        <is>
          <t>GOLD_DERIVED</t>
        </is>
      </c>
      <c r="C1992" s="48" t="inlineStr">
        <is>
          <t>3.2</t>
        </is>
      </c>
      <c r="D1992" s="48" t="inlineStr">
        <is>
          <t>Nhom 3 - Optimization</t>
        </is>
      </c>
      <c r="E1992" s="48" t="inlineStr">
        <is>
          <t>CTE không bị scan lại nhiều lần</t>
        </is>
      </c>
      <c r="F1992" s="49" t="inlineStr">
        <is>
          <t>PASS</t>
        </is>
      </c>
      <c r="G1992" s="48" t="inlineStr">
        <is>
          <t>Pass</t>
        </is>
      </c>
      <c r="H1992" s="50" t="inlineStr">
        <is>
          <t>không có CTE nào bị gọi lại</t>
        </is>
      </c>
      <c r="I1992" s="50" t="inlineStr">
        <is>
          <t>Với CTE nặng (đọc nhiều bảng Silver) bị tham chiếu từ 2 chỗ trở lên: gom lại còn một lần dùng, hoặc vật chất hóa (CACHE / bảng tạm). CTE nhẹ chỉ chứa tham số thì bỏ qua được — tự tick Pass.</t>
        </is>
      </c>
      <c r="J1992" s="48" t="inlineStr">
        <is>
          <t>111. OCB_GOLD_TCKH_SECTOR_LIST_HOP.xlsx [Script: SECTOR_LIST]</t>
        </is>
      </c>
    </row>
    <row r="1993">
      <c r="A1993" s="48" t="inlineStr">
        <is>
          <t>TCKH.SECTOR_LIST</t>
        </is>
      </c>
      <c r="B1993" s="48" t="inlineStr">
        <is>
          <t>GOLD_DERIVED</t>
        </is>
      </c>
      <c r="C1993" s="48" t="inlineStr">
        <is>
          <t>3.3</t>
        </is>
      </c>
      <c r="D1993" s="48" t="inlineStr">
        <is>
          <t>Nhom 3 - Optimization</t>
        </is>
      </c>
      <c r="E1993" s="48" t="inlineStr">
        <is>
          <t>Filter trước khi join, tận dụng partition pruning</t>
        </is>
      </c>
      <c r="F1993" s="49" t="inlineStr">
        <is>
          <t>PASS</t>
        </is>
      </c>
      <c r="G1993" s="48" t="inlineStr">
        <is>
          <t>Pass</t>
        </is>
      </c>
      <c r="H1993" s="50" t="inlineStr">
        <is>
          <t>các bảng join đều được filter trước</t>
        </is>
      </c>
      <c r="I1993" s="50" t="inlineStr">
        <is>
          <t>Đưa điều kiện lọc (ngày dữ liệu, trạng thái) vào subquery của từng bảng TRƯỚC khi join, để tận dụng partition pruning. Bảng dim nhỏ không partition thì không cần — tự tick Pass.</t>
        </is>
      </c>
      <c r="J1993" s="48" t="inlineStr">
        <is>
          <t>111. OCB_GOLD_TCKH_SECTOR_LIST_HOP.xlsx [Script: SECTOR_LIST]</t>
        </is>
      </c>
    </row>
    <row r="1994">
      <c r="A1994" s="48" t="inlineStr">
        <is>
          <t>TCKH.SECTOR_LIST</t>
        </is>
      </c>
      <c r="B1994" s="48" t="inlineStr">
        <is>
          <t>GOLD_DERIVED</t>
        </is>
      </c>
      <c r="C1994" s="48" t="inlineStr">
        <is>
          <t>3.4</t>
        </is>
      </c>
      <c r="D1994" s="48" t="inlineStr">
        <is>
          <t>Nhom 3 - Optimization</t>
        </is>
      </c>
      <c r="E1994" s="48" t="inlineStr">
        <is>
          <t>Sử dụng CACHE cho query lặp lại trong cùng luồng</t>
        </is>
      </c>
      <c r="F1994" s="48" t="inlineStr">
        <is>
          <t>N-A</t>
        </is>
      </c>
      <c r="G1994" s="48" t="inlineStr">
        <is>
          <t>Pass</t>
        </is>
      </c>
      <c r="H1994" s="50" t="inlineStr">
        <is>
          <t>không có kết quả nào được dùng lại nhiều lần nên chưa cần CACHE</t>
        </is>
      </c>
      <c r="I1994" s="50" t="inlineStr">
        <is>
          <t>Nếu một kết quả nặng được dùng lại nhiều bước trong cùng luồng, thêm CACHE TABLE / CACHE SELECT. Kết quả nhỏ thì cache còn chậm hơn — tự tick Pass.</t>
        </is>
      </c>
      <c r="J1994" s="48" t="inlineStr">
        <is>
          <t>111. OCB_GOLD_TCKH_SECTOR_LIST_HOP.xlsx [Script: SECTOR_LIST]</t>
        </is>
      </c>
    </row>
    <row r="1995">
      <c r="A1995" s="48" t="inlineStr">
        <is>
          <t>TCKH.SECTOR_LIST</t>
        </is>
      </c>
      <c r="B1995" s="48" t="inlineStr">
        <is>
          <t>GOLD_DERIVED</t>
        </is>
      </c>
      <c r="C1995" s="48" t="inlineStr">
        <is>
          <t>3.5</t>
        </is>
      </c>
      <c r="D1995" s="48" t="inlineStr">
        <is>
          <t>Nhom 3 - Optimization</t>
        </is>
      </c>
      <c r="E1995" s="48" t="inlineStr">
        <is>
          <t>Ưu tiên MAX_BY + QUALIFY thay ROW_NUMBER() + WHERE rn = 1</t>
        </is>
      </c>
      <c r="F1995" s="48" t="inlineStr">
        <is>
          <t>N-A</t>
        </is>
      </c>
      <c r="G1995" s="48" t="inlineStr">
        <is>
          <t>Pass</t>
        </is>
      </c>
      <c r="H1995" s="50" t="inlineStr">
        <is>
          <t>script không dùng ROW_NUMBER, và MAX_BY (nếu có) không vượt quá 5 cột/khối</t>
        </is>
      </c>
      <c r="I19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95" s="48" t="inlineStr">
        <is>
          <t>111. OCB_GOLD_TCKH_SECTOR_LIST_HOP.xlsx [Script: SECTOR_LIST]</t>
        </is>
      </c>
    </row>
    <row r="1996">
      <c r="A1996" s="48" t="inlineStr">
        <is>
          <t>TCKH.SECTOR_LIST</t>
        </is>
      </c>
      <c r="B1996" s="48" t="inlineStr">
        <is>
          <t>GOLD_DERIVED</t>
        </is>
      </c>
      <c r="C1996" s="48" t="inlineStr">
        <is>
          <t>3.6</t>
        </is>
      </c>
      <c r="D1996" s="48" t="inlineStr">
        <is>
          <t>Nhom 3 - Optimization</t>
        </is>
      </c>
      <c r="E1996" s="48" t="inlineStr">
        <is>
          <t>Không lạm dụng window function; có comment khi dùng</t>
        </is>
      </c>
      <c r="F1996" s="48" t="inlineStr">
        <is>
          <t>N-A</t>
        </is>
      </c>
      <c r="G1996" s="48" t="inlineStr">
        <is>
          <t>Pass</t>
        </is>
      </c>
      <c r="H1996" s="50" t="inlineStr">
        <is>
          <t>script không dùng window function</t>
        </is>
      </c>
      <c r="I1996" s="50" t="inlineStr">
        <is>
          <t>Mỗi window function cần một comment ngay trên khối CTE chứa nó, nói rõ vì sao không dùng được max_by/QUALIFY đơn giản hơn.</t>
        </is>
      </c>
      <c r="J1996" s="48" t="inlineStr">
        <is>
          <t>111. OCB_GOLD_TCKH_SECTOR_LIST_HOP.xlsx [Script: SECTOR_LIST]</t>
        </is>
      </c>
    </row>
    <row r="1997">
      <c r="A1997" s="48" t="inlineStr">
        <is>
          <t>TCKH.SECTOR_LIST</t>
        </is>
      </c>
      <c r="B1997" s="48" t="inlineStr">
        <is>
          <t>GOLD_DERIVED</t>
        </is>
      </c>
      <c r="C1997" s="48" t="inlineStr">
        <is>
          <t>X.1</t>
        </is>
      </c>
      <c r="D1997" s="48" t="inlineStr">
        <is>
          <t>Nhom X - Bo sung Raffles</t>
        </is>
      </c>
      <c r="E1997" s="48" t="inlineStr">
        <is>
          <t>[Bổ sung] Link phải rút về current trước khi join (chống fan-out)</t>
        </is>
      </c>
      <c r="F1997" s="48" t="inlineStr">
        <is>
          <t>N-A</t>
        </is>
      </c>
      <c r="G1997" s="48" t="inlineStr">
        <is>
          <t>Pass</t>
        </is>
      </c>
      <c r="H1997" s="50" t="inlineStr">
        <is>
          <t>khong ap dung cho profile GOLD_DERIVED</t>
        </is>
      </c>
      <c r="I19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97" s="48" t="inlineStr">
        <is>
          <t>111. OCB_GOLD_TCKH_SECTOR_LIST_HOP.xlsx [Script: SECTOR_LIST]</t>
        </is>
      </c>
    </row>
    <row r="1998">
      <c r="A1998" s="48" t="inlineStr">
        <is>
          <t>TCKH.SECTOR_LIST</t>
        </is>
      </c>
      <c r="B1998" s="48" t="inlineStr">
        <is>
          <t>GOLD_DERIVED</t>
        </is>
      </c>
      <c r="C1998" s="48" t="inlineStr">
        <is>
          <t>X.6</t>
        </is>
      </c>
      <c r="D1998" s="48" t="inlineStr">
        <is>
          <t>Nhom X - Bo sung Raffles</t>
        </is>
      </c>
      <c r="E1998" s="48" t="inlineStr">
        <is>
          <t>[Bổ sung] Satellite phải LEFT JOIN, không INNER JOIN</t>
        </is>
      </c>
      <c r="F1998" s="48" t="inlineStr">
        <is>
          <t>N-A</t>
        </is>
      </c>
      <c r="G1998" s="48" t="inlineStr">
        <is>
          <t>Pass</t>
        </is>
      </c>
      <c r="H1998" s="50" t="inlineStr">
        <is>
          <t>khong ap dung cho profile GOLD_DERIVED</t>
        </is>
      </c>
      <c r="I1998" s="50" t="inlineStr">
        <is>
          <t>Technical Document III.4.2.2 nguyên tắc 1: làm giàu thuộc tính luôn dùng LEFT JOIN. INNER JOIN satellite sẽ loại mất bản ghi Hub đang còn hiệu lực nhưng chưa có dòng satellite.</t>
        </is>
      </c>
      <c r="J1998" s="48" t="inlineStr">
        <is>
          <t>111. OCB_GOLD_TCKH_SECTOR_LIST_HOP.xlsx [Script: SECTOR_LIST]</t>
        </is>
      </c>
    </row>
    <row r="1999">
      <c r="A1999" s="48" t="inlineStr">
        <is>
          <t>TCKH.SECTOR_LIST</t>
        </is>
      </c>
      <c r="B1999" s="48" t="inlineStr">
        <is>
          <t>GOLD_DERIVED</t>
        </is>
      </c>
      <c r="C1999" s="48" t="inlineStr">
        <is>
          <t>X.7</t>
        </is>
      </c>
      <c r="D1999" s="48" t="inlineStr">
        <is>
          <t>Nhom X - Bo sung Raffles</t>
        </is>
      </c>
      <c r="E1999" s="48" t="inlineStr">
        <is>
          <t>[Bổ sung] Không hard-code catalog, dùng biến môi trường</t>
        </is>
      </c>
      <c r="F1999" s="49" t="inlineStr">
        <is>
          <t>PASS</t>
        </is>
      </c>
      <c r="G1999" s="48" t="inlineStr">
        <is>
          <t>Pass</t>
        </is>
      </c>
      <c r="H1999" s="50" t="inlineStr">
        <is>
          <t>dùng biến môi trường cho catalog</t>
        </is>
      </c>
      <c r="I19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99" s="48" t="inlineStr">
        <is>
          <t>111. OCB_GOLD_TCKH_SECTOR_LIST_HOP.xlsx [Script: SECTOR_LIST]</t>
        </is>
      </c>
    </row>
    <row r="2000">
      <c r="A2000" s="48" t="inlineStr">
        <is>
          <t>TCKH.SECTOR_LIST</t>
        </is>
      </c>
      <c r="B2000" s="48" t="inlineStr">
        <is>
          <t>GOLD_DERIVED</t>
        </is>
      </c>
      <c r="C2000" s="48" t="inlineStr">
        <is>
          <t>X.10</t>
        </is>
      </c>
      <c r="D2000" s="48" t="inlineStr">
        <is>
          <t>Nhom X - Bo sung Raffles</t>
        </is>
      </c>
      <c r="E2000" s="48" t="inlineStr">
        <is>
          <t>Bang raw_vault/business_vault duoc doc phai TON TAI THAT trong Data Vault model</t>
        </is>
      </c>
      <c r="F2000" s="48" t="inlineStr">
        <is>
          <t>N-A</t>
        </is>
      </c>
      <c r="G2000" s="48" t="inlineStr">
        <is>
          <t>Pass</t>
        </is>
      </c>
      <c r="H2000" s="50" t="inlineStr">
        <is>
          <t>script không đọc bảng raw_vault/business_vault nào</t>
        </is>
      </c>
      <c r="I2000" s="50" t="inlineStr"/>
      <c r="J2000" s="48" t="inlineStr">
        <is>
          <t>111. OCB_GOLD_TCKH_SECTOR_LIST_HOP.xlsx [Script: SECTOR_LIST]</t>
        </is>
      </c>
    </row>
    <row r="2001">
      <c r="A2001" s="48" t="inlineStr">
        <is>
          <t>TCKH.SECTOR_LIST</t>
        </is>
      </c>
      <c r="B2001" s="48" t="inlineStr">
        <is>
          <t>GOLD_DERIVED</t>
        </is>
      </c>
      <c r="C2001" s="48" t="inlineStr">
        <is>
          <t>X.11</t>
        </is>
      </c>
      <c r="D2001" s="48" t="inlineStr">
        <is>
          <t>Nhom X - Bo sung Raffles</t>
        </is>
      </c>
      <c r="E2001" s="48" t="inlineStr">
        <is>
          <t>Cot doc tu satellite (sat_*) phai TON TAI THAT trong model</t>
        </is>
      </c>
      <c r="F2001" s="48" t="inlineStr">
        <is>
          <t>N-A</t>
        </is>
      </c>
      <c r="G2001" s="48" t="inlineStr">
        <is>
          <t>Pass</t>
        </is>
      </c>
      <c r="H2001" s="50" t="inlineStr">
        <is>
          <t>không có bảng sat_* nào đủ điều kiện đối chiếu (Select chỉ đọc 1 bảng)</t>
        </is>
      </c>
      <c r="I2001" s="50" t="inlineStr"/>
      <c r="J2001" s="48" t="inlineStr">
        <is>
          <t>111. OCB_GOLD_TCKH_SECTOR_LIST_HOP.xlsx [Script: SECTOR_LIST]</t>
        </is>
      </c>
    </row>
    <row r="2002">
      <c r="A2002" s="48" t="inlineStr">
        <is>
          <t>BPM_FTR_XLGDTD</t>
        </is>
      </c>
      <c r="B2002" s="48" t="inlineStr">
        <is>
          <t>SILVER_CONSUMER</t>
        </is>
      </c>
      <c r="C2002" s="48" t="inlineStr">
        <is>
          <t>1.1</t>
        </is>
      </c>
      <c r="D2002" s="48" t="inlineStr">
        <is>
          <t>Nhom 1 - Mapping</t>
        </is>
      </c>
      <c r="E2002" s="48" t="inlineStr">
        <is>
          <t>Đầy đủ mapping từ Silver/manual sang Gold</t>
        </is>
      </c>
      <c r="F2002" s="49" t="inlineStr">
        <is>
          <t>PASS</t>
        </is>
      </c>
      <c r="G2002" s="48" t="inlineStr">
        <is>
          <t>Pass</t>
        </is>
      </c>
      <c r="H2002" s="50" t="inlineStr">
        <is>
          <t>workbook 101.OCB_GOLD_TTDL_BPM_FTR_XLGDTD_THU.xlsx: thiết kế 13 field, SQL có 13 cột</t>
        </is>
      </c>
      <c r="I20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02" s="48" t="inlineStr">
        <is>
          <t>101.OCB_GOLD_TTDL_BPM_FTR_XLGDTD_THU.xlsx [Script: BPM_FTR_XLGDTD]</t>
        </is>
      </c>
    </row>
    <row r="2003">
      <c r="A2003" s="48" t="inlineStr">
        <is>
          <t>BPM_FTR_XLGDTD</t>
        </is>
      </c>
      <c r="B2003" s="48" t="inlineStr">
        <is>
          <t>SILVER_CONSUMER</t>
        </is>
      </c>
      <c r="C2003" s="48" t="inlineStr">
        <is>
          <t>1.2</t>
        </is>
      </c>
      <c r="D2003" s="48" t="inlineStr">
        <is>
          <t>Nhom 1 - Mapping</t>
        </is>
      </c>
      <c r="E2003" s="48" t="inlineStr">
        <is>
          <t>Danh sách bảng/view Gold khớp tài liệu thiết kế đã duyệt</t>
        </is>
      </c>
      <c r="F2003" s="49" t="inlineStr">
        <is>
          <t>PASS</t>
        </is>
      </c>
      <c r="G2003" s="48" t="inlineStr">
        <is>
          <t>Pass</t>
        </is>
      </c>
      <c r="H2003" s="50" t="inlineStr">
        <is>
          <t>BPM_FTR_XLGDTD có workbook thiết kế: 101.OCB_GOLD_TTDL_BPM_FTR_XLGDTD_THU.xlsx</t>
        </is>
      </c>
      <c r="I2003" s="50" t="inlineStr">
        <is>
          <t>Đảm bảo object có workbook thiết kế tương ứng trong thư mục --mapping-dir. Muốn đối chiếu với danh sách đã duyệt thì chạy thêm tham số --gold-list "&lt;file danh sách Gold&gt;.xlsx".</t>
        </is>
      </c>
      <c r="J2003" s="48" t="inlineStr">
        <is>
          <t>101.OCB_GOLD_TTDL_BPM_FTR_XLGDTD_THU.xlsx [Script: BPM_FTR_XLGDTD]</t>
        </is>
      </c>
    </row>
    <row r="2004">
      <c r="A2004" s="48" t="inlineStr">
        <is>
          <t>BPM_FTR_XLGDTD</t>
        </is>
      </c>
      <c r="B2004" s="48" t="inlineStr">
        <is>
          <t>SILVER_CONSUMER</t>
        </is>
      </c>
      <c r="C2004" s="48" t="inlineStr">
        <is>
          <t>2.1</t>
        </is>
      </c>
      <c r="D2004" s="48" t="inlineStr">
        <is>
          <t>Nhom 2 - Logic</t>
        </is>
      </c>
      <c r="E2004" s="48" t="inlineStr">
        <is>
          <t>Chỉ lấy bản ghi active, loại bản ghi đã xóa (qua sts_hub)</t>
        </is>
      </c>
      <c r="F2004" s="49" t="inlineStr">
        <is>
          <t>PASS</t>
        </is>
      </c>
      <c r="G2004" s="48" t="inlineStr">
        <is>
          <t>Pass</t>
        </is>
      </c>
      <c r="H2004" s="50" t="inlineStr">
        <is>
          <t>không dùng sts_hub_* (không có yêu cầu nghiệp vụ giữ bản ghi đã xóa)</t>
        </is>
      </c>
      <c r="I20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04" s="48" t="inlineStr">
        <is>
          <t>101.OCB_GOLD_TTDL_BPM_FTR_XLGDTD_THU.xlsx [Script: BPM_FTR_XLGDTD]</t>
        </is>
      </c>
    </row>
    <row r="2005">
      <c r="A2005" s="48" t="inlineStr">
        <is>
          <t>BPM_FTR_XLGDTD</t>
        </is>
      </c>
      <c r="B2005" s="48" t="inlineStr">
        <is>
          <t>SILVER_CONSUMER</t>
        </is>
      </c>
      <c r="C2005" s="48" t="inlineStr">
        <is>
          <t>2.2</t>
        </is>
      </c>
      <c r="D2005" s="48" t="inlineStr">
        <is>
          <t>Nhom 2 - Logic</t>
        </is>
      </c>
      <c r="E2005" s="48" t="inlineStr">
        <is>
          <t>Thống nhất MỘT pattern duy nhất xác định bản ghi active mới nhất</t>
        </is>
      </c>
      <c r="F2005" s="49" t="inlineStr">
        <is>
          <t>PASS</t>
        </is>
      </c>
      <c r="G2005" s="48" t="inlineStr">
        <is>
          <t>Pass</t>
        </is>
      </c>
      <c r="H2005" s="50" t="inlineStr">
        <is>
          <t>file này dùng: ['MAX_BY']; toàn batch dùng: ['MAX_BY']</t>
        </is>
      </c>
      <c r="I20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05" s="48" t="inlineStr">
        <is>
          <t>101.OCB_GOLD_TTDL_BPM_FTR_XLGDTD_THU.xlsx [Script: BPM_FTR_XLGDTD]</t>
        </is>
      </c>
    </row>
    <row r="2006">
      <c r="A2006" s="48" t="inlineStr">
        <is>
          <t>BPM_FTR_XLGDTD</t>
        </is>
      </c>
      <c r="B2006" s="48" t="inlineStr">
        <is>
          <t>SILVER_CONSUMER</t>
        </is>
      </c>
      <c r="C2006" s="48" t="inlineStr">
        <is>
          <t>2.3</t>
        </is>
      </c>
      <c r="D2006" s="48" t="inlineStr">
        <is>
          <t>Nhom 2 - Logic</t>
        </is>
      </c>
      <c r="E2006" s="48" t="inlineStr">
        <is>
          <t>Điều kiện lọc trạng thái đặt SAU khi xác định bản ghi mới nhất</t>
        </is>
      </c>
      <c r="F2006" s="49" t="inlineStr">
        <is>
          <t>PASS</t>
        </is>
      </c>
      <c r="G2006" s="48" t="inlineStr">
        <is>
          <t>Pass</t>
        </is>
      </c>
      <c r="H2006" s="50" t="inlineStr">
        <is>
          <t>không có điều kiện trạng thái nào lồng trong JOIN ON</t>
        </is>
      </c>
      <c r="I20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06" s="48" t="inlineStr">
        <is>
          <t>101.OCB_GOLD_TTDL_BPM_FTR_XLGDTD_THU.xlsx [Script: BPM_FTR_XLGDTD]</t>
        </is>
      </c>
    </row>
    <row r="2007">
      <c r="A2007" s="48" t="inlineStr">
        <is>
          <t>BPM_FTR_XLGDTD</t>
        </is>
      </c>
      <c r="B2007" s="48" t="inlineStr">
        <is>
          <t>SILVER_CONSUMER</t>
        </is>
      </c>
      <c r="C2007" s="48" t="inlineStr">
        <is>
          <t>2.4</t>
        </is>
      </c>
      <c r="D2007" s="48" t="inlineStr">
        <is>
          <t>Nhom 2 - Logic</t>
        </is>
      </c>
      <c r="E2007" s="48" t="inlineStr">
        <is>
          <t>source_event_date áp dụng đúng dạng theo loại bảng</t>
        </is>
      </c>
      <c r="F2007" s="49" t="inlineStr">
        <is>
          <t>PASS</t>
        </is>
      </c>
      <c r="G2007" s="48" t="inlineStr">
        <is>
          <t>Pass</t>
        </is>
      </c>
      <c r="H2007" s="50" t="inlineStr">
        <is>
          <t>8 satellite đều đúng dạng điều kiện source_event_date</t>
        </is>
      </c>
      <c r="I20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07" s="48" t="inlineStr">
        <is>
          <t>101.OCB_GOLD_TTDL_BPM_FTR_XLGDTD_THU.xlsx [Script: BPM_FTR_XLGDTD]</t>
        </is>
      </c>
    </row>
    <row r="2008">
      <c r="A2008" s="48" t="inlineStr">
        <is>
          <t>BPM_FTR_XLGDTD</t>
        </is>
      </c>
      <c r="B2008" s="48" t="inlineStr">
        <is>
          <t>SILVER_CONSUMER</t>
        </is>
      </c>
      <c r="C2008" s="48" t="inlineStr">
        <is>
          <t>2.5</t>
        </is>
      </c>
      <c r="D2008" s="48" t="inlineStr">
        <is>
          <t>Nhom 2 - Logic</t>
        </is>
      </c>
      <c r="E2008" s="48" t="inlineStr">
        <is>
          <t>Không lặp lại lỗi logic cũ đã được DA Data Vault fix</t>
        </is>
      </c>
      <c r="F2008" s="49" t="inlineStr">
        <is>
          <t>PASS</t>
        </is>
      </c>
      <c r="G2008" s="48" t="inlineStr">
        <is>
          <t>Pass</t>
        </is>
      </c>
      <c r="H2008" s="50" t="inlineStr">
        <is>
          <t>không trùng lỗi nào trong Issue log của DA Data Vault</t>
        </is>
      </c>
      <c r="I20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08" s="48" t="inlineStr">
        <is>
          <t>101.OCB_GOLD_TTDL_BPM_FTR_XLGDTD_THU.xlsx [Script: BPM_FTR_XLGDTD]</t>
        </is>
      </c>
    </row>
    <row r="2009">
      <c r="A2009" s="48" t="inlineStr">
        <is>
          <t>BPM_FTR_XLGDTD</t>
        </is>
      </c>
      <c r="B2009" s="48" t="inlineStr">
        <is>
          <t>SILVER_CONSUMER</t>
        </is>
      </c>
      <c r="C2009" s="48" t="inlineStr">
        <is>
          <t>2.6</t>
        </is>
      </c>
      <c r="D2009" s="48" t="inlineStr">
        <is>
          <t>Nhom 2 - Logic</t>
        </is>
      </c>
      <c r="E2009" s="48" t="inlineStr">
        <is>
          <t>SCD Type 2 cho bảng DIM áp dụng đúng kỹ thuật đã thống nhất</t>
        </is>
      </c>
      <c r="F2009" s="48" t="inlineStr">
        <is>
          <t>N-A</t>
        </is>
      </c>
      <c r="G2009" s="48" t="inlineStr">
        <is>
          <t>Pass</t>
        </is>
      </c>
      <c r="H2009" s="50" t="inlineStr">
        <is>
          <t>object không phải bảng DIM nên không áp dụng SCD Type 2</t>
        </is>
      </c>
      <c r="I20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09" s="48" t="inlineStr">
        <is>
          <t>101.OCB_GOLD_TTDL_BPM_FTR_XLGDTD_THU.xlsx [Script: BPM_FTR_XLGDTD]</t>
        </is>
      </c>
    </row>
    <row r="2010">
      <c r="A2010" s="48" t="inlineStr">
        <is>
          <t>BPM_FTR_XLGDTD</t>
        </is>
      </c>
      <c r="B2010" s="48" t="inlineStr">
        <is>
          <t>SILVER_CONSUMER</t>
        </is>
      </c>
      <c r="C2010" s="48" t="inlineStr">
        <is>
          <t>2.7</t>
        </is>
      </c>
      <c r="D2010" s="48" t="inlineStr">
        <is>
          <t>Nhom 2 - Logic</t>
        </is>
      </c>
      <c r="E2010" s="48" t="inlineStr">
        <is>
          <t>CASE WHEN cover đủ nhánh như job on-prem</t>
        </is>
      </c>
      <c r="F2010" s="48" t="inlineStr">
        <is>
          <t>N-A</t>
        </is>
      </c>
      <c r="G2010" s="48" t="inlineStr">
        <is>
          <t>Pass</t>
        </is>
      </c>
      <c r="H2010" s="50" t="inlineStr">
        <is>
          <t>script không có CASE WHEN nào</t>
        </is>
      </c>
      <c r="I2010" s="50" t="inlineStr">
        <is>
          <t>Mở job on-prem tương ứng (DataStage DSX hoặc SQL cũ), đối chiếu từng nhánh WHEN và cả nhánh ELSE. CASE không có ELSE sẽ trả NULL âm thầm — xác nhận đó là ý muốn hay thiếu nhánh.</t>
        </is>
      </c>
      <c r="J2010" s="48" t="inlineStr">
        <is>
          <t>101.OCB_GOLD_TTDL_BPM_FTR_XLGDTD_THU.xlsx [Script: BPM_FTR_XLGDTD]</t>
        </is>
      </c>
    </row>
    <row r="2011">
      <c r="A2011" s="48" t="inlineStr">
        <is>
          <t>BPM_FTR_XLGDTD</t>
        </is>
      </c>
      <c r="B2011" s="48" t="inlineStr">
        <is>
          <t>SILVER_CONSUMER</t>
        </is>
      </c>
      <c r="C2011" s="48" t="inlineStr">
        <is>
          <t>2.8</t>
        </is>
      </c>
      <c r="D2011" s="48" t="inlineStr">
        <is>
          <t>Nhom 2 - Logic</t>
        </is>
      </c>
      <c r="E2011" s="48" t="inlineStr">
        <is>
          <t>Cột SUM/COUNT được COALESCE/NVL hợp lý</t>
        </is>
      </c>
      <c r="F2011" s="51" t="inlineStr">
        <is>
          <t>WARN</t>
        </is>
      </c>
      <c r="G2011" s="48" t="inlineStr">
        <is>
          <t>WARN</t>
        </is>
      </c>
      <c r="H2011" s="50" t="inlineStr">
        <is>
          <t>2 biểu thức tổng hợp chưa coalesce: COUNT(ct.gd_chitiet_id); COUNT(ls.ket_qua_xu_ly_user); khi đối soát với hệ thống cũ phải bọc NVL/ISNULL CẢ HAI phía để không lệch khi trừ (Checklist RVN-OCB #11)</t>
        </is>
      </c>
      <c r="I20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011" s="48" t="inlineStr">
        <is>
          <t>101.OCB_GOLD_TTDL_BPM_FTR_XLGDTD_THU.xlsx [Script: BPM_FTR_XLGDTD]</t>
        </is>
      </c>
    </row>
    <row r="2012">
      <c r="A2012" s="48" t="inlineStr">
        <is>
          <t>BPM_FTR_XLGDTD</t>
        </is>
      </c>
      <c r="B2012" s="48" t="inlineStr">
        <is>
          <t>SILVER_CONSUMER</t>
        </is>
      </c>
      <c r="C2012" s="48" t="inlineStr">
        <is>
          <t>2.9</t>
        </is>
      </c>
      <c r="D2012" s="48" t="inlineStr">
        <is>
          <t>Nhom 2 - Logic</t>
        </is>
      </c>
      <c r="E2012" s="48" t="inlineStr">
        <is>
          <t>Subquery / custom function / điều kiện LIKE đúng ý nghĩa nghiệp vụ</t>
        </is>
      </c>
      <c r="F2012" s="48" t="inlineStr">
        <is>
          <t>N-A</t>
        </is>
      </c>
      <c r="G2012" s="48" t="inlineStr">
        <is>
          <t>Pass</t>
        </is>
      </c>
      <c r="H2012" s="50" t="inlineStr">
        <is>
          <t>script không có điều kiện LIKE hay scalar subquery nào</t>
        </is>
      </c>
      <c r="I2012" s="50" t="inlineStr">
        <is>
          <t>Đọc lại từng điều kiện LIKE và từng subquery, đối chiếu ý nghĩa nghiệp vụ với on-prem — đúng cú pháp không đủ. Chú ý pattern LIKE có ký tự % ở đầu/cuối và phân biệt chữ hoa/thường.</t>
        </is>
      </c>
      <c r="J2012" s="48" t="inlineStr">
        <is>
          <t>101.OCB_GOLD_TTDL_BPM_FTR_XLGDTD_THU.xlsx [Script: BPM_FTR_XLGDTD]</t>
        </is>
      </c>
    </row>
    <row r="2013">
      <c r="A2013" s="48" t="inlineStr">
        <is>
          <t>BPM_FTR_XLGDTD</t>
        </is>
      </c>
      <c r="B2013" s="48" t="inlineStr">
        <is>
          <t>SILVER_CONSUMER</t>
        </is>
      </c>
      <c r="C2013" s="48" t="inlineStr">
        <is>
          <t>2.10</t>
        </is>
      </c>
      <c r="D2013" s="48" t="inlineStr">
        <is>
          <t>Nhom 2 - Logic</t>
        </is>
      </c>
      <c r="E2013" s="48" t="inlineStr">
        <is>
          <t>Aggregation kèm filter date range chính xác</t>
        </is>
      </c>
      <c r="F2013" s="49" t="inlineStr">
        <is>
          <t>PASS</t>
        </is>
      </c>
      <c r="G2013" s="48" t="inlineStr">
        <is>
          <t>Pass</t>
        </is>
      </c>
      <c r="H2013" s="50" t="inlineStr">
        <is>
          <t>mọi khối tổng hợp đều có điều kiện theo kỳ dữ liệu</t>
        </is>
      </c>
      <c r="I2013" s="50" t="inlineStr">
        <is>
          <t>Mỗi khối SUM/COUNT/AVG phải có điều kiện lọc theo kỳ dữ liệu (CDR_DT_ID, DATA_DATE, :DATADT…). Nếu điều kiện nằm ở CTE nguồn thì ghi rõ trong comment để người review không phải truy ngược.</t>
        </is>
      </c>
      <c r="J2013" s="48" t="inlineStr">
        <is>
          <t>101.OCB_GOLD_TTDL_BPM_FTR_XLGDTD_THU.xlsx [Script: BPM_FTR_XLGDTD]</t>
        </is>
      </c>
    </row>
    <row r="2014">
      <c r="A2014" s="48" t="inlineStr">
        <is>
          <t>BPM_FTR_XLGDTD</t>
        </is>
      </c>
      <c r="B2014" s="48" t="inlineStr">
        <is>
          <t>SILVER_CONSUMER</t>
        </is>
      </c>
      <c r="C2014" s="48" t="inlineStr">
        <is>
          <t>2.11</t>
        </is>
      </c>
      <c r="D2014" s="48" t="inlineStr">
        <is>
          <t>Nhom 2 - Logic</t>
        </is>
      </c>
      <c r="E2014" s="48" t="inlineStr">
        <is>
          <t>Join dùng key hợp lý, không lạm dụng UNION ALL + EXISTS/NOT EXISTS</t>
        </is>
      </c>
      <c r="F2014" s="49" t="inlineStr">
        <is>
          <t>PASS</t>
        </is>
      </c>
      <c r="G2014" s="48" t="inlineStr">
        <is>
          <t>Pass</t>
        </is>
      </c>
      <c r="H2014" s="50" t="inlineStr">
        <is>
          <t>join đều theo điều kiện bằng, không lạm dụng UNION ALL + EXISTS</t>
        </is>
      </c>
      <c r="I2014" s="50" t="inlineStr">
        <is>
          <t>Ưu tiên LEFT JOIN theo business key hoặc hashkey. Xem lại các chỗ dùng UNION ALL kết hợp EXISTS/NOT EXISTS — thường thay được bằng một LEFT JOIN. Join không có điều kiện bằng (=) dễ tạo tích Descartes.</t>
        </is>
      </c>
      <c r="J2014" s="48" t="inlineStr">
        <is>
          <t>101.OCB_GOLD_TTDL_BPM_FTR_XLGDTD_THU.xlsx [Script: BPM_FTR_XLGDTD]</t>
        </is>
      </c>
    </row>
    <row r="2015">
      <c r="A2015" s="48" t="inlineStr">
        <is>
          <t>BPM_FTR_XLGDTD</t>
        </is>
      </c>
      <c r="B2015" s="48" t="inlineStr">
        <is>
          <t>SILVER_CONSUMER</t>
        </is>
      </c>
      <c r="C2015" s="48" t="inlineStr">
        <is>
          <t>2.12</t>
        </is>
      </c>
      <c r="D2015" s="48" t="inlineStr">
        <is>
          <t>Nhom 2 - Logic</t>
        </is>
      </c>
      <c r="E2015" s="48" t="inlineStr">
        <is>
          <t>Build Gold từ CTE snapshot Silver, không build nhiều tầng chồng chéo</t>
        </is>
      </c>
      <c r="F2015" s="49" t="inlineStr">
        <is>
          <t>PASS</t>
        </is>
      </c>
      <c r="G2015" s="48" t="inlineStr">
        <is>
          <t>Pass</t>
        </is>
      </c>
      <c r="H2015" s="50" t="inlineStr">
        <is>
          <t>mỗi bảng nguồn chỉ đọc trong 1 khối SELECT</t>
        </is>
      </c>
      <c r="I20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015" s="48" t="inlineStr">
        <is>
          <t>101.OCB_GOLD_TTDL_BPM_FTR_XLGDTD_THU.xlsx [Script: BPM_FTR_XLGDTD]</t>
        </is>
      </c>
    </row>
    <row r="2016">
      <c r="A2016" s="48" t="inlineStr">
        <is>
          <t>BPM_FTR_XLGDTD</t>
        </is>
      </c>
      <c r="B2016" s="48" t="inlineStr">
        <is>
          <t>SILVER_CONSUMER</t>
        </is>
      </c>
      <c r="C2016" s="48" t="inlineStr">
        <is>
          <t>3.1</t>
        </is>
      </c>
      <c r="D2016" s="48" t="inlineStr">
        <is>
          <t>Nhom 3 - Optimization</t>
        </is>
      </c>
      <c r="E2016" s="48" t="inlineStr">
        <is>
          <t>Không SELECT *</t>
        </is>
      </c>
      <c r="F2016" s="49" t="inlineStr">
        <is>
          <t>PASS</t>
        </is>
      </c>
      <c r="G2016" s="48" t="inlineStr">
        <is>
          <t>Pass</t>
        </is>
      </c>
      <c r="H2016" s="50" t="inlineStr">
        <is>
          <t>không dùng SELECT * ở đâu</t>
        </is>
      </c>
      <c r="I2016" s="50" t="inlineStr">
        <is>
          <t>Liệt kê tường minh các cột cần dùng, kể cả trong CTE trung gian. SELECT * làm tăng IO/memory và vỡ script khi bảng nguồn thêm cột.</t>
        </is>
      </c>
      <c r="J2016" s="48" t="inlineStr">
        <is>
          <t>101.OCB_GOLD_TTDL_BPM_FTR_XLGDTD_THU.xlsx [Script: BPM_FTR_XLGDTD]</t>
        </is>
      </c>
    </row>
    <row r="2017">
      <c r="A2017" s="48" t="inlineStr">
        <is>
          <t>BPM_FTR_XLGDTD</t>
        </is>
      </c>
      <c r="B2017" s="48" t="inlineStr">
        <is>
          <t>SILVER_CONSUMER</t>
        </is>
      </c>
      <c r="C2017" s="48" t="inlineStr">
        <is>
          <t>3.2</t>
        </is>
      </c>
      <c r="D2017" s="48" t="inlineStr">
        <is>
          <t>Nhom 3 - Optimization</t>
        </is>
      </c>
      <c r="E2017" s="48" t="inlineStr">
        <is>
          <t>CTE không bị scan lại nhiều lần</t>
        </is>
      </c>
      <c r="F2017" s="51" t="inlineStr">
        <is>
          <t>WARN</t>
        </is>
      </c>
      <c r="G2017" s="48" t="inlineStr">
        <is>
          <t>WARN</t>
        </is>
      </c>
      <c r="H2017" s="50" t="inlineStr">
        <is>
          <t>CTE bị tham chiếu lại nhiều lần: kh_hub x3, dv_hub x3, sat_dvktpd x7, sat_qt x4, sat_cbdg x3, sat_kh x3, ref_dm x3</t>
        </is>
      </c>
      <c r="I2017" s="50" t="inlineStr">
        <is>
          <t>Với CTE nặng (đọc nhiều bảng Silver) bị tham chiếu từ 2 chỗ trở lên: gom lại còn một lần dùng, hoặc vật chất hóa (CACHE / bảng tạm). CTE nhẹ chỉ chứa tham số thì bỏ qua được — tự tick Pass.</t>
        </is>
      </c>
      <c r="J2017" s="48" t="inlineStr">
        <is>
          <t>101.OCB_GOLD_TTDL_BPM_FTR_XLGDTD_THU.xlsx [Script: BPM_FTR_XLGDTD]</t>
        </is>
      </c>
    </row>
    <row r="2018">
      <c r="A2018" s="48" t="inlineStr">
        <is>
          <t>BPM_FTR_XLGDTD</t>
        </is>
      </c>
      <c r="B2018" s="48" t="inlineStr">
        <is>
          <t>SILVER_CONSUMER</t>
        </is>
      </c>
      <c r="C2018" s="48" t="inlineStr">
        <is>
          <t>3.3</t>
        </is>
      </c>
      <c r="D2018" s="48" t="inlineStr">
        <is>
          <t>Nhom 3 - Optimization</t>
        </is>
      </c>
      <c r="E2018" s="48" t="inlineStr">
        <is>
          <t>Filter trước khi join, tận dụng partition pruning</t>
        </is>
      </c>
      <c r="F2018" s="49" t="inlineStr">
        <is>
          <t>PASS</t>
        </is>
      </c>
      <c r="G2018" s="48" t="inlineStr">
        <is>
          <t>Pass</t>
        </is>
      </c>
      <c r="H2018" s="50" t="inlineStr">
        <is>
          <t>các bảng join đều được filter trước</t>
        </is>
      </c>
      <c r="I2018" s="50" t="inlineStr">
        <is>
          <t>Đưa điều kiện lọc (ngày dữ liệu, trạng thái) vào subquery của từng bảng TRƯỚC khi join, để tận dụng partition pruning. Bảng dim nhỏ không partition thì không cần — tự tick Pass.</t>
        </is>
      </c>
      <c r="J2018" s="48" t="inlineStr">
        <is>
          <t>101.OCB_GOLD_TTDL_BPM_FTR_XLGDTD_THU.xlsx [Script: BPM_FTR_XLGDTD]</t>
        </is>
      </c>
    </row>
    <row r="2019">
      <c r="A2019" s="48" t="inlineStr">
        <is>
          <t>BPM_FTR_XLGDTD</t>
        </is>
      </c>
      <c r="B2019" s="48" t="inlineStr">
        <is>
          <t>SILVER_CONSUMER</t>
        </is>
      </c>
      <c r="C2019" s="48" t="inlineStr">
        <is>
          <t>3.4</t>
        </is>
      </c>
      <c r="D2019" s="48" t="inlineStr">
        <is>
          <t>Nhom 3 - Optimization</t>
        </is>
      </c>
      <c r="E2019" s="48" t="inlineStr">
        <is>
          <t>Sử dụng CACHE cho query lặp lại trong cùng luồng</t>
        </is>
      </c>
      <c r="F2019" s="51" t="inlineStr">
        <is>
          <t>WARN</t>
        </is>
      </c>
      <c r="G2019" s="48" t="inlineStr">
        <is>
          <t>WARN</t>
        </is>
      </c>
      <c r="H2019" s="50" t="inlineStr">
        <is>
          <t>7 CTE nặng dùng lại &gt;= 2 lần mà không có CACHE: dv_hub, kh_hub, ref_dm, sat_cbdg, sat_dvktpd, sat_kh, sat_qt</t>
        </is>
      </c>
      <c r="I2019" s="50" t="inlineStr">
        <is>
          <t>Nếu một kết quả nặng được dùng lại nhiều bước trong cùng luồng, thêm CACHE TABLE / CACHE SELECT. Kết quả nhỏ thì cache còn chậm hơn — tự tick Pass.</t>
        </is>
      </c>
      <c r="J2019" s="48" t="inlineStr">
        <is>
          <t>101.OCB_GOLD_TTDL_BPM_FTR_XLGDTD_THU.xlsx [Script: BPM_FTR_XLGDTD]</t>
        </is>
      </c>
    </row>
    <row r="2020">
      <c r="A2020" s="48" t="inlineStr">
        <is>
          <t>BPM_FTR_XLGDTD</t>
        </is>
      </c>
      <c r="B2020" s="48" t="inlineStr">
        <is>
          <t>SILVER_CONSUMER</t>
        </is>
      </c>
      <c r="C2020" s="48" t="inlineStr">
        <is>
          <t>3.5</t>
        </is>
      </c>
      <c r="D2020" s="48" t="inlineStr">
        <is>
          <t>Nhom 3 - Optimization</t>
        </is>
      </c>
      <c r="E2020" s="48" t="inlineStr">
        <is>
          <t>Ưu tiên MAX_BY + QUALIFY thay ROW_NUMBER() + WHERE rn = 1</t>
        </is>
      </c>
      <c r="F2020" s="48" t="inlineStr">
        <is>
          <t>N-A</t>
        </is>
      </c>
      <c r="G2020" s="48" t="inlineStr">
        <is>
          <t>Pass</t>
        </is>
      </c>
      <c r="H2020" s="50" t="inlineStr">
        <is>
          <t>script không dùng ROW_NUMBER, và MAX_BY (nếu có) không vượt quá 5 cột/khối</t>
        </is>
      </c>
      <c r="I20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20" s="48" t="inlineStr">
        <is>
          <t>101.OCB_GOLD_TTDL_BPM_FTR_XLGDTD_THU.xlsx [Script: BPM_FTR_XLGDTD]</t>
        </is>
      </c>
    </row>
    <row r="2021">
      <c r="A2021" s="48" t="inlineStr">
        <is>
          <t>BPM_FTR_XLGDTD</t>
        </is>
      </c>
      <c r="B2021" s="48" t="inlineStr">
        <is>
          <t>SILVER_CONSUMER</t>
        </is>
      </c>
      <c r="C2021" s="48" t="inlineStr">
        <is>
          <t>3.6</t>
        </is>
      </c>
      <c r="D2021" s="48" t="inlineStr">
        <is>
          <t>Nhom 3 - Optimization</t>
        </is>
      </c>
      <c r="E2021" s="48" t="inlineStr">
        <is>
          <t>Không lạm dụng window function; có comment khi dùng</t>
        </is>
      </c>
      <c r="F2021" s="49" t="inlineStr">
        <is>
          <t>PASS</t>
        </is>
      </c>
      <c r="G2021" s="48" t="inlineStr">
        <is>
          <t>Pass</t>
        </is>
      </c>
      <c r="H2021" s="50" t="inlineStr">
        <is>
          <t>2 window function đều có comment</t>
        </is>
      </c>
      <c r="I2021" s="50" t="inlineStr">
        <is>
          <t>Mỗi window function cần một comment ngay trên khối CTE chứa nó, nói rõ vì sao không dùng được max_by/QUALIFY đơn giản hơn.</t>
        </is>
      </c>
      <c r="J2021" s="48" t="inlineStr">
        <is>
          <t>101.OCB_GOLD_TTDL_BPM_FTR_XLGDTD_THU.xlsx [Script: BPM_FTR_XLGDTD]</t>
        </is>
      </c>
    </row>
    <row r="2022">
      <c r="A2022" s="48" t="inlineStr">
        <is>
          <t>BPM_FTR_XLGDTD</t>
        </is>
      </c>
      <c r="B2022" s="48" t="inlineStr">
        <is>
          <t>SILVER_CONSUMER</t>
        </is>
      </c>
      <c r="C2022" s="48" t="inlineStr">
        <is>
          <t>X.1</t>
        </is>
      </c>
      <c r="D2022" s="48" t="inlineStr">
        <is>
          <t>Nhom X - Bo sung Raffles</t>
        </is>
      </c>
      <c r="E2022" s="48" t="inlineStr">
        <is>
          <t>[Bổ sung] Link phải rút về current trước khi join (chống fan-out)</t>
        </is>
      </c>
      <c r="F2022" s="49" t="inlineStr">
        <is>
          <t>PASS</t>
        </is>
      </c>
      <c r="G2022" s="48" t="inlineStr">
        <is>
          <t>Pass</t>
        </is>
      </c>
      <c r="H2022" s="50" t="inlineStr">
        <is>
          <t>các bảng link_* đều được rút về current trước khi join</t>
        </is>
      </c>
      <c r="I20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022" s="48" t="inlineStr">
        <is>
          <t>101.OCB_GOLD_TTDL_BPM_FTR_XLGDTD_THU.xlsx [Script: BPM_FTR_XLGDTD]</t>
        </is>
      </c>
    </row>
    <row r="2023">
      <c r="A2023" s="48" t="inlineStr">
        <is>
          <t>BPM_FTR_XLGDTD</t>
        </is>
      </c>
      <c r="B2023" s="48" t="inlineStr">
        <is>
          <t>SILVER_CONSUMER</t>
        </is>
      </c>
      <c r="C2023" s="48" t="inlineStr">
        <is>
          <t>X.6</t>
        </is>
      </c>
      <c r="D2023" s="48" t="inlineStr">
        <is>
          <t>Nhom X - Bo sung Raffles</t>
        </is>
      </c>
      <c r="E2023" s="48" t="inlineStr">
        <is>
          <t>[Bổ sung] Satellite phải LEFT JOIN, không INNER JOIN</t>
        </is>
      </c>
      <c r="F2023" s="49" t="inlineStr">
        <is>
          <t>PASS</t>
        </is>
      </c>
      <c r="G2023" s="48" t="inlineStr">
        <is>
          <t>Pass</t>
        </is>
      </c>
      <c r="H2023" s="50" t="inlineStr">
        <is>
          <t>các satellite đều LEFT JOIN</t>
        </is>
      </c>
      <c r="I2023" s="50" t="inlineStr">
        <is>
          <t>Technical Document III.4.2.2 nguyên tắc 1: làm giàu thuộc tính luôn dùng LEFT JOIN. INNER JOIN satellite sẽ loại mất bản ghi Hub đang còn hiệu lực nhưng chưa có dòng satellite.</t>
        </is>
      </c>
      <c r="J2023" s="48" t="inlineStr">
        <is>
          <t>101.OCB_GOLD_TTDL_BPM_FTR_XLGDTD_THU.xlsx [Script: BPM_FTR_XLGDTD]</t>
        </is>
      </c>
    </row>
    <row r="2024">
      <c r="A2024" s="48" t="inlineStr">
        <is>
          <t>BPM_FTR_XLGDTD</t>
        </is>
      </c>
      <c r="B2024" s="48" t="inlineStr">
        <is>
          <t>SILVER_CONSUMER</t>
        </is>
      </c>
      <c r="C2024" s="48" t="inlineStr">
        <is>
          <t>X.7</t>
        </is>
      </c>
      <c r="D2024" s="48" t="inlineStr">
        <is>
          <t>Nhom X - Bo sung Raffles</t>
        </is>
      </c>
      <c r="E2024" s="48" t="inlineStr">
        <is>
          <t>[Bổ sung] Không hard-code catalog, dùng biến môi trường</t>
        </is>
      </c>
      <c r="F2024" s="49" t="inlineStr">
        <is>
          <t>PASS</t>
        </is>
      </c>
      <c r="G2024" s="48" t="inlineStr">
        <is>
          <t>Pass</t>
        </is>
      </c>
      <c r="H2024" s="50" t="inlineStr">
        <is>
          <t>dùng biến môi trường cho catalog</t>
        </is>
      </c>
      <c r="I20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024" s="48" t="inlineStr">
        <is>
          <t>101.OCB_GOLD_TTDL_BPM_FTR_XLGDTD_THU.xlsx [Script: BPM_FTR_XLGDTD]</t>
        </is>
      </c>
    </row>
    <row r="2025">
      <c r="A2025" s="48" t="inlineStr">
        <is>
          <t>BPM_FTR_XLGDTD</t>
        </is>
      </c>
      <c r="B2025" s="48" t="inlineStr">
        <is>
          <t>SILVER_CONSUMER</t>
        </is>
      </c>
      <c r="C2025" s="48" t="inlineStr">
        <is>
          <t>X.10</t>
        </is>
      </c>
      <c r="D2025" s="48" t="inlineStr">
        <is>
          <t>Nhom X - Bo sung Raffles</t>
        </is>
      </c>
      <c r="E2025" s="48" t="inlineStr">
        <is>
          <t>Bang raw_vault/business_vault duoc doc phai TON TAI THAT trong Data Vault model</t>
        </is>
      </c>
      <c r="F2025" s="49" t="inlineStr">
        <is>
          <t>PASS</t>
        </is>
      </c>
      <c r="G2025" s="48" t="inlineStr">
        <is>
          <t>Pass</t>
        </is>
      </c>
      <c r="H2025" s="50" t="inlineStr">
        <is>
          <t>14 bảng Silver đều có thật trong Data Vault model</t>
        </is>
      </c>
      <c r="I2025" s="50" t="inlineStr"/>
      <c r="J2025" s="48" t="inlineStr">
        <is>
          <t>101.OCB_GOLD_TTDL_BPM_FTR_XLGDTD_THU.xlsx [Script: BPM_FTR_XLGDTD]</t>
        </is>
      </c>
    </row>
    <row r="2026">
      <c r="A2026" s="48" t="inlineStr">
        <is>
          <t>BPM_FTR_XLGDTD</t>
        </is>
      </c>
      <c r="B2026" s="48" t="inlineStr">
        <is>
          <t>SILVER_CONSUMER</t>
        </is>
      </c>
      <c r="C2026" s="48" t="inlineStr">
        <is>
          <t>X.11</t>
        </is>
      </c>
      <c r="D2026" s="48" t="inlineStr">
        <is>
          <t>Nhom X - Bo sung Raffles</t>
        </is>
      </c>
      <c r="E2026" s="48" t="inlineStr">
        <is>
          <t>Cot doc tu satellite (sat_*) phai TON TAI THAT trong model</t>
        </is>
      </c>
      <c r="F2026" s="49" t="inlineStr">
        <is>
          <t>PASS</t>
        </is>
      </c>
      <c r="G2026" s="48" t="inlineStr">
        <is>
          <t>Pass</t>
        </is>
      </c>
      <c r="H2026" s="50" t="inlineStr">
        <is>
          <t>mọi cột đọc từ sat_* đều tồn tại trong model thật</t>
        </is>
      </c>
      <c r="I2026" s="50" t="inlineStr"/>
      <c r="J2026" s="48" t="inlineStr">
        <is>
          <t>101.OCB_GOLD_TTDL_BPM_FTR_XLGDTD_THU.xlsx [Script: BPM_FTR_XLGDTD]</t>
        </is>
      </c>
    </row>
    <row r="2027">
      <c r="A2027" s="48" t="inlineStr">
        <is>
          <t>BPM_TDCN_NVCT</t>
        </is>
      </c>
      <c r="B2027" s="48" t="inlineStr">
        <is>
          <t>SILVER_CONSUMER</t>
        </is>
      </c>
      <c r="C2027" s="48" t="inlineStr">
        <is>
          <t>1.1</t>
        </is>
      </c>
      <c r="D2027" s="48" t="inlineStr">
        <is>
          <t>Nhom 1 - Mapping</t>
        </is>
      </c>
      <c r="E2027" s="48" t="inlineStr">
        <is>
          <t>Đầy đủ mapping từ Silver/manual sang Gold</t>
        </is>
      </c>
      <c r="F2027" s="49" t="inlineStr">
        <is>
          <t>PASS</t>
        </is>
      </c>
      <c r="G2027" s="48" t="inlineStr">
        <is>
          <t>Pass</t>
        </is>
      </c>
      <c r="H2027" s="50" t="inlineStr">
        <is>
          <t>workbook 106.OCB_GOLD_TTDL_BPM_TDCN_NVCT_THU.xlsx: thiết kế 6 field, SQL có 6 cột</t>
        </is>
      </c>
      <c r="I20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27" s="48" t="inlineStr">
        <is>
          <t>106.OCB_GOLD_TTDL_BPM_TDCN_NVCT_THU.xlsx [Script: BPM_TDCN_NVCT]</t>
        </is>
      </c>
    </row>
    <row r="2028">
      <c r="A2028" s="48" t="inlineStr">
        <is>
          <t>BPM_TDCN_NVCT</t>
        </is>
      </c>
      <c r="B2028" s="48" t="inlineStr">
        <is>
          <t>SILVER_CONSUMER</t>
        </is>
      </c>
      <c r="C2028" s="48" t="inlineStr">
        <is>
          <t>1.2</t>
        </is>
      </c>
      <c r="D2028" s="48" t="inlineStr">
        <is>
          <t>Nhom 1 - Mapping</t>
        </is>
      </c>
      <c r="E2028" s="48" t="inlineStr">
        <is>
          <t>Danh sách bảng/view Gold khớp tài liệu thiết kế đã duyệt</t>
        </is>
      </c>
      <c r="F2028" s="49" t="inlineStr">
        <is>
          <t>PASS</t>
        </is>
      </c>
      <c r="G2028" s="48" t="inlineStr">
        <is>
          <t>Pass</t>
        </is>
      </c>
      <c r="H2028" s="50" t="inlineStr">
        <is>
          <t>BPM_TDCN_NVCT có workbook thiết kế: 106.OCB_GOLD_TTDL_BPM_TDCN_NVCT_THU.xlsx</t>
        </is>
      </c>
      <c r="I2028" s="50" t="inlineStr">
        <is>
          <t>Đảm bảo object có workbook thiết kế tương ứng trong thư mục --mapping-dir. Muốn đối chiếu với danh sách đã duyệt thì chạy thêm tham số --gold-list "&lt;file danh sách Gold&gt;.xlsx".</t>
        </is>
      </c>
      <c r="J2028" s="48" t="inlineStr">
        <is>
          <t>106.OCB_GOLD_TTDL_BPM_TDCN_NVCT_THU.xlsx [Script: BPM_TDCN_NVCT]</t>
        </is>
      </c>
    </row>
    <row r="2029">
      <c r="A2029" s="48" t="inlineStr">
        <is>
          <t>BPM_TDCN_NVCT</t>
        </is>
      </c>
      <c r="B2029" s="48" t="inlineStr">
        <is>
          <t>SILVER_CONSUMER</t>
        </is>
      </c>
      <c r="C2029" s="48" t="inlineStr">
        <is>
          <t>2.1</t>
        </is>
      </c>
      <c r="D2029" s="48" t="inlineStr">
        <is>
          <t>Nhom 2 - Logic</t>
        </is>
      </c>
      <c r="E2029" s="48" t="inlineStr">
        <is>
          <t>Chỉ lấy bản ghi active, loại bản ghi đã xóa (qua sts_hub)</t>
        </is>
      </c>
      <c r="F2029" s="49" t="inlineStr">
        <is>
          <t>PASS</t>
        </is>
      </c>
      <c r="G2029" s="48" t="inlineStr">
        <is>
          <t>Pass</t>
        </is>
      </c>
      <c r="H2029" s="50" t="inlineStr">
        <is>
          <t>không dùng sts_hub_* (không có yêu cầu nghiệp vụ giữ bản ghi đã xóa)</t>
        </is>
      </c>
      <c r="I20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29" s="48" t="inlineStr">
        <is>
          <t>106.OCB_GOLD_TTDL_BPM_TDCN_NVCT_THU.xlsx [Script: BPM_TDCN_NVCT]</t>
        </is>
      </c>
    </row>
    <row r="2030">
      <c r="A2030" s="48" t="inlineStr">
        <is>
          <t>BPM_TDCN_NVCT</t>
        </is>
      </c>
      <c r="B2030" s="48" t="inlineStr">
        <is>
          <t>SILVER_CONSUMER</t>
        </is>
      </c>
      <c r="C2030" s="48" t="inlineStr">
        <is>
          <t>2.2</t>
        </is>
      </c>
      <c r="D2030" s="48" t="inlineStr">
        <is>
          <t>Nhom 2 - Logic</t>
        </is>
      </c>
      <c r="E2030" s="48" t="inlineStr">
        <is>
          <t>Thống nhất MỘT pattern duy nhất xác định bản ghi active mới nhất</t>
        </is>
      </c>
      <c r="F2030" s="49" t="inlineStr">
        <is>
          <t>PASS</t>
        </is>
      </c>
      <c r="G2030" s="48" t="inlineStr">
        <is>
          <t>Pass</t>
        </is>
      </c>
      <c r="H2030" s="50" t="inlineStr">
        <is>
          <t>file này dùng: ['MAX_BY']; toàn batch dùng: ['MAX_BY']</t>
        </is>
      </c>
      <c r="I20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30" s="48" t="inlineStr">
        <is>
          <t>106.OCB_GOLD_TTDL_BPM_TDCN_NVCT_THU.xlsx [Script: BPM_TDCN_NVCT]</t>
        </is>
      </c>
    </row>
    <row r="2031">
      <c r="A2031" s="48" t="inlineStr">
        <is>
          <t>BPM_TDCN_NVCT</t>
        </is>
      </c>
      <c r="B2031" s="48" t="inlineStr">
        <is>
          <t>SILVER_CONSUMER</t>
        </is>
      </c>
      <c r="C2031" s="48" t="inlineStr">
        <is>
          <t>2.3</t>
        </is>
      </c>
      <c r="D2031" s="48" t="inlineStr">
        <is>
          <t>Nhom 2 - Logic</t>
        </is>
      </c>
      <c r="E2031" s="48" t="inlineStr">
        <is>
          <t>Điều kiện lọc trạng thái đặt SAU khi xác định bản ghi mới nhất</t>
        </is>
      </c>
      <c r="F2031" s="49" t="inlineStr">
        <is>
          <t>PASS</t>
        </is>
      </c>
      <c r="G2031" s="48" t="inlineStr">
        <is>
          <t>Pass</t>
        </is>
      </c>
      <c r="H2031" s="50" t="inlineStr">
        <is>
          <t>không có điều kiện trạng thái nào lồng trong JOIN ON</t>
        </is>
      </c>
      <c r="I20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31" s="48" t="inlineStr">
        <is>
          <t>106.OCB_GOLD_TTDL_BPM_TDCN_NVCT_THU.xlsx [Script: BPM_TDCN_NVCT]</t>
        </is>
      </c>
    </row>
    <row r="2032">
      <c r="A2032" s="48" t="inlineStr">
        <is>
          <t>BPM_TDCN_NVCT</t>
        </is>
      </c>
      <c r="B2032" s="48" t="inlineStr">
        <is>
          <t>SILVER_CONSUMER</t>
        </is>
      </c>
      <c r="C2032" s="48" t="inlineStr">
        <is>
          <t>2.4</t>
        </is>
      </c>
      <c r="D2032" s="48" t="inlineStr">
        <is>
          <t>Nhom 2 - Logic</t>
        </is>
      </c>
      <c r="E2032" s="48" t="inlineStr">
        <is>
          <t>source_event_date áp dụng đúng dạng theo loại bảng</t>
        </is>
      </c>
      <c r="F2032" s="49" t="inlineStr">
        <is>
          <t>PASS</t>
        </is>
      </c>
      <c r="G2032" s="48" t="inlineStr">
        <is>
          <t>Pass</t>
        </is>
      </c>
      <c r="H2032" s="50" t="inlineStr">
        <is>
          <t>2 satellite đều đúng dạng điều kiện source_event_date</t>
        </is>
      </c>
      <c r="I20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32" s="48" t="inlineStr">
        <is>
          <t>106.OCB_GOLD_TTDL_BPM_TDCN_NVCT_THU.xlsx [Script: BPM_TDCN_NVCT]</t>
        </is>
      </c>
    </row>
    <row r="2033">
      <c r="A2033" s="48" t="inlineStr">
        <is>
          <t>BPM_TDCN_NVCT</t>
        </is>
      </c>
      <c r="B2033" s="48" t="inlineStr">
        <is>
          <t>SILVER_CONSUMER</t>
        </is>
      </c>
      <c r="C2033" s="48" t="inlineStr">
        <is>
          <t>2.5</t>
        </is>
      </c>
      <c r="D2033" s="48" t="inlineStr">
        <is>
          <t>Nhom 2 - Logic</t>
        </is>
      </c>
      <c r="E2033" s="48" t="inlineStr">
        <is>
          <t>Không lặp lại lỗi logic cũ đã được DA Data Vault fix</t>
        </is>
      </c>
      <c r="F2033" s="49" t="inlineStr">
        <is>
          <t>PASS</t>
        </is>
      </c>
      <c r="G2033" s="48" t="inlineStr">
        <is>
          <t>Pass</t>
        </is>
      </c>
      <c r="H2033" s="50" t="inlineStr">
        <is>
          <t>không trùng lỗi nào trong Issue log của DA Data Vault</t>
        </is>
      </c>
      <c r="I20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33" s="48" t="inlineStr">
        <is>
          <t>106.OCB_GOLD_TTDL_BPM_TDCN_NVCT_THU.xlsx [Script: BPM_TDCN_NVCT]</t>
        </is>
      </c>
    </row>
    <row r="2034">
      <c r="A2034" s="48" t="inlineStr">
        <is>
          <t>BPM_TDCN_NVCT</t>
        </is>
      </c>
      <c r="B2034" s="48" t="inlineStr">
        <is>
          <t>SILVER_CONSUMER</t>
        </is>
      </c>
      <c r="C2034" s="48" t="inlineStr">
        <is>
          <t>2.6</t>
        </is>
      </c>
      <c r="D2034" s="48" t="inlineStr">
        <is>
          <t>Nhom 2 - Logic</t>
        </is>
      </c>
      <c r="E2034" s="48" t="inlineStr">
        <is>
          <t>SCD Type 2 cho bảng DIM áp dụng đúng kỹ thuật đã thống nhất</t>
        </is>
      </c>
      <c r="F2034" s="48" t="inlineStr">
        <is>
          <t>N-A</t>
        </is>
      </c>
      <c r="G2034" s="48" t="inlineStr">
        <is>
          <t>Pass</t>
        </is>
      </c>
      <c r="H2034" s="50" t="inlineStr">
        <is>
          <t>object không phải bảng DIM nên không áp dụng SCD Type 2</t>
        </is>
      </c>
      <c r="I20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34" s="48" t="inlineStr">
        <is>
          <t>106.OCB_GOLD_TTDL_BPM_TDCN_NVCT_THU.xlsx [Script: BPM_TDCN_NVCT]</t>
        </is>
      </c>
    </row>
    <row r="2035">
      <c r="A2035" s="48" t="inlineStr">
        <is>
          <t>BPM_TDCN_NVCT</t>
        </is>
      </c>
      <c r="B2035" s="48" t="inlineStr">
        <is>
          <t>SILVER_CONSUMER</t>
        </is>
      </c>
      <c r="C2035" s="48" t="inlineStr">
        <is>
          <t>2.7</t>
        </is>
      </c>
      <c r="D2035" s="48" t="inlineStr">
        <is>
          <t>Nhom 2 - Logic</t>
        </is>
      </c>
      <c r="E2035" s="48" t="inlineStr">
        <is>
          <t>CASE WHEN cover đủ nhánh như job on-prem</t>
        </is>
      </c>
      <c r="F2035" s="48" t="inlineStr">
        <is>
          <t>N-A</t>
        </is>
      </c>
      <c r="G2035" s="48" t="inlineStr">
        <is>
          <t>Pass</t>
        </is>
      </c>
      <c r="H2035" s="50" t="inlineStr">
        <is>
          <t>script không có CASE WHEN nào</t>
        </is>
      </c>
      <c r="I2035" s="50" t="inlineStr">
        <is>
          <t>Mở job on-prem tương ứng (DataStage DSX hoặc SQL cũ), đối chiếu từng nhánh WHEN và cả nhánh ELSE. CASE không có ELSE sẽ trả NULL âm thầm — xác nhận đó là ý muốn hay thiếu nhánh.</t>
        </is>
      </c>
      <c r="J2035" s="48" t="inlineStr">
        <is>
          <t>106.OCB_GOLD_TTDL_BPM_TDCN_NVCT_THU.xlsx [Script: BPM_TDCN_NVCT]</t>
        </is>
      </c>
    </row>
    <row r="2036">
      <c r="A2036" s="48" t="inlineStr">
        <is>
          <t>BPM_TDCN_NVCT</t>
        </is>
      </c>
      <c r="B2036" s="48" t="inlineStr">
        <is>
          <t>SILVER_CONSUMER</t>
        </is>
      </c>
      <c r="C2036" s="48" t="inlineStr">
        <is>
          <t>2.8</t>
        </is>
      </c>
      <c r="D2036" s="48" t="inlineStr">
        <is>
          <t>Nhom 2 - Logic</t>
        </is>
      </c>
      <c r="E2036" s="48" t="inlineStr">
        <is>
          <t>Cột SUM/COUNT được COALESCE/NVL hợp lý</t>
        </is>
      </c>
      <c r="F2036" s="49" t="inlineStr">
        <is>
          <t>PASS</t>
        </is>
      </c>
      <c r="G2036" s="48" t="inlineStr">
        <is>
          <t>Pass</t>
        </is>
      </c>
      <c r="H2036" s="50" t="inlineStr">
        <is>
          <t>mọi SUM/COUNT đều đã coalesce (trực tiếp hoặc ở lớp ngoài)</t>
        </is>
      </c>
      <c r="I20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036" s="48" t="inlineStr">
        <is>
          <t>106.OCB_GOLD_TTDL_BPM_TDCN_NVCT_THU.xlsx [Script: BPM_TDCN_NVCT]</t>
        </is>
      </c>
    </row>
    <row r="2037">
      <c r="A2037" s="48" t="inlineStr">
        <is>
          <t>BPM_TDCN_NVCT</t>
        </is>
      </c>
      <c r="B2037" s="48" t="inlineStr">
        <is>
          <t>SILVER_CONSUMER</t>
        </is>
      </c>
      <c r="C2037" s="48" t="inlineStr">
        <is>
          <t>2.9</t>
        </is>
      </c>
      <c r="D2037" s="48" t="inlineStr">
        <is>
          <t>Nhom 2 - Logic</t>
        </is>
      </c>
      <c r="E2037" s="48" t="inlineStr">
        <is>
          <t>Subquery / custom function / điều kiện LIKE đúng ý nghĩa nghiệp vụ</t>
        </is>
      </c>
      <c r="F2037" s="48" t="inlineStr">
        <is>
          <t>N-A</t>
        </is>
      </c>
      <c r="G2037" s="48" t="inlineStr">
        <is>
          <t>Pass</t>
        </is>
      </c>
      <c r="H2037" s="50" t="inlineStr">
        <is>
          <t>script không có điều kiện LIKE hay scalar subquery nào</t>
        </is>
      </c>
      <c r="I2037" s="50" t="inlineStr">
        <is>
          <t>Đọc lại từng điều kiện LIKE và từng subquery, đối chiếu ý nghĩa nghiệp vụ với on-prem — đúng cú pháp không đủ. Chú ý pattern LIKE có ký tự % ở đầu/cuối và phân biệt chữ hoa/thường.</t>
        </is>
      </c>
      <c r="J2037" s="48" t="inlineStr">
        <is>
          <t>106.OCB_GOLD_TTDL_BPM_TDCN_NVCT_THU.xlsx [Script: BPM_TDCN_NVCT]</t>
        </is>
      </c>
    </row>
    <row r="2038">
      <c r="A2038" s="48" t="inlineStr">
        <is>
          <t>BPM_TDCN_NVCT</t>
        </is>
      </c>
      <c r="B2038" s="48" t="inlineStr">
        <is>
          <t>SILVER_CONSUMER</t>
        </is>
      </c>
      <c r="C2038" s="48" t="inlineStr">
        <is>
          <t>2.10</t>
        </is>
      </c>
      <c r="D2038" s="48" t="inlineStr">
        <is>
          <t>Nhom 2 - Logic</t>
        </is>
      </c>
      <c r="E2038" s="48" t="inlineStr">
        <is>
          <t>Aggregation kèm filter date range chính xác</t>
        </is>
      </c>
      <c r="F2038" s="49" t="inlineStr">
        <is>
          <t>PASS</t>
        </is>
      </c>
      <c r="G2038" s="48" t="inlineStr">
        <is>
          <t>Pass</t>
        </is>
      </c>
      <c r="H2038" s="50" t="inlineStr">
        <is>
          <t>mọi khối tổng hợp đều có điều kiện theo kỳ dữ liệu</t>
        </is>
      </c>
      <c r="I2038" s="50" t="inlineStr">
        <is>
          <t>Mỗi khối SUM/COUNT/AVG phải có điều kiện lọc theo kỳ dữ liệu (CDR_DT_ID, DATA_DATE, :DATADT…). Nếu điều kiện nằm ở CTE nguồn thì ghi rõ trong comment để người review không phải truy ngược.</t>
        </is>
      </c>
      <c r="J2038" s="48" t="inlineStr">
        <is>
          <t>106.OCB_GOLD_TTDL_BPM_TDCN_NVCT_THU.xlsx [Script: BPM_TDCN_NVCT]</t>
        </is>
      </c>
    </row>
    <row r="2039">
      <c r="A2039" s="48" t="inlineStr">
        <is>
          <t>BPM_TDCN_NVCT</t>
        </is>
      </c>
      <c r="B2039" s="48" t="inlineStr">
        <is>
          <t>SILVER_CONSUMER</t>
        </is>
      </c>
      <c r="C2039" s="48" t="inlineStr">
        <is>
          <t>2.11</t>
        </is>
      </c>
      <c r="D2039" s="48" t="inlineStr">
        <is>
          <t>Nhom 2 - Logic</t>
        </is>
      </c>
      <c r="E2039" s="48" t="inlineStr">
        <is>
          <t>Join dùng key hợp lý, không lạm dụng UNION ALL + EXISTS/NOT EXISTS</t>
        </is>
      </c>
      <c r="F2039" s="49" t="inlineStr">
        <is>
          <t>PASS</t>
        </is>
      </c>
      <c r="G2039" s="48" t="inlineStr">
        <is>
          <t>Pass</t>
        </is>
      </c>
      <c r="H2039" s="50" t="inlineStr">
        <is>
          <t>join đều theo điều kiện bằng, không lạm dụng UNION ALL + EXISTS</t>
        </is>
      </c>
      <c r="I2039" s="50" t="inlineStr">
        <is>
          <t>Ưu tiên LEFT JOIN theo business key hoặc hashkey. Xem lại các chỗ dùng UNION ALL kết hợp EXISTS/NOT EXISTS — thường thay được bằng một LEFT JOIN. Join không có điều kiện bằng (=) dễ tạo tích Descartes.</t>
        </is>
      </c>
      <c r="J2039" s="48" t="inlineStr">
        <is>
          <t>106.OCB_GOLD_TTDL_BPM_TDCN_NVCT_THU.xlsx [Script: BPM_TDCN_NVCT]</t>
        </is>
      </c>
    </row>
    <row r="2040">
      <c r="A2040" s="48" t="inlineStr">
        <is>
          <t>BPM_TDCN_NVCT</t>
        </is>
      </c>
      <c r="B2040" s="48" t="inlineStr">
        <is>
          <t>SILVER_CONSUMER</t>
        </is>
      </c>
      <c r="C2040" s="48" t="inlineStr">
        <is>
          <t>2.12</t>
        </is>
      </c>
      <c r="D2040" s="48" t="inlineStr">
        <is>
          <t>Nhom 2 - Logic</t>
        </is>
      </c>
      <c r="E2040" s="48" t="inlineStr">
        <is>
          <t>Build Gold từ CTE snapshot Silver, không build nhiều tầng chồng chéo</t>
        </is>
      </c>
      <c r="F2040" s="49" t="inlineStr">
        <is>
          <t>PASS</t>
        </is>
      </c>
      <c r="G2040" s="48" t="inlineStr">
        <is>
          <t>Pass</t>
        </is>
      </c>
      <c r="H2040" s="50" t="inlineStr">
        <is>
          <t>mỗi bảng nguồn chỉ đọc trong 1 khối SELECT</t>
        </is>
      </c>
      <c r="I20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040" s="48" t="inlineStr">
        <is>
          <t>106.OCB_GOLD_TTDL_BPM_TDCN_NVCT_THU.xlsx [Script: BPM_TDCN_NVCT]</t>
        </is>
      </c>
    </row>
    <row r="2041">
      <c r="A2041" s="48" t="inlineStr">
        <is>
          <t>BPM_TDCN_NVCT</t>
        </is>
      </c>
      <c r="B2041" s="48" t="inlineStr">
        <is>
          <t>SILVER_CONSUMER</t>
        </is>
      </c>
      <c r="C2041" s="48" t="inlineStr">
        <is>
          <t>3.1</t>
        </is>
      </c>
      <c r="D2041" s="48" t="inlineStr">
        <is>
          <t>Nhom 3 - Optimization</t>
        </is>
      </c>
      <c r="E2041" s="48" t="inlineStr">
        <is>
          <t>Không SELECT *</t>
        </is>
      </c>
      <c r="F2041" s="49" t="inlineStr">
        <is>
          <t>PASS</t>
        </is>
      </c>
      <c r="G2041" s="48" t="inlineStr">
        <is>
          <t>Pass</t>
        </is>
      </c>
      <c r="H2041" s="50" t="inlineStr">
        <is>
          <t>không dùng SELECT * ở đâu</t>
        </is>
      </c>
      <c r="I2041" s="50" t="inlineStr">
        <is>
          <t>Liệt kê tường minh các cột cần dùng, kể cả trong CTE trung gian. SELECT * làm tăng IO/memory và vỡ script khi bảng nguồn thêm cột.</t>
        </is>
      </c>
      <c r="J2041" s="48" t="inlineStr">
        <is>
          <t>106.OCB_GOLD_TTDL_BPM_TDCN_NVCT_THU.xlsx [Script: BPM_TDCN_NVCT]</t>
        </is>
      </c>
    </row>
    <row r="2042">
      <c r="A2042" s="48" t="inlineStr">
        <is>
          <t>BPM_TDCN_NVCT</t>
        </is>
      </c>
      <c r="B2042" s="48" t="inlineStr">
        <is>
          <t>SILVER_CONSUMER</t>
        </is>
      </c>
      <c r="C2042" s="48" t="inlineStr">
        <is>
          <t>3.2</t>
        </is>
      </c>
      <c r="D2042" s="48" t="inlineStr">
        <is>
          <t>Nhom 3 - Optimization</t>
        </is>
      </c>
      <c r="E2042" s="48" t="inlineStr">
        <is>
          <t>CTE không bị scan lại nhiều lần</t>
        </is>
      </c>
      <c r="F2042" s="49" t="inlineStr">
        <is>
          <t>PASS</t>
        </is>
      </c>
      <c r="G2042" s="48" t="inlineStr">
        <is>
          <t>Pass</t>
        </is>
      </c>
      <c r="H2042" s="50" t="inlineStr">
        <is>
          <t>không có CTE nào bị gọi lại</t>
        </is>
      </c>
      <c r="I2042" s="50" t="inlineStr">
        <is>
          <t>Với CTE nặng (đọc nhiều bảng Silver) bị tham chiếu từ 2 chỗ trở lên: gom lại còn một lần dùng, hoặc vật chất hóa (CACHE / bảng tạm). CTE nhẹ chỉ chứa tham số thì bỏ qua được — tự tick Pass.</t>
        </is>
      </c>
      <c r="J2042" s="48" t="inlineStr">
        <is>
          <t>106.OCB_GOLD_TTDL_BPM_TDCN_NVCT_THU.xlsx [Script: BPM_TDCN_NVCT]</t>
        </is>
      </c>
    </row>
    <row r="2043">
      <c r="A2043" s="48" t="inlineStr">
        <is>
          <t>BPM_TDCN_NVCT</t>
        </is>
      </c>
      <c r="B2043" s="48" t="inlineStr">
        <is>
          <t>SILVER_CONSUMER</t>
        </is>
      </c>
      <c r="C2043" s="48" t="inlineStr">
        <is>
          <t>3.3</t>
        </is>
      </c>
      <c r="D2043" s="48" t="inlineStr">
        <is>
          <t>Nhom 3 - Optimization</t>
        </is>
      </c>
      <c r="E2043" s="48" t="inlineStr">
        <is>
          <t>Filter trước khi join, tận dụng partition pruning</t>
        </is>
      </c>
      <c r="F2043" s="49" t="inlineStr">
        <is>
          <t>PASS</t>
        </is>
      </c>
      <c r="G2043" s="48" t="inlineStr">
        <is>
          <t>Pass</t>
        </is>
      </c>
      <c r="H2043" s="50" t="inlineStr">
        <is>
          <t>các bảng join đều được filter trước</t>
        </is>
      </c>
      <c r="I2043" s="50" t="inlineStr">
        <is>
          <t>Đưa điều kiện lọc (ngày dữ liệu, trạng thái) vào subquery của từng bảng TRƯỚC khi join, để tận dụng partition pruning. Bảng dim nhỏ không partition thì không cần — tự tick Pass.</t>
        </is>
      </c>
      <c r="J2043" s="48" t="inlineStr">
        <is>
          <t>106.OCB_GOLD_TTDL_BPM_TDCN_NVCT_THU.xlsx [Script: BPM_TDCN_NVCT]</t>
        </is>
      </c>
    </row>
    <row r="2044">
      <c r="A2044" s="48" t="inlineStr">
        <is>
          <t>BPM_TDCN_NVCT</t>
        </is>
      </c>
      <c r="B2044" s="48" t="inlineStr">
        <is>
          <t>SILVER_CONSUMER</t>
        </is>
      </c>
      <c r="C2044" s="48" t="inlineStr">
        <is>
          <t>3.4</t>
        </is>
      </c>
      <c r="D2044" s="48" t="inlineStr">
        <is>
          <t>Nhom 3 - Optimization</t>
        </is>
      </c>
      <c r="E2044" s="48" t="inlineStr">
        <is>
          <t>Sử dụng CACHE cho query lặp lại trong cùng luồng</t>
        </is>
      </c>
      <c r="F2044" s="48" t="inlineStr">
        <is>
          <t>N-A</t>
        </is>
      </c>
      <c r="G2044" s="48" t="inlineStr">
        <is>
          <t>Pass</t>
        </is>
      </c>
      <c r="H2044" s="50" t="inlineStr">
        <is>
          <t>không có kết quả nào được dùng lại nhiều lần nên chưa cần CACHE</t>
        </is>
      </c>
      <c r="I2044" s="50" t="inlineStr">
        <is>
          <t>Nếu một kết quả nặng được dùng lại nhiều bước trong cùng luồng, thêm CACHE TABLE / CACHE SELECT. Kết quả nhỏ thì cache còn chậm hơn — tự tick Pass.</t>
        </is>
      </c>
      <c r="J2044" s="48" t="inlineStr">
        <is>
          <t>106.OCB_GOLD_TTDL_BPM_TDCN_NVCT_THU.xlsx [Script: BPM_TDCN_NVCT]</t>
        </is>
      </c>
    </row>
    <row r="2045">
      <c r="A2045" s="48" t="inlineStr">
        <is>
          <t>BPM_TDCN_NVCT</t>
        </is>
      </c>
      <c r="B2045" s="48" t="inlineStr">
        <is>
          <t>SILVER_CONSUMER</t>
        </is>
      </c>
      <c r="C2045" s="48" t="inlineStr">
        <is>
          <t>3.5</t>
        </is>
      </c>
      <c r="D2045" s="48" t="inlineStr">
        <is>
          <t>Nhom 3 - Optimization</t>
        </is>
      </c>
      <c r="E2045" s="48" t="inlineStr">
        <is>
          <t>Ưu tiên MAX_BY + QUALIFY thay ROW_NUMBER() + WHERE rn = 1</t>
        </is>
      </c>
      <c r="F2045" s="48" t="inlineStr">
        <is>
          <t>N-A</t>
        </is>
      </c>
      <c r="G2045" s="48" t="inlineStr">
        <is>
          <t>Pass</t>
        </is>
      </c>
      <c r="H2045" s="50" t="inlineStr">
        <is>
          <t>script không dùng ROW_NUMBER, và MAX_BY (nếu có) không vượt quá 5 cột/khối</t>
        </is>
      </c>
      <c r="I20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45" s="48" t="inlineStr">
        <is>
          <t>106.OCB_GOLD_TTDL_BPM_TDCN_NVCT_THU.xlsx [Script: BPM_TDCN_NVCT]</t>
        </is>
      </c>
    </row>
    <row r="2046">
      <c r="A2046" s="48" t="inlineStr">
        <is>
          <t>BPM_TDCN_NVCT</t>
        </is>
      </c>
      <c r="B2046" s="48" t="inlineStr">
        <is>
          <t>SILVER_CONSUMER</t>
        </is>
      </c>
      <c r="C2046" s="48" t="inlineStr">
        <is>
          <t>3.6</t>
        </is>
      </c>
      <c r="D2046" s="48" t="inlineStr">
        <is>
          <t>Nhom 3 - Optimization</t>
        </is>
      </c>
      <c r="E2046" s="48" t="inlineStr">
        <is>
          <t>Không lạm dụng window function; có comment khi dùng</t>
        </is>
      </c>
      <c r="F2046" s="48" t="inlineStr">
        <is>
          <t>N-A</t>
        </is>
      </c>
      <c r="G2046" s="48" t="inlineStr">
        <is>
          <t>Pass</t>
        </is>
      </c>
      <c r="H2046" s="50" t="inlineStr">
        <is>
          <t>script không dùng window function</t>
        </is>
      </c>
      <c r="I2046" s="50" t="inlineStr">
        <is>
          <t>Mỗi window function cần một comment ngay trên khối CTE chứa nó, nói rõ vì sao không dùng được max_by/QUALIFY đơn giản hơn.</t>
        </is>
      </c>
      <c r="J2046" s="48" t="inlineStr">
        <is>
          <t>106.OCB_GOLD_TTDL_BPM_TDCN_NVCT_THU.xlsx [Script: BPM_TDCN_NVCT]</t>
        </is>
      </c>
    </row>
    <row r="2047">
      <c r="A2047" s="48" t="inlineStr">
        <is>
          <t>BPM_TDCN_NVCT</t>
        </is>
      </c>
      <c r="B2047" s="48" t="inlineStr">
        <is>
          <t>SILVER_CONSUMER</t>
        </is>
      </c>
      <c r="C2047" s="48" t="inlineStr">
        <is>
          <t>X.1</t>
        </is>
      </c>
      <c r="D2047" s="48" t="inlineStr">
        <is>
          <t>Nhom X - Bo sung Raffles</t>
        </is>
      </c>
      <c r="E2047" s="48" t="inlineStr">
        <is>
          <t>[Bổ sung] Link phải rút về current trước khi join (chống fan-out)</t>
        </is>
      </c>
      <c r="F2047" s="49" t="inlineStr">
        <is>
          <t>PASS</t>
        </is>
      </c>
      <c r="G2047" s="48" t="inlineStr">
        <is>
          <t>Pass</t>
        </is>
      </c>
      <c r="H2047" s="50" t="inlineStr">
        <is>
          <t>các bảng link_* đều được rút về current trước khi join</t>
        </is>
      </c>
      <c r="I20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047" s="48" t="inlineStr">
        <is>
          <t>106.OCB_GOLD_TTDL_BPM_TDCN_NVCT_THU.xlsx [Script: BPM_TDCN_NVCT]</t>
        </is>
      </c>
    </row>
    <row r="2048">
      <c r="A2048" s="48" t="inlineStr">
        <is>
          <t>BPM_TDCN_NVCT</t>
        </is>
      </c>
      <c r="B2048" s="48" t="inlineStr">
        <is>
          <t>SILVER_CONSUMER</t>
        </is>
      </c>
      <c r="C2048" s="48" t="inlineStr">
        <is>
          <t>X.6</t>
        </is>
      </c>
      <c r="D2048" s="48" t="inlineStr">
        <is>
          <t>Nhom X - Bo sung Raffles</t>
        </is>
      </c>
      <c r="E2048" s="48" t="inlineStr">
        <is>
          <t>[Bổ sung] Satellite phải LEFT JOIN, không INNER JOIN</t>
        </is>
      </c>
      <c r="F2048" s="49" t="inlineStr">
        <is>
          <t>PASS</t>
        </is>
      </c>
      <c r="G2048" s="48" t="inlineStr">
        <is>
          <t>Pass</t>
        </is>
      </c>
      <c r="H2048" s="50" t="inlineStr">
        <is>
          <t>các satellite đều LEFT JOIN</t>
        </is>
      </c>
      <c r="I2048" s="50" t="inlineStr">
        <is>
          <t>Technical Document III.4.2.2 nguyên tắc 1: làm giàu thuộc tính luôn dùng LEFT JOIN. INNER JOIN satellite sẽ loại mất bản ghi Hub đang còn hiệu lực nhưng chưa có dòng satellite.</t>
        </is>
      </c>
      <c r="J2048" s="48" t="inlineStr">
        <is>
          <t>106.OCB_GOLD_TTDL_BPM_TDCN_NVCT_THU.xlsx [Script: BPM_TDCN_NVCT]</t>
        </is>
      </c>
    </row>
    <row r="2049">
      <c r="A2049" s="48" t="inlineStr">
        <is>
          <t>BPM_TDCN_NVCT</t>
        </is>
      </c>
      <c r="B2049" s="48" t="inlineStr">
        <is>
          <t>SILVER_CONSUMER</t>
        </is>
      </c>
      <c r="C2049" s="48" t="inlineStr">
        <is>
          <t>X.7</t>
        </is>
      </c>
      <c r="D2049" s="48" t="inlineStr">
        <is>
          <t>Nhom X - Bo sung Raffles</t>
        </is>
      </c>
      <c r="E2049" s="48" t="inlineStr">
        <is>
          <t>[Bổ sung] Không hard-code catalog, dùng biến môi trường</t>
        </is>
      </c>
      <c r="F2049" s="49" t="inlineStr">
        <is>
          <t>PASS</t>
        </is>
      </c>
      <c r="G2049" s="48" t="inlineStr">
        <is>
          <t>Pass</t>
        </is>
      </c>
      <c r="H2049" s="50" t="inlineStr">
        <is>
          <t>dùng biến môi trường cho catalog</t>
        </is>
      </c>
      <c r="I20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049" s="48" t="inlineStr">
        <is>
          <t>106.OCB_GOLD_TTDL_BPM_TDCN_NVCT_THU.xlsx [Script: BPM_TDCN_NVCT]</t>
        </is>
      </c>
    </row>
    <row r="2050">
      <c r="A2050" s="48" t="inlineStr">
        <is>
          <t>BPM_TDCN_NVCT</t>
        </is>
      </c>
      <c r="B2050" s="48" t="inlineStr">
        <is>
          <t>SILVER_CONSUMER</t>
        </is>
      </c>
      <c r="C2050" s="48" t="inlineStr">
        <is>
          <t>X.10</t>
        </is>
      </c>
      <c r="D2050" s="48" t="inlineStr">
        <is>
          <t>Nhom X - Bo sung Raffles</t>
        </is>
      </c>
      <c r="E2050" s="48" t="inlineStr">
        <is>
          <t>Bang raw_vault/business_vault duoc doc phai TON TAI THAT trong Data Vault model</t>
        </is>
      </c>
      <c r="F2050" s="49" t="inlineStr">
        <is>
          <t>PASS</t>
        </is>
      </c>
      <c r="G2050" s="48" t="inlineStr">
        <is>
          <t>Pass</t>
        </is>
      </c>
      <c r="H2050" s="50" t="inlineStr">
        <is>
          <t>4 bảng Silver đều có thật trong Data Vault model</t>
        </is>
      </c>
      <c r="I2050" s="50" t="inlineStr"/>
      <c r="J2050" s="48" t="inlineStr">
        <is>
          <t>106.OCB_GOLD_TTDL_BPM_TDCN_NVCT_THU.xlsx [Script: BPM_TDCN_NVCT]</t>
        </is>
      </c>
    </row>
    <row r="2051">
      <c r="A2051" s="48" t="inlineStr">
        <is>
          <t>BPM_TDCN_NVCT</t>
        </is>
      </c>
      <c r="B2051" s="48" t="inlineStr">
        <is>
          <t>SILVER_CONSUMER</t>
        </is>
      </c>
      <c r="C2051" s="48" t="inlineStr">
        <is>
          <t>X.11</t>
        </is>
      </c>
      <c r="D2051" s="48" t="inlineStr">
        <is>
          <t>Nhom X - Bo sung Raffles</t>
        </is>
      </c>
      <c r="E2051" s="48" t="inlineStr">
        <is>
          <t>Cot doc tu satellite (sat_*) phai TON TAI THAT trong model</t>
        </is>
      </c>
      <c r="F2051" s="49" t="inlineStr">
        <is>
          <t>PASS</t>
        </is>
      </c>
      <c r="G2051" s="48" t="inlineStr">
        <is>
          <t>Pass</t>
        </is>
      </c>
      <c r="H2051" s="50" t="inlineStr">
        <is>
          <t>mọi cột đọc từ sat_* đều tồn tại trong model thật</t>
        </is>
      </c>
      <c r="I2051" s="50" t="inlineStr"/>
      <c r="J2051" s="48" t="inlineStr">
        <is>
          <t>106.OCB_GOLD_TTDL_BPM_TDCN_NVCT_THU.xlsx [Script: BPM_TDCN_NVCT]</t>
        </is>
      </c>
    </row>
    <row r="2052">
      <c r="A2052" s="48" t="inlineStr">
        <is>
          <t>BPM_TDCN_YCBS</t>
        </is>
      </c>
      <c r="B2052" s="48" t="inlineStr">
        <is>
          <t>SILVER_CONSUMER</t>
        </is>
      </c>
      <c r="C2052" s="48" t="inlineStr">
        <is>
          <t>1.1</t>
        </is>
      </c>
      <c r="D2052" s="48" t="inlineStr">
        <is>
          <t>Nhom 1 - Mapping</t>
        </is>
      </c>
      <c r="E2052" s="48" t="inlineStr">
        <is>
          <t>Đầy đủ mapping từ Silver/manual sang Gold</t>
        </is>
      </c>
      <c r="F2052" s="49" t="inlineStr">
        <is>
          <t>PASS</t>
        </is>
      </c>
      <c r="G2052" s="48" t="inlineStr">
        <is>
          <t>Pass</t>
        </is>
      </c>
      <c r="H2052" s="50" t="inlineStr">
        <is>
          <t>workbook 107.OCB_GOLD_TTDL_BPM_TDCN_YCBS_THU.xlsx: thiết kế 3 field, SQL có 3 cột</t>
        </is>
      </c>
      <c r="I20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52" s="48" t="inlineStr">
        <is>
          <t>107.OCB_GOLD_TTDL_BPM_TDCN_YCBS_THU.xlsx [Script: BPM_TDCN_YCBS]</t>
        </is>
      </c>
    </row>
    <row r="2053">
      <c r="A2053" s="48" t="inlineStr">
        <is>
          <t>BPM_TDCN_YCBS</t>
        </is>
      </c>
      <c r="B2053" s="48" t="inlineStr">
        <is>
          <t>SILVER_CONSUMER</t>
        </is>
      </c>
      <c r="C2053" s="48" t="inlineStr">
        <is>
          <t>1.2</t>
        </is>
      </c>
      <c r="D2053" s="48" t="inlineStr">
        <is>
          <t>Nhom 1 - Mapping</t>
        </is>
      </c>
      <c r="E2053" s="48" t="inlineStr">
        <is>
          <t>Danh sách bảng/view Gold khớp tài liệu thiết kế đã duyệt</t>
        </is>
      </c>
      <c r="F2053" s="49" t="inlineStr">
        <is>
          <t>PASS</t>
        </is>
      </c>
      <c r="G2053" s="48" t="inlineStr">
        <is>
          <t>Pass</t>
        </is>
      </c>
      <c r="H2053" s="50" t="inlineStr">
        <is>
          <t>BPM_TDCN_YCBS có workbook thiết kế: 107.OCB_GOLD_TTDL_BPM_TDCN_YCBS_THU.xlsx</t>
        </is>
      </c>
      <c r="I2053" s="50" t="inlineStr">
        <is>
          <t>Đảm bảo object có workbook thiết kế tương ứng trong thư mục --mapping-dir. Muốn đối chiếu với danh sách đã duyệt thì chạy thêm tham số --gold-list "&lt;file danh sách Gold&gt;.xlsx".</t>
        </is>
      </c>
      <c r="J2053" s="48" t="inlineStr">
        <is>
          <t>107.OCB_GOLD_TTDL_BPM_TDCN_YCBS_THU.xlsx [Script: BPM_TDCN_YCBS]</t>
        </is>
      </c>
    </row>
    <row r="2054">
      <c r="A2054" s="48" t="inlineStr">
        <is>
          <t>BPM_TDCN_YCBS</t>
        </is>
      </c>
      <c r="B2054" s="48" t="inlineStr">
        <is>
          <t>SILVER_CONSUMER</t>
        </is>
      </c>
      <c r="C2054" s="48" t="inlineStr">
        <is>
          <t>2.1</t>
        </is>
      </c>
      <c r="D2054" s="48" t="inlineStr">
        <is>
          <t>Nhom 2 - Logic</t>
        </is>
      </c>
      <c r="E2054" s="48" t="inlineStr">
        <is>
          <t>Chỉ lấy bản ghi active, loại bản ghi đã xóa (qua sts_hub)</t>
        </is>
      </c>
      <c r="F2054" s="49" t="inlineStr">
        <is>
          <t>PASS</t>
        </is>
      </c>
      <c r="G2054" s="48" t="inlineStr">
        <is>
          <t>Pass</t>
        </is>
      </c>
      <c r="H2054" s="50" t="inlineStr">
        <is>
          <t>không dùng sts_hub_* (không có yêu cầu nghiệp vụ giữ bản ghi đã xóa)</t>
        </is>
      </c>
      <c r="I20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54" s="48" t="inlineStr">
        <is>
          <t>107.OCB_GOLD_TTDL_BPM_TDCN_YCBS_THU.xlsx [Script: BPM_TDCN_YCBS]</t>
        </is>
      </c>
    </row>
    <row r="2055">
      <c r="A2055" s="48" t="inlineStr">
        <is>
          <t>BPM_TDCN_YCBS</t>
        </is>
      </c>
      <c r="B2055" s="48" t="inlineStr">
        <is>
          <t>SILVER_CONSUMER</t>
        </is>
      </c>
      <c r="C2055" s="48" t="inlineStr">
        <is>
          <t>2.2</t>
        </is>
      </c>
      <c r="D2055" s="48" t="inlineStr">
        <is>
          <t>Nhom 2 - Logic</t>
        </is>
      </c>
      <c r="E2055" s="48" t="inlineStr">
        <is>
          <t>Thống nhất MỘT pattern duy nhất xác định bản ghi active mới nhất</t>
        </is>
      </c>
      <c r="F2055" s="49" t="inlineStr">
        <is>
          <t>PASS</t>
        </is>
      </c>
      <c r="G2055" s="48" t="inlineStr">
        <is>
          <t>Pass</t>
        </is>
      </c>
      <c r="H2055" s="50" t="inlineStr">
        <is>
          <t>file này dùng: ['MAX_BY']; toàn batch dùng: ['MAX_BY']</t>
        </is>
      </c>
      <c r="I20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55" s="48" t="inlineStr">
        <is>
          <t>107.OCB_GOLD_TTDL_BPM_TDCN_YCBS_THU.xlsx [Script: BPM_TDCN_YCBS]</t>
        </is>
      </c>
    </row>
    <row r="2056">
      <c r="A2056" s="48" t="inlineStr">
        <is>
          <t>BPM_TDCN_YCBS</t>
        </is>
      </c>
      <c r="B2056" s="48" t="inlineStr">
        <is>
          <t>SILVER_CONSUMER</t>
        </is>
      </c>
      <c r="C2056" s="48" t="inlineStr">
        <is>
          <t>2.3</t>
        </is>
      </c>
      <c r="D2056" s="48" t="inlineStr">
        <is>
          <t>Nhom 2 - Logic</t>
        </is>
      </c>
      <c r="E2056" s="48" t="inlineStr">
        <is>
          <t>Điều kiện lọc trạng thái đặt SAU khi xác định bản ghi mới nhất</t>
        </is>
      </c>
      <c r="F2056" s="49" t="inlineStr">
        <is>
          <t>PASS</t>
        </is>
      </c>
      <c r="G2056" s="48" t="inlineStr">
        <is>
          <t>Pass</t>
        </is>
      </c>
      <c r="H2056" s="50" t="inlineStr">
        <is>
          <t>không có điều kiện trạng thái nào lồng trong JOIN ON</t>
        </is>
      </c>
      <c r="I20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56" s="48" t="inlineStr">
        <is>
          <t>107.OCB_GOLD_TTDL_BPM_TDCN_YCBS_THU.xlsx [Script: BPM_TDCN_YCBS]</t>
        </is>
      </c>
    </row>
    <row r="2057">
      <c r="A2057" s="48" t="inlineStr">
        <is>
          <t>BPM_TDCN_YCBS</t>
        </is>
      </c>
      <c r="B2057" s="48" t="inlineStr">
        <is>
          <t>SILVER_CONSUMER</t>
        </is>
      </c>
      <c r="C2057" s="48" t="inlineStr">
        <is>
          <t>2.4</t>
        </is>
      </c>
      <c r="D2057" s="48" t="inlineStr">
        <is>
          <t>Nhom 2 - Logic</t>
        </is>
      </c>
      <c r="E2057" s="48" t="inlineStr">
        <is>
          <t>source_event_date áp dụng đúng dạng theo loại bảng</t>
        </is>
      </c>
      <c r="F2057" s="49" t="inlineStr">
        <is>
          <t>PASS</t>
        </is>
      </c>
      <c r="G2057" s="48" t="inlineStr">
        <is>
          <t>Pass</t>
        </is>
      </c>
      <c r="H2057" s="50" t="inlineStr">
        <is>
          <t>2 satellite đều đúng dạng điều kiện source_event_date</t>
        </is>
      </c>
      <c r="I20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57" s="48" t="inlineStr">
        <is>
          <t>107.OCB_GOLD_TTDL_BPM_TDCN_YCBS_THU.xlsx [Script: BPM_TDCN_YCBS]</t>
        </is>
      </c>
    </row>
    <row r="2058">
      <c r="A2058" s="48" t="inlineStr">
        <is>
          <t>BPM_TDCN_YCBS</t>
        </is>
      </c>
      <c r="B2058" s="48" t="inlineStr">
        <is>
          <t>SILVER_CONSUMER</t>
        </is>
      </c>
      <c r="C2058" s="48" t="inlineStr">
        <is>
          <t>2.5</t>
        </is>
      </c>
      <c r="D2058" s="48" t="inlineStr">
        <is>
          <t>Nhom 2 - Logic</t>
        </is>
      </c>
      <c r="E2058" s="48" t="inlineStr">
        <is>
          <t>Không lặp lại lỗi logic cũ đã được DA Data Vault fix</t>
        </is>
      </c>
      <c r="F2058" s="49" t="inlineStr">
        <is>
          <t>PASS</t>
        </is>
      </c>
      <c r="G2058" s="48" t="inlineStr">
        <is>
          <t>Pass</t>
        </is>
      </c>
      <c r="H2058" s="50" t="inlineStr">
        <is>
          <t>không trùng lỗi nào trong Issue log của DA Data Vault</t>
        </is>
      </c>
      <c r="I20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58" s="48" t="inlineStr">
        <is>
          <t>107.OCB_GOLD_TTDL_BPM_TDCN_YCBS_THU.xlsx [Script: BPM_TDCN_YCBS]</t>
        </is>
      </c>
    </row>
    <row r="2059">
      <c r="A2059" s="48" t="inlineStr">
        <is>
          <t>BPM_TDCN_YCBS</t>
        </is>
      </c>
      <c r="B2059" s="48" t="inlineStr">
        <is>
          <t>SILVER_CONSUMER</t>
        </is>
      </c>
      <c r="C2059" s="48" t="inlineStr">
        <is>
          <t>2.6</t>
        </is>
      </c>
      <c r="D2059" s="48" t="inlineStr">
        <is>
          <t>Nhom 2 - Logic</t>
        </is>
      </c>
      <c r="E2059" s="48" t="inlineStr">
        <is>
          <t>SCD Type 2 cho bảng DIM áp dụng đúng kỹ thuật đã thống nhất</t>
        </is>
      </c>
      <c r="F2059" s="48" t="inlineStr">
        <is>
          <t>N-A</t>
        </is>
      </c>
      <c r="G2059" s="48" t="inlineStr">
        <is>
          <t>Pass</t>
        </is>
      </c>
      <c r="H2059" s="50" t="inlineStr">
        <is>
          <t>object không phải bảng DIM nên không áp dụng SCD Type 2</t>
        </is>
      </c>
      <c r="I20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59" s="48" t="inlineStr">
        <is>
          <t>107.OCB_GOLD_TTDL_BPM_TDCN_YCBS_THU.xlsx [Script: BPM_TDCN_YCBS]</t>
        </is>
      </c>
    </row>
    <row r="2060">
      <c r="A2060" s="48" t="inlineStr">
        <is>
          <t>BPM_TDCN_YCBS</t>
        </is>
      </c>
      <c r="B2060" s="48" t="inlineStr">
        <is>
          <t>SILVER_CONSUMER</t>
        </is>
      </c>
      <c r="C2060" s="48" t="inlineStr">
        <is>
          <t>2.7</t>
        </is>
      </c>
      <c r="D2060" s="48" t="inlineStr">
        <is>
          <t>Nhom 2 - Logic</t>
        </is>
      </c>
      <c r="E2060" s="48" t="inlineStr">
        <is>
          <t>CASE WHEN cover đủ nhánh như job on-prem</t>
        </is>
      </c>
      <c r="F2060" s="49" t="inlineStr">
        <is>
          <t>PASS</t>
        </is>
      </c>
      <c r="G2060" s="48" t="inlineStr">
        <is>
          <t>Pass</t>
        </is>
      </c>
      <c r="H2060" s="50" t="inlineStr">
        <is>
          <t>cả 2 CASE đều có nhánh ELSE</t>
        </is>
      </c>
      <c r="I2060" s="50" t="inlineStr">
        <is>
          <t>Mở job on-prem tương ứng (DataStage DSX hoặc SQL cũ), đối chiếu từng nhánh WHEN và cả nhánh ELSE. CASE không có ELSE sẽ trả NULL âm thầm — xác nhận đó là ý muốn hay thiếu nhánh.</t>
        </is>
      </c>
      <c r="J2060" s="48" t="inlineStr">
        <is>
          <t>107.OCB_GOLD_TTDL_BPM_TDCN_YCBS_THU.xlsx [Script: BPM_TDCN_YCBS]</t>
        </is>
      </c>
    </row>
    <row r="2061">
      <c r="A2061" s="48" t="inlineStr">
        <is>
          <t>BPM_TDCN_YCBS</t>
        </is>
      </c>
      <c r="B2061" s="48" t="inlineStr">
        <is>
          <t>SILVER_CONSUMER</t>
        </is>
      </c>
      <c r="C2061" s="48" t="inlineStr">
        <is>
          <t>2.8</t>
        </is>
      </c>
      <c r="D2061" s="48" t="inlineStr">
        <is>
          <t>Nhom 2 - Logic</t>
        </is>
      </c>
      <c r="E2061" s="48" t="inlineStr">
        <is>
          <t>Cột SUM/COUNT được COALESCE/NVL hợp lý</t>
        </is>
      </c>
      <c r="F2061" s="51" t="inlineStr">
        <is>
          <t>WARN</t>
        </is>
      </c>
      <c r="G2061" s="48" t="inlineStr">
        <is>
          <t>WARN</t>
        </is>
      </c>
      <c r="H2061" s="50" t="inlineStr">
        <is>
          <t>2 biểu thức tổng hợp chưa coalesce: YCBS_DVTD_ST = SUM(CASE WHEN A.vai_tro_nguoi_xl = 448 THEN 1 ELSE 0 END); YCBS_DVTD_XL = SUM(CASE WHEN A.vai_tro_nguoi_xl = 450 THEN 1 ELSE 0 END); khi đối soát với hệ thống cũ phải bọc NVL/ISNULL CẢ HAI phía để không lệch khi trừ (Checklist RVN-OCB #11)</t>
        </is>
      </c>
      <c r="I20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061" s="48" t="inlineStr">
        <is>
          <t>107.OCB_GOLD_TTDL_BPM_TDCN_YCBS_THU.xlsx [Script: BPM_TDCN_YCBS]</t>
        </is>
      </c>
    </row>
    <row r="2062">
      <c r="A2062" s="48" t="inlineStr">
        <is>
          <t>BPM_TDCN_YCBS</t>
        </is>
      </c>
      <c r="B2062" s="48" t="inlineStr">
        <is>
          <t>SILVER_CONSUMER</t>
        </is>
      </c>
      <c r="C2062" s="48" t="inlineStr">
        <is>
          <t>2.9</t>
        </is>
      </c>
      <c r="D2062" s="48" t="inlineStr">
        <is>
          <t>Nhom 2 - Logic</t>
        </is>
      </c>
      <c r="E2062" s="48" t="inlineStr">
        <is>
          <t>Subquery / custom function / điều kiện LIKE đúng ý nghĩa nghiệp vụ</t>
        </is>
      </c>
      <c r="F2062" s="48" t="inlineStr">
        <is>
          <t>N-A</t>
        </is>
      </c>
      <c r="G2062" s="48" t="inlineStr">
        <is>
          <t>Pass</t>
        </is>
      </c>
      <c r="H2062" s="50" t="inlineStr">
        <is>
          <t>script không có điều kiện LIKE hay scalar subquery nào</t>
        </is>
      </c>
      <c r="I2062" s="50" t="inlineStr">
        <is>
          <t>Đọc lại từng điều kiện LIKE và từng subquery, đối chiếu ý nghĩa nghiệp vụ với on-prem — đúng cú pháp không đủ. Chú ý pattern LIKE có ký tự % ở đầu/cuối và phân biệt chữ hoa/thường.</t>
        </is>
      </c>
      <c r="J2062" s="48" t="inlineStr">
        <is>
          <t>107.OCB_GOLD_TTDL_BPM_TDCN_YCBS_THU.xlsx [Script: BPM_TDCN_YCBS]</t>
        </is>
      </c>
    </row>
    <row r="2063">
      <c r="A2063" s="48" t="inlineStr">
        <is>
          <t>BPM_TDCN_YCBS</t>
        </is>
      </c>
      <c r="B2063" s="48" t="inlineStr">
        <is>
          <t>SILVER_CONSUMER</t>
        </is>
      </c>
      <c r="C2063" s="48" t="inlineStr">
        <is>
          <t>2.10</t>
        </is>
      </c>
      <c r="D2063" s="48" t="inlineStr">
        <is>
          <t>Nhom 2 - Logic</t>
        </is>
      </c>
      <c r="E2063" s="48" t="inlineStr">
        <is>
          <t>Aggregation kèm filter date range chính xác</t>
        </is>
      </c>
      <c r="F2063" s="49" t="inlineStr">
        <is>
          <t>PASS</t>
        </is>
      </c>
      <c r="G2063" s="48" t="inlineStr">
        <is>
          <t>Pass</t>
        </is>
      </c>
      <c r="H2063" s="50" t="inlineStr">
        <is>
          <t>mọi khối tổng hợp đều có điều kiện theo kỳ dữ liệu</t>
        </is>
      </c>
      <c r="I2063" s="50" t="inlineStr">
        <is>
          <t>Mỗi khối SUM/COUNT/AVG phải có điều kiện lọc theo kỳ dữ liệu (CDR_DT_ID, DATA_DATE, :DATADT…). Nếu điều kiện nằm ở CTE nguồn thì ghi rõ trong comment để người review không phải truy ngược.</t>
        </is>
      </c>
      <c r="J2063" s="48" t="inlineStr">
        <is>
          <t>107.OCB_GOLD_TTDL_BPM_TDCN_YCBS_THU.xlsx [Script: BPM_TDCN_YCBS]</t>
        </is>
      </c>
    </row>
    <row r="2064">
      <c r="A2064" s="48" t="inlineStr">
        <is>
          <t>BPM_TDCN_YCBS</t>
        </is>
      </c>
      <c r="B2064" s="48" t="inlineStr">
        <is>
          <t>SILVER_CONSUMER</t>
        </is>
      </c>
      <c r="C2064" s="48" t="inlineStr">
        <is>
          <t>2.11</t>
        </is>
      </c>
      <c r="D2064" s="48" t="inlineStr">
        <is>
          <t>Nhom 2 - Logic</t>
        </is>
      </c>
      <c r="E2064" s="48" t="inlineStr">
        <is>
          <t>Join dùng key hợp lý, không lạm dụng UNION ALL + EXISTS/NOT EXISTS</t>
        </is>
      </c>
      <c r="F2064" s="49" t="inlineStr">
        <is>
          <t>PASS</t>
        </is>
      </c>
      <c r="G2064" s="48" t="inlineStr">
        <is>
          <t>Pass</t>
        </is>
      </c>
      <c r="H2064" s="50" t="inlineStr">
        <is>
          <t>join đều theo điều kiện bằng, không lạm dụng UNION ALL + EXISTS</t>
        </is>
      </c>
      <c r="I2064" s="50" t="inlineStr">
        <is>
          <t>Ưu tiên LEFT JOIN theo business key hoặc hashkey. Xem lại các chỗ dùng UNION ALL kết hợp EXISTS/NOT EXISTS — thường thay được bằng một LEFT JOIN. Join không có điều kiện bằng (=) dễ tạo tích Descartes.</t>
        </is>
      </c>
      <c r="J2064" s="48" t="inlineStr">
        <is>
          <t>107.OCB_GOLD_TTDL_BPM_TDCN_YCBS_THU.xlsx [Script: BPM_TDCN_YCBS]</t>
        </is>
      </c>
    </row>
    <row r="2065">
      <c r="A2065" s="48" t="inlineStr">
        <is>
          <t>BPM_TDCN_YCBS</t>
        </is>
      </c>
      <c r="B2065" s="48" t="inlineStr">
        <is>
          <t>SILVER_CONSUMER</t>
        </is>
      </c>
      <c r="C2065" s="48" t="inlineStr">
        <is>
          <t>2.12</t>
        </is>
      </c>
      <c r="D2065" s="48" t="inlineStr">
        <is>
          <t>Nhom 2 - Logic</t>
        </is>
      </c>
      <c r="E2065" s="48" t="inlineStr">
        <is>
          <t>Build Gold từ CTE snapshot Silver, không build nhiều tầng chồng chéo</t>
        </is>
      </c>
      <c r="F2065" s="49" t="inlineStr">
        <is>
          <t>PASS</t>
        </is>
      </c>
      <c r="G2065" s="48" t="inlineStr">
        <is>
          <t>Pass</t>
        </is>
      </c>
      <c r="H2065" s="50" t="inlineStr">
        <is>
          <t>mỗi bảng nguồn chỉ đọc trong 1 khối SELECT</t>
        </is>
      </c>
      <c r="I20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065" s="48" t="inlineStr">
        <is>
          <t>107.OCB_GOLD_TTDL_BPM_TDCN_YCBS_THU.xlsx [Script: BPM_TDCN_YCBS]</t>
        </is>
      </c>
    </row>
    <row r="2066">
      <c r="A2066" s="48" t="inlineStr">
        <is>
          <t>BPM_TDCN_YCBS</t>
        </is>
      </c>
      <c r="B2066" s="48" t="inlineStr">
        <is>
          <t>SILVER_CONSUMER</t>
        </is>
      </c>
      <c r="C2066" s="48" t="inlineStr">
        <is>
          <t>3.1</t>
        </is>
      </c>
      <c r="D2066" s="48" t="inlineStr">
        <is>
          <t>Nhom 3 - Optimization</t>
        </is>
      </c>
      <c r="E2066" s="48" t="inlineStr">
        <is>
          <t>Không SELECT *</t>
        </is>
      </c>
      <c r="F2066" s="49" t="inlineStr">
        <is>
          <t>PASS</t>
        </is>
      </c>
      <c r="G2066" s="48" t="inlineStr">
        <is>
          <t>Pass</t>
        </is>
      </c>
      <c r="H2066" s="50" t="inlineStr">
        <is>
          <t>không dùng SELECT * ở đâu</t>
        </is>
      </c>
      <c r="I2066" s="50" t="inlineStr">
        <is>
          <t>Liệt kê tường minh các cột cần dùng, kể cả trong CTE trung gian. SELECT * làm tăng IO/memory và vỡ script khi bảng nguồn thêm cột.</t>
        </is>
      </c>
      <c r="J2066" s="48" t="inlineStr">
        <is>
          <t>107.OCB_GOLD_TTDL_BPM_TDCN_YCBS_THU.xlsx [Script: BPM_TDCN_YCBS]</t>
        </is>
      </c>
    </row>
    <row r="2067">
      <c r="A2067" s="48" t="inlineStr">
        <is>
          <t>BPM_TDCN_YCBS</t>
        </is>
      </c>
      <c r="B2067" s="48" t="inlineStr">
        <is>
          <t>SILVER_CONSUMER</t>
        </is>
      </c>
      <c r="C2067" s="48" t="inlineStr">
        <is>
          <t>3.2</t>
        </is>
      </c>
      <c r="D2067" s="48" t="inlineStr">
        <is>
          <t>Nhom 3 - Optimization</t>
        </is>
      </c>
      <c r="E2067" s="48" t="inlineStr">
        <is>
          <t>CTE không bị scan lại nhiều lần</t>
        </is>
      </c>
      <c r="F2067" s="49" t="inlineStr">
        <is>
          <t>PASS</t>
        </is>
      </c>
      <c r="G2067" s="48" t="inlineStr">
        <is>
          <t>Pass</t>
        </is>
      </c>
      <c r="H2067" s="50" t="inlineStr">
        <is>
          <t>không có CTE nào bị gọi lại</t>
        </is>
      </c>
      <c r="I2067" s="50" t="inlineStr">
        <is>
          <t>Với CTE nặng (đọc nhiều bảng Silver) bị tham chiếu từ 2 chỗ trở lên: gom lại còn một lần dùng, hoặc vật chất hóa (CACHE / bảng tạm). CTE nhẹ chỉ chứa tham số thì bỏ qua được — tự tick Pass.</t>
        </is>
      </c>
      <c r="J2067" s="48" t="inlineStr">
        <is>
          <t>107.OCB_GOLD_TTDL_BPM_TDCN_YCBS_THU.xlsx [Script: BPM_TDCN_YCBS]</t>
        </is>
      </c>
    </row>
    <row r="2068">
      <c r="A2068" s="48" t="inlineStr">
        <is>
          <t>BPM_TDCN_YCBS</t>
        </is>
      </c>
      <c r="B2068" s="48" t="inlineStr">
        <is>
          <t>SILVER_CONSUMER</t>
        </is>
      </c>
      <c r="C2068" s="48" t="inlineStr">
        <is>
          <t>3.3</t>
        </is>
      </c>
      <c r="D2068" s="48" t="inlineStr">
        <is>
          <t>Nhom 3 - Optimization</t>
        </is>
      </c>
      <c r="E2068" s="48" t="inlineStr">
        <is>
          <t>Filter trước khi join, tận dụng partition pruning</t>
        </is>
      </c>
      <c r="F2068" s="49" t="inlineStr">
        <is>
          <t>PASS</t>
        </is>
      </c>
      <c r="G2068" s="48" t="inlineStr">
        <is>
          <t>Pass</t>
        </is>
      </c>
      <c r="H2068" s="50" t="inlineStr">
        <is>
          <t>các bảng join đều được filter trước</t>
        </is>
      </c>
      <c r="I2068" s="50" t="inlineStr">
        <is>
          <t>Đưa điều kiện lọc (ngày dữ liệu, trạng thái) vào subquery của từng bảng TRƯỚC khi join, để tận dụng partition pruning. Bảng dim nhỏ không partition thì không cần — tự tick Pass.</t>
        </is>
      </c>
      <c r="J2068" s="48" t="inlineStr">
        <is>
          <t>107.OCB_GOLD_TTDL_BPM_TDCN_YCBS_THU.xlsx [Script: BPM_TDCN_YCBS]</t>
        </is>
      </c>
    </row>
    <row r="2069">
      <c r="A2069" s="48" t="inlineStr">
        <is>
          <t>BPM_TDCN_YCBS</t>
        </is>
      </c>
      <c r="B2069" s="48" t="inlineStr">
        <is>
          <t>SILVER_CONSUMER</t>
        </is>
      </c>
      <c r="C2069" s="48" t="inlineStr">
        <is>
          <t>3.4</t>
        </is>
      </c>
      <c r="D2069" s="48" t="inlineStr">
        <is>
          <t>Nhom 3 - Optimization</t>
        </is>
      </c>
      <c r="E2069" s="48" t="inlineStr">
        <is>
          <t>Sử dụng CACHE cho query lặp lại trong cùng luồng</t>
        </is>
      </c>
      <c r="F2069" s="48" t="inlineStr">
        <is>
          <t>N-A</t>
        </is>
      </c>
      <c r="G2069" s="48" t="inlineStr">
        <is>
          <t>Pass</t>
        </is>
      </c>
      <c r="H2069" s="50" t="inlineStr">
        <is>
          <t>không có kết quả nào được dùng lại nhiều lần nên chưa cần CACHE</t>
        </is>
      </c>
      <c r="I2069" s="50" t="inlineStr">
        <is>
          <t>Nếu một kết quả nặng được dùng lại nhiều bước trong cùng luồng, thêm CACHE TABLE / CACHE SELECT. Kết quả nhỏ thì cache còn chậm hơn — tự tick Pass.</t>
        </is>
      </c>
      <c r="J2069" s="48" t="inlineStr">
        <is>
          <t>107.OCB_GOLD_TTDL_BPM_TDCN_YCBS_THU.xlsx [Script: BPM_TDCN_YCBS]</t>
        </is>
      </c>
    </row>
    <row r="2070">
      <c r="A2070" s="48" t="inlineStr">
        <is>
          <t>BPM_TDCN_YCBS</t>
        </is>
      </c>
      <c r="B2070" s="48" t="inlineStr">
        <is>
          <t>SILVER_CONSUMER</t>
        </is>
      </c>
      <c r="C2070" s="48" t="inlineStr">
        <is>
          <t>3.5</t>
        </is>
      </c>
      <c r="D2070" s="48" t="inlineStr">
        <is>
          <t>Nhom 3 - Optimization</t>
        </is>
      </c>
      <c r="E2070" s="48" t="inlineStr">
        <is>
          <t>Ưu tiên MAX_BY + QUALIFY thay ROW_NUMBER() + WHERE rn = 1</t>
        </is>
      </c>
      <c r="F2070" s="48" t="inlineStr">
        <is>
          <t>N-A</t>
        </is>
      </c>
      <c r="G2070" s="48" t="inlineStr">
        <is>
          <t>Pass</t>
        </is>
      </c>
      <c r="H2070" s="50" t="inlineStr">
        <is>
          <t>script không dùng ROW_NUMBER, và MAX_BY (nếu có) không vượt quá 5 cột/khối</t>
        </is>
      </c>
      <c r="I20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70" s="48" t="inlineStr">
        <is>
          <t>107.OCB_GOLD_TTDL_BPM_TDCN_YCBS_THU.xlsx [Script: BPM_TDCN_YCBS]</t>
        </is>
      </c>
    </row>
    <row r="2071">
      <c r="A2071" s="48" t="inlineStr">
        <is>
          <t>BPM_TDCN_YCBS</t>
        </is>
      </c>
      <c r="B2071" s="48" t="inlineStr">
        <is>
          <t>SILVER_CONSUMER</t>
        </is>
      </c>
      <c r="C2071" s="48" t="inlineStr">
        <is>
          <t>3.6</t>
        </is>
      </c>
      <c r="D2071" s="48" t="inlineStr">
        <is>
          <t>Nhom 3 - Optimization</t>
        </is>
      </c>
      <c r="E2071" s="48" t="inlineStr">
        <is>
          <t>Không lạm dụng window function; có comment khi dùng</t>
        </is>
      </c>
      <c r="F2071" s="48" t="inlineStr">
        <is>
          <t>N-A</t>
        </is>
      </c>
      <c r="G2071" s="48" t="inlineStr">
        <is>
          <t>Pass</t>
        </is>
      </c>
      <c r="H2071" s="50" t="inlineStr">
        <is>
          <t>script không dùng window function</t>
        </is>
      </c>
      <c r="I2071" s="50" t="inlineStr">
        <is>
          <t>Mỗi window function cần một comment ngay trên khối CTE chứa nó, nói rõ vì sao không dùng được max_by/QUALIFY đơn giản hơn.</t>
        </is>
      </c>
      <c r="J2071" s="48" t="inlineStr">
        <is>
          <t>107.OCB_GOLD_TTDL_BPM_TDCN_YCBS_THU.xlsx [Script: BPM_TDCN_YCBS]</t>
        </is>
      </c>
    </row>
    <row r="2072">
      <c r="A2072" s="48" t="inlineStr">
        <is>
          <t>BPM_TDCN_YCBS</t>
        </is>
      </c>
      <c r="B2072" s="48" t="inlineStr">
        <is>
          <t>SILVER_CONSUMER</t>
        </is>
      </c>
      <c r="C2072" s="48" t="inlineStr">
        <is>
          <t>X.1</t>
        </is>
      </c>
      <c r="D2072" s="48" t="inlineStr">
        <is>
          <t>Nhom X - Bo sung Raffles</t>
        </is>
      </c>
      <c r="E2072" s="48" t="inlineStr">
        <is>
          <t>[Bổ sung] Link phải rút về current trước khi join (chống fan-out)</t>
        </is>
      </c>
      <c r="F2072" s="49" t="inlineStr">
        <is>
          <t>PASS</t>
        </is>
      </c>
      <c r="G2072" s="48" t="inlineStr">
        <is>
          <t>Pass</t>
        </is>
      </c>
      <c r="H2072" s="50" t="inlineStr">
        <is>
          <t>các bảng link_* đều được rút về current trước khi join</t>
        </is>
      </c>
      <c r="I20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072" s="48" t="inlineStr">
        <is>
          <t>107.OCB_GOLD_TTDL_BPM_TDCN_YCBS_THU.xlsx [Script: BPM_TDCN_YCBS]</t>
        </is>
      </c>
    </row>
    <row r="2073">
      <c r="A2073" s="48" t="inlineStr">
        <is>
          <t>BPM_TDCN_YCBS</t>
        </is>
      </c>
      <c r="B2073" s="48" t="inlineStr">
        <is>
          <t>SILVER_CONSUMER</t>
        </is>
      </c>
      <c r="C2073" s="48" t="inlineStr">
        <is>
          <t>X.6</t>
        </is>
      </c>
      <c r="D2073" s="48" t="inlineStr">
        <is>
          <t>Nhom X - Bo sung Raffles</t>
        </is>
      </c>
      <c r="E2073" s="48" t="inlineStr">
        <is>
          <t>[Bổ sung] Satellite phải LEFT JOIN, không INNER JOIN</t>
        </is>
      </c>
      <c r="F2073" s="49" t="inlineStr">
        <is>
          <t>PASS</t>
        </is>
      </c>
      <c r="G2073" s="48" t="inlineStr">
        <is>
          <t>Pass</t>
        </is>
      </c>
      <c r="H2073" s="50" t="inlineStr">
        <is>
          <t>các satellite đều LEFT JOIN</t>
        </is>
      </c>
      <c r="I2073" s="50" t="inlineStr">
        <is>
          <t>Technical Document III.4.2.2 nguyên tắc 1: làm giàu thuộc tính luôn dùng LEFT JOIN. INNER JOIN satellite sẽ loại mất bản ghi Hub đang còn hiệu lực nhưng chưa có dòng satellite.</t>
        </is>
      </c>
      <c r="J2073" s="48" t="inlineStr">
        <is>
          <t>107.OCB_GOLD_TTDL_BPM_TDCN_YCBS_THU.xlsx [Script: BPM_TDCN_YCBS]</t>
        </is>
      </c>
    </row>
    <row r="2074">
      <c r="A2074" s="48" t="inlineStr">
        <is>
          <t>BPM_TDCN_YCBS</t>
        </is>
      </c>
      <c r="B2074" s="48" t="inlineStr">
        <is>
          <t>SILVER_CONSUMER</t>
        </is>
      </c>
      <c r="C2074" s="48" t="inlineStr">
        <is>
          <t>X.7</t>
        </is>
      </c>
      <c r="D2074" s="48" t="inlineStr">
        <is>
          <t>Nhom X - Bo sung Raffles</t>
        </is>
      </c>
      <c r="E2074" s="48" t="inlineStr">
        <is>
          <t>[Bổ sung] Không hard-code catalog, dùng biến môi trường</t>
        </is>
      </c>
      <c r="F2074" s="49" t="inlineStr">
        <is>
          <t>PASS</t>
        </is>
      </c>
      <c r="G2074" s="48" t="inlineStr">
        <is>
          <t>Pass</t>
        </is>
      </c>
      <c r="H2074" s="50" t="inlineStr">
        <is>
          <t>dùng biến môi trường cho catalog</t>
        </is>
      </c>
      <c r="I20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074" s="48" t="inlineStr">
        <is>
          <t>107.OCB_GOLD_TTDL_BPM_TDCN_YCBS_THU.xlsx [Script: BPM_TDCN_YCBS]</t>
        </is>
      </c>
    </row>
    <row r="2075">
      <c r="A2075" s="48" t="inlineStr">
        <is>
          <t>BPM_TDCN_YCBS</t>
        </is>
      </c>
      <c r="B2075" s="48" t="inlineStr">
        <is>
          <t>SILVER_CONSUMER</t>
        </is>
      </c>
      <c r="C2075" s="48" t="inlineStr">
        <is>
          <t>X.10</t>
        </is>
      </c>
      <c r="D2075" s="48" t="inlineStr">
        <is>
          <t>Nhom X - Bo sung Raffles</t>
        </is>
      </c>
      <c r="E2075" s="48" t="inlineStr">
        <is>
          <t>Bang raw_vault/business_vault duoc doc phai TON TAI THAT trong Data Vault model</t>
        </is>
      </c>
      <c r="F2075" s="49" t="inlineStr">
        <is>
          <t>PASS</t>
        </is>
      </c>
      <c r="G2075" s="48" t="inlineStr">
        <is>
          <t>Pass</t>
        </is>
      </c>
      <c r="H2075" s="50" t="inlineStr">
        <is>
          <t>3 bảng Silver đều có thật trong Data Vault model</t>
        </is>
      </c>
      <c r="I2075" s="50" t="inlineStr"/>
      <c r="J2075" s="48" t="inlineStr">
        <is>
          <t>107.OCB_GOLD_TTDL_BPM_TDCN_YCBS_THU.xlsx [Script: BPM_TDCN_YCBS]</t>
        </is>
      </c>
    </row>
    <row r="2076">
      <c r="A2076" s="48" t="inlineStr">
        <is>
          <t>BPM_TDCN_YCBS</t>
        </is>
      </c>
      <c r="B2076" s="48" t="inlineStr">
        <is>
          <t>SILVER_CONSUMER</t>
        </is>
      </c>
      <c r="C2076" s="48" t="inlineStr">
        <is>
          <t>X.11</t>
        </is>
      </c>
      <c r="D2076" s="48" t="inlineStr">
        <is>
          <t>Nhom X - Bo sung Raffles</t>
        </is>
      </c>
      <c r="E2076" s="48" t="inlineStr">
        <is>
          <t>Cot doc tu satellite (sat_*) phai TON TAI THAT trong model</t>
        </is>
      </c>
      <c r="F2076" s="49" t="inlineStr">
        <is>
          <t>PASS</t>
        </is>
      </c>
      <c r="G2076" s="48" t="inlineStr">
        <is>
          <t>Pass</t>
        </is>
      </c>
      <c r="H2076" s="50" t="inlineStr">
        <is>
          <t>mọi cột đọc từ sat_* đều tồn tại trong model thật</t>
        </is>
      </c>
      <c r="I2076" s="50" t="inlineStr"/>
      <c r="J2076" s="48" t="inlineStr">
        <is>
          <t>107.OCB_GOLD_TTDL_BPM_TDCN_YCBS_THU.xlsx [Script: BPM_TDCN_YCBS]</t>
        </is>
      </c>
    </row>
    <row r="2077">
      <c r="A2077" s="48" t="inlineStr">
        <is>
          <t>BPM_VOLUME_CTGD</t>
        </is>
      </c>
      <c r="B2077" s="48" t="inlineStr">
        <is>
          <t>SILVER_CONSUMER</t>
        </is>
      </c>
      <c r="C2077" s="48" t="inlineStr">
        <is>
          <t>1.1</t>
        </is>
      </c>
      <c r="D2077" s="48" t="inlineStr">
        <is>
          <t>Nhom 1 - Mapping</t>
        </is>
      </c>
      <c r="E2077" s="48" t="inlineStr">
        <is>
          <t>Đầy đủ mapping từ Silver/manual sang Gold</t>
        </is>
      </c>
      <c r="F2077" s="49" t="inlineStr">
        <is>
          <t>PASS</t>
        </is>
      </c>
      <c r="G2077" s="48" t="inlineStr">
        <is>
          <t>Pass</t>
        </is>
      </c>
      <c r="H2077" s="50" t="inlineStr">
        <is>
          <t>workbook 108.OCB_GOLD_TTDL_BPM_VOLUME_CTGD_THU.xlsx: thiết kế 19 field, SQL có 19 cột</t>
        </is>
      </c>
      <c r="I20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77" s="48" t="inlineStr">
        <is>
          <t>108.OCB_GOLD_TTDL_BPM_VOLUME_CTGD_THU.xlsx [Script: BPM_VOLUME_CTGD]</t>
        </is>
      </c>
    </row>
    <row r="2078">
      <c r="A2078" s="48" t="inlineStr">
        <is>
          <t>BPM_VOLUME_CTGD</t>
        </is>
      </c>
      <c r="B2078" s="48" t="inlineStr">
        <is>
          <t>SILVER_CONSUMER</t>
        </is>
      </c>
      <c r="C2078" s="48" t="inlineStr">
        <is>
          <t>1.2</t>
        </is>
      </c>
      <c r="D2078" s="48" t="inlineStr">
        <is>
          <t>Nhom 1 - Mapping</t>
        </is>
      </c>
      <c r="E2078" s="48" t="inlineStr">
        <is>
          <t>Danh sách bảng/view Gold khớp tài liệu thiết kế đã duyệt</t>
        </is>
      </c>
      <c r="F2078" s="49" t="inlineStr">
        <is>
          <t>PASS</t>
        </is>
      </c>
      <c r="G2078" s="48" t="inlineStr">
        <is>
          <t>Pass</t>
        </is>
      </c>
      <c r="H2078" s="50" t="inlineStr">
        <is>
          <t>BPM_VOLUME_CTGD có workbook thiết kế: 108.OCB_GOLD_TTDL_BPM_VOLUME_CTGD_THU.xlsx</t>
        </is>
      </c>
      <c r="I2078" s="50" t="inlineStr">
        <is>
          <t>Đảm bảo object có workbook thiết kế tương ứng trong thư mục --mapping-dir. Muốn đối chiếu với danh sách đã duyệt thì chạy thêm tham số --gold-list "&lt;file danh sách Gold&gt;.xlsx".</t>
        </is>
      </c>
      <c r="J2078" s="48" t="inlineStr">
        <is>
          <t>108.OCB_GOLD_TTDL_BPM_VOLUME_CTGD_THU.xlsx [Script: BPM_VOLUME_CTGD]</t>
        </is>
      </c>
    </row>
    <row r="2079">
      <c r="A2079" s="48" t="inlineStr">
        <is>
          <t>BPM_VOLUME_CTGD</t>
        </is>
      </c>
      <c r="B2079" s="48" t="inlineStr">
        <is>
          <t>SILVER_CONSUMER</t>
        </is>
      </c>
      <c r="C2079" s="48" t="inlineStr">
        <is>
          <t>2.1</t>
        </is>
      </c>
      <c r="D2079" s="48" t="inlineStr">
        <is>
          <t>Nhom 2 - Logic</t>
        </is>
      </c>
      <c r="E2079" s="48" t="inlineStr">
        <is>
          <t>Chỉ lấy bản ghi active, loại bản ghi đã xóa (qua sts_hub)</t>
        </is>
      </c>
      <c r="F2079" s="49" t="inlineStr">
        <is>
          <t>PASS</t>
        </is>
      </c>
      <c r="G2079" s="48" t="inlineStr">
        <is>
          <t>Pass</t>
        </is>
      </c>
      <c r="H2079" s="50" t="inlineStr">
        <is>
          <t>không dùng sts_hub_* (không có yêu cầu nghiệp vụ giữ bản ghi đã xóa)</t>
        </is>
      </c>
      <c r="I20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79" s="48" t="inlineStr">
        <is>
          <t>108.OCB_GOLD_TTDL_BPM_VOLUME_CTGD_THU.xlsx [Script: BPM_VOLUME_CTGD]</t>
        </is>
      </c>
    </row>
    <row r="2080">
      <c r="A2080" s="48" t="inlineStr">
        <is>
          <t>BPM_VOLUME_CTGD</t>
        </is>
      </c>
      <c r="B2080" s="48" t="inlineStr">
        <is>
          <t>SILVER_CONSUMER</t>
        </is>
      </c>
      <c r="C2080" s="48" t="inlineStr">
        <is>
          <t>2.2</t>
        </is>
      </c>
      <c r="D2080" s="48" t="inlineStr">
        <is>
          <t>Nhom 2 - Logic</t>
        </is>
      </c>
      <c r="E2080" s="48" t="inlineStr">
        <is>
          <t>Thống nhất MỘT pattern duy nhất xác định bản ghi active mới nhất</t>
        </is>
      </c>
      <c r="F2080" s="49" t="inlineStr">
        <is>
          <t>PASS</t>
        </is>
      </c>
      <c r="G2080" s="48" t="inlineStr">
        <is>
          <t>Pass</t>
        </is>
      </c>
      <c r="H2080" s="50" t="inlineStr">
        <is>
          <t>file này dùng: ['MAX_BY']; toàn batch dùng: ['MAX_BY']</t>
        </is>
      </c>
      <c r="I20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80" s="48" t="inlineStr">
        <is>
          <t>108.OCB_GOLD_TTDL_BPM_VOLUME_CTGD_THU.xlsx [Script: BPM_VOLUME_CTGD]</t>
        </is>
      </c>
    </row>
    <row r="2081">
      <c r="A2081" s="48" t="inlineStr">
        <is>
          <t>BPM_VOLUME_CTGD</t>
        </is>
      </c>
      <c r="B2081" s="48" t="inlineStr">
        <is>
          <t>SILVER_CONSUMER</t>
        </is>
      </c>
      <c r="C2081" s="48" t="inlineStr">
        <is>
          <t>2.3</t>
        </is>
      </c>
      <c r="D2081" s="48" t="inlineStr">
        <is>
          <t>Nhom 2 - Logic</t>
        </is>
      </c>
      <c r="E2081" s="48" t="inlineStr">
        <is>
          <t>Điều kiện lọc trạng thái đặt SAU khi xác định bản ghi mới nhất</t>
        </is>
      </c>
      <c r="F2081" s="49" t="inlineStr">
        <is>
          <t>PASS</t>
        </is>
      </c>
      <c r="G2081" s="48" t="inlineStr">
        <is>
          <t>Pass</t>
        </is>
      </c>
      <c r="H2081" s="50" t="inlineStr">
        <is>
          <t>không có điều kiện trạng thái nào lồng trong JOIN ON</t>
        </is>
      </c>
      <c r="I20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81" s="48" t="inlineStr">
        <is>
          <t>108.OCB_GOLD_TTDL_BPM_VOLUME_CTGD_THU.xlsx [Script: BPM_VOLUME_CTGD]</t>
        </is>
      </c>
    </row>
    <row r="2082">
      <c r="A2082" s="48" t="inlineStr">
        <is>
          <t>BPM_VOLUME_CTGD</t>
        </is>
      </c>
      <c r="B2082" s="48" t="inlineStr">
        <is>
          <t>SILVER_CONSUMER</t>
        </is>
      </c>
      <c r="C2082" s="48" t="inlineStr">
        <is>
          <t>2.4</t>
        </is>
      </c>
      <c r="D2082" s="48" t="inlineStr">
        <is>
          <t>Nhom 2 - Logic</t>
        </is>
      </c>
      <c r="E2082" s="48" t="inlineStr">
        <is>
          <t>source_event_date áp dụng đúng dạng theo loại bảng</t>
        </is>
      </c>
      <c r="F2082" s="49" t="inlineStr">
        <is>
          <t>PASS</t>
        </is>
      </c>
      <c r="G2082" s="48" t="inlineStr">
        <is>
          <t>Pass</t>
        </is>
      </c>
      <c r="H2082" s="50" t="inlineStr">
        <is>
          <t>8 satellite đều đúng dạng điều kiện source_event_date</t>
        </is>
      </c>
      <c r="I20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82" s="48" t="inlineStr">
        <is>
          <t>108.OCB_GOLD_TTDL_BPM_VOLUME_CTGD_THU.xlsx [Script: BPM_VOLUME_CTGD]</t>
        </is>
      </c>
    </row>
    <row r="2083">
      <c r="A2083" s="48" t="inlineStr">
        <is>
          <t>BPM_VOLUME_CTGD</t>
        </is>
      </c>
      <c r="B2083" s="48" t="inlineStr">
        <is>
          <t>SILVER_CONSUMER</t>
        </is>
      </c>
      <c r="C2083" s="48" t="inlineStr">
        <is>
          <t>2.5</t>
        </is>
      </c>
      <c r="D2083" s="48" t="inlineStr">
        <is>
          <t>Nhom 2 - Logic</t>
        </is>
      </c>
      <c r="E2083" s="48" t="inlineStr">
        <is>
          <t>Không lặp lại lỗi logic cũ đã được DA Data Vault fix</t>
        </is>
      </c>
      <c r="F2083" s="49" t="inlineStr">
        <is>
          <t>PASS</t>
        </is>
      </c>
      <c r="G2083" s="48" t="inlineStr">
        <is>
          <t>Pass</t>
        </is>
      </c>
      <c r="H2083" s="50" t="inlineStr">
        <is>
          <t>không trùng lỗi nào trong Issue log của DA Data Vault</t>
        </is>
      </c>
      <c r="I20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83" s="48" t="inlineStr">
        <is>
          <t>108.OCB_GOLD_TTDL_BPM_VOLUME_CTGD_THU.xlsx [Script: BPM_VOLUME_CTGD]</t>
        </is>
      </c>
    </row>
    <row r="2084">
      <c r="A2084" s="48" t="inlineStr">
        <is>
          <t>BPM_VOLUME_CTGD</t>
        </is>
      </c>
      <c r="B2084" s="48" t="inlineStr">
        <is>
          <t>SILVER_CONSUMER</t>
        </is>
      </c>
      <c r="C2084" s="48" t="inlineStr">
        <is>
          <t>2.6</t>
        </is>
      </c>
      <c r="D2084" s="48" t="inlineStr">
        <is>
          <t>Nhom 2 - Logic</t>
        </is>
      </c>
      <c r="E2084" s="48" t="inlineStr">
        <is>
          <t>SCD Type 2 cho bảng DIM áp dụng đúng kỹ thuật đã thống nhất</t>
        </is>
      </c>
      <c r="F2084" s="48" t="inlineStr">
        <is>
          <t>N-A</t>
        </is>
      </c>
      <c r="G2084" s="48" t="inlineStr">
        <is>
          <t>Pass</t>
        </is>
      </c>
      <c r="H2084" s="50" t="inlineStr">
        <is>
          <t>object không phải bảng DIM nên không áp dụng SCD Type 2</t>
        </is>
      </c>
      <c r="I20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84" s="48" t="inlineStr">
        <is>
          <t>108.OCB_GOLD_TTDL_BPM_VOLUME_CTGD_THU.xlsx [Script: BPM_VOLUME_CTGD]</t>
        </is>
      </c>
    </row>
    <row r="2085">
      <c r="A2085" s="48" t="inlineStr">
        <is>
          <t>BPM_VOLUME_CTGD</t>
        </is>
      </c>
      <c r="B2085" s="48" t="inlineStr">
        <is>
          <t>SILVER_CONSUMER</t>
        </is>
      </c>
      <c r="C2085" s="48" t="inlineStr">
        <is>
          <t>2.7</t>
        </is>
      </c>
      <c r="D2085" s="48" t="inlineStr">
        <is>
          <t>Nhom 2 - Logic</t>
        </is>
      </c>
      <c r="E2085" s="48" t="inlineStr">
        <is>
          <t>CASE WHEN cover đủ nhánh như job on-prem</t>
        </is>
      </c>
      <c r="F2085" s="49" t="inlineStr">
        <is>
          <t>PASS</t>
        </is>
      </c>
      <c r="G2085" s="48" t="inlineStr">
        <is>
          <t>Pass</t>
        </is>
      </c>
      <c r="H2085" s="50" t="inlineStr">
        <is>
          <t>cả 2 CASE đều có nhánh ELSE</t>
        </is>
      </c>
      <c r="I2085" s="50" t="inlineStr">
        <is>
          <t>Mở job on-prem tương ứng (DataStage DSX hoặc SQL cũ), đối chiếu từng nhánh WHEN và cả nhánh ELSE. CASE không có ELSE sẽ trả NULL âm thầm — xác nhận đó là ý muốn hay thiếu nhánh.</t>
        </is>
      </c>
      <c r="J2085" s="48" t="inlineStr">
        <is>
          <t>108.OCB_GOLD_TTDL_BPM_VOLUME_CTGD_THU.xlsx [Script: BPM_VOLUME_CTGD]</t>
        </is>
      </c>
    </row>
    <row r="2086">
      <c r="A2086" s="48" t="inlineStr">
        <is>
          <t>BPM_VOLUME_CTGD</t>
        </is>
      </c>
      <c r="B2086" s="48" t="inlineStr">
        <is>
          <t>SILVER_CONSUMER</t>
        </is>
      </c>
      <c r="C2086" s="48" t="inlineStr">
        <is>
          <t>2.8</t>
        </is>
      </c>
      <c r="D2086" s="48" t="inlineStr">
        <is>
          <t>Nhom 2 - Logic</t>
        </is>
      </c>
      <c r="E2086" s="48" t="inlineStr">
        <is>
          <t>Cột SUM/COUNT được COALESCE/NVL hợp lý</t>
        </is>
      </c>
      <c r="F2086" s="49" t="inlineStr">
        <is>
          <t>PASS</t>
        </is>
      </c>
      <c r="G2086" s="48" t="inlineStr">
        <is>
          <t>Pass</t>
        </is>
      </c>
      <c r="H2086" s="50" t="inlineStr">
        <is>
          <t>mọi SUM/COUNT đều đã coalesce (trực tiếp hoặc ở lớp ngoài)</t>
        </is>
      </c>
      <c r="I20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086" s="48" t="inlineStr">
        <is>
          <t>108.OCB_GOLD_TTDL_BPM_VOLUME_CTGD_THU.xlsx [Script: BPM_VOLUME_CTGD]</t>
        </is>
      </c>
    </row>
    <row r="2087">
      <c r="A2087" s="48" t="inlineStr">
        <is>
          <t>BPM_VOLUME_CTGD</t>
        </is>
      </c>
      <c r="B2087" s="48" t="inlineStr">
        <is>
          <t>SILVER_CONSUMER</t>
        </is>
      </c>
      <c r="C2087" s="48" t="inlineStr">
        <is>
          <t>2.9</t>
        </is>
      </c>
      <c r="D2087" s="48" t="inlineStr">
        <is>
          <t>Nhom 2 - Logic</t>
        </is>
      </c>
      <c r="E2087" s="48" t="inlineStr">
        <is>
          <t>Subquery / custom function / điều kiện LIKE đúng ý nghĩa nghiệp vụ</t>
        </is>
      </c>
      <c r="F2087" s="48" t="inlineStr">
        <is>
          <t>N-A</t>
        </is>
      </c>
      <c r="G2087" s="48" t="inlineStr">
        <is>
          <t>Pass</t>
        </is>
      </c>
      <c r="H2087" s="50" t="inlineStr">
        <is>
          <t>script không có điều kiện LIKE hay scalar subquery nào</t>
        </is>
      </c>
      <c r="I2087" s="50" t="inlineStr">
        <is>
          <t>Đọc lại từng điều kiện LIKE và từng subquery, đối chiếu ý nghĩa nghiệp vụ với on-prem — đúng cú pháp không đủ. Chú ý pattern LIKE có ký tự % ở đầu/cuối và phân biệt chữ hoa/thường.</t>
        </is>
      </c>
      <c r="J2087" s="48" t="inlineStr">
        <is>
          <t>108.OCB_GOLD_TTDL_BPM_VOLUME_CTGD_THU.xlsx [Script: BPM_VOLUME_CTGD]</t>
        </is>
      </c>
    </row>
    <row r="2088">
      <c r="A2088" s="48" t="inlineStr">
        <is>
          <t>BPM_VOLUME_CTGD</t>
        </is>
      </c>
      <c r="B2088" s="48" t="inlineStr">
        <is>
          <t>SILVER_CONSUMER</t>
        </is>
      </c>
      <c r="C2088" s="48" t="inlineStr">
        <is>
          <t>2.10</t>
        </is>
      </c>
      <c r="D2088" s="48" t="inlineStr">
        <is>
          <t>Nhom 2 - Logic</t>
        </is>
      </c>
      <c r="E2088" s="48" t="inlineStr">
        <is>
          <t>Aggregation kèm filter date range chính xác</t>
        </is>
      </c>
      <c r="F2088" s="49" t="inlineStr">
        <is>
          <t>PASS</t>
        </is>
      </c>
      <c r="G2088" s="48" t="inlineStr">
        <is>
          <t>Pass</t>
        </is>
      </c>
      <c r="H2088" s="50" t="inlineStr">
        <is>
          <t>mọi khối tổng hợp đều có điều kiện theo kỳ dữ liệu</t>
        </is>
      </c>
      <c r="I2088" s="50" t="inlineStr">
        <is>
          <t>Mỗi khối SUM/COUNT/AVG phải có điều kiện lọc theo kỳ dữ liệu (CDR_DT_ID, DATA_DATE, :DATADT…). Nếu điều kiện nằm ở CTE nguồn thì ghi rõ trong comment để người review không phải truy ngược.</t>
        </is>
      </c>
      <c r="J2088" s="48" t="inlineStr">
        <is>
          <t>108.OCB_GOLD_TTDL_BPM_VOLUME_CTGD_THU.xlsx [Script: BPM_VOLUME_CTGD]</t>
        </is>
      </c>
    </row>
    <row r="2089">
      <c r="A2089" s="48" t="inlineStr">
        <is>
          <t>BPM_VOLUME_CTGD</t>
        </is>
      </c>
      <c r="B2089" s="48" t="inlineStr">
        <is>
          <t>SILVER_CONSUMER</t>
        </is>
      </c>
      <c r="C2089" s="48" t="inlineStr">
        <is>
          <t>2.11</t>
        </is>
      </c>
      <c r="D2089" s="48" t="inlineStr">
        <is>
          <t>Nhom 2 - Logic</t>
        </is>
      </c>
      <c r="E2089" s="48" t="inlineStr">
        <is>
          <t>Join dùng key hợp lý, không lạm dụng UNION ALL + EXISTS/NOT EXISTS</t>
        </is>
      </c>
      <c r="F2089" s="49" t="inlineStr">
        <is>
          <t>PASS</t>
        </is>
      </c>
      <c r="G2089" s="48" t="inlineStr">
        <is>
          <t>Pass</t>
        </is>
      </c>
      <c r="H2089" s="50" t="inlineStr">
        <is>
          <t>join đều theo điều kiện bằng, không lạm dụng UNION ALL + EXISTS</t>
        </is>
      </c>
      <c r="I2089" s="50" t="inlineStr">
        <is>
          <t>Ưu tiên LEFT JOIN theo business key hoặc hashkey. Xem lại các chỗ dùng UNION ALL kết hợp EXISTS/NOT EXISTS — thường thay được bằng một LEFT JOIN. Join không có điều kiện bằng (=) dễ tạo tích Descartes.</t>
        </is>
      </c>
      <c r="J2089" s="48" t="inlineStr">
        <is>
          <t>108.OCB_GOLD_TTDL_BPM_VOLUME_CTGD_THU.xlsx [Script: BPM_VOLUME_CTGD]</t>
        </is>
      </c>
    </row>
    <row r="2090">
      <c r="A2090" s="48" t="inlineStr">
        <is>
          <t>BPM_VOLUME_CTGD</t>
        </is>
      </c>
      <c r="B2090" s="48" t="inlineStr">
        <is>
          <t>SILVER_CONSUMER</t>
        </is>
      </c>
      <c r="C2090" s="48" t="inlineStr">
        <is>
          <t>2.12</t>
        </is>
      </c>
      <c r="D2090" s="48" t="inlineStr">
        <is>
          <t>Nhom 2 - Logic</t>
        </is>
      </c>
      <c r="E2090" s="48" t="inlineStr">
        <is>
          <t>Build Gold từ CTE snapshot Silver, không build nhiều tầng chồng chéo</t>
        </is>
      </c>
      <c r="F2090" s="49" t="inlineStr">
        <is>
          <t>PASS</t>
        </is>
      </c>
      <c r="G2090" s="48" t="inlineStr">
        <is>
          <t>Pass</t>
        </is>
      </c>
      <c r="H2090" s="50" t="inlineStr">
        <is>
          <t>mỗi bảng nguồn chỉ đọc trong 1 khối SELECT</t>
        </is>
      </c>
      <c r="I20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090" s="48" t="inlineStr">
        <is>
          <t>108.OCB_GOLD_TTDL_BPM_VOLUME_CTGD_THU.xlsx [Script: BPM_VOLUME_CTGD]</t>
        </is>
      </c>
    </row>
    <row r="2091">
      <c r="A2091" s="48" t="inlineStr">
        <is>
          <t>BPM_VOLUME_CTGD</t>
        </is>
      </c>
      <c r="B2091" s="48" t="inlineStr">
        <is>
          <t>SILVER_CONSUMER</t>
        </is>
      </c>
      <c r="C2091" s="48" t="inlineStr">
        <is>
          <t>3.1</t>
        </is>
      </c>
      <c r="D2091" s="48" t="inlineStr">
        <is>
          <t>Nhom 3 - Optimization</t>
        </is>
      </c>
      <c r="E2091" s="48" t="inlineStr">
        <is>
          <t>Không SELECT *</t>
        </is>
      </c>
      <c r="F2091" s="49" t="inlineStr">
        <is>
          <t>PASS</t>
        </is>
      </c>
      <c r="G2091" s="48" t="inlineStr">
        <is>
          <t>Pass</t>
        </is>
      </c>
      <c r="H2091" s="50" t="inlineStr">
        <is>
          <t>không dùng SELECT * ở đâu</t>
        </is>
      </c>
      <c r="I2091" s="50" t="inlineStr">
        <is>
          <t>Liệt kê tường minh các cột cần dùng, kể cả trong CTE trung gian. SELECT * làm tăng IO/memory và vỡ script khi bảng nguồn thêm cột.</t>
        </is>
      </c>
      <c r="J2091" s="48" t="inlineStr">
        <is>
          <t>108.OCB_GOLD_TTDL_BPM_VOLUME_CTGD_THU.xlsx [Script: BPM_VOLUME_CTGD]</t>
        </is>
      </c>
    </row>
    <row r="2092">
      <c r="A2092" s="48" t="inlineStr">
        <is>
          <t>BPM_VOLUME_CTGD</t>
        </is>
      </c>
      <c r="B2092" s="48" t="inlineStr">
        <is>
          <t>SILVER_CONSUMER</t>
        </is>
      </c>
      <c r="C2092" s="48" t="inlineStr">
        <is>
          <t>3.2</t>
        </is>
      </c>
      <c r="D2092" s="48" t="inlineStr">
        <is>
          <t>Nhom 3 - Optimization</t>
        </is>
      </c>
      <c r="E2092" s="48" t="inlineStr">
        <is>
          <t>CTE không bị scan lại nhiều lần</t>
        </is>
      </c>
      <c r="F2092" s="51" t="inlineStr">
        <is>
          <t>WARN</t>
        </is>
      </c>
      <c r="G2092" s="48" t="inlineStr">
        <is>
          <t>WARN</t>
        </is>
      </c>
      <c r="H2092" s="50" t="inlineStr">
        <is>
          <t>CTE bị tham chiếu lại nhiều lần: kh_hub x3, ref_dm x9</t>
        </is>
      </c>
      <c r="I2092" s="50" t="inlineStr">
        <is>
          <t>Với CTE nặng (đọc nhiều bảng Silver) bị tham chiếu từ 2 chỗ trở lên: gom lại còn một lần dùng, hoặc vật chất hóa (CACHE / bảng tạm). CTE nhẹ chỉ chứa tham số thì bỏ qua được — tự tick Pass.</t>
        </is>
      </c>
      <c r="J2092" s="48" t="inlineStr">
        <is>
          <t>108.OCB_GOLD_TTDL_BPM_VOLUME_CTGD_THU.xlsx [Script: BPM_VOLUME_CTGD]</t>
        </is>
      </c>
    </row>
    <row r="2093">
      <c r="A2093" s="48" t="inlineStr">
        <is>
          <t>BPM_VOLUME_CTGD</t>
        </is>
      </c>
      <c r="B2093" s="48" t="inlineStr">
        <is>
          <t>SILVER_CONSUMER</t>
        </is>
      </c>
      <c r="C2093" s="48" t="inlineStr">
        <is>
          <t>3.3</t>
        </is>
      </c>
      <c r="D2093" s="48" t="inlineStr">
        <is>
          <t>Nhom 3 - Optimization</t>
        </is>
      </c>
      <c r="E2093" s="48" t="inlineStr">
        <is>
          <t>Filter trước khi join, tận dụng partition pruning</t>
        </is>
      </c>
      <c r="F2093" s="49" t="inlineStr">
        <is>
          <t>PASS</t>
        </is>
      </c>
      <c r="G2093" s="48" t="inlineStr">
        <is>
          <t>Pass</t>
        </is>
      </c>
      <c r="H2093" s="50" t="inlineStr">
        <is>
          <t>các bảng join đều được filter trước</t>
        </is>
      </c>
      <c r="I2093" s="50" t="inlineStr">
        <is>
          <t>Đưa điều kiện lọc (ngày dữ liệu, trạng thái) vào subquery của từng bảng TRƯỚC khi join, để tận dụng partition pruning. Bảng dim nhỏ không partition thì không cần — tự tick Pass.</t>
        </is>
      </c>
      <c r="J2093" s="48" t="inlineStr">
        <is>
          <t>108.OCB_GOLD_TTDL_BPM_VOLUME_CTGD_THU.xlsx [Script: BPM_VOLUME_CTGD]</t>
        </is>
      </c>
    </row>
    <row r="2094">
      <c r="A2094" s="48" t="inlineStr">
        <is>
          <t>BPM_VOLUME_CTGD</t>
        </is>
      </c>
      <c r="B2094" s="48" t="inlineStr">
        <is>
          <t>SILVER_CONSUMER</t>
        </is>
      </c>
      <c r="C2094" s="48" t="inlineStr">
        <is>
          <t>3.4</t>
        </is>
      </c>
      <c r="D2094" s="48" t="inlineStr">
        <is>
          <t>Nhom 3 - Optimization</t>
        </is>
      </c>
      <c r="E2094" s="48" t="inlineStr">
        <is>
          <t>Sử dụng CACHE cho query lặp lại trong cùng luồng</t>
        </is>
      </c>
      <c r="F2094" s="51" t="inlineStr">
        <is>
          <t>WARN</t>
        </is>
      </c>
      <c r="G2094" s="48" t="inlineStr">
        <is>
          <t>WARN</t>
        </is>
      </c>
      <c r="H2094" s="50" t="inlineStr">
        <is>
          <t>2 CTE nặng dùng lại &gt;= 2 lần mà không có CACHE: kh_hub, ref_dm</t>
        </is>
      </c>
      <c r="I2094" s="50" t="inlineStr">
        <is>
          <t>Nếu một kết quả nặng được dùng lại nhiều bước trong cùng luồng, thêm CACHE TABLE / CACHE SELECT. Kết quả nhỏ thì cache còn chậm hơn — tự tick Pass.</t>
        </is>
      </c>
      <c r="J2094" s="48" t="inlineStr">
        <is>
          <t>108.OCB_GOLD_TTDL_BPM_VOLUME_CTGD_THU.xlsx [Script: BPM_VOLUME_CTGD]</t>
        </is>
      </c>
    </row>
    <row r="2095">
      <c r="A2095" s="48" t="inlineStr">
        <is>
          <t>BPM_VOLUME_CTGD</t>
        </is>
      </c>
      <c r="B2095" s="48" t="inlineStr">
        <is>
          <t>SILVER_CONSUMER</t>
        </is>
      </c>
      <c r="C2095" s="48" t="inlineStr">
        <is>
          <t>3.5</t>
        </is>
      </c>
      <c r="D2095" s="48" t="inlineStr">
        <is>
          <t>Nhom 3 - Optimization</t>
        </is>
      </c>
      <c r="E2095" s="48" t="inlineStr">
        <is>
          <t>Ưu tiên MAX_BY + QUALIFY thay ROW_NUMBER() + WHERE rn = 1</t>
        </is>
      </c>
      <c r="F2095" s="48" t="inlineStr">
        <is>
          <t>N-A</t>
        </is>
      </c>
      <c r="G2095" s="48" t="inlineStr">
        <is>
          <t>Pass</t>
        </is>
      </c>
      <c r="H2095" s="50" t="inlineStr">
        <is>
          <t>script không dùng ROW_NUMBER, và MAX_BY (nếu có) không vượt quá 5 cột/khối</t>
        </is>
      </c>
      <c r="I20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95" s="48" t="inlineStr">
        <is>
          <t>108.OCB_GOLD_TTDL_BPM_VOLUME_CTGD_THU.xlsx [Script: BPM_VOLUME_CTGD]</t>
        </is>
      </c>
    </row>
    <row r="2096">
      <c r="A2096" s="48" t="inlineStr">
        <is>
          <t>BPM_VOLUME_CTGD</t>
        </is>
      </c>
      <c r="B2096" s="48" t="inlineStr">
        <is>
          <t>SILVER_CONSUMER</t>
        </is>
      </c>
      <c r="C2096" s="48" t="inlineStr">
        <is>
          <t>3.6</t>
        </is>
      </c>
      <c r="D2096" s="48" t="inlineStr">
        <is>
          <t>Nhom 3 - Optimization</t>
        </is>
      </c>
      <c r="E2096" s="48" t="inlineStr">
        <is>
          <t>Không lạm dụng window function; có comment khi dùng</t>
        </is>
      </c>
      <c r="F2096" s="48" t="inlineStr">
        <is>
          <t>N-A</t>
        </is>
      </c>
      <c r="G2096" s="48" t="inlineStr">
        <is>
          <t>Pass</t>
        </is>
      </c>
      <c r="H2096" s="50" t="inlineStr">
        <is>
          <t>script không dùng window function</t>
        </is>
      </c>
      <c r="I2096" s="50" t="inlineStr">
        <is>
          <t>Mỗi window function cần một comment ngay trên khối CTE chứa nó, nói rõ vì sao không dùng được max_by/QUALIFY đơn giản hơn.</t>
        </is>
      </c>
      <c r="J2096" s="48" t="inlineStr">
        <is>
          <t>108.OCB_GOLD_TTDL_BPM_VOLUME_CTGD_THU.xlsx [Script: BPM_VOLUME_CTGD]</t>
        </is>
      </c>
    </row>
    <row r="2097">
      <c r="A2097" s="48" t="inlineStr">
        <is>
          <t>BPM_VOLUME_CTGD</t>
        </is>
      </c>
      <c r="B2097" s="48" t="inlineStr">
        <is>
          <t>SILVER_CONSUMER</t>
        </is>
      </c>
      <c r="C2097" s="48" t="inlineStr">
        <is>
          <t>X.1</t>
        </is>
      </c>
      <c r="D2097" s="48" t="inlineStr">
        <is>
          <t>Nhom X - Bo sung Raffles</t>
        </is>
      </c>
      <c r="E2097" s="48" t="inlineStr">
        <is>
          <t>[Bổ sung] Link phải rút về current trước khi join (chống fan-out)</t>
        </is>
      </c>
      <c r="F2097" s="49" t="inlineStr">
        <is>
          <t>PASS</t>
        </is>
      </c>
      <c r="G2097" s="48" t="inlineStr">
        <is>
          <t>Pass</t>
        </is>
      </c>
      <c r="H2097" s="50" t="inlineStr">
        <is>
          <t>các bảng link_* đều được rút về current trước khi join</t>
        </is>
      </c>
      <c r="I20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097" s="48" t="inlineStr">
        <is>
          <t>108.OCB_GOLD_TTDL_BPM_VOLUME_CTGD_THU.xlsx [Script: BPM_VOLUME_CTGD]</t>
        </is>
      </c>
    </row>
    <row r="2098">
      <c r="A2098" s="48" t="inlineStr">
        <is>
          <t>BPM_VOLUME_CTGD</t>
        </is>
      </c>
      <c r="B2098" s="48" t="inlineStr">
        <is>
          <t>SILVER_CONSUMER</t>
        </is>
      </c>
      <c r="C2098" s="48" t="inlineStr">
        <is>
          <t>X.6</t>
        </is>
      </c>
      <c r="D2098" s="48" t="inlineStr">
        <is>
          <t>Nhom X - Bo sung Raffles</t>
        </is>
      </c>
      <c r="E2098" s="48" t="inlineStr">
        <is>
          <t>[Bổ sung] Satellite phải LEFT JOIN, không INNER JOIN</t>
        </is>
      </c>
      <c r="F2098" s="49" t="inlineStr">
        <is>
          <t>PASS</t>
        </is>
      </c>
      <c r="G2098" s="48" t="inlineStr">
        <is>
          <t>Pass</t>
        </is>
      </c>
      <c r="H2098" s="50" t="inlineStr">
        <is>
          <t>các satellite đều LEFT JOIN</t>
        </is>
      </c>
      <c r="I2098" s="50" t="inlineStr">
        <is>
          <t>Technical Document III.4.2.2 nguyên tắc 1: làm giàu thuộc tính luôn dùng LEFT JOIN. INNER JOIN satellite sẽ loại mất bản ghi Hub đang còn hiệu lực nhưng chưa có dòng satellite.</t>
        </is>
      </c>
      <c r="J2098" s="48" t="inlineStr">
        <is>
          <t>108.OCB_GOLD_TTDL_BPM_VOLUME_CTGD_THU.xlsx [Script: BPM_VOLUME_CTGD]</t>
        </is>
      </c>
    </row>
    <row r="2099">
      <c r="A2099" s="48" t="inlineStr">
        <is>
          <t>BPM_VOLUME_CTGD</t>
        </is>
      </c>
      <c r="B2099" s="48" t="inlineStr">
        <is>
          <t>SILVER_CONSUMER</t>
        </is>
      </c>
      <c r="C2099" s="48" t="inlineStr">
        <is>
          <t>X.7</t>
        </is>
      </c>
      <c r="D2099" s="48" t="inlineStr">
        <is>
          <t>Nhom X - Bo sung Raffles</t>
        </is>
      </c>
      <c r="E2099" s="48" t="inlineStr">
        <is>
          <t>[Bổ sung] Không hard-code catalog, dùng biến môi trường</t>
        </is>
      </c>
      <c r="F2099" s="49" t="inlineStr">
        <is>
          <t>PASS</t>
        </is>
      </c>
      <c r="G2099" s="48" t="inlineStr">
        <is>
          <t>Pass</t>
        </is>
      </c>
      <c r="H2099" s="50" t="inlineStr">
        <is>
          <t>dùng biến môi trường cho catalog</t>
        </is>
      </c>
      <c r="I20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099" s="48" t="inlineStr">
        <is>
          <t>108.OCB_GOLD_TTDL_BPM_VOLUME_CTGD_THU.xlsx [Script: BPM_VOLUME_CTGD]</t>
        </is>
      </c>
    </row>
    <row r="2100">
      <c r="A2100" s="48" t="inlineStr">
        <is>
          <t>BPM_VOLUME_CTGD</t>
        </is>
      </c>
      <c r="B2100" s="48" t="inlineStr">
        <is>
          <t>SILVER_CONSUMER</t>
        </is>
      </c>
      <c r="C2100" s="48" t="inlineStr">
        <is>
          <t>X.10</t>
        </is>
      </c>
      <c r="D2100" s="48" t="inlineStr">
        <is>
          <t>Nhom X - Bo sung Raffles</t>
        </is>
      </c>
      <c r="E2100" s="48" t="inlineStr">
        <is>
          <t>Bang raw_vault/business_vault duoc doc phai TON TAI THAT trong Data Vault model</t>
        </is>
      </c>
      <c r="F2100" s="49" t="inlineStr">
        <is>
          <t>PASS</t>
        </is>
      </c>
      <c r="G2100" s="48" t="inlineStr">
        <is>
          <t>Pass</t>
        </is>
      </c>
      <c r="H2100" s="50" t="inlineStr">
        <is>
          <t>14 bảng Silver đều có thật trong Data Vault model</t>
        </is>
      </c>
      <c r="I2100" s="50" t="inlineStr"/>
      <c r="J2100" s="48" t="inlineStr">
        <is>
          <t>108.OCB_GOLD_TTDL_BPM_VOLUME_CTGD_THU.xlsx [Script: BPM_VOLUME_CTGD]</t>
        </is>
      </c>
    </row>
    <row r="2101">
      <c r="A2101" s="48" t="inlineStr">
        <is>
          <t>BPM_VOLUME_CTGD</t>
        </is>
      </c>
      <c r="B2101" s="48" t="inlineStr">
        <is>
          <t>SILVER_CONSUMER</t>
        </is>
      </c>
      <c r="C2101" s="48" t="inlineStr">
        <is>
          <t>X.11</t>
        </is>
      </c>
      <c r="D2101" s="48" t="inlineStr">
        <is>
          <t>Nhom X - Bo sung Raffles</t>
        </is>
      </c>
      <c r="E2101" s="48" t="inlineStr">
        <is>
          <t>Cot doc tu satellite (sat_*) phai TON TAI THAT trong model</t>
        </is>
      </c>
      <c r="F2101" s="49" t="inlineStr">
        <is>
          <t>PASS</t>
        </is>
      </c>
      <c r="G2101" s="48" t="inlineStr">
        <is>
          <t>Pass</t>
        </is>
      </c>
      <c r="H2101" s="50" t="inlineStr">
        <is>
          <t>mọi cột đọc từ sat_* đều tồn tại trong model thật</t>
        </is>
      </c>
      <c r="I2101" s="50" t="inlineStr"/>
      <c r="J2101" s="48" t="inlineStr">
        <is>
          <t>108.OCB_GOLD_TTDL_BPM_VOLUME_CTGD_THU.xlsx [Script: BPM_VOLUME_CTGD]</t>
        </is>
      </c>
    </row>
    <row r="2102">
      <c r="A2102" s="48" t="inlineStr">
        <is>
          <t>BPM_VOLUME_TDCN</t>
        </is>
      </c>
      <c r="B2102" s="48" t="inlineStr">
        <is>
          <t>SILVER_CONSUMER</t>
        </is>
      </c>
      <c r="C2102" s="48" t="inlineStr">
        <is>
          <t>1.1</t>
        </is>
      </c>
      <c r="D2102" s="48" t="inlineStr">
        <is>
          <t>Nhom 1 - Mapping</t>
        </is>
      </c>
      <c r="E2102" s="48" t="inlineStr">
        <is>
          <t>Đầy đủ mapping từ Silver/manual sang Gold</t>
        </is>
      </c>
      <c r="F2102" s="49" t="inlineStr">
        <is>
          <t>PASS</t>
        </is>
      </c>
      <c r="G2102" s="48" t="inlineStr">
        <is>
          <t>Pass</t>
        </is>
      </c>
      <c r="H2102" s="50" t="inlineStr">
        <is>
          <t>workbook 109.OCB_GOLD_TTDL_BPM_VOLUME_TDCN_THU.xlsx: thiết kế 24 field, SQL có 24 cột</t>
        </is>
      </c>
      <c r="I21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102" s="48" t="inlineStr">
        <is>
          <t>109.OCB_GOLD_TTDL_BPM_VOLUME_TDCN_THU.xlsx [Script: BPM_VOLUME_TDCN]</t>
        </is>
      </c>
    </row>
    <row r="2103">
      <c r="A2103" s="48" t="inlineStr">
        <is>
          <t>BPM_VOLUME_TDCN</t>
        </is>
      </c>
      <c r="B2103" s="48" t="inlineStr">
        <is>
          <t>SILVER_CONSUMER</t>
        </is>
      </c>
      <c r="C2103" s="48" t="inlineStr">
        <is>
          <t>1.2</t>
        </is>
      </c>
      <c r="D2103" s="48" t="inlineStr">
        <is>
          <t>Nhom 1 - Mapping</t>
        </is>
      </c>
      <c r="E2103" s="48" t="inlineStr">
        <is>
          <t>Danh sách bảng/view Gold khớp tài liệu thiết kế đã duyệt</t>
        </is>
      </c>
      <c r="F2103" s="49" t="inlineStr">
        <is>
          <t>PASS</t>
        </is>
      </c>
      <c r="G2103" s="48" t="inlineStr">
        <is>
          <t>Pass</t>
        </is>
      </c>
      <c r="H2103" s="50" t="inlineStr">
        <is>
          <t>BPM_VOLUME_TDCN có workbook thiết kế: 109.OCB_GOLD_TTDL_BPM_VOLUME_TDCN_THU.xlsx</t>
        </is>
      </c>
      <c r="I2103" s="50" t="inlineStr">
        <is>
          <t>Đảm bảo object có workbook thiết kế tương ứng trong thư mục --mapping-dir. Muốn đối chiếu với danh sách đã duyệt thì chạy thêm tham số --gold-list "&lt;file danh sách Gold&gt;.xlsx".</t>
        </is>
      </c>
      <c r="J2103" s="48" t="inlineStr">
        <is>
          <t>109.OCB_GOLD_TTDL_BPM_VOLUME_TDCN_THU.xlsx [Script: BPM_VOLUME_TDCN]</t>
        </is>
      </c>
    </row>
    <row r="2104">
      <c r="A2104" s="48" t="inlineStr">
        <is>
          <t>BPM_VOLUME_TDCN</t>
        </is>
      </c>
      <c r="B2104" s="48" t="inlineStr">
        <is>
          <t>SILVER_CONSUMER</t>
        </is>
      </c>
      <c r="C2104" s="48" t="inlineStr">
        <is>
          <t>2.1</t>
        </is>
      </c>
      <c r="D2104" s="48" t="inlineStr">
        <is>
          <t>Nhom 2 - Logic</t>
        </is>
      </c>
      <c r="E2104" s="48" t="inlineStr">
        <is>
          <t>Chỉ lấy bản ghi active, loại bản ghi đã xóa (qua sts_hub)</t>
        </is>
      </c>
      <c r="F2104" s="49" t="inlineStr">
        <is>
          <t>PASS</t>
        </is>
      </c>
      <c r="G2104" s="48" t="inlineStr">
        <is>
          <t>Pass</t>
        </is>
      </c>
      <c r="H2104" s="50" t="inlineStr">
        <is>
          <t>không dùng sts_hub_* (không có yêu cầu nghiệp vụ giữ bản ghi đã xóa)</t>
        </is>
      </c>
      <c r="I21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104" s="48" t="inlineStr">
        <is>
          <t>109.OCB_GOLD_TTDL_BPM_VOLUME_TDCN_THU.xlsx [Script: BPM_VOLUME_TDCN]</t>
        </is>
      </c>
    </row>
    <row r="2105">
      <c r="A2105" s="48" t="inlineStr">
        <is>
          <t>BPM_VOLUME_TDCN</t>
        </is>
      </c>
      <c r="B2105" s="48" t="inlineStr">
        <is>
          <t>SILVER_CONSUMER</t>
        </is>
      </c>
      <c r="C2105" s="48" t="inlineStr">
        <is>
          <t>2.2</t>
        </is>
      </c>
      <c r="D2105" s="48" t="inlineStr">
        <is>
          <t>Nhom 2 - Logic</t>
        </is>
      </c>
      <c r="E2105" s="48" t="inlineStr">
        <is>
          <t>Thống nhất MỘT pattern duy nhất xác định bản ghi active mới nhất</t>
        </is>
      </c>
      <c r="F2105" s="49" t="inlineStr">
        <is>
          <t>PASS</t>
        </is>
      </c>
      <c r="G2105" s="48" t="inlineStr">
        <is>
          <t>Pass</t>
        </is>
      </c>
      <c r="H2105" s="50" t="inlineStr">
        <is>
          <t>file này dùng: ['MAX_BY']; toàn batch dùng: ['MAX_BY']</t>
        </is>
      </c>
      <c r="I21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105" s="48" t="inlineStr">
        <is>
          <t>109.OCB_GOLD_TTDL_BPM_VOLUME_TDCN_THU.xlsx [Script: BPM_VOLUME_TDCN]</t>
        </is>
      </c>
    </row>
    <row r="2106">
      <c r="A2106" s="48" t="inlineStr">
        <is>
          <t>BPM_VOLUME_TDCN</t>
        </is>
      </c>
      <c r="B2106" s="48" t="inlineStr">
        <is>
          <t>SILVER_CONSUMER</t>
        </is>
      </c>
      <c r="C2106" s="48" t="inlineStr">
        <is>
          <t>2.3</t>
        </is>
      </c>
      <c r="D2106" s="48" t="inlineStr">
        <is>
          <t>Nhom 2 - Logic</t>
        </is>
      </c>
      <c r="E2106" s="48" t="inlineStr">
        <is>
          <t>Điều kiện lọc trạng thái đặt SAU khi xác định bản ghi mới nhất</t>
        </is>
      </c>
      <c r="F2106" s="49" t="inlineStr">
        <is>
          <t>PASS</t>
        </is>
      </c>
      <c r="G2106" s="48" t="inlineStr">
        <is>
          <t>Pass</t>
        </is>
      </c>
      <c r="H2106" s="50" t="inlineStr">
        <is>
          <t>không có điều kiện trạng thái nào lồng trong JOIN ON</t>
        </is>
      </c>
      <c r="I21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106" s="48" t="inlineStr">
        <is>
          <t>109.OCB_GOLD_TTDL_BPM_VOLUME_TDCN_THU.xlsx [Script: BPM_VOLUME_TDCN]</t>
        </is>
      </c>
    </row>
    <row r="2107">
      <c r="A2107" s="48" t="inlineStr">
        <is>
          <t>BPM_VOLUME_TDCN</t>
        </is>
      </c>
      <c r="B2107" s="48" t="inlineStr">
        <is>
          <t>SILVER_CONSUMER</t>
        </is>
      </c>
      <c r="C2107" s="48" t="inlineStr">
        <is>
          <t>2.4</t>
        </is>
      </c>
      <c r="D2107" s="48" t="inlineStr">
        <is>
          <t>Nhom 2 - Logic</t>
        </is>
      </c>
      <c r="E2107" s="48" t="inlineStr">
        <is>
          <t>source_event_date áp dụng đúng dạng theo loại bảng</t>
        </is>
      </c>
      <c r="F2107" s="49" t="inlineStr">
        <is>
          <t>PASS</t>
        </is>
      </c>
      <c r="G2107" s="48" t="inlineStr">
        <is>
          <t>Pass</t>
        </is>
      </c>
      <c r="H2107" s="50" t="inlineStr">
        <is>
          <t>7 satellite đều đúng dạng điều kiện source_event_date</t>
        </is>
      </c>
      <c r="I21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107" s="48" t="inlineStr">
        <is>
          <t>109.OCB_GOLD_TTDL_BPM_VOLUME_TDCN_THU.xlsx [Script: BPM_VOLUME_TDCN]</t>
        </is>
      </c>
    </row>
    <row r="2108">
      <c r="A2108" s="48" t="inlineStr">
        <is>
          <t>BPM_VOLUME_TDCN</t>
        </is>
      </c>
      <c r="B2108" s="48" t="inlineStr">
        <is>
          <t>SILVER_CONSUMER</t>
        </is>
      </c>
      <c r="C2108" s="48" t="inlineStr">
        <is>
          <t>2.5</t>
        </is>
      </c>
      <c r="D2108" s="48" t="inlineStr">
        <is>
          <t>Nhom 2 - Logic</t>
        </is>
      </c>
      <c r="E2108" s="48" t="inlineStr">
        <is>
          <t>Không lặp lại lỗi logic cũ đã được DA Data Vault fix</t>
        </is>
      </c>
      <c r="F2108" s="49" t="inlineStr">
        <is>
          <t>PASS</t>
        </is>
      </c>
      <c r="G2108" s="48" t="inlineStr">
        <is>
          <t>Pass</t>
        </is>
      </c>
      <c r="H2108" s="50" t="inlineStr">
        <is>
          <t>không trùng lỗi nào trong Issue log của DA Data Vault</t>
        </is>
      </c>
      <c r="I21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108" s="48" t="inlineStr">
        <is>
          <t>109.OCB_GOLD_TTDL_BPM_VOLUME_TDCN_THU.xlsx [Script: BPM_VOLUME_TDCN]</t>
        </is>
      </c>
    </row>
    <row r="2109">
      <c r="A2109" s="48" t="inlineStr">
        <is>
          <t>BPM_VOLUME_TDCN</t>
        </is>
      </c>
      <c r="B2109" s="48" t="inlineStr">
        <is>
          <t>SILVER_CONSUMER</t>
        </is>
      </c>
      <c r="C2109" s="48" t="inlineStr">
        <is>
          <t>2.6</t>
        </is>
      </c>
      <c r="D2109" s="48" t="inlineStr">
        <is>
          <t>Nhom 2 - Logic</t>
        </is>
      </c>
      <c r="E2109" s="48" t="inlineStr">
        <is>
          <t>SCD Type 2 cho bảng DIM áp dụng đúng kỹ thuật đã thống nhất</t>
        </is>
      </c>
      <c r="F2109" s="48" t="inlineStr">
        <is>
          <t>N-A</t>
        </is>
      </c>
      <c r="G2109" s="48" t="inlineStr">
        <is>
          <t>Pass</t>
        </is>
      </c>
      <c r="H2109" s="50" t="inlineStr">
        <is>
          <t>object không phải bảng DIM nên không áp dụng SCD Type 2</t>
        </is>
      </c>
      <c r="I21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109" s="48" t="inlineStr">
        <is>
          <t>109.OCB_GOLD_TTDL_BPM_VOLUME_TDCN_THU.xlsx [Script: BPM_VOLUME_TDCN]</t>
        </is>
      </c>
    </row>
    <row r="2110">
      <c r="A2110" s="48" t="inlineStr">
        <is>
          <t>BPM_VOLUME_TDCN</t>
        </is>
      </c>
      <c r="B2110" s="48" t="inlineStr">
        <is>
          <t>SILVER_CONSUMER</t>
        </is>
      </c>
      <c r="C2110" s="48" t="inlineStr">
        <is>
          <t>2.7</t>
        </is>
      </c>
      <c r="D2110" s="48" t="inlineStr">
        <is>
          <t>Nhom 2 - Logic</t>
        </is>
      </c>
      <c r="E2110" s="48" t="inlineStr">
        <is>
          <t>CASE WHEN cover đủ nhánh như job on-prem</t>
        </is>
      </c>
      <c r="F2110" s="49" t="inlineStr">
        <is>
          <t>PASS</t>
        </is>
      </c>
      <c r="G2110" s="48" t="inlineStr">
        <is>
          <t>Pass</t>
        </is>
      </c>
      <c r="H2110" s="50" t="inlineStr">
        <is>
          <t>cả 8 CASE đều có nhánh ELSE</t>
        </is>
      </c>
      <c r="I2110" s="50" t="inlineStr">
        <is>
          <t>Mở job on-prem tương ứng (DataStage DSX hoặc SQL cũ), đối chiếu từng nhánh WHEN và cả nhánh ELSE. CASE không có ELSE sẽ trả NULL âm thầm — xác nhận đó là ý muốn hay thiếu nhánh.</t>
        </is>
      </c>
      <c r="J2110" s="48" t="inlineStr">
        <is>
          <t>109.OCB_GOLD_TTDL_BPM_VOLUME_TDCN_THU.xlsx [Script: BPM_VOLUME_TDCN]</t>
        </is>
      </c>
    </row>
    <row r="2111">
      <c r="A2111" s="48" t="inlineStr">
        <is>
          <t>BPM_VOLUME_TDCN</t>
        </is>
      </c>
      <c r="B2111" s="48" t="inlineStr">
        <is>
          <t>SILVER_CONSUMER</t>
        </is>
      </c>
      <c r="C2111" s="48" t="inlineStr">
        <is>
          <t>2.8</t>
        </is>
      </c>
      <c r="D2111" s="48" t="inlineStr">
        <is>
          <t>Nhom 2 - Logic</t>
        </is>
      </c>
      <c r="E2111" s="48" t="inlineStr">
        <is>
          <t>Cột SUM/COUNT được COALESCE/NVL hợp lý</t>
        </is>
      </c>
      <c r="F2111" s="49" t="inlineStr">
        <is>
          <t>PASS</t>
        </is>
      </c>
      <c r="G2111" s="48" t="inlineStr">
        <is>
          <t>Pass</t>
        </is>
      </c>
      <c r="H2111" s="50" t="inlineStr">
        <is>
          <t>mọi SUM/COUNT đều đã coalesce (trực tiếp hoặc ở lớp ngoài)</t>
        </is>
      </c>
      <c r="I21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11" s="48" t="inlineStr">
        <is>
          <t>109.OCB_GOLD_TTDL_BPM_VOLUME_TDCN_THU.xlsx [Script: BPM_VOLUME_TDCN]</t>
        </is>
      </c>
    </row>
    <row r="2112">
      <c r="A2112" s="48" t="inlineStr">
        <is>
          <t>BPM_VOLUME_TDCN</t>
        </is>
      </c>
      <c r="B2112" s="48" t="inlineStr">
        <is>
          <t>SILVER_CONSUMER</t>
        </is>
      </c>
      <c r="C2112" s="48" t="inlineStr">
        <is>
          <t>2.9</t>
        </is>
      </c>
      <c r="D2112" s="48" t="inlineStr">
        <is>
          <t>Nhom 2 - Logic</t>
        </is>
      </c>
      <c r="E2112" s="48" t="inlineStr">
        <is>
          <t>Subquery / custom function / điều kiện LIKE đúng ý nghĩa nghiệp vụ</t>
        </is>
      </c>
      <c r="F2112" s="48" t="inlineStr">
        <is>
          <t>N-A</t>
        </is>
      </c>
      <c r="G2112" s="48" t="inlineStr">
        <is>
          <t>Pass</t>
        </is>
      </c>
      <c r="H2112" s="50" t="inlineStr">
        <is>
          <t>script không có điều kiện LIKE hay scalar subquery nào</t>
        </is>
      </c>
      <c r="I2112" s="50" t="inlineStr">
        <is>
          <t>Đọc lại từng điều kiện LIKE và từng subquery, đối chiếu ý nghĩa nghiệp vụ với on-prem — đúng cú pháp không đủ. Chú ý pattern LIKE có ký tự % ở đầu/cuối và phân biệt chữ hoa/thường.</t>
        </is>
      </c>
      <c r="J2112" s="48" t="inlineStr">
        <is>
          <t>109.OCB_GOLD_TTDL_BPM_VOLUME_TDCN_THU.xlsx [Script: BPM_VOLUME_TDCN]</t>
        </is>
      </c>
    </row>
    <row r="2113">
      <c r="A2113" s="48" t="inlineStr">
        <is>
          <t>BPM_VOLUME_TDCN</t>
        </is>
      </c>
      <c r="B2113" s="48" t="inlineStr">
        <is>
          <t>SILVER_CONSUMER</t>
        </is>
      </c>
      <c r="C2113" s="48" t="inlineStr">
        <is>
          <t>2.10</t>
        </is>
      </c>
      <c r="D2113" s="48" t="inlineStr">
        <is>
          <t>Nhom 2 - Logic</t>
        </is>
      </c>
      <c r="E2113" s="48" t="inlineStr">
        <is>
          <t>Aggregation kèm filter date range chính xác</t>
        </is>
      </c>
      <c r="F2113" s="49" t="inlineStr">
        <is>
          <t>PASS</t>
        </is>
      </c>
      <c r="G2113" s="48" t="inlineStr">
        <is>
          <t>Pass</t>
        </is>
      </c>
      <c r="H2113" s="50" t="inlineStr">
        <is>
          <t>mọi khối tổng hợp đều có điều kiện theo kỳ dữ liệu</t>
        </is>
      </c>
      <c r="I2113" s="50" t="inlineStr">
        <is>
          <t>Mỗi khối SUM/COUNT/AVG phải có điều kiện lọc theo kỳ dữ liệu (CDR_DT_ID, DATA_DATE, :DATADT…). Nếu điều kiện nằm ở CTE nguồn thì ghi rõ trong comment để người review không phải truy ngược.</t>
        </is>
      </c>
      <c r="J2113" s="48" t="inlineStr">
        <is>
          <t>109.OCB_GOLD_TTDL_BPM_VOLUME_TDCN_THU.xlsx [Script: BPM_VOLUME_TDCN]</t>
        </is>
      </c>
    </row>
    <row r="2114">
      <c r="A2114" s="48" t="inlineStr">
        <is>
          <t>BPM_VOLUME_TDCN</t>
        </is>
      </c>
      <c r="B2114" s="48" t="inlineStr">
        <is>
          <t>SILVER_CONSUMER</t>
        </is>
      </c>
      <c r="C2114" s="48" t="inlineStr">
        <is>
          <t>2.11</t>
        </is>
      </c>
      <c r="D2114" s="48" t="inlineStr">
        <is>
          <t>Nhom 2 - Logic</t>
        </is>
      </c>
      <c r="E2114" s="48" t="inlineStr">
        <is>
          <t>Join dùng key hợp lý, không lạm dụng UNION ALL + EXISTS/NOT EXISTS</t>
        </is>
      </c>
      <c r="F2114" s="49" t="inlineStr">
        <is>
          <t>PASS</t>
        </is>
      </c>
      <c r="G2114" s="48" t="inlineStr">
        <is>
          <t>Pass</t>
        </is>
      </c>
      <c r="H2114" s="50" t="inlineStr">
        <is>
          <t>join đều theo điều kiện bằng, không lạm dụng UNION ALL + EXISTS</t>
        </is>
      </c>
      <c r="I2114" s="50" t="inlineStr">
        <is>
          <t>Ưu tiên LEFT JOIN theo business key hoặc hashkey. Xem lại các chỗ dùng UNION ALL kết hợp EXISTS/NOT EXISTS — thường thay được bằng một LEFT JOIN. Join không có điều kiện bằng (=) dễ tạo tích Descartes.</t>
        </is>
      </c>
      <c r="J2114" s="48" t="inlineStr">
        <is>
          <t>109.OCB_GOLD_TTDL_BPM_VOLUME_TDCN_THU.xlsx [Script: BPM_VOLUME_TDCN]</t>
        </is>
      </c>
    </row>
    <row r="2115">
      <c r="A2115" s="48" t="inlineStr">
        <is>
          <t>BPM_VOLUME_TDCN</t>
        </is>
      </c>
      <c r="B2115" s="48" t="inlineStr">
        <is>
          <t>SILVER_CONSUMER</t>
        </is>
      </c>
      <c r="C2115" s="48" t="inlineStr">
        <is>
          <t>2.12</t>
        </is>
      </c>
      <c r="D2115" s="48" t="inlineStr">
        <is>
          <t>Nhom 2 - Logic</t>
        </is>
      </c>
      <c r="E2115" s="48" t="inlineStr">
        <is>
          <t>Build Gold từ CTE snapshot Silver, không build nhiều tầng chồng chéo</t>
        </is>
      </c>
      <c r="F2115" s="49" t="inlineStr">
        <is>
          <t>PASS</t>
        </is>
      </c>
      <c r="G2115" s="48" t="inlineStr">
        <is>
          <t>Pass</t>
        </is>
      </c>
      <c r="H2115" s="50" t="inlineStr">
        <is>
          <t>mỗi bảng nguồn chỉ đọc trong 1 khối SELECT</t>
        </is>
      </c>
      <c r="I21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15" s="48" t="inlineStr">
        <is>
          <t>109.OCB_GOLD_TTDL_BPM_VOLUME_TDCN_THU.xlsx [Script: BPM_VOLUME_TDCN]</t>
        </is>
      </c>
    </row>
    <row r="2116">
      <c r="A2116" s="48" t="inlineStr">
        <is>
          <t>BPM_VOLUME_TDCN</t>
        </is>
      </c>
      <c r="B2116" s="48" t="inlineStr">
        <is>
          <t>SILVER_CONSUMER</t>
        </is>
      </c>
      <c r="C2116" s="48" t="inlineStr">
        <is>
          <t>3.1</t>
        </is>
      </c>
      <c r="D2116" s="48" t="inlineStr">
        <is>
          <t>Nhom 3 - Optimization</t>
        </is>
      </c>
      <c r="E2116" s="48" t="inlineStr">
        <is>
          <t>Không SELECT *</t>
        </is>
      </c>
      <c r="F2116" s="49" t="inlineStr">
        <is>
          <t>PASS</t>
        </is>
      </c>
      <c r="G2116" s="48" t="inlineStr">
        <is>
          <t>Pass</t>
        </is>
      </c>
      <c r="H2116" s="50" t="inlineStr">
        <is>
          <t>không dùng SELECT * ở đâu</t>
        </is>
      </c>
      <c r="I2116" s="50" t="inlineStr">
        <is>
          <t>Liệt kê tường minh các cột cần dùng, kể cả trong CTE trung gian. SELECT * làm tăng IO/memory và vỡ script khi bảng nguồn thêm cột.</t>
        </is>
      </c>
      <c r="J2116" s="48" t="inlineStr">
        <is>
          <t>109.OCB_GOLD_TTDL_BPM_VOLUME_TDCN_THU.xlsx [Script: BPM_VOLUME_TDCN]</t>
        </is>
      </c>
    </row>
    <row r="2117">
      <c r="A2117" s="48" t="inlineStr">
        <is>
          <t>BPM_VOLUME_TDCN</t>
        </is>
      </c>
      <c r="B2117" s="48" t="inlineStr">
        <is>
          <t>SILVER_CONSUMER</t>
        </is>
      </c>
      <c r="C2117" s="48" t="inlineStr">
        <is>
          <t>3.2</t>
        </is>
      </c>
      <c r="D2117" s="48" t="inlineStr">
        <is>
          <t>Nhom 3 - Optimization</t>
        </is>
      </c>
      <c r="E2117" s="48" t="inlineStr">
        <is>
          <t>CTE không bị scan lại nhiều lần</t>
        </is>
      </c>
      <c r="F2117" s="51" t="inlineStr">
        <is>
          <t>WARN</t>
        </is>
      </c>
      <c r="G2117" s="48" t="inlineStr">
        <is>
          <t>WARN</t>
        </is>
      </c>
      <c r="H2117" s="50" t="inlineStr">
        <is>
          <t>CTE bị tham chiếu lại nhiều lần: sat_gd_tsbd x2, ref_dm x4</t>
        </is>
      </c>
      <c r="I2117" s="50" t="inlineStr">
        <is>
          <t>Với CTE nặng (đọc nhiều bảng Silver) bị tham chiếu từ 2 chỗ trở lên: gom lại còn một lần dùng, hoặc vật chất hóa (CACHE / bảng tạm). CTE nhẹ chỉ chứa tham số thì bỏ qua được — tự tick Pass.</t>
        </is>
      </c>
      <c r="J2117" s="48" t="inlineStr">
        <is>
          <t>109.OCB_GOLD_TTDL_BPM_VOLUME_TDCN_THU.xlsx [Script: BPM_VOLUME_TDCN]</t>
        </is>
      </c>
    </row>
    <row r="2118">
      <c r="A2118" s="48" t="inlineStr">
        <is>
          <t>BPM_VOLUME_TDCN</t>
        </is>
      </c>
      <c r="B2118" s="48" t="inlineStr">
        <is>
          <t>SILVER_CONSUMER</t>
        </is>
      </c>
      <c r="C2118" s="48" t="inlineStr">
        <is>
          <t>3.3</t>
        </is>
      </c>
      <c r="D2118" s="48" t="inlineStr">
        <is>
          <t>Nhom 3 - Optimization</t>
        </is>
      </c>
      <c r="E2118" s="48" t="inlineStr">
        <is>
          <t>Filter trước khi join, tận dụng partition pruning</t>
        </is>
      </c>
      <c r="F2118" s="49" t="inlineStr">
        <is>
          <t>PASS</t>
        </is>
      </c>
      <c r="G2118" s="48" t="inlineStr">
        <is>
          <t>Pass</t>
        </is>
      </c>
      <c r="H2118" s="50" t="inlineStr">
        <is>
          <t>các bảng join đều được filter trước</t>
        </is>
      </c>
      <c r="I2118" s="50" t="inlineStr">
        <is>
          <t>Đưa điều kiện lọc (ngày dữ liệu, trạng thái) vào subquery của từng bảng TRƯỚC khi join, để tận dụng partition pruning. Bảng dim nhỏ không partition thì không cần — tự tick Pass.</t>
        </is>
      </c>
      <c r="J2118" s="48" t="inlineStr">
        <is>
          <t>109.OCB_GOLD_TTDL_BPM_VOLUME_TDCN_THU.xlsx [Script: BPM_VOLUME_TDCN]</t>
        </is>
      </c>
    </row>
    <row r="2119">
      <c r="A2119" s="48" t="inlineStr">
        <is>
          <t>BPM_VOLUME_TDCN</t>
        </is>
      </c>
      <c r="B2119" s="48" t="inlineStr">
        <is>
          <t>SILVER_CONSUMER</t>
        </is>
      </c>
      <c r="C2119" s="48" t="inlineStr">
        <is>
          <t>3.4</t>
        </is>
      </c>
      <c r="D2119" s="48" t="inlineStr">
        <is>
          <t>Nhom 3 - Optimization</t>
        </is>
      </c>
      <c r="E2119" s="48" t="inlineStr">
        <is>
          <t>Sử dụng CACHE cho query lặp lại trong cùng luồng</t>
        </is>
      </c>
      <c r="F2119" s="51" t="inlineStr">
        <is>
          <t>WARN</t>
        </is>
      </c>
      <c r="G2119" s="48" t="inlineStr">
        <is>
          <t>WARN</t>
        </is>
      </c>
      <c r="H2119" s="50" t="inlineStr">
        <is>
          <t>2 CTE nặng dùng lại &gt;= 2 lần mà không có CACHE: ref_dm, sat_gd_tsbd</t>
        </is>
      </c>
      <c r="I2119" s="50" t="inlineStr">
        <is>
          <t>Nếu một kết quả nặng được dùng lại nhiều bước trong cùng luồng, thêm CACHE TABLE / CACHE SELECT. Kết quả nhỏ thì cache còn chậm hơn — tự tick Pass.</t>
        </is>
      </c>
      <c r="J2119" s="48" t="inlineStr">
        <is>
          <t>109.OCB_GOLD_TTDL_BPM_VOLUME_TDCN_THU.xlsx [Script: BPM_VOLUME_TDCN]</t>
        </is>
      </c>
    </row>
    <row r="2120">
      <c r="A2120" s="48" t="inlineStr">
        <is>
          <t>BPM_VOLUME_TDCN</t>
        </is>
      </c>
      <c r="B2120" s="48" t="inlineStr">
        <is>
          <t>SILVER_CONSUMER</t>
        </is>
      </c>
      <c r="C2120" s="48" t="inlineStr">
        <is>
          <t>3.5</t>
        </is>
      </c>
      <c r="D2120" s="48" t="inlineStr">
        <is>
          <t>Nhom 3 - Optimization</t>
        </is>
      </c>
      <c r="E2120" s="48" t="inlineStr">
        <is>
          <t>Ưu tiên MAX_BY + QUALIFY thay ROW_NUMBER() + WHERE rn = 1</t>
        </is>
      </c>
      <c r="F2120" s="51" t="inlineStr">
        <is>
          <t>WARN</t>
        </is>
      </c>
      <c r="G2120" s="48" t="inlineStr">
        <is>
          <t>WARN</t>
        </is>
      </c>
      <c r="H2120" s="50" t="inlineStr">
        <is>
          <t>2 khối dùng MAX_BY độc lập cho &gt;5 cột (dòng 25, [10,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1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120" s="48" t="inlineStr">
        <is>
          <t>109.OCB_GOLD_TTDL_BPM_VOLUME_TDCN_THU.xlsx [Script: BPM_VOLUME_TDCN]</t>
        </is>
      </c>
    </row>
    <row r="2121">
      <c r="A2121" s="48" t="inlineStr">
        <is>
          <t>BPM_VOLUME_TDCN</t>
        </is>
      </c>
      <c r="B2121" s="48" t="inlineStr">
        <is>
          <t>SILVER_CONSUMER</t>
        </is>
      </c>
      <c r="C2121" s="48" t="inlineStr">
        <is>
          <t>3.6</t>
        </is>
      </c>
      <c r="D2121" s="48" t="inlineStr">
        <is>
          <t>Nhom 3 - Optimization</t>
        </is>
      </c>
      <c r="E2121" s="48" t="inlineStr">
        <is>
          <t>Không lạm dụng window function; có comment khi dùng</t>
        </is>
      </c>
      <c r="F2121" s="48" t="inlineStr">
        <is>
          <t>N-A</t>
        </is>
      </c>
      <c r="G2121" s="48" t="inlineStr">
        <is>
          <t>Pass</t>
        </is>
      </c>
      <c r="H2121" s="50" t="inlineStr">
        <is>
          <t>script không dùng window function</t>
        </is>
      </c>
      <c r="I2121" s="50" t="inlineStr">
        <is>
          <t>Mỗi window function cần một comment ngay trên khối CTE chứa nó, nói rõ vì sao không dùng được max_by/QUALIFY đơn giản hơn.</t>
        </is>
      </c>
      <c r="J2121" s="48" t="inlineStr">
        <is>
          <t>109.OCB_GOLD_TTDL_BPM_VOLUME_TDCN_THU.xlsx [Script: BPM_VOLUME_TDCN]</t>
        </is>
      </c>
    </row>
    <row r="2122">
      <c r="A2122" s="48" t="inlineStr">
        <is>
          <t>BPM_VOLUME_TDCN</t>
        </is>
      </c>
      <c r="B2122" s="48" t="inlineStr">
        <is>
          <t>SILVER_CONSUMER</t>
        </is>
      </c>
      <c r="C2122" s="48" t="inlineStr">
        <is>
          <t>X.1</t>
        </is>
      </c>
      <c r="D2122" s="48" t="inlineStr">
        <is>
          <t>Nhom X - Bo sung Raffles</t>
        </is>
      </c>
      <c r="E2122" s="48" t="inlineStr">
        <is>
          <t>[Bổ sung] Link phải rút về current trước khi join (chống fan-out)</t>
        </is>
      </c>
      <c r="F2122" s="49" t="inlineStr">
        <is>
          <t>PASS</t>
        </is>
      </c>
      <c r="G2122" s="48" t="inlineStr">
        <is>
          <t>Pass</t>
        </is>
      </c>
      <c r="H2122" s="50" t="inlineStr">
        <is>
          <t>các bảng link_* đều được rút về current trước khi join</t>
        </is>
      </c>
      <c r="I21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122" s="48" t="inlineStr">
        <is>
          <t>109.OCB_GOLD_TTDL_BPM_VOLUME_TDCN_THU.xlsx [Script: BPM_VOLUME_TDCN]</t>
        </is>
      </c>
    </row>
    <row r="2123">
      <c r="A2123" s="48" t="inlineStr">
        <is>
          <t>BPM_VOLUME_TDCN</t>
        </is>
      </c>
      <c r="B2123" s="48" t="inlineStr">
        <is>
          <t>SILVER_CONSUMER</t>
        </is>
      </c>
      <c r="C2123" s="48" t="inlineStr">
        <is>
          <t>X.6</t>
        </is>
      </c>
      <c r="D2123" s="48" t="inlineStr">
        <is>
          <t>Nhom X - Bo sung Raffles</t>
        </is>
      </c>
      <c r="E2123" s="48" t="inlineStr">
        <is>
          <t>[Bổ sung] Satellite phải LEFT JOIN, không INNER JOIN</t>
        </is>
      </c>
      <c r="F2123" s="49" t="inlineStr">
        <is>
          <t>PASS</t>
        </is>
      </c>
      <c r="G2123" s="48" t="inlineStr">
        <is>
          <t>Pass</t>
        </is>
      </c>
      <c r="H2123" s="50" t="inlineStr">
        <is>
          <t>các satellite đều LEFT JOIN</t>
        </is>
      </c>
      <c r="I2123" s="50" t="inlineStr">
        <is>
          <t>Technical Document III.4.2.2 nguyên tắc 1: làm giàu thuộc tính luôn dùng LEFT JOIN. INNER JOIN satellite sẽ loại mất bản ghi Hub đang còn hiệu lực nhưng chưa có dòng satellite.</t>
        </is>
      </c>
      <c r="J2123" s="48" t="inlineStr">
        <is>
          <t>109.OCB_GOLD_TTDL_BPM_VOLUME_TDCN_THU.xlsx [Script: BPM_VOLUME_TDCN]</t>
        </is>
      </c>
    </row>
    <row r="2124">
      <c r="A2124" s="48" t="inlineStr">
        <is>
          <t>BPM_VOLUME_TDCN</t>
        </is>
      </c>
      <c r="B2124" s="48" t="inlineStr">
        <is>
          <t>SILVER_CONSUMER</t>
        </is>
      </c>
      <c r="C2124" s="48" t="inlineStr">
        <is>
          <t>X.7</t>
        </is>
      </c>
      <c r="D2124" s="48" t="inlineStr">
        <is>
          <t>Nhom X - Bo sung Raffles</t>
        </is>
      </c>
      <c r="E2124" s="48" t="inlineStr">
        <is>
          <t>[Bổ sung] Không hard-code catalog, dùng biến môi trường</t>
        </is>
      </c>
      <c r="F2124" s="49" t="inlineStr">
        <is>
          <t>PASS</t>
        </is>
      </c>
      <c r="G2124" s="48" t="inlineStr">
        <is>
          <t>Pass</t>
        </is>
      </c>
      <c r="H2124" s="50" t="inlineStr">
        <is>
          <t>dùng biến môi trường cho catalog</t>
        </is>
      </c>
      <c r="I21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124" s="48" t="inlineStr">
        <is>
          <t>109.OCB_GOLD_TTDL_BPM_VOLUME_TDCN_THU.xlsx [Script: BPM_VOLUME_TDCN]</t>
        </is>
      </c>
    </row>
    <row r="2125">
      <c r="A2125" s="48" t="inlineStr">
        <is>
          <t>BPM_VOLUME_TDCN</t>
        </is>
      </c>
      <c r="B2125" s="48" t="inlineStr">
        <is>
          <t>SILVER_CONSUMER</t>
        </is>
      </c>
      <c r="C2125" s="48" t="inlineStr">
        <is>
          <t>X.10</t>
        </is>
      </c>
      <c r="D2125" s="48" t="inlineStr">
        <is>
          <t>Nhom X - Bo sung Raffles</t>
        </is>
      </c>
      <c r="E2125" s="48" t="inlineStr">
        <is>
          <t>Bang raw_vault/business_vault duoc doc phai TON TAI THAT trong Data Vault model</t>
        </is>
      </c>
      <c r="F2125" s="49" t="inlineStr">
        <is>
          <t>PASS</t>
        </is>
      </c>
      <c r="G2125" s="48" t="inlineStr">
        <is>
          <t>Pass</t>
        </is>
      </c>
      <c r="H2125" s="50" t="inlineStr">
        <is>
          <t>14 bảng Silver đều có thật trong Data Vault model</t>
        </is>
      </c>
      <c r="I2125" s="50" t="inlineStr"/>
      <c r="J2125" s="48" t="inlineStr">
        <is>
          <t>109.OCB_GOLD_TTDL_BPM_VOLUME_TDCN_THU.xlsx [Script: BPM_VOLUME_TDCN]</t>
        </is>
      </c>
    </row>
    <row r="2126">
      <c r="A2126" s="48" t="inlineStr">
        <is>
          <t>BPM_VOLUME_TDCN</t>
        </is>
      </c>
      <c r="B2126" s="48" t="inlineStr">
        <is>
          <t>SILVER_CONSUMER</t>
        </is>
      </c>
      <c r="C2126" s="48" t="inlineStr">
        <is>
          <t>X.11</t>
        </is>
      </c>
      <c r="D2126" s="48" t="inlineStr">
        <is>
          <t>Nhom X - Bo sung Raffles</t>
        </is>
      </c>
      <c r="E2126" s="48" t="inlineStr">
        <is>
          <t>Cot doc tu satellite (sat_*) phai TON TAI THAT trong model</t>
        </is>
      </c>
      <c r="F2126" s="49" t="inlineStr">
        <is>
          <t>PASS</t>
        </is>
      </c>
      <c r="G2126" s="48" t="inlineStr">
        <is>
          <t>Pass</t>
        </is>
      </c>
      <c r="H2126" s="50" t="inlineStr">
        <is>
          <t>mọi cột đọc từ sat_* đều tồn tại trong model thật</t>
        </is>
      </c>
      <c r="I2126" s="50" t="inlineStr"/>
      <c r="J2126" s="48" t="inlineStr">
        <is>
          <t>109.OCB_GOLD_TTDL_BPM_VOLUME_TDCN_THU.xlsx [Script: BPM_VOLUME_TDCN]</t>
        </is>
      </c>
    </row>
    <row r="2127">
      <c r="A2127" s="48" t="inlineStr">
        <is>
          <t>DMBPM.BPM_VOLUME_XLGDTD</t>
        </is>
      </c>
      <c r="B2127" s="48" t="inlineStr">
        <is>
          <t>SILVER_CONSUMER</t>
        </is>
      </c>
      <c r="C2127" s="48" t="inlineStr">
        <is>
          <t>1.1</t>
        </is>
      </c>
      <c r="D2127" s="48" t="inlineStr">
        <is>
          <t>Nhom 1 - Mapping</t>
        </is>
      </c>
      <c r="E2127" s="48" t="inlineStr">
        <is>
          <t>Đầy đủ mapping từ Silver/manual sang Gold</t>
        </is>
      </c>
      <c r="F2127" s="49" t="inlineStr">
        <is>
          <t>PASS</t>
        </is>
      </c>
      <c r="G2127" s="48" t="inlineStr">
        <is>
          <t>Pass</t>
        </is>
      </c>
      <c r="H2127" s="50" t="inlineStr">
        <is>
          <t>workbook 110.OCB_GOLD_TTDL_BPM_VOLUME_XLGDTD_LINH.xlsx: thiết kế 165 field, SQL có 165 cột</t>
        </is>
      </c>
      <c r="I21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127" s="48" t="inlineStr">
        <is>
          <t>110.OCB_GOLD_TTDL_BPM_VOLUME_XLGDTD_LINH.xlsx [Script: BPM_VOLUME_XLGDTD]</t>
        </is>
      </c>
    </row>
    <row r="2128">
      <c r="A2128" s="48" t="inlineStr">
        <is>
          <t>DMBPM.BPM_VOLUME_XLGDTD</t>
        </is>
      </c>
      <c r="B2128" s="48" t="inlineStr">
        <is>
          <t>SILVER_CONSUMER</t>
        </is>
      </c>
      <c r="C2128" s="48" t="inlineStr">
        <is>
          <t>1.2</t>
        </is>
      </c>
      <c r="D2128" s="48" t="inlineStr">
        <is>
          <t>Nhom 1 - Mapping</t>
        </is>
      </c>
      <c r="E2128" s="48" t="inlineStr">
        <is>
          <t>Danh sách bảng/view Gold khớp tài liệu thiết kế đã duyệt</t>
        </is>
      </c>
      <c r="F2128" s="49" t="inlineStr">
        <is>
          <t>PASS</t>
        </is>
      </c>
      <c r="G2128" s="48" t="inlineStr">
        <is>
          <t>Pass</t>
        </is>
      </c>
      <c r="H2128" s="50" t="inlineStr">
        <is>
          <t>BPM_VOLUME_XLGDTD có workbook thiết kế: 110.OCB_GOLD_TTDL_BPM_VOLUME_XLGDTD_LINH.xlsx</t>
        </is>
      </c>
      <c r="I2128" s="50" t="inlineStr">
        <is>
          <t>Đảm bảo object có workbook thiết kế tương ứng trong thư mục --mapping-dir. Muốn đối chiếu với danh sách đã duyệt thì chạy thêm tham số --gold-list "&lt;file danh sách Gold&gt;.xlsx".</t>
        </is>
      </c>
      <c r="J2128" s="48" t="inlineStr">
        <is>
          <t>110.OCB_GOLD_TTDL_BPM_VOLUME_XLGDTD_LINH.xlsx [Script: BPM_VOLUME_XLGDTD]</t>
        </is>
      </c>
    </row>
    <row r="2129">
      <c r="A2129" s="48" t="inlineStr">
        <is>
          <t>DMBPM.BPM_VOLUME_XLGDTD</t>
        </is>
      </c>
      <c r="B2129" s="48" t="inlineStr">
        <is>
          <t>SILVER_CONSUMER</t>
        </is>
      </c>
      <c r="C2129" s="48" t="inlineStr">
        <is>
          <t>2.1</t>
        </is>
      </c>
      <c r="D2129" s="48" t="inlineStr">
        <is>
          <t>Nhom 2 - Logic</t>
        </is>
      </c>
      <c r="E2129" s="48" t="inlineStr">
        <is>
          <t>Chỉ lấy bản ghi active, loại bản ghi đã xóa (qua sts_hub)</t>
        </is>
      </c>
      <c r="F2129" s="49" t="inlineStr">
        <is>
          <t>PASS</t>
        </is>
      </c>
      <c r="G2129" s="48" t="inlineStr">
        <is>
          <t>Pass</t>
        </is>
      </c>
      <c r="H2129" s="50" t="inlineStr">
        <is>
          <t>không dùng sts_hub_* (không có yêu cầu nghiệp vụ giữ bản ghi đã xóa)</t>
        </is>
      </c>
      <c r="I21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129" s="48" t="inlineStr">
        <is>
          <t>110.OCB_GOLD_TTDL_BPM_VOLUME_XLGDTD_LINH.xlsx [Script: BPM_VOLUME_XLGDTD]</t>
        </is>
      </c>
    </row>
    <row r="2130">
      <c r="A2130" s="48" t="inlineStr">
        <is>
          <t>DMBPM.BPM_VOLUME_XLGDTD</t>
        </is>
      </c>
      <c r="B2130" s="48" t="inlineStr">
        <is>
          <t>SILVER_CONSUMER</t>
        </is>
      </c>
      <c r="C2130" s="48" t="inlineStr">
        <is>
          <t>2.2</t>
        </is>
      </c>
      <c r="D2130" s="48" t="inlineStr">
        <is>
          <t>Nhom 2 - Logic</t>
        </is>
      </c>
      <c r="E2130" s="48" t="inlineStr">
        <is>
          <t>Thống nhất MỘT pattern duy nhất xác định bản ghi active mới nhất</t>
        </is>
      </c>
      <c r="F2130" s="49" t="inlineStr">
        <is>
          <t>PASS</t>
        </is>
      </c>
      <c r="G2130" s="48" t="inlineStr">
        <is>
          <t>Pass</t>
        </is>
      </c>
      <c r="H2130" s="50" t="inlineStr">
        <is>
          <t>file này dùng: ['MAX_BY']; toàn batch dùng: ['MAX_BY']</t>
        </is>
      </c>
      <c r="I21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130" s="48" t="inlineStr">
        <is>
          <t>110.OCB_GOLD_TTDL_BPM_VOLUME_XLGDTD_LINH.xlsx [Script: BPM_VOLUME_XLGDTD]</t>
        </is>
      </c>
    </row>
    <row r="2131">
      <c r="A2131" s="48" t="inlineStr">
        <is>
          <t>DMBPM.BPM_VOLUME_XLGDTD</t>
        </is>
      </c>
      <c r="B2131" s="48" t="inlineStr">
        <is>
          <t>SILVER_CONSUMER</t>
        </is>
      </c>
      <c r="C2131" s="48" t="inlineStr">
        <is>
          <t>2.3</t>
        </is>
      </c>
      <c r="D2131" s="48" t="inlineStr">
        <is>
          <t>Nhom 2 - Logic</t>
        </is>
      </c>
      <c r="E2131" s="48" t="inlineStr">
        <is>
          <t>Điều kiện lọc trạng thái đặt SAU khi xác định bản ghi mới nhất</t>
        </is>
      </c>
      <c r="F2131" s="49" t="inlineStr">
        <is>
          <t>PASS</t>
        </is>
      </c>
      <c r="G2131" s="48" t="inlineStr">
        <is>
          <t>Pass</t>
        </is>
      </c>
      <c r="H2131" s="50" t="inlineStr">
        <is>
          <t>không có điều kiện trạng thái nào lồng trong JOIN ON</t>
        </is>
      </c>
      <c r="I21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131" s="48" t="inlineStr">
        <is>
          <t>110.OCB_GOLD_TTDL_BPM_VOLUME_XLGDTD_LINH.xlsx [Script: BPM_VOLUME_XLGDTD]</t>
        </is>
      </c>
    </row>
    <row r="2132">
      <c r="A2132" s="48" t="inlineStr">
        <is>
          <t>DMBPM.BPM_VOLUME_XLGDTD</t>
        </is>
      </c>
      <c r="B2132" s="48" t="inlineStr">
        <is>
          <t>SILVER_CONSUMER</t>
        </is>
      </c>
      <c r="C2132" s="48" t="inlineStr">
        <is>
          <t>2.4</t>
        </is>
      </c>
      <c r="D2132" s="48" t="inlineStr">
        <is>
          <t>Nhom 2 - Logic</t>
        </is>
      </c>
      <c r="E2132" s="48" t="inlineStr">
        <is>
          <t>source_event_date áp dụng đúng dạng theo loại bảng</t>
        </is>
      </c>
      <c r="F2132" s="49" t="inlineStr">
        <is>
          <t>PASS</t>
        </is>
      </c>
      <c r="G2132" s="48" t="inlineStr">
        <is>
          <t>Pass</t>
        </is>
      </c>
      <c r="H2132" s="50" t="inlineStr">
        <is>
          <t>6 satellite đều đúng dạng điều kiện source_event_date</t>
        </is>
      </c>
      <c r="I21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132" s="48" t="inlineStr">
        <is>
          <t>110.OCB_GOLD_TTDL_BPM_VOLUME_XLGDTD_LINH.xlsx [Script: BPM_VOLUME_XLGDTD]</t>
        </is>
      </c>
    </row>
    <row r="2133">
      <c r="A2133" s="48" t="inlineStr">
        <is>
          <t>DMBPM.BPM_VOLUME_XLGDTD</t>
        </is>
      </c>
      <c r="B2133" s="48" t="inlineStr">
        <is>
          <t>SILVER_CONSUMER</t>
        </is>
      </c>
      <c r="C2133" s="48" t="inlineStr">
        <is>
          <t>2.5</t>
        </is>
      </c>
      <c r="D2133" s="48" t="inlineStr">
        <is>
          <t>Nhom 2 - Logic</t>
        </is>
      </c>
      <c r="E2133" s="48" t="inlineStr">
        <is>
          <t>Không lặp lại lỗi logic cũ đã được DA Data Vault fix</t>
        </is>
      </c>
      <c r="F2133" s="49" t="inlineStr">
        <is>
          <t>PASS</t>
        </is>
      </c>
      <c r="G2133" s="48" t="inlineStr">
        <is>
          <t>Pass</t>
        </is>
      </c>
      <c r="H2133" s="50" t="inlineStr">
        <is>
          <t>không trùng lỗi nào trong Issue log của DA Data Vault</t>
        </is>
      </c>
      <c r="I21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133" s="48" t="inlineStr">
        <is>
          <t>110.OCB_GOLD_TTDL_BPM_VOLUME_XLGDTD_LINH.xlsx [Script: BPM_VOLUME_XLGDTD]</t>
        </is>
      </c>
    </row>
    <row r="2134">
      <c r="A2134" s="48" t="inlineStr">
        <is>
          <t>DMBPM.BPM_VOLUME_XLGDTD</t>
        </is>
      </c>
      <c r="B2134" s="48" t="inlineStr">
        <is>
          <t>SILVER_CONSUMER</t>
        </is>
      </c>
      <c r="C2134" s="48" t="inlineStr">
        <is>
          <t>2.6</t>
        </is>
      </c>
      <c r="D2134" s="48" t="inlineStr">
        <is>
          <t>Nhom 2 - Logic</t>
        </is>
      </c>
      <c r="E2134" s="48" t="inlineStr">
        <is>
          <t>SCD Type 2 cho bảng DIM áp dụng đúng kỹ thuật đã thống nhất</t>
        </is>
      </c>
      <c r="F2134" s="48" t="inlineStr">
        <is>
          <t>N-A</t>
        </is>
      </c>
      <c r="G2134" s="48" t="inlineStr">
        <is>
          <t>Pass</t>
        </is>
      </c>
      <c r="H2134" s="50" t="inlineStr">
        <is>
          <t>object không phải bảng DIM nên không áp dụng SCD Type 2</t>
        </is>
      </c>
      <c r="I21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134" s="48" t="inlineStr">
        <is>
          <t>110.OCB_GOLD_TTDL_BPM_VOLUME_XLGDTD_LINH.xlsx [Script: BPM_VOLUME_XLGDTD]</t>
        </is>
      </c>
    </row>
    <row r="2135">
      <c r="A2135" s="48" t="inlineStr">
        <is>
          <t>DMBPM.BPM_VOLUME_XLGDTD</t>
        </is>
      </c>
      <c r="B2135" s="48" t="inlineStr">
        <is>
          <t>SILVER_CONSUMER</t>
        </is>
      </c>
      <c r="C2135" s="48" t="inlineStr">
        <is>
          <t>2.7</t>
        </is>
      </c>
      <c r="D2135" s="48" t="inlineStr">
        <is>
          <t>Nhom 2 - Logic</t>
        </is>
      </c>
      <c r="E2135" s="48" t="inlineStr">
        <is>
          <t>CASE WHEN cover đủ nhánh như job on-prem</t>
        </is>
      </c>
      <c r="F2135" s="49" t="inlineStr">
        <is>
          <t>PASS</t>
        </is>
      </c>
      <c r="G2135" s="48" t="inlineStr">
        <is>
          <t>Pass</t>
        </is>
      </c>
      <c r="H2135" s="50" t="inlineStr">
        <is>
          <t>cả 2 CASE đều có nhánh ELSE</t>
        </is>
      </c>
      <c r="I2135" s="50" t="inlineStr">
        <is>
          <t>Mở job on-prem tương ứng (DataStage DSX hoặc SQL cũ), đối chiếu từng nhánh WHEN và cả nhánh ELSE. CASE không có ELSE sẽ trả NULL âm thầm — xác nhận đó là ý muốn hay thiếu nhánh.</t>
        </is>
      </c>
      <c r="J2135" s="48" t="inlineStr">
        <is>
          <t>110.OCB_GOLD_TTDL_BPM_VOLUME_XLGDTD_LINH.xlsx [Script: BPM_VOLUME_XLGDTD]</t>
        </is>
      </c>
    </row>
    <row r="2136">
      <c r="A2136" s="48" t="inlineStr">
        <is>
          <t>DMBPM.BPM_VOLUME_XLGDTD</t>
        </is>
      </c>
      <c r="B2136" s="48" t="inlineStr">
        <is>
          <t>SILVER_CONSUMER</t>
        </is>
      </c>
      <c r="C2136" s="48" t="inlineStr">
        <is>
          <t>2.8</t>
        </is>
      </c>
      <c r="D2136" s="48" t="inlineStr">
        <is>
          <t>Nhom 2 - Logic</t>
        </is>
      </c>
      <c r="E2136" s="48" t="inlineStr">
        <is>
          <t>Cột SUM/COUNT được COALESCE/NVL hợp lý</t>
        </is>
      </c>
      <c r="F2136" s="49" t="inlineStr">
        <is>
          <t>PASS</t>
        </is>
      </c>
      <c r="G2136" s="48" t="inlineStr">
        <is>
          <t>Pass</t>
        </is>
      </c>
      <c r="H2136" s="50" t="inlineStr">
        <is>
          <t>mọi SUM/COUNT đều đã coalesce (trực tiếp hoặc ở lớp ngoài)</t>
        </is>
      </c>
      <c r="I21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36" s="48" t="inlineStr">
        <is>
          <t>110.OCB_GOLD_TTDL_BPM_VOLUME_XLGDTD_LINH.xlsx [Script: BPM_VOLUME_XLGDTD]</t>
        </is>
      </c>
    </row>
    <row r="2137">
      <c r="A2137" s="48" t="inlineStr">
        <is>
          <t>DMBPM.BPM_VOLUME_XLGDTD</t>
        </is>
      </c>
      <c r="B2137" s="48" t="inlineStr">
        <is>
          <t>SILVER_CONSUMER</t>
        </is>
      </c>
      <c r="C2137" s="48" t="inlineStr">
        <is>
          <t>2.9</t>
        </is>
      </c>
      <c r="D2137" s="48" t="inlineStr">
        <is>
          <t>Nhom 2 - Logic</t>
        </is>
      </c>
      <c r="E2137" s="48" t="inlineStr">
        <is>
          <t>Subquery / custom function / điều kiện LIKE đúng ý nghĩa nghiệp vụ</t>
        </is>
      </c>
      <c r="F2137" s="48" t="inlineStr">
        <is>
          <t>N-A</t>
        </is>
      </c>
      <c r="G2137" s="48" t="inlineStr">
        <is>
          <t>Pass</t>
        </is>
      </c>
      <c r="H2137" s="50" t="inlineStr">
        <is>
          <t>script không có điều kiện LIKE hay scalar subquery nào</t>
        </is>
      </c>
      <c r="I2137" s="50" t="inlineStr">
        <is>
          <t>Đọc lại từng điều kiện LIKE và từng subquery, đối chiếu ý nghĩa nghiệp vụ với on-prem — đúng cú pháp không đủ. Chú ý pattern LIKE có ký tự % ở đầu/cuối và phân biệt chữ hoa/thường.</t>
        </is>
      </c>
      <c r="J2137" s="48" t="inlineStr">
        <is>
          <t>110.OCB_GOLD_TTDL_BPM_VOLUME_XLGDTD_LINH.xlsx [Script: BPM_VOLUME_XLGDTD]</t>
        </is>
      </c>
    </row>
    <row r="2138">
      <c r="A2138" s="48" t="inlineStr">
        <is>
          <t>DMBPM.BPM_VOLUME_XLGDTD</t>
        </is>
      </c>
      <c r="B2138" s="48" t="inlineStr">
        <is>
          <t>SILVER_CONSUMER</t>
        </is>
      </c>
      <c r="C2138" s="48" t="inlineStr">
        <is>
          <t>2.10</t>
        </is>
      </c>
      <c r="D2138" s="48" t="inlineStr">
        <is>
          <t>Nhom 2 - Logic</t>
        </is>
      </c>
      <c r="E2138" s="48" t="inlineStr">
        <is>
          <t>Aggregation kèm filter date range chính xác</t>
        </is>
      </c>
      <c r="F2138" s="49" t="inlineStr">
        <is>
          <t>PASS</t>
        </is>
      </c>
      <c r="G2138" s="48" t="inlineStr">
        <is>
          <t>Pass</t>
        </is>
      </c>
      <c r="H2138" s="50" t="inlineStr">
        <is>
          <t>mọi khối tổng hợp đều có điều kiện theo kỳ dữ liệu</t>
        </is>
      </c>
      <c r="I2138" s="50" t="inlineStr">
        <is>
          <t>Mỗi khối SUM/COUNT/AVG phải có điều kiện lọc theo kỳ dữ liệu (CDR_DT_ID, DATA_DATE, :DATADT…). Nếu điều kiện nằm ở CTE nguồn thì ghi rõ trong comment để người review không phải truy ngược.</t>
        </is>
      </c>
      <c r="J2138" s="48" t="inlineStr">
        <is>
          <t>110.OCB_GOLD_TTDL_BPM_VOLUME_XLGDTD_LINH.xlsx [Script: BPM_VOLUME_XLGDTD]</t>
        </is>
      </c>
    </row>
    <row r="2139">
      <c r="A2139" s="48" t="inlineStr">
        <is>
          <t>DMBPM.BPM_VOLUME_XLGDTD</t>
        </is>
      </c>
      <c r="B2139" s="48" t="inlineStr">
        <is>
          <t>SILVER_CONSUMER</t>
        </is>
      </c>
      <c r="C2139" s="48" t="inlineStr">
        <is>
          <t>2.11</t>
        </is>
      </c>
      <c r="D2139" s="48" t="inlineStr">
        <is>
          <t>Nhom 2 - Logic</t>
        </is>
      </c>
      <c r="E2139" s="48" t="inlineStr">
        <is>
          <t>Join dùng key hợp lý, không lạm dụng UNION ALL + EXISTS/NOT EXISTS</t>
        </is>
      </c>
      <c r="F2139" s="49" t="inlineStr">
        <is>
          <t>PASS</t>
        </is>
      </c>
      <c r="G2139" s="48" t="inlineStr">
        <is>
          <t>Pass</t>
        </is>
      </c>
      <c r="H2139" s="50" t="inlineStr">
        <is>
          <t>join đều theo điều kiện bằng, không lạm dụng UNION ALL + EXISTS</t>
        </is>
      </c>
      <c r="I2139" s="50" t="inlineStr">
        <is>
          <t>Ưu tiên LEFT JOIN theo business key hoặc hashkey. Xem lại các chỗ dùng UNION ALL kết hợp EXISTS/NOT EXISTS — thường thay được bằng một LEFT JOIN. Join không có điều kiện bằng (=) dễ tạo tích Descartes.</t>
        </is>
      </c>
      <c r="J2139" s="48" t="inlineStr">
        <is>
          <t>110.OCB_GOLD_TTDL_BPM_VOLUME_XLGDTD_LINH.xlsx [Script: BPM_VOLUME_XLGDTD]</t>
        </is>
      </c>
    </row>
    <row r="2140">
      <c r="A2140" s="48" t="inlineStr">
        <is>
          <t>DMBPM.BPM_VOLUME_XLGDTD</t>
        </is>
      </c>
      <c r="B2140" s="48" t="inlineStr">
        <is>
          <t>SILVER_CONSUMER</t>
        </is>
      </c>
      <c r="C2140" s="48" t="inlineStr">
        <is>
          <t>2.12</t>
        </is>
      </c>
      <c r="D2140" s="48" t="inlineStr">
        <is>
          <t>Nhom 2 - Logic</t>
        </is>
      </c>
      <c r="E2140" s="48" t="inlineStr">
        <is>
          <t>Build Gold từ CTE snapshot Silver, không build nhiều tầng chồng chéo</t>
        </is>
      </c>
      <c r="F2140" s="49" t="inlineStr">
        <is>
          <t>PASS</t>
        </is>
      </c>
      <c r="G2140" s="48" t="inlineStr">
        <is>
          <t>Pass</t>
        </is>
      </c>
      <c r="H2140" s="50" t="inlineStr">
        <is>
          <t>mỗi bảng nguồn chỉ đọc trong 1 khối SELECT</t>
        </is>
      </c>
      <c r="I21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40" s="48" t="inlineStr">
        <is>
          <t>110.OCB_GOLD_TTDL_BPM_VOLUME_XLGDTD_LINH.xlsx [Script: BPM_VOLUME_XLGDTD]</t>
        </is>
      </c>
    </row>
    <row r="2141">
      <c r="A2141" s="48" t="inlineStr">
        <is>
          <t>DMBPM.BPM_VOLUME_XLGDTD</t>
        </is>
      </c>
      <c r="B2141" s="48" t="inlineStr">
        <is>
          <t>SILVER_CONSUMER</t>
        </is>
      </c>
      <c r="C2141" s="48" t="inlineStr">
        <is>
          <t>3.1</t>
        </is>
      </c>
      <c r="D2141" s="48" t="inlineStr">
        <is>
          <t>Nhom 3 - Optimization</t>
        </is>
      </c>
      <c r="E2141" s="48" t="inlineStr">
        <is>
          <t>Không SELECT *</t>
        </is>
      </c>
      <c r="F2141" s="49" t="inlineStr">
        <is>
          <t>PASS</t>
        </is>
      </c>
      <c r="G2141" s="48" t="inlineStr">
        <is>
          <t>Pass</t>
        </is>
      </c>
      <c r="H2141" s="50" t="inlineStr">
        <is>
          <t>không dùng SELECT * ở đâu</t>
        </is>
      </c>
      <c r="I2141" s="50" t="inlineStr">
        <is>
          <t>Liệt kê tường minh các cột cần dùng, kể cả trong CTE trung gian. SELECT * làm tăng IO/memory và vỡ script khi bảng nguồn thêm cột.</t>
        </is>
      </c>
      <c r="J2141" s="48" t="inlineStr">
        <is>
          <t>110.OCB_GOLD_TTDL_BPM_VOLUME_XLGDTD_LINH.xlsx [Script: BPM_VOLUME_XLGDTD]</t>
        </is>
      </c>
    </row>
    <row r="2142">
      <c r="A2142" s="48" t="inlineStr">
        <is>
          <t>DMBPM.BPM_VOLUME_XLGDTD</t>
        </is>
      </c>
      <c r="B2142" s="48" t="inlineStr">
        <is>
          <t>SILVER_CONSUMER</t>
        </is>
      </c>
      <c r="C2142" s="48" t="inlineStr">
        <is>
          <t>3.2</t>
        </is>
      </c>
      <c r="D2142" s="48" t="inlineStr">
        <is>
          <t>Nhom 3 - Optimization</t>
        </is>
      </c>
      <c r="E2142" s="48" t="inlineStr">
        <is>
          <t>CTE không bị scan lại nhiều lần</t>
        </is>
      </c>
      <c r="F2142" s="51" t="inlineStr">
        <is>
          <t>WARN</t>
        </is>
      </c>
      <c r="G2142" s="48" t="inlineStr">
        <is>
          <t>WARN</t>
        </is>
      </c>
      <c r="H2142" s="50" t="inlineStr">
        <is>
          <t>CTE bị tham chiếu lại nhiều lần: bc_inf x27, bc_detail x139, h_chung x3, hub_don_vi x2, sat_don_vi x2, link x3</t>
        </is>
      </c>
      <c r="I2142" s="50" t="inlineStr">
        <is>
          <t>Với CTE nặng (đọc nhiều bảng Silver) bị tham chiếu từ 2 chỗ trở lên: gom lại còn một lần dùng, hoặc vật chất hóa (CACHE / bảng tạm). CTE nhẹ chỉ chứa tham số thì bỏ qua được — tự tick Pass.</t>
        </is>
      </c>
      <c r="J2142" s="48" t="inlineStr">
        <is>
          <t>110.OCB_GOLD_TTDL_BPM_VOLUME_XLGDTD_LINH.xlsx [Script: BPM_VOLUME_XLGDTD]</t>
        </is>
      </c>
    </row>
    <row r="2143">
      <c r="A2143" s="48" t="inlineStr">
        <is>
          <t>DMBPM.BPM_VOLUME_XLGDTD</t>
        </is>
      </c>
      <c r="B2143" s="48" t="inlineStr">
        <is>
          <t>SILVER_CONSUMER</t>
        </is>
      </c>
      <c r="C2143" s="48" t="inlineStr">
        <is>
          <t>3.3</t>
        </is>
      </c>
      <c r="D2143" s="48" t="inlineStr">
        <is>
          <t>Nhom 3 - Optimization</t>
        </is>
      </c>
      <c r="E2143" s="48" t="inlineStr">
        <is>
          <t>Filter trước khi join, tận dụng partition pruning</t>
        </is>
      </c>
      <c r="F2143" s="49" t="inlineStr">
        <is>
          <t>PASS</t>
        </is>
      </c>
      <c r="G2143" s="48" t="inlineStr">
        <is>
          <t>Pass</t>
        </is>
      </c>
      <c r="H2143" s="50" t="inlineStr">
        <is>
          <t>các bảng join đều được filter trước</t>
        </is>
      </c>
      <c r="I2143" s="50" t="inlineStr">
        <is>
          <t>Đưa điều kiện lọc (ngày dữ liệu, trạng thái) vào subquery của từng bảng TRƯỚC khi join, để tận dụng partition pruning. Bảng dim nhỏ không partition thì không cần — tự tick Pass.</t>
        </is>
      </c>
      <c r="J2143" s="48" t="inlineStr">
        <is>
          <t>110.OCB_GOLD_TTDL_BPM_VOLUME_XLGDTD_LINH.xlsx [Script: BPM_VOLUME_XLGDTD]</t>
        </is>
      </c>
    </row>
    <row r="2144">
      <c r="A2144" s="48" t="inlineStr">
        <is>
          <t>DMBPM.BPM_VOLUME_XLGDTD</t>
        </is>
      </c>
      <c r="B2144" s="48" t="inlineStr">
        <is>
          <t>SILVER_CONSUMER</t>
        </is>
      </c>
      <c r="C2144" s="48" t="inlineStr">
        <is>
          <t>3.4</t>
        </is>
      </c>
      <c r="D2144" s="48" t="inlineStr">
        <is>
          <t>Nhom 3 - Optimization</t>
        </is>
      </c>
      <c r="E2144" s="48" t="inlineStr">
        <is>
          <t>Sử dụng CACHE cho query lặp lại trong cùng luồng</t>
        </is>
      </c>
      <c r="F2144" s="51" t="inlineStr">
        <is>
          <t>WARN</t>
        </is>
      </c>
      <c r="G2144" s="48" t="inlineStr">
        <is>
          <t>WARN</t>
        </is>
      </c>
      <c r="H2144" s="50" t="inlineStr">
        <is>
          <t>6 CTE nặng dùng lại &gt;= 2 lần mà không có CACHE: bc_detail, bc_inf, h_chung, hub_don_vi, link, sat_don_vi</t>
        </is>
      </c>
      <c r="I2144" s="50" t="inlineStr">
        <is>
          <t>Nếu một kết quả nặng được dùng lại nhiều bước trong cùng luồng, thêm CACHE TABLE / CACHE SELECT. Kết quả nhỏ thì cache còn chậm hơn — tự tick Pass.</t>
        </is>
      </c>
      <c r="J2144" s="48" t="inlineStr">
        <is>
          <t>110.OCB_GOLD_TTDL_BPM_VOLUME_XLGDTD_LINH.xlsx [Script: BPM_VOLUME_XLGDTD]</t>
        </is>
      </c>
    </row>
    <row r="2145">
      <c r="A2145" s="48" t="inlineStr">
        <is>
          <t>DMBPM.BPM_VOLUME_XLGDTD</t>
        </is>
      </c>
      <c r="B2145" s="48" t="inlineStr">
        <is>
          <t>SILVER_CONSUMER</t>
        </is>
      </c>
      <c r="C2145" s="48" t="inlineStr">
        <is>
          <t>3.5</t>
        </is>
      </c>
      <c r="D2145" s="48" t="inlineStr">
        <is>
          <t>Nhom 3 - Optimization</t>
        </is>
      </c>
      <c r="E2145" s="48" t="inlineStr">
        <is>
          <t>Ưu tiên MAX_BY + QUALIFY thay ROW_NUMBER() + WHERE rn = 1</t>
        </is>
      </c>
      <c r="F2145" s="49" t="inlineStr">
        <is>
          <t>PASS</t>
        </is>
      </c>
      <c r="G2145" s="48" t="inlineStr">
        <is>
          <t>Pass</t>
        </is>
      </c>
      <c r="H2145" s="50" t="inlineStr">
        <is>
          <t>MAX_BY/ROW_NUMBER đang dùng đúng theo số cột (≤5 cột dùng MAX_BY, &gt;5 cột dùng ROW_NUMBER)</t>
        </is>
      </c>
      <c r="I21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145" s="48" t="inlineStr">
        <is>
          <t>110.OCB_GOLD_TTDL_BPM_VOLUME_XLGDTD_LINH.xlsx [Script: BPM_VOLUME_XLGDTD]</t>
        </is>
      </c>
    </row>
    <row r="2146">
      <c r="A2146" s="48" t="inlineStr">
        <is>
          <t>DMBPM.BPM_VOLUME_XLGDTD</t>
        </is>
      </c>
      <c r="B2146" s="48" t="inlineStr">
        <is>
          <t>SILVER_CONSUMER</t>
        </is>
      </c>
      <c r="C2146" s="48" t="inlineStr">
        <is>
          <t>3.6</t>
        </is>
      </c>
      <c r="D2146" s="48" t="inlineStr">
        <is>
          <t>Nhom 3 - Optimization</t>
        </is>
      </c>
      <c r="E2146" s="48" t="inlineStr">
        <is>
          <t>Không lạm dụng window function; có comment khi dùng</t>
        </is>
      </c>
      <c r="F2146" s="51" t="inlineStr">
        <is>
          <t>WARN</t>
        </is>
      </c>
      <c r="G2146" s="48" t="inlineStr">
        <is>
          <t>WARN</t>
        </is>
      </c>
      <c r="H2146" s="50" t="inlineStr">
        <is>
          <t>2/2 window function không có comment giải thích, ở dòng [17, 82]</t>
        </is>
      </c>
      <c r="I2146" s="50" t="inlineStr">
        <is>
          <t>Mỗi window function cần một comment ngay trên khối CTE chứa nó, nói rõ vì sao không dùng được max_by/QUALIFY đơn giản hơn.</t>
        </is>
      </c>
      <c r="J2146" s="48" t="inlineStr">
        <is>
          <t>110.OCB_GOLD_TTDL_BPM_VOLUME_XLGDTD_LINH.xlsx [Script: BPM_VOLUME_XLGDTD]</t>
        </is>
      </c>
    </row>
    <row r="2147">
      <c r="A2147" s="48" t="inlineStr">
        <is>
          <t>DMBPM.BPM_VOLUME_XLGDTD</t>
        </is>
      </c>
      <c r="B2147" s="48" t="inlineStr">
        <is>
          <t>SILVER_CONSUMER</t>
        </is>
      </c>
      <c r="C2147" s="48" t="inlineStr">
        <is>
          <t>X.1</t>
        </is>
      </c>
      <c r="D2147" s="48" t="inlineStr">
        <is>
          <t>Nhom X - Bo sung Raffles</t>
        </is>
      </c>
      <c r="E2147" s="48" t="inlineStr">
        <is>
          <t>[Bổ sung] Link phải rút về current trước khi join (chống fan-out)</t>
        </is>
      </c>
      <c r="F2147" s="49" t="inlineStr">
        <is>
          <t>PASS</t>
        </is>
      </c>
      <c r="G2147" s="48" t="inlineStr">
        <is>
          <t>Pass</t>
        </is>
      </c>
      <c r="H2147" s="50" t="inlineStr">
        <is>
          <t>các bảng link_* đều được rút về current trước khi join</t>
        </is>
      </c>
      <c r="I21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147" s="48" t="inlineStr">
        <is>
          <t>110.OCB_GOLD_TTDL_BPM_VOLUME_XLGDTD_LINH.xlsx [Script: BPM_VOLUME_XLGDTD]</t>
        </is>
      </c>
    </row>
    <row r="2148">
      <c r="A2148" s="48" t="inlineStr">
        <is>
          <t>DMBPM.BPM_VOLUME_XLGDTD</t>
        </is>
      </c>
      <c r="B2148" s="48" t="inlineStr">
        <is>
          <t>SILVER_CONSUMER</t>
        </is>
      </c>
      <c r="C2148" s="48" t="inlineStr">
        <is>
          <t>X.6</t>
        </is>
      </c>
      <c r="D2148" s="48" t="inlineStr">
        <is>
          <t>Nhom X - Bo sung Raffles</t>
        </is>
      </c>
      <c r="E2148" s="48" t="inlineStr">
        <is>
          <t>[Bổ sung] Satellite phải LEFT JOIN, không INNER JOIN</t>
        </is>
      </c>
      <c r="F2148" s="49" t="inlineStr">
        <is>
          <t>PASS</t>
        </is>
      </c>
      <c r="G2148" s="48" t="inlineStr">
        <is>
          <t>Pass</t>
        </is>
      </c>
      <c r="H2148" s="50" t="inlineStr">
        <is>
          <t>các satellite đều LEFT JOIN</t>
        </is>
      </c>
      <c r="I2148" s="50" t="inlineStr">
        <is>
          <t>Technical Document III.4.2.2 nguyên tắc 1: làm giàu thuộc tính luôn dùng LEFT JOIN. INNER JOIN satellite sẽ loại mất bản ghi Hub đang còn hiệu lực nhưng chưa có dòng satellite.</t>
        </is>
      </c>
      <c r="J2148" s="48" t="inlineStr">
        <is>
          <t>110.OCB_GOLD_TTDL_BPM_VOLUME_XLGDTD_LINH.xlsx [Script: BPM_VOLUME_XLGDTD]</t>
        </is>
      </c>
    </row>
    <row r="2149">
      <c r="A2149" s="48" t="inlineStr">
        <is>
          <t>DMBPM.BPM_VOLUME_XLGDTD</t>
        </is>
      </c>
      <c r="B2149" s="48" t="inlineStr">
        <is>
          <t>SILVER_CONSUMER</t>
        </is>
      </c>
      <c r="C2149" s="48" t="inlineStr">
        <is>
          <t>X.7</t>
        </is>
      </c>
      <c r="D2149" s="48" t="inlineStr">
        <is>
          <t>Nhom X - Bo sung Raffles</t>
        </is>
      </c>
      <c r="E2149" s="48" t="inlineStr">
        <is>
          <t>[Bổ sung] Không hard-code catalog, dùng biến môi trường</t>
        </is>
      </c>
      <c r="F2149" s="49" t="inlineStr">
        <is>
          <t>PASS</t>
        </is>
      </c>
      <c r="G2149" s="48" t="inlineStr">
        <is>
          <t>Pass</t>
        </is>
      </c>
      <c r="H2149" s="50" t="inlineStr">
        <is>
          <t>dùng biến môi trường cho catalog</t>
        </is>
      </c>
      <c r="I21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149" s="48" t="inlineStr">
        <is>
          <t>110.OCB_GOLD_TTDL_BPM_VOLUME_XLGDTD_LINH.xlsx [Script: BPM_VOLUME_XLGDTD]</t>
        </is>
      </c>
    </row>
    <row r="2150">
      <c r="A2150" s="48" t="inlineStr">
        <is>
          <t>DMBPM.BPM_VOLUME_XLGDTD</t>
        </is>
      </c>
      <c r="B2150" s="48" t="inlineStr">
        <is>
          <t>SILVER_CONSUMER</t>
        </is>
      </c>
      <c r="C2150" s="48" t="inlineStr">
        <is>
          <t>X.10</t>
        </is>
      </c>
      <c r="D2150" s="48" t="inlineStr">
        <is>
          <t>Nhom X - Bo sung Raffles</t>
        </is>
      </c>
      <c r="E2150" s="48" t="inlineStr">
        <is>
          <t>Bang raw_vault/business_vault duoc doc phai TON TAI THAT trong Data Vault model</t>
        </is>
      </c>
      <c r="F2150" s="49" t="inlineStr">
        <is>
          <t>PASS</t>
        </is>
      </c>
      <c r="G2150" s="48" t="inlineStr">
        <is>
          <t>Pass</t>
        </is>
      </c>
      <c r="H2150" s="50" t="inlineStr">
        <is>
          <t>11 bảng Silver đều có thật trong Data Vault model</t>
        </is>
      </c>
      <c r="I2150" s="50" t="inlineStr"/>
      <c r="J2150" s="48" t="inlineStr">
        <is>
          <t>110.OCB_GOLD_TTDL_BPM_VOLUME_XLGDTD_LINH.xlsx [Script: BPM_VOLUME_XLGDTD]</t>
        </is>
      </c>
    </row>
    <row r="2151">
      <c r="A2151" s="48" t="inlineStr">
        <is>
          <t>DMBPM.BPM_VOLUME_XLGDTD</t>
        </is>
      </c>
      <c r="B2151" s="48" t="inlineStr">
        <is>
          <t>SILVER_CONSUMER</t>
        </is>
      </c>
      <c r="C2151" s="48" t="inlineStr">
        <is>
          <t>X.11</t>
        </is>
      </c>
      <c r="D2151" s="48" t="inlineStr">
        <is>
          <t>Nhom X - Bo sung Raffles</t>
        </is>
      </c>
      <c r="E2151" s="48" t="inlineStr">
        <is>
          <t>Cot doc tu satellite (sat_*) phai TON TAI THAT trong model</t>
        </is>
      </c>
      <c r="F2151" s="49" t="inlineStr">
        <is>
          <t>PASS</t>
        </is>
      </c>
      <c r="G2151" s="48" t="inlineStr">
        <is>
          <t>Pass</t>
        </is>
      </c>
      <c r="H2151" s="50" t="inlineStr">
        <is>
          <t>mọi cột đọc từ sat_* đều tồn tại trong model thật</t>
        </is>
      </c>
      <c r="I2151" s="50" t="inlineStr"/>
      <c r="J2151" s="48" t="inlineStr">
        <is>
          <t>110.OCB_GOLD_TTDL_BPM_VOLUME_XLGDTD_LINH.xlsx [Script: BPM_VOLUME_XLGDTD]</t>
        </is>
      </c>
    </row>
    <row r="2152">
      <c r="A2152" s="48" t="inlineStr">
        <is>
          <t>TCIMPORT.DIM_BPM_CV</t>
        </is>
      </c>
      <c r="B2152" s="48" t="inlineStr">
        <is>
          <t>SILVER_CONSUMER</t>
        </is>
      </c>
      <c r="C2152" s="48" t="inlineStr">
        <is>
          <t>1.1</t>
        </is>
      </c>
      <c r="D2152" s="48" t="inlineStr">
        <is>
          <t>Nhom 1 - Mapping</t>
        </is>
      </c>
      <c r="E2152" s="48" t="inlineStr">
        <is>
          <t>Đầy đủ mapping từ Silver/manual sang Gold</t>
        </is>
      </c>
      <c r="F2152" s="49" t="inlineStr">
        <is>
          <t>PASS</t>
        </is>
      </c>
      <c r="G2152" s="48" t="inlineStr">
        <is>
          <t>Pass</t>
        </is>
      </c>
      <c r="H2152" s="50" t="inlineStr">
        <is>
          <t>workbook 090.OCB_GOLD_TTDL_DIM_BPM_CV_LINH.xlsx: thiết kế 8 field, SQL có 8 cột</t>
        </is>
      </c>
      <c r="I21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152" s="48" t="inlineStr">
        <is>
          <t>090.OCB_GOLD_TTDL_DIM_BPM_CV_LINH.xlsx [Script: DIM_BPM_CV]</t>
        </is>
      </c>
    </row>
    <row r="2153">
      <c r="A2153" s="48" t="inlineStr">
        <is>
          <t>TCIMPORT.DIM_BPM_CV</t>
        </is>
      </c>
      <c r="B2153" s="48" t="inlineStr">
        <is>
          <t>SILVER_CONSUMER</t>
        </is>
      </c>
      <c r="C2153" s="48" t="inlineStr">
        <is>
          <t>1.2</t>
        </is>
      </c>
      <c r="D2153" s="48" t="inlineStr">
        <is>
          <t>Nhom 1 - Mapping</t>
        </is>
      </c>
      <c r="E2153" s="48" t="inlineStr">
        <is>
          <t>Danh sách bảng/view Gold khớp tài liệu thiết kế đã duyệt</t>
        </is>
      </c>
      <c r="F2153" s="49" t="inlineStr">
        <is>
          <t>PASS</t>
        </is>
      </c>
      <c r="G2153" s="48" t="inlineStr">
        <is>
          <t>Pass</t>
        </is>
      </c>
      <c r="H2153" s="50" t="inlineStr">
        <is>
          <t>DIM_BPM_CV có workbook thiết kế: 090.OCB_GOLD_TTDL_DIM_BPM_CV_LINH.xlsx</t>
        </is>
      </c>
      <c r="I2153" s="50" t="inlineStr">
        <is>
          <t>Đảm bảo object có workbook thiết kế tương ứng trong thư mục --mapping-dir. Muốn đối chiếu với danh sách đã duyệt thì chạy thêm tham số --gold-list "&lt;file danh sách Gold&gt;.xlsx".</t>
        </is>
      </c>
      <c r="J2153" s="48" t="inlineStr">
        <is>
          <t>090.OCB_GOLD_TTDL_DIM_BPM_CV_LINH.xlsx [Script: DIM_BPM_CV]</t>
        </is>
      </c>
    </row>
    <row r="2154">
      <c r="A2154" s="48" t="inlineStr">
        <is>
          <t>TCIMPORT.DIM_BPM_CV</t>
        </is>
      </c>
      <c r="B2154" s="48" t="inlineStr">
        <is>
          <t>SILVER_CONSUMER</t>
        </is>
      </c>
      <c r="C2154" s="48" t="inlineStr">
        <is>
          <t>2.1</t>
        </is>
      </c>
      <c r="D2154" s="48" t="inlineStr">
        <is>
          <t>Nhom 2 - Logic</t>
        </is>
      </c>
      <c r="E2154" s="48" t="inlineStr">
        <is>
          <t>Chỉ lấy bản ghi active, loại bản ghi đã xóa (qua sts_hub)</t>
        </is>
      </c>
      <c r="F2154" s="49" t="inlineStr">
        <is>
          <t>PASS</t>
        </is>
      </c>
      <c r="G2154" s="48" t="inlineStr">
        <is>
          <t>Pass</t>
        </is>
      </c>
      <c r="H2154" s="50" t="inlineStr">
        <is>
          <t>không dùng sts_hub_* (không có yêu cầu nghiệp vụ giữ bản ghi đã xóa)</t>
        </is>
      </c>
      <c r="I21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154" s="48" t="inlineStr">
        <is>
          <t>090.OCB_GOLD_TTDL_DIM_BPM_CV_LINH.xlsx [Script: DIM_BPM_CV]</t>
        </is>
      </c>
    </row>
    <row r="2155">
      <c r="A2155" s="48" t="inlineStr">
        <is>
          <t>TCIMPORT.DIM_BPM_CV</t>
        </is>
      </c>
      <c r="B2155" s="48" t="inlineStr">
        <is>
          <t>SILVER_CONSUMER</t>
        </is>
      </c>
      <c r="C2155" s="48" t="inlineStr">
        <is>
          <t>2.2</t>
        </is>
      </c>
      <c r="D2155" s="48" t="inlineStr">
        <is>
          <t>Nhom 2 - Logic</t>
        </is>
      </c>
      <c r="E2155" s="48" t="inlineStr">
        <is>
          <t>Thống nhất MỘT pattern duy nhất xác định bản ghi active mới nhất</t>
        </is>
      </c>
      <c r="F2155" s="49" t="inlineStr">
        <is>
          <t>PASS</t>
        </is>
      </c>
      <c r="G2155" s="48" t="inlineStr">
        <is>
          <t>Pass</t>
        </is>
      </c>
      <c r="H2155" s="50" t="inlineStr">
        <is>
          <t>file này dùng: ['MAX_BY']; toàn batch dùng: ['MAX_BY']</t>
        </is>
      </c>
      <c r="I21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155" s="48" t="inlineStr">
        <is>
          <t>090.OCB_GOLD_TTDL_DIM_BPM_CV_LINH.xlsx [Script: DIM_BPM_CV]</t>
        </is>
      </c>
    </row>
    <row r="2156">
      <c r="A2156" s="48" t="inlineStr">
        <is>
          <t>TCIMPORT.DIM_BPM_CV</t>
        </is>
      </c>
      <c r="B2156" s="48" t="inlineStr">
        <is>
          <t>SILVER_CONSUMER</t>
        </is>
      </c>
      <c r="C2156" s="48" t="inlineStr">
        <is>
          <t>2.3</t>
        </is>
      </c>
      <c r="D2156" s="48" t="inlineStr">
        <is>
          <t>Nhom 2 - Logic</t>
        </is>
      </c>
      <c r="E2156" s="48" t="inlineStr">
        <is>
          <t>Điều kiện lọc trạng thái đặt SAU khi xác định bản ghi mới nhất</t>
        </is>
      </c>
      <c r="F2156" s="49" t="inlineStr">
        <is>
          <t>PASS</t>
        </is>
      </c>
      <c r="G2156" s="48" t="inlineStr">
        <is>
          <t>Pass</t>
        </is>
      </c>
      <c r="H2156" s="50" t="inlineStr">
        <is>
          <t>không có điều kiện trạng thái nào lồng trong JOIN ON</t>
        </is>
      </c>
      <c r="I21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156" s="48" t="inlineStr">
        <is>
          <t>090.OCB_GOLD_TTDL_DIM_BPM_CV_LINH.xlsx [Script: DIM_BPM_CV]</t>
        </is>
      </c>
    </row>
    <row r="2157">
      <c r="A2157" s="48" t="inlineStr">
        <is>
          <t>TCIMPORT.DIM_BPM_CV</t>
        </is>
      </c>
      <c r="B2157" s="48" t="inlineStr">
        <is>
          <t>SILVER_CONSUMER</t>
        </is>
      </c>
      <c r="C2157" s="48" t="inlineStr">
        <is>
          <t>2.4</t>
        </is>
      </c>
      <c r="D2157" s="48" t="inlineStr">
        <is>
          <t>Nhom 2 - Logic</t>
        </is>
      </c>
      <c r="E2157" s="48" t="inlineStr">
        <is>
          <t>source_event_date áp dụng đúng dạng theo loại bảng</t>
        </is>
      </c>
      <c r="F2157" s="49" t="inlineStr">
        <is>
          <t>PASS</t>
        </is>
      </c>
      <c r="G2157" s="48" t="inlineStr">
        <is>
          <t>Pass</t>
        </is>
      </c>
      <c r="H2157" s="50" t="inlineStr">
        <is>
          <t>1 satellite đều đúng dạng điều kiện source_event_date</t>
        </is>
      </c>
      <c r="I21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157" s="48" t="inlineStr">
        <is>
          <t>090.OCB_GOLD_TTDL_DIM_BPM_CV_LINH.xlsx [Script: DIM_BPM_CV]</t>
        </is>
      </c>
    </row>
    <row r="2158">
      <c r="A2158" s="48" t="inlineStr">
        <is>
          <t>TCIMPORT.DIM_BPM_CV</t>
        </is>
      </c>
      <c r="B2158" s="48" t="inlineStr">
        <is>
          <t>SILVER_CONSUMER</t>
        </is>
      </c>
      <c r="C2158" s="48" t="inlineStr">
        <is>
          <t>2.5</t>
        </is>
      </c>
      <c r="D2158" s="48" t="inlineStr">
        <is>
          <t>Nhom 2 - Logic</t>
        </is>
      </c>
      <c r="E2158" s="48" t="inlineStr">
        <is>
          <t>Không lặp lại lỗi logic cũ đã được DA Data Vault fix</t>
        </is>
      </c>
      <c r="F2158" s="49" t="inlineStr">
        <is>
          <t>PASS</t>
        </is>
      </c>
      <c r="G2158" s="48" t="inlineStr">
        <is>
          <t>Pass</t>
        </is>
      </c>
      <c r="H2158" s="50" t="inlineStr">
        <is>
          <t>không trùng lỗi nào trong Issue log của DA Data Vault</t>
        </is>
      </c>
      <c r="I21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158" s="48" t="inlineStr">
        <is>
          <t>090.OCB_GOLD_TTDL_DIM_BPM_CV_LINH.xlsx [Script: DIM_BPM_CV]</t>
        </is>
      </c>
    </row>
    <row r="2159">
      <c r="A2159" s="48" t="inlineStr">
        <is>
          <t>TCIMPORT.DIM_BPM_CV</t>
        </is>
      </c>
      <c r="B2159" s="48" t="inlineStr">
        <is>
          <t>SILVER_CONSUMER</t>
        </is>
      </c>
      <c r="C2159" s="48" t="inlineStr">
        <is>
          <t>2.6</t>
        </is>
      </c>
      <c r="D2159" s="48" t="inlineStr">
        <is>
          <t>Nhom 2 - Logic</t>
        </is>
      </c>
      <c r="E2159" s="48" t="inlineStr">
        <is>
          <t>SCD Type 2 cho bảng DIM áp dụng đúng kỹ thuật đã thống nhất</t>
        </is>
      </c>
      <c r="F2159" s="48" t="inlineStr">
        <is>
          <t>N-A</t>
        </is>
      </c>
      <c r="G2159" s="48" t="inlineStr">
        <is>
          <t>Pass</t>
        </is>
      </c>
      <c r="H2159" s="50" t="inlineStr">
        <is>
          <t>object không phải bảng DIM nên không áp dụng SCD Type 2</t>
        </is>
      </c>
      <c r="I21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159" s="48" t="inlineStr">
        <is>
          <t>090.OCB_GOLD_TTDL_DIM_BPM_CV_LINH.xlsx [Script: DIM_BPM_CV]</t>
        </is>
      </c>
    </row>
    <row r="2160">
      <c r="A2160" s="48" t="inlineStr">
        <is>
          <t>TCIMPORT.DIM_BPM_CV</t>
        </is>
      </c>
      <c r="B2160" s="48" t="inlineStr">
        <is>
          <t>SILVER_CONSUMER</t>
        </is>
      </c>
      <c r="C2160" s="48" t="inlineStr">
        <is>
          <t>2.7</t>
        </is>
      </c>
      <c r="D2160" s="48" t="inlineStr">
        <is>
          <t>Nhom 2 - Logic</t>
        </is>
      </c>
      <c r="E2160" s="48" t="inlineStr">
        <is>
          <t>CASE WHEN cover đủ nhánh như job on-prem</t>
        </is>
      </c>
      <c r="F2160" s="49" t="inlineStr">
        <is>
          <t>PASS</t>
        </is>
      </c>
      <c r="G2160" s="48" t="inlineStr">
        <is>
          <t>Pass</t>
        </is>
      </c>
      <c r="H2160" s="50" t="inlineStr">
        <is>
          <t>cả 2 CASE đều có nhánh ELSE</t>
        </is>
      </c>
      <c r="I2160" s="50" t="inlineStr">
        <is>
          <t>Mở job on-prem tương ứng (DataStage DSX hoặc SQL cũ), đối chiếu từng nhánh WHEN và cả nhánh ELSE. CASE không có ELSE sẽ trả NULL âm thầm — xác nhận đó là ý muốn hay thiếu nhánh.</t>
        </is>
      </c>
      <c r="J2160" s="48" t="inlineStr">
        <is>
          <t>090.OCB_GOLD_TTDL_DIM_BPM_CV_LINH.xlsx [Script: DIM_BPM_CV]</t>
        </is>
      </c>
    </row>
    <row r="2161">
      <c r="A2161" s="48" t="inlineStr">
        <is>
          <t>TCIMPORT.DIM_BPM_CV</t>
        </is>
      </c>
      <c r="B2161" s="48" t="inlineStr">
        <is>
          <t>SILVER_CONSUMER</t>
        </is>
      </c>
      <c r="C2161" s="48" t="inlineStr">
        <is>
          <t>2.8</t>
        </is>
      </c>
      <c r="D2161" s="48" t="inlineStr">
        <is>
          <t>Nhom 2 - Logic</t>
        </is>
      </c>
      <c r="E2161" s="48" t="inlineStr">
        <is>
          <t>Cột SUM/COUNT được COALESCE/NVL hợp lý</t>
        </is>
      </c>
      <c r="F2161" s="49" t="inlineStr">
        <is>
          <t>PASS</t>
        </is>
      </c>
      <c r="G2161" s="48" t="inlineStr">
        <is>
          <t>Pass</t>
        </is>
      </c>
      <c r="H2161" s="50" t="inlineStr">
        <is>
          <t>mọi SUM/COUNT đều đã coalesce (trực tiếp hoặc ở lớp ngoài)</t>
        </is>
      </c>
      <c r="I21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61" s="48" t="inlineStr">
        <is>
          <t>090.OCB_GOLD_TTDL_DIM_BPM_CV_LINH.xlsx [Script: DIM_BPM_CV]</t>
        </is>
      </c>
    </row>
    <row r="2162">
      <c r="A2162" s="48" t="inlineStr">
        <is>
          <t>TCIMPORT.DIM_BPM_CV</t>
        </is>
      </c>
      <c r="B2162" s="48" t="inlineStr">
        <is>
          <t>SILVER_CONSUMER</t>
        </is>
      </c>
      <c r="C2162" s="48" t="inlineStr">
        <is>
          <t>2.9</t>
        </is>
      </c>
      <c r="D2162" s="48" t="inlineStr">
        <is>
          <t>Nhom 2 - Logic</t>
        </is>
      </c>
      <c r="E2162" s="48" t="inlineStr">
        <is>
          <t>Subquery / custom function / điều kiện LIKE đúng ý nghĩa nghiệp vụ</t>
        </is>
      </c>
      <c r="F2162" s="48" t="inlineStr">
        <is>
          <t>N-A</t>
        </is>
      </c>
      <c r="G2162" s="48" t="inlineStr">
        <is>
          <t>Pass</t>
        </is>
      </c>
      <c r="H2162" s="50" t="inlineStr">
        <is>
          <t>script không có điều kiện LIKE hay scalar subquery nào</t>
        </is>
      </c>
      <c r="I2162" s="50" t="inlineStr">
        <is>
          <t>Đọc lại từng điều kiện LIKE và từng subquery, đối chiếu ý nghĩa nghiệp vụ với on-prem — đúng cú pháp không đủ. Chú ý pattern LIKE có ký tự % ở đầu/cuối và phân biệt chữ hoa/thường.</t>
        </is>
      </c>
      <c r="J2162" s="48" t="inlineStr">
        <is>
          <t>090.OCB_GOLD_TTDL_DIM_BPM_CV_LINH.xlsx [Script: DIM_BPM_CV]</t>
        </is>
      </c>
    </row>
    <row r="2163">
      <c r="A2163" s="48" t="inlineStr">
        <is>
          <t>TCIMPORT.DIM_BPM_CV</t>
        </is>
      </c>
      <c r="B2163" s="48" t="inlineStr">
        <is>
          <t>SILVER_CONSUMER</t>
        </is>
      </c>
      <c r="C2163" s="48" t="inlineStr">
        <is>
          <t>2.10</t>
        </is>
      </c>
      <c r="D2163" s="48" t="inlineStr">
        <is>
          <t>Nhom 2 - Logic</t>
        </is>
      </c>
      <c r="E2163" s="48" t="inlineStr">
        <is>
          <t>Aggregation kèm filter date range chính xác</t>
        </is>
      </c>
      <c r="F2163" s="51" t="inlineStr">
        <is>
          <t>WARN</t>
        </is>
      </c>
      <c r="G2163" s="48" t="inlineStr">
        <is>
          <t>WARN</t>
        </is>
      </c>
      <c r="H2163" s="50" t="inlineStr">
        <is>
          <t>1 khối tổng hợp không thấy filter theo ngày/tham số: max_id</t>
        </is>
      </c>
      <c r="I2163" s="50" t="inlineStr">
        <is>
          <t>Mỗi khối SUM/COUNT/AVG phải có điều kiện lọc theo kỳ dữ liệu (CDR_DT_ID, DATA_DATE, :DATADT…). Nếu điều kiện nằm ở CTE nguồn thì ghi rõ trong comment để người review không phải truy ngược.</t>
        </is>
      </c>
      <c r="J2163" s="48" t="inlineStr">
        <is>
          <t>090.OCB_GOLD_TTDL_DIM_BPM_CV_LINH.xlsx [Script: DIM_BPM_CV]</t>
        </is>
      </c>
    </row>
    <row r="2164">
      <c r="A2164" s="48" t="inlineStr">
        <is>
          <t>TCIMPORT.DIM_BPM_CV</t>
        </is>
      </c>
      <c r="B2164" s="48" t="inlineStr">
        <is>
          <t>SILVER_CONSUMER</t>
        </is>
      </c>
      <c r="C2164" s="48" t="inlineStr">
        <is>
          <t>2.11</t>
        </is>
      </c>
      <c r="D2164" s="48" t="inlineStr">
        <is>
          <t>Nhom 2 - Logic</t>
        </is>
      </c>
      <c r="E2164" s="48" t="inlineStr">
        <is>
          <t>Join dùng key hợp lý, không lạm dụng UNION ALL + EXISTS/NOT EXISTS</t>
        </is>
      </c>
      <c r="F2164" s="49" t="inlineStr">
        <is>
          <t>PASS</t>
        </is>
      </c>
      <c r="G2164" s="48" t="inlineStr">
        <is>
          <t>Pass</t>
        </is>
      </c>
      <c r="H2164" s="50" t="inlineStr">
        <is>
          <t>join đều theo điều kiện bằng, không lạm dụng UNION ALL + EXISTS</t>
        </is>
      </c>
      <c r="I2164" s="50" t="inlineStr">
        <is>
          <t>Ưu tiên LEFT JOIN theo business key hoặc hashkey. Xem lại các chỗ dùng UNION ALL kết hợp EXISTS/NOT EXISTS — thường thay được bằng một LEFT JOIN. Join không có điều kiện bằng (=) dễ tạo tích Descartes.</t>
        </is>
      </c>
      <c r="J2164" s="48" t="inlineStr">
        <is>
          <t>090.OCB_GOLD_TTDL_DIM_BPM_CV_LINH.xlsx [Script: DIM_BPM_CV]</t>
        </is>
      </c>
    </row>
    <row r="2165">
      <c r="A2165" s="48" t="inlineStr">
        <is>
          <t>TCIMPORT.DIM_BPM_CV</t>
        </is>
      </c>
      <c r="B2165" s="48" t="inlineStr">
        <is>
          <t>SILVER_CONSUMER</t>
        </is>
      </c>
      <c r="C2165" s="48" t="inlineStr">
        <is>
          <t>2.12</t>
        </is>
      </c>
      <c r="D2165" s="48" t="inlineStr">
        <is>
          <t>Nhom 2 - Logic</t>
        </is>
      </c>
      <c r="E2165" s="48" t="inlineStr">
        <is>
          <t>Build Gold từ CTE snapshot Silver, không build nhiều tầng chồng chéo</t>
        </is>
      </c>
      <c r="F2165" s="49" t="inlineStr">
        <is>
          <t>PASS</t>
        </is>
      </c>
      <c r="G2165" s="48" t="inlineStr">
        <is>
          <t>Pass</t>
        </is>
      </c>
      <c r="H2165" s="50" t="inlineStr">
        <is>
          <t>mỗi bảng nguồn chỉ đọc trong 1 khối SELECT</t>
        </is>
      </c>
      <c r="I21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65" s="48" t="inlineStr">
        <is>
          <t>090.OCB_GOLD_TTDL_DIM_BPM_CV_LINH.xlsx [Script: DIM_BPM_CV]</t>
        </is>
      </c>
    </row>
    <row r="2166">
      <c r="A2166" s="48" t="inlineStr">
        <is>
          <t>TCIMPORT.DIM_BPM_CV</t>
        </is>
      </c>
      <c r="B2166" s="48" t="inlineStr">
        <is>
          <t>SILVER_CONSUMER</t>
        </is>
      </c>
      <c r="C2166" s="48" t="inlineStr">
        <is>
          <t>3.1</t>
        </is>
      </c>
      <c r="D2166" s="48" t="inlineStr">
        <is>
          <t>Nhom 3 - Optimization</t>
        </is>
      </c>
      <c r="E2166" s="48" t="inlineStr">
        <is>
          <t>Không SELECT *</t>
        </is>
      </c>
      <c r="F2166" s="49" t="inlineStr">
        <is>
          <t>PASS</t>
        </is>
      </c>
      <c r="G2166" s="48" t="inlineStr">
        <is>
          <t>Pass</t>
        </is>
      </c>
      <c r="H2166" s="50" t="inlineStr">
        <is>
          <t>không dùng SELECT * ở đâu</t>
        </is>
      </c>
      <c r="I2166" s="50" t="inlineStr">
        <is>
          <t>Liệt kê tường minh các cột cần dùng, kể cả trong CTE trung gian. SELECT * làm tăng IO/memory và vỡ script khi bảng nguồn thêm cột.</t>
        </is>
      </c>
      <c r="J2166" s="48" t="inlineStr">
        <is>
          <t>090.OCB_GOLD_TTDL_DIM_BPM_CV_LINH.xlsx [Script: DIM_BPM_CV]</t>
        </is>
      </c>
    </row>
    <row r="2167">
      <c r="A2167" s="48" t="inlineStr">
        <is>
          <t>TCIMPORT.DIM_BPM_CV</t>
        </is>
      </c>
      <c r="B2167" s="48" t="inlineStr">
        <is>
          <t>SILVER_CONSUMER</t>
        </is>
      </c>
      <c r="C2167" s="48" t="inlineStr">
        <is>
          <t>3.2</t>
        </is>
      </c>
      <c r="D2167" s="48" t="inlineStr">
        <is>
          <t>Nhom 3 - Optimization</t>
        </is>
      </c>
      <c r="E2167" s="48" t="inlineStr">
        <is>
          <t>CTE không bị scan lại nhiều lần</t>
        </is>
      </c>
      <c r="F2167" s="51" t="inlineStr">
        <is>
          <t>WARN</t>
        </is>
      </c>
      <c r="G2167" s="48" t="inlineStr">
        <is>
          <t>WARN</t>
        </is>
      </c>
      <c r="H2167" s="50" t="inlineStr">
        <is>
          <t>CTE bị tham chiếu lại nhiều lần: danh_muc_ref x2</t>
        </is>
      </c>
      <c r="I2167" s="50" t="inlineStr">
        <is>
          <t>Với CTE nặng (đọc nhiều bảng Silver) bị tham chiếu từ 2 chỗ trở lên: gom lại còn một lần dùng, hoặc vật chất hóa (CACHE / bảng tạm). CTE nhẹ chỉ chứa tham số thì bỏ qua được — tự tick Pass.</t>
        </is>
      </c>
      <c r="J2167" s="48" t="inlineStr">
        <is>
          <t>090.OCB_GOLD_TTDL_DIM_BPM_CV_LINH.xlsx [Script: DIM_BPM_CV]</t>
        </is>
      </c>
    </row>
    <row r="2168">
      <c r="A2168" s="48" t="inlineStr">
        <is>
          <t>TCIMPORT.DIM_BPM_CV</t>
        </is>
      </c>
      <c r="B2168" s="48" t="inlineStr">
        <is>
          <t>SILVER_CONSUMER</t>
        </is>
      </c>
      <c r="C2168" s="48" t="inlineStr">
        <is>
          <t>3.3</t>
        </is>
      </c>
      <c r="D2168" s="48" t="inlineStr">
        <is>
          <t>Nhom 3 - Optimization</t>
        </is>
      </c>
      <c r="E2168" s="48" t="inlineStr">
        <is>
          <t>Filter trước khi join, tận dụng partition pruning</t>
        </is>
      </c>
      <c r="F2168" s="49" t="inlineStr">
        <is>
          <t>PASS</t>
        </is>
      </c>
      <c r="G2168" s="48" t="inlineStr">
        <is>
          <t>Pass</t>
        </is>
      </c>
      <c r="H2168" s="50" t="inlineStr">
        <is>
          <t>các bảng join đều được filter trước</t>
        </is>
      </c>
      <c r="I2168" s="50" t="inlineStr">
        <is>
          <t>Đưa điều kiện lọc (ngày dữ liệu, trạng thái) vào subquery của từng bảng TRƯỚC khi join, để tận dụng partition pruning. Bảng dim nhỏ không partition thì không cần — tự tick Pass.</t>
        </is>
      </c>
      <c r="J2168" s="48" t="inlineStr">
        <is>
          <t>090.OCB_GOLD_TTDL_DIM_BPM_CV_LINH.xlsx [Script: DIM_BPM_CV]</t>
        </is>
      </c>
    </row>
    <row r="2169">
      <c r="A2169" s="48" t="inlineStr">
        <is>
          <t>TCIMPORT.DIM_BPM_CV</t>
        </is>
      </c>
      <c r="B2169" s="48" t="inlineStr">
        <is>
          <t>SILVER_CONSUMER</t>
        </is>
      </c>
      <c r="C2169" s="48" t="inlineStr">
        <is>
          <t>3.4</t>
        </is>
      </c>
      <c r="D2169" s="48" t="inlineStr">
        <is>
          <t>Nhom 3 - Optimization</t>
        </is>
      </c>
      <c r="E2169" s="48" t="inlineStr">
        <is>
          <t>Sử dụng CACHE cho query lặp lại trong cùng luồng</t>
        </is>
      </c>
      <c r="F2169" s="51" t="inlineStr">
        <is>
          <t>WARN</t>
        </is>
      </c>
      <c r="G2169" s="48" t="inlineStr">
        <is>
          <t>WARN</t>
        </is>
      </c>
      <c r="H2169" s="50" t="inlineStr">
        <is>
          <t>1 CTE nặng dùng lại &gt;= 2 lần mà không có CACHE: danh_muc_ref</t>
        </is>
      </c>
      <c r="I2169" s="50" t="inlineStr">
        <is>
          <t>Nếu một kết quả nặng được dùng lại nhiều bước trong cùng luồng, thêm CACHE TABLE / CACHE SELECT. Kết quả nhỏ thì cache còn chậm hơn — tự tick Pass.</t>
        </is>
      </c>
      <c r="J2169" s="48" t="inlineStr">
        <is>
          <t>090.OCB_GOLD_TTDL_DIM_BPM_CV_LINH.xlsx [Script: DIM_BPM_CV]</t>
        </is>
      </c>
    </row>
    <row r="2170">
      <c r="A2170" s="48" t="inlineStr">
        <is>
          <t>TCIMPORT.DIM_BPM_CV</t>
        </is>
      </c>
      <c r="B2170" s="48" t="inlineStr">
        <is>
          <t>SILVER_CONSUMER</t>
        </is>
      </c>
      <c r="C2170" s="48" t="inlineStr">
        <is>
          <t>3.5</t>
        </is>
      </c>
      <c r="D2170" s="48" t="inlineStr">
        <is>
          <t>Nhom 3 - Optimization</t>
        </is>
      </c>
      <c r="E2170" s="48" t="inlineStr">
        <is>
          <t>Ưu tiên MAX_BY + QUALIFY thay ROW_NUMBER() + WHERE rn = 1</t>
        </is>
      </c>
      <c r="F2170" s="49" t="inlineStr">
        <is>
          <t>PASS</t>
        </is>
      </c>
      <c r="G2170" s="48" t="inlineStr">
        <is>
          <t>Pass</t>
        </is>
      </c>
      <c r="H2170" s="50" t="inlineStr">
        <is>
          <t>1 block ROW_NUMBER≤5 cột dùng QUALIFY + có comment giải thích (dòng [114]) — miễn trừ vì cần lấy nguyên 1 dòng nhiều cột liên quan nhau, tách MAX_BY từng cột riêng sẽ ghép lệch giá trị giữa các cột</t>
        </is>
      </c>
      <c r="I21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170" s="48" t="inlineStr">
        <is>
          <t>090.OCB_GOLD_TTDL_DIM_BPM_CV_LINH.xlsx [Script: DIM_BPM_CV]</t>
        </is>
      </c>
    </row>
    <row r="2171">
      <c r="A2171" s="48" t="inlineStr">
        <is>
          <t>TCIMPORT.DIM_BPM_CV</t>
        </is>
      </c>
      <c r="B2171" s="48" t="inlineStr">
        <is>
          <t>SILVER_CONSUMER</t>
        </is>
      </c>
      <c r="C2171" s="48" t="inlineStr">
        <is>
          <t>3.6</t>
        </is>
      </c>
      <c r="D2171" s="48" t="inlineStr">
        <is>
          <t>Nhom 3 - Optimization</t>
        </is>
      </c>
      <c r="E2171" s="48" t="inlineStr">
        <is>
          <t>Không lạm dụng window function; có comment khi dùng</t>
        </is>
      </c>
      <c r="F2171" s="49" t="inlineStr">
        <is>
          <t>PASS</t>
        </is>
      </c>
      <c r="G2171" s="48" t="inlineStr">
        <is>
          <t>Pass</t>
        </is>
      </c>
      <c r="H2171" s="50" t="inlineStr">
        <is>
          <t>2 window function đều có comment</t>
        </is>
      </c>
      <c r="I2171" s="50" t="inlineStr">
        <is>
          <t>Mỗi window function cần một comment ngay trên khối CTE chứa nó, nói rõ vì sao không dùng được max_by/QUALIFY đơn giản hơn.</t>
        </is>
      </c>
      <c r="J2171" s="48" t="inlineStr">
        <is>
          <t>090.OCB_GOLD_TTDL_DIM_BPM_CV_LINH.xlsx [Script: DIM_BPM_CV]</t>
        </is>
      </c>
    </row>
    <row r="2172">
      <c r="A2172" s="48" t="inlineStr">
        <is>
          <t>TCIMPORT.DIM_BPM_CV</t>
        </is>
      </c>
      <c r="B2172" s="48" t="inlineStr">
        <is>
          <t>SILVER_CONSUMER</t>
        </is>
      </c>
      <c r="C2172" s="48" t="inlineStr">
        <is>
          <t>X.1</t>
        </is>
      </c>
      <c r="D2172" s="48" t="inlineStr">
        <is>
          <t>Nhom X - Bo sung Raffles</t>
        </is>
      </c>
      <c r="E2172" s="48" t="inlineStr">
        <is>
          <t>[Bổ sung] Link phải rút về current trước khi join (chống fan-out)</t>
        </is>
      </c>
      <c r="F2172" s="49" t="inlineStr">
        <is>
          <t>PASS</t>
        </is>
      </c>
      <c r="G2172" s="48" t="inlineStr">
        <is>
          <t>Pass</t>
        </is>
      </c>
      <c r="H2172" s="50" t="inlineStr">
        <is>
          <t>các bảng link_* đều được rút về current trước khi join</t>
        </is>
      </c>
      <c r="I21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172" s="48" t="inlineStr">
        <is>
          <t>090.OCB_GOLD_TTDL_DIM_BPM_CV_LINH.xlsx [Script: DIM_BPM_CV]</t>
        </is>
      </c>
    </row>
    <row r="2173">
      <c r="A2173" s="48" t="inlineStr">
        <is>
          <t>TCIMPORT.DIM_BPM_CV</t>
        </is>
      </c>
      <c r="B2173" s="48" t="inlineStr">
        <is>
          <t>SILVER_CONSUMER</t>
        </is>
      </c>
      <c r="C2173" s="48" t="inlineStr">
        <is>
          <t>X.6</t>
        </is>
      </c>
      <c r="D2173" s="48" t="inlineStr">
        <is>
          <t>Nhom X - Bo sung Raffles</t>
        </is>
      </c>
      <c r="E2173" s="48" t="inlineStr">
        <is>
          <t>[Bổ sung] Satellite phải LEFT JOIN, không INNER JOIN</t>
        </is>
      </c>
      <c r="F2173" s="49" t="inlineStr">
        <is>
          <t>PASS</t>
        </is>
      </c>
      <c r="G2173" s="48" t="inlineStr">
        <is>
          <t>Pass</t>
        </is>
      </c>
      <c r="H2173" s="50" t="inlineStr">
        <is>
          <t>các satellite đều LEFT JOIN</t>
        </is>
      </c>
      <c r="I2173" s="50" t="inlineStr">
        <is>
          <t>Technical Document III.4.2.2 nguyên tắc 1: làm giàu thuộc tính luôn dùng LEFT JOIN. INNER JOIN satellite sẽ loại mất bản ghi Hub đang còn hiệu lực nhưng chưa có dòng satellite.</t>
        </is>
      </c>
      <c r="J2173" s="48" t="inlineStr">
        <is>
          <t>090.OCB_GOLD_TTDL_DIM_BPM_CV_LINH.xlsx [Script: DIM_BPM_CV]</t>
        </is>
      </c>
    </row>
    <row r="2174">
      <c r="A2174" s="48" t="inlineStr">
        <is>
          <t>TCIMPORT.DIM_BPM_CV</t>
        </is>
      </c>
      <c r="B2174" s="48" t="inlineStr">
        <is>
          <t>SILVER_CONSUMER</t>
        </is>
      </c>
      <c r="C2174" s="48" t="inlineStr">
        <is>
          <t>X.7</t>
        </is>
      </c>
      <c r="D2174" s="48" t="inlineStr">
        <is>
          <t>Nhom X - Bo sung Raffles</t>
        </is>
      </c>
      <c r="E2174" s="48" t="inlineStr">
        <is>
          <t>[Bổ sung] Không hard-code catalog, dùng biến môi trường</t>
        </is>
      </c>
      <c r="F2174" s="49" t="inlineStr">
        <is>
          <t>PASS</t>
        </is>
      </c>
      <c r="G2174" s="48" t="inlineStr">
        <is>
          <t>Pass</t>
        </is>
      </c>
      <c r="H2174" s="50" t="inlineStr">
        <is>
          <t>dùng biến môi trường cho catalog</t>
        </is>
      </c>
      <c r="I21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174" s="48" t="inlineStr">
        <is>
          <t>090.OCB_GOLD_TTDL_DIM_BPM_CV_LINH.xlsx [Script: DIM_BPM_CV]</t>
        </is>
      </c>
    </row>
    <row r="2175">
      <c r="A2175" s="48" t="inlineStr">
        <is>
          <t>TCIMPORT.DIM_BPM_CV</t>
        </is>
      </c>
      <c r="B2175" s="48" t="inlineStr">
        <is>
          <t>SILVER_CONSUMER</t>
        </is>
      </c>
      <c r="C2175" s="48" t="inlineStr">
        <is>
          <t>X.10</t>
        </is>
      </c>
      <c r="D2175" s="48" t="inlineStr">
        <is>
          <t>Nhom X - Bo sung Raffles</t>
        </is>
      </c>
      <c r="E2175" s="48" t="inlineStr">
        <is>
          <t>Bang raw_vault/business_vault duoc doc phai TON TAI THAT trong Data Vault model</t>
        </is>
      </c>
      <c r="F2175" s="49" t="inlineStr">
        <is>
          <t>PASS</t>
        </is>
      </c>
      <c r="G2175" s="48" t="inlineStr">
        <is>
          <t>Pass</t>
        </is>
      </c>
      <c r="H2175" s="50" t="inlineStr">
        <is>
          <t>3 bảng Silver đều có thật trong Data Vault model</t>
        </is>
      </c>
      <c r="I2175" s="50" t="inlineStr"/>
      <c r="J2175" s="48" t="inlineStr">
        <is>
          <t>090.OCB_GOLD_TTDL_DIM_BPM_CV_LINH.xlsx [Script: DIM_BPM_CV]</t>
        </is>
      </c>
    </row>
    <row r="2176">
      <c r="A2176" s="48" t="inlineStr">
        <is>
          <t>TCIMPORT.DIM_BPM_CV</t>
        </is>
      </c>
      <c r="B2176" s="48" t="inlineStr">
        <is>
          <t>SILVER_CONSUMER</t>
        </is>
      </c>
      <c r="C2176" s="48" t="inlineStr">
        <is>
          <t>X.11</t>
        </is>
      </c>
      <c r="D2176" s="48" t="inlineStr">
        <is>
          <t>Nhom X - Bo sung Raffles</t>
        </is>
      </c>
      <c r="E2176" s="48" t="inlineStr">
        <is>
          <t>Cot doc tu satellite (sat_*) phai TON TAI THAT trong model</t>
        </is>
      </c>
      <c r="F2176" s="49" t="inlineStr">
        <is>
          <t>PASS</t>
        </is>
      </c>
      <c r="G2176" s="48" t="inlineStr">
        <is>
          <t>Pass</t>
        </is>
      </c>
      <c r="H2176" s="50" t="inlineStr">
        <is>
          <t>mọi cột đọc từ sat_* đều tồn tại trong model thật</t>
        </is>
      </c>
      <c r="I2176" s="50" t="inlineStr"/>
      <c r="J2176" s="48" t="inlineStr">
        <is>
          <t>090.OCB_GOLD_TTDL_DIM_BPM_CV_LINH.xlsx [Script: DIM_BPM_CV]</t>
        </is>
      </c>
    </row>
    <row r="2177">
      <c r="A2177" s="48" t="inlineStr">
        <is>
          <t>TCIMPORT.FACT_BPM_APPLICATION</t>
        </is>
      </c>
      <c r="B2177" s="48" t="inlineStr">
        <is>
          <t>SILVER_CONSUMER</t>
        </is>
      </c>
      <c r="C2177" s="48" t="inlineStr">
        <is>
          <t>1.1</t>
        </is>
      </c>
      <c r="D2177" s="48" t="inlineStr">
        <is>
          <t>Nhom 1 - Mapping</t>
        </is>
      </c>
      <c r="E2177" s="48" t="inlineStr">
        <is>
          <t>Đầy đủ mapping từ Silver/manual sang Gold</t>
        </is>
      </c>
      <c r="F2177" s="49" t="inlineStr">
        <is>
          <t>PASS</t>
        </is>
      </c>
      <c r="G2177" s="48" t="inlineStr">
        <is>
          <t>Pass</t>
        </is>
      </c>
      <c r="H2177" s="50" t="inlineStr">
        <is>
          <t>workbook 091.OCB_GOLD_TTDL_FACT_BPM_APPLICATION_LINH.xlsx: thiết kế 25 field, SQL có 25 cột</t>
        </is>
      </c>
      <c r="I21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177" s="48" t="inlineStr">
        <is>
          <t>091.OCB_GOLD_TTDL_FACT_BPM_APPLICATION_LINH.xlsx [Script: FACT_BPM_APPLICATION]</t>
        </is>
      </c>
    </row>
    <row r="2178">
      <c r="A2178" s="48" t="inlineStr">
        <is>
          <t>TCIMPORT.FACT_BPM_APPLICATION</t>
        </is>
      </c>
      <c r="B2178" s="48" t="inlineStr">
        <is>
          <t>SILVER_CONSUMER</t>
        </is>
      </c>
      <c r="C2178" s="48" t="inlineStr">
        <is>
          <t>1.2</t>
        </is>
      </c>
      <c r="D2178" s="48" t="inlineStr">
        <is>
          <t>Nhom 1 - Mapping</t>
        </is>
      </c>
      <c r="E2178" s="48" t="inlineStr">
        <is>
          <t>Danh sách bảng/view Gold khớp tài liệu thiết kế đã duyệt</t>
        </is>
      </c>
      <c r="F2178" s="49" t="inlineStr">
        <is>
          <t>PASS</t>
        </is>
      </c>
      <c r="G2178" s="48" t="inlineStr">
        <is>
          <t>Pass</t>
        </is>
      </c>
      <c r="H2178" s="50" t="inlineStr">
        <is>
          <t>FACT_BPM_APPLICATION có workbook thiết kế: 091.OCB_GOLD_TTDL_FACT_BPM_APPLICATION_LINH.xlsx</t>
        </is>
      </c>
      <c r="I2178" s="50" t="inlineStr">
        <is>
          <t>Đảm bảo object có workbook thiết kế tương ứng trong thư mục --mapping-dir. Muốn đối chiếu với danh sách đã duyệt thì chạy thêm tham số --gold-list "&lt;file danh sách Gold&gt;.xlsx".</t>
        </is>
      </c>
      <c r="J2178" s="48" t="inlineStr">
        <is>
          <t>091.OCB_GOLD_TTDL_FACT_BPM_APPLICATION_LINH.xlsx [Script: FACT_BPM_APPLICATION]</t>
        </is>
      </c>
    </row>
    <row r="2179">
      <c r="A2179" s="48" t="inlineStr">
        <is>
          <t>TCIMPORT.FACT_BPM_APPLICATION</t>
        </is>
      </c>
      <c r="B2179" s="48" t="inlineStr">
        <is>
          <t>SILVER_CONSUMER</t>
        </is>
      </c>
      <c r="C2179" s="48" t="inlineStr">
        <is>
          <t>2.1</t>
        </is>
      </c>
      <c r="D2179" s="48" t="inlineStr">
        <is>
          <t>Nhom 2 - Logic</t>
        </is>
      </c>
      <c r="E2179" s="48" t="inlineStr">
        <is>
          <t>Chỉ lấy bản ghi active, loại bản ghi đã xóa (qua sts_hub)</t>
        </is>
      </c>
      <c r="F2179" s="49" t="inlineStr">
        <is>
          <t>PASS</t>
        </is>
      </c>
      <c r="G2179" s="48" t="inlineStr">
        <is>
          <t>Pass</t>
        </is>
      </c>
      <c r="H2179" s="50" t="inlineStr">
        <is>
          <t>không dùng sts_hub_* (không có yêu cầu nghiệp vụ giữ bản ghi đã xóa)</t>
        </is>
      </c>
      <c r="I21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179" s="48" t="inlineStr">
        <is>
          <t>091.OCB_GOLD_TTDL_FACT_BPM_APPLICATION_LINH.xlsx [Script: FACT_BPM_APPLICATION]</t>
        </is>
      </c>
    </row>
    <row r="2180">
      <c r="A2180" s="48" t="inlineStr">
        <is>
          <t>TCIMPORT.FACT_BPM_APPLICATION</t>
        </is>
      </c>
      <c r="B2180" s="48" t="inlineStr">
        <is>
          <t>SILVER_CONSUMER</t>
        </is>
      </c>
      <c r="C2180" s="48" t="inlineStr">
        <is>
          <t>2.2</t>
        </is>
      </c>
      <c r="D2180" s="48" t="inlineStr">
        <is>
          <t>Nhom 2 - Logic</t>
        </is>
      </c>
      <c r="E2180" s="48" t="inlineStr">
        <is>
          <t>Thống nhất MỘT pattern duy nhất xác định bản ghi active mới nhất</t>
        </is>
      </c>
      <c r="F2180" s="49" t="inlineStr">
        <is>
          <t>PASS</t>
        </is>
      </c>
      <c r="G2180" s="48" t="inlineStr">
        <is>
          <t>Pass</t>
        </is>
      </c>
      <c r="H2180" s="50" t="inlineStr">
        <is>
          <t>file này dùng: ['MAX_BY']; toàn batch dùng: ['MAX_BY']</t>
        </is>
      </c>
      <c r="I21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180" s="48" t="inlineStr">
        <is>
          <t>091.OCB_GOLD_TTDL_FACT_BPM_APPLICATION_LINH.xlsx [Script: FACT_BPM_APPLICATION]</t>
        </is>
      </c>
    </row>
    <row r="2181">
      <c r="A2181" s="48" t="inlineStr">
        <is>
          <t>TCIMPORT.FACT_BPM_APPLICATION</t>
        </is>
      </c>
      <c r="B2181" s="48" t="inlineStr">
        <is>
          <t>SILVER_CONSUMER</t>
        </is>
      </c>
      <c r="C2181" s="48" t="inlineStr">
        <is>
          <t>2.3</t>
        </is>
      </c>
      <c r="D2181" s="48" t="inlineStr">
        <is>
          <t>Nhom 2 - Logic</t>
        </is>
      </c>
      <c r="E2181" s="48" t="inlineStr">
        <is>
          <t>Điều kiện lọc trạng thái đặt SAU khi xác định bản ghi mới nhất</t>
        </is>
      </c>
      <c r="F2181" s="49" t="inlineStr">
        <is>
          <t>PASS</t>
        </is>
      </c>
      <c r="G2181" s="48" t="inlineStr">
        <is>
          <t>Pass</t>
        </is>
      </c>
      <c r="H2181" s="50" t="inlineStr">
        <is>
          <t>không có điều kiện trạng thái nào lồng trong JOIN ON</t>
        </is>
      </c>
      <c r="I21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181" s="48" t="inlineStr">
        <is>
          <t>091.OCB_GOLD_TTDL_FACT_BPM_APPLICATION_LINH.xlsx [Script: FACT_BPM_APPLICATION]</t>
        </is>
      </c>
    </row>
    <row r="2182">
      <c r="A2182" s="48" t="inlineStr">
        <is>
          <t>TCIMPORT.FACT_BPM_APPLICATION</t>
        </is>
      </c>
      <c r="B2182" s="48" t="inlineStr">
        <is>
          <t>SILVER_CONSUMER</t>
        </is>
      </c>
      <c r="C2182" s="48" t="inlineStr">
        <is>
          <t>2.4</t>
        </is>
      </c>
      <c r="D2182" s="48" t="inlineStr">
        <is>
          <t>Nhom 2 - Logic</t>
        </is>
      </c>
      <c r="E2182" s="48" t="inlineStr">
        <is>
          <t>source_event_date áp dụng đúng dạng theo loại bảng</t>
        </is>
      </c>
      <c r="F2182" s="49" t="inlineStr">
        <is>
          <t>PASS</t>
        </is>
      </c>
      <c r="G2182" s="48" t="inlineStr">
        <is>
          <t>Pass</t>
        </is>
      </c>
      <c r="H2182" s="50" t="inlineStr">
        <is>
          <t>6 satellite đều đúng dạng điều kiện source_event_date</t>
        </is>
      </c>
      <c r="I21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182" s="48" t="inlineStr">
        <is>
          <t>091.OCB_GOLD_TTDL_FACT_BPM_APPLICATION_LINH.xlsx [Script: FACT_BPM_APPLICATION]</t>
        </is>
      </c>
    </row>
    <row r="2183">
      <c r="A2183" s="48" t="inlineStr">
        <is>
          <t>TCIMPORT.FACT_BPM_APPLICATION</t>
        </is>
      </c>
      <c r="B2183" s="48" t="inlineStr">
        <is>
          <t>SILVER_CONSUMER</t>
        </is>
      </c>
      <c r="C2183" s="48" t="inlineStr">
        <is>
          <t>2.5</t>
        </is>
      </c>
      <c r="D2183" s="48" t="inlineStr">
        <is>
          <t>Nhom 2 - Logic</t>
        </is>
      </c>
      <c r="E2183" s="48" t="inlineStr">
        <is>
          <t>Không lặp lại lỗi logic cũ đã được DA Data Vault fix</t>
        </is>
      </c>
      <c r="F2183" s="49" t="inlineStr">
        <is>
          <t>PASS</t>
        </is>
      </c>
      <c r="G2183" s="48" t="inlineStr">
        <is>
          <t>Pass</t>
        </is>
      </c>
      <c r="H2183" s="50" t="inlineStr">
        <is>
          <t>không trùng lỗi nào trong Issue log của DA Data Vault</t>
        </is>
      </c>
      <c r="I21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183" s="48" t="inlineStr">
        <is>
          <t>091.OCB_GOLD_TTDL_FACT_BPM_APPLICATION_LINH.xlsx [Script: FACT_BPM_APPLICATION]</t>
        </is>
      </c>
    </row>
    <row r="2184">
      <c r="A2184" s="48" t="inlineStr">
        <is>
          <t>TCIMPORT.FACT_BPM_APPLICATION</t>
        </is>
      </c>
      <c r="B2184" s="48" t="inlineStr">
        <is>
          <t>SILVER_CONSUMER</t>
        </is>
      </c>
      <c r="C2184" s="48" t="inlineStr">
        <is>
          <t>2.6</t>
        </is>
      </c>
      <c r="D2184" s="48" t="inlineStr">
        <is>
          <t>Nhom 2 - Logic</t>
        </is>
      </c>
      <c r="E2184" s="48" t="inlineStr">
        <is>
          <t>SCD Type 2 cho bảng DIM áp dụng đúng kỹ thuật đã thống nhất</t>
        </is>
      </c>
      <c r="F2184" s="48" t="inlineStr">
        <is>
          <t>N-A</t>
        </is>
      </c>
      <c r="G2184" s="48" t="inlineStr">
        <is>
          <t>Pass</t>
        </is>
      </c>
      <c r="H2184" s="50" t="inlineStr">
        <is>
          <t>object không phải bảng DIM nên không áp dụng SCD Type 2</t>
        </is>
      </c>
      <c r="I21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184" s="48" t="inlineStr">
        <is>
          <t>091.OCB_GOLD_TTDL_FACT_BPM_APPLICATION_LINH.xlsx [Script: FACT_BPM_APPLICATION]</t>
        </is>
      </c>
    </row>
    <row r="2185">
      <c r="A2185" s="48" t="inlineStr">
        <is>
          <t>TCIMPORT.FACT_BPM_APPLICATION</t>
        </is>
      </c>
      <c r="B2185" s="48" t="inlineStr">
        <is>
          <t>SILVER_CONSUMER</t>
        </is>
      </c>
      <c r="C2185" s="48" t="inlineStr">
        <is>
          <t>2.7</t>
        </is>
      </c>
      <c r="D2185" s="48" t="inlineStr">
        <is>
          <t>Nhom 2 - Logic</t>
        </is>
      </c>
      <c r="E2185" s="48" t="inlineStr">
        <is>
          <t>CASE WHEN cover đủ nhánh như job on-prem</t>
        </is>
      </c>
      <c r="F2185" s="49" t="inlineStr">
        <is>
          <t>PASS</t>
        </is>
      </c>
      <c r="G2185" s="48" t="inlineStr">
        <is>
          <t>Pass</t>
        </is>
      </c>
      <c r="H2185" s="50" t="inlineStr">
        <is>
          <t>cả 2 CASE đều có nhánh ELSE</t>
        </is>
      </c>
      <c r="I2185" s="50" t="inlineStr">
        <is>
          <t>Mở job on-prem tương ứng (DataStage DSX hoặc SQL cũ), đối chiếu từng nhánh WHEN và cả nhánh ELSE. CASE không có ELSE sẽ trả NULL âm thầm — xác nhận đó là ý muốn hay thiếu nhánh.</t>
        </is>
      </c>
      <c r="J2185" s="48" t="inlineStr">
        <is>
          <t>091.OCB_GOLD_TTDL_FACT_BPM_APPLICATION_LINH.xlsx [Script: FACT_BPM_APPLICATION]</t>
        </is>
      </c>
    </row>
    <row r="2186">
      <c r="A2186" s="48" t="inlineStr">
        <is>
          <t>TCIMPORT.FACT_BPM_APPLICATION</t>
        </is>
      </c>
      <c r="B2186" s="48" t="inlineStr">
        <is>
          <t>SILVER_CONSUMER</t>
        </is>
      </c>
      <c r="C2186" s="48" t="inlineStr">
        <is>
          <t>2.8</t>
        </is>
      </c>
      <c r="D2186" s="48" t="inlineStr">
        <is>
          <t>Nhom 2 - Logic</t>
        </is>
      </c>
      <c r="E2186" s="48" t="inlineStr">
        <is>
          <t>Cột SUM/COUNT được COALESCE/NVL hợp lý</t>
        </is>
      </c>
      <c r="F2186" s="49" t="inlineStr">
        <is>
          <t>PASS</t>
        </is>
      </c>
      <c r="G2186" s="48" t="inlineStr">
        <is>
          <t>Pass</t>
        </is>
      </c>
      <c r="H2186" s="50" t="inlineStr">
        <is>
          <t>mọi SUM/COUNT đều đã coalesce (trực tiếp hoặc ở lớp ngoài)</t>
        </is>
      </c>
      <c r="I21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86" s="48" t="inlineStr">
        <is>
          <t>091.OCB_GOLD_TTDL_FACT_BPM_APPLICATION_LINH.xlsx [Script: FACT_BPM_APPLICATION]</t>
        </is>
      </c>
    </row>
    <row r="2187">
      <c r="A2187" s="48" t="inlineStr">
        <is>
          <t>TCIMPORT.FACT_BPM_APPLICATION</t>
        </is>
      </c>
      <c r="B2187" s="48" t="inlineStr">
        <is>
          <t>SILVER_CONSUMER</t>
        </is>
      </c>
      <c r="C2187" s="48" t="inlineStr">
        <is>
          <t>2.9</t>
        </is>
      </c>
      <c r="D2187" s="48" t="inlineStr">
        <is>
          <t>Nhom 2 - Logic</t>
        </is>
      </c>
      <c r="E2187" s="48" t="inlineStr">
        <is>
          <t>Subquery / custom function / điều kiện LIKE đúng ý nghĩa nghiệp vụ</t>
        </is>
      </c>
      <c r="F2187" s="49" t="inlineStr">
        <is>
          <t>PASS</t>
        </is>
      </c>
      <c r="G2187" s="48" t="inlineStr">
        <is>
          <t>Pass</t>
        </is>
      </c>
      <c r="H2187" s="50" t="inlineStr">
        <is>
          <t>3 điều kiện LIKE: ap.ma_giao_dich LIKE 'GN%' | ap.ma_giao_dich LIKE 'STK%' | ap.ma_giao_dich LIKE 'TDCN%'; cú pháp hợp lệ; ý nghĩa nghiệp vụ cần người review đối chiếu job on-prem</t>
        </is>
      </c>
      <c r="I2187" s="50" t="inlineStr">
        <is>
          <t>Đọc lại từng điều kiện LIKE và từng subquery, đối chiếu ý nghĩa nghiệp vụ với on-prem — đúng cú pháp không đủ. Chú ý pattern LIKE có ký tự % ở đầu/cuối và phân biệt chữ hoa/thường.</t>
        </is>
      </c>
      <c r="J2187" s="48" t="inlineStr">
        <is>
          <t>091.OCB_GOLD_TTDL_FACT_BPM_APPLICATION_LINH.xlsx [Script: FACT_BPM_APPLICATION]</t>
        </is>
      </c>
    </row>
    <row r="2188">
      <c r="A2188" s="48" t="inlineStr">
        <is>
          <t>TCIMPORT.FACT_BPM_APPLICATION</t>
        </is>
      </c>
      <c r="B2188" s="48" t="inlineStr">
        <is>
          <t>SILVER_CONSUMER</t>
        </is>
      </c>
      <c r="C2188" s="48" t="inlineStr">
        <is>
          <t>2.10</t>
        </is>
      </c>
      <c r="D2188" s="48" t="inlineStr">
        <is>
          <t>Nhom 2 - Logic</t>
        </is>
      </c>
      <c r="E2188" s="48" t="inlineStr">
        <is>
          <t>Aggregation kèm filter date range chính xác</t>
        </is>
      </c>
      <c r="F2188" s="49" t="inlineStr">
        <is>
          <t>PASS</t>
        </is>
      </c>
      <c r="G2188" s="48" t="inlineStr">
        <is>
          <t>Pass</t>
        </is>
      </c>
      <c r="H2188" s="50" t="inlineStr">
        <is>
          <t>mọi khối tổng hợp đều có điều kiện theo kỳ dữ liệu</t>
        </is>
      </c>
      <c r="I2188" s="50" t="inlineStr">
        <is>
          <t>Mỗi khối SUM/COUNT/AVG phải có điều kiện lọc theo kỳ dữ liệu (CDR_DT_ID, DATA_DATE, :DATADT…). Nếu điều kiện nằm ở CTE nguồn thì ghi rõ trong comment để người review không phải truy ngược.</t>
        </is>
      </c>
      <c r="J2188" s="48" t="inlineStr">
        <is>
          <t>091.OCB_GOLD_TTDL_FACT_BPM_APPLICATION_LINH.xlsx [Script: FACT_BPM_APPLICATION]</t>
        </is>
      </c>
    </row>
    <row r="2189">
      <c r="A2189" s="48" t="inlineStr">
        <is>
          <t>TCIMPORT.FACT_BPM_APPLICATION</t>
        </is>
      </c>
      <c r="B2189" s="48" t="inlineStr">
        <is>
          <t>SILVER_CONSUMER</t>
        </is>
      </c>
      <c r="C2189" s="48" t="inlineStr">
        <is>
          <t>2.11</t>
        </is>
      </c>
      <c r="D2189" s="48" t="inlineStr">
        <is>
          <t>Nhom 2 - Logic</t>
        </is>
      </c>
      <c r="E2189" s="48" t="inlineStr">
        <is>
          <t>Join dùng key hợp lý, không lạm dụng UNION ALL + EXISTS/NOT EXISTS</t>
        </is>
      </c>
      <c r="F2189" s="49" t="inlineStr">
        <is>
          <t>PASS</t>
        </is>
      </c>
      <c r="G2189" s="48" t="inlineStr">
        <is>
          <t>Pass</t>
        </is>
      </c>
      <c r="H2189" s="50" t="inlineStr">
        <is>
          <t>join đều theo điều kiện bằng, không lạm dụng UNION ALL + EXISTS</t>
        </is>
      </c>
      <c r="I2189" s="50" t="inlineStr">
        <is>
          <t>Ưu tiên LEFT JOIN theo business key hoặc hashkey. Xem lại các chỗ dùng UNION ALL kết hợp EXISTS/NOT EXISTS — thường thay được bằng một LEFT JOIN. Join không có điều kiện bằng (=) dễ tạo tích Descartes.</t>
        </is>
      </c>
      <c r="J2189" s="48" t="inlineStr">
        <is>
          <t>091.OCB_GOLD_TTDL_FACT_BPM_APPLICATION_LINH.xlsx [Script: FACT_BPM_APPLICATION]</t>
        </is>
      </c>
    </row>
    <row r="2190">
      <c r="A2190" s="48" t="inlineStr">
        <is>
          <t>TCIMPORT.FACT_BPM_APPLICATION</t>
        </is>
      </c>
      <c r="B2190" s="48" t="inlineStr">
        <is>
          <t>SILVER_CONSUMER</t>
        </is>
      </c>
      <c r="C2190" s="48" t="inlineStr">
        <is>
          <t>2.12</t>
        </is>
      </c>
      <c r="D2190" s="48" t="inlineStr">
        <is>
          <t>Nhom 2 - Logic</t>
        </is>
      </c>
      <c r="E2190" s="48" t="inlineStr">
        <is>
          <t>Build Gold từ CTE snapshot Silver, không build nhiều tầng chồng chéo</t>
        </is>
      </c>
      <c r="F2190" s="49" t="inlineStr">
        <is>
          <t>PASS</t>
        </is>
      </c>
      <c r="G2190" s="48" t="inlineStr">
        <is>
          <t>Pass</t>
        </is>
      </c>
      <c r="H2190" s="50" t="inlineStr">
        <is>
          <t>mỗi bảng nguồn chỉ đọc trong 1 khối SELECT</t>
        </is>
      </c>
      <c r="I21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90" s="48" t="inlineStr">
        <is>
          <t>091.OCB_GOLD_TTDL_FACT_BPM_APPLICATION_LINH.xlsx [Script: FACT_BPM_APPLICATION]</t>
        </is>
      </c>
    </row>
    <row r="2191">
      <c r="A2191" s="48" t="inlineStr">
        <is>
          <t>TCIMPORT.FACT_BPM_APPLICATION</t>
        </is>
      </c>
      <c r="B2191" s="48" t="inlineStr">
        <is>
          <t>SILVER_CONSUMER</t>
        </is>
      </c>
      <c r="C2191" s="48" t="inlineStr">
        <is>
          <t>3.1</t>
        </is>
      </c>
      <c r="D2191" s="48" t="inlineStr">
        <is>
          <t>Nhom 3 - Optimization</t>
        </is>
      </c>
      <c r="E2191" s="48" t="inlineStr">
        <is>
          <t>Không SELECT *</t>
        </is>
      </c>
      <c r="F2191" s="49" t="inlineStr">
        <is>
          <t>PASS</t>
        </is>
      </c>
      <c r="G2191" s="48" t="inlineStr">
        <is>
          <t>Pass</t>
        </is>
      </c>
      <c r="H2191" s="50" t="inlineStr">
        <is>
          <t>không dùng SELECT * ở đâu</t>
        </is>
      </c>
      <c r="I2191" s="50" t="inlineStr">
        <is>
          <t>Liệt kê tường minh các cột cần dùng, kể cả trong CTE trung gian. SELECT * làm tăng IO/memory và vỡ script khi bảng nguồn thêm cột.</t>
        </is>
      </c>
      <c r="J2191" s="48" t="inlineStr">
        <is>
          <t>091.OCB_GOLD_TTDL_FACT_BPM_APPLICATION_LINH.xlsx [Script: FACT_BPM_APPLICATION]</t>
        </is>
      </c>
    </row>
    <row r="2192">
      <c r="A2192" s="48" t="inlineStr">
        <is>
          <t>TCIMPORT.FACT_BPM_APPLICATION</t>
        </is>
      </c>
      <c r="B2192" s="48" t="inlineStr">
        <is>
          <t>SILVER_CONSUMER</t>
        </is>
      </c>
      <c r="C2192" s="48" t="inlineStr">
        <is>
          <t>3.2</t>
        </is>
      </c>
      <c r="D2192" s="48" t="inlineStr">
        <is>
          <t>Nhom 3 - Optimization</t>
        </is>
      </c>
      <c r="E2192" s="48" t="inlineStr">
        <is>
          <t>CTE không bị scan lại nhiều lần</t>
        </is>
      </c>
      <c r="F2192" s="51" t="inlineStr">
        <is>
          <t>WARN</t>
        </is>
      </c>
      <c r="G2192" s="48" t="inlineStr">
        <is>
          <t>WARN</t>
        </is>
      </c>
      <c r="H2192" s="50" t="inlineStr">
        <is>
          <t>CTE bị tham chiếu lại nhiều lần: gd_active x2</t>
        </is>
      </c>
      <c r="I2192" s="50" t="inlineStr">
        <is>
          <t>Với CTE nặng (đọc nhiều bảng Silver) bị tham chiếu từ 2 chỗ trở lên: gom lại còn một lần dùng, hoặc vật chất hóa (CACHE / bảng tạm). CTE nhẹ chỉ chứa tham số thì bỏ qua được — tự tick Pass.</t>
        </is>
      </c>
      <c r="J2192" s="48" t="inlineStr">
        <is>
          <t>091.OCB_GOLD_TTDL_FACT_BPM_APPLICATION_LINH.xlsx [Script: FACT_BPM_APPLICATION]</t>
        </is>
      </c>
    </row>
    <row r="2193">
      <c r="A2193" s="48" t="inlineStr">
        <is>
          <t>TCIMPORT.FACT_BPM_APPLICATION</t>
        </is>
      </c>
      <c r="B2193" s="48" t="inlineStr">
        <is>
          <t>SILVER_CONSUMER</t>
        </is>
      </c>
      <c r="C2193" s="48" t="inlineStr">
        <is>
          <t>3.3</t>
        </is>
      </c>
      <c r="D2193" s="48" t="inlineStr">
        <is>
          <t>Nhom 3 - Optimization</t>
        </is>
      </c>
      <c r="E2193" s="48" t="inlineStr">
        <is>
          <t>Filter trước khi join, tận dụng partition pruning</t>
        </is>
      </c>
      <c r="F2193" s="49" t="inlineStr">
        <is>
          <t>PASS</t>
        </is>
      </c>
      <c r="G2193" s="48" t="inlineStr">
        <is>
          <t>Pass</t>
        </is>
      </c>
      <c r="H2193" s="50" t="inlineStr">
        <is>
          <t>các bảng join đều được filter trước</t>
        </is>
      </c>
      <c r="I2193" s="50" t="inlineStr">
        <is>
          <t>Đưa điều kiện lọc (ngày dữ liệu, trạng thái) vào subquery của từng bảng TRƯỚC khi join, để tận dụng partition pruning. Bảng dim nhỏ không partition thì không cần — tự tick Pass.</t>
        </is>
      </c>
      <c r="J2193" s="48" t="inlineStr">
        <is>
          <t>091.OCB_GOLD_TTDL_FACT_BPM_APPLICATION_LINH.xlsx [Script: FACT_BPM_APPLICATION]</t>
        </is>
      </c>
    </row>
    <row r="2194">
      <c r="A2194" s="48" t="inlineStr">
        <is>
          <t>TCIMPORT.FACT_BPM_APPLICATION</t>
        </is>
      </c>
      <c r="B2194" s="48" t="inlineStr">
        <is>
          <t>SILVER_CONSUMER</t>
        </is>
      </c>
      <c r="C2194" s="48" t="inlineStr">
        <is>
          <t>3.4</t>
        </is>
      </c>
      <c r="D2194" s="48" t="inlineStr">
        <is>
          <t>Nhom 3 - Optimization</t>
        </is>
      </c>
      <c r="E2194" s="48" t="inlineStr">
        <is>
          <t>Sử dụng CACHE cho query lặp lại trong cùng luồng</t>
        </is>
      </c>
      <c r="F2194" s="51" t="inlineStr">
        <is>
          <t>WARN</t>
        </is>
      </c>
      <c r="G2194" s="48" t="inlineStr">
        <is>
          <t>WARN</t>
        </is>
      </c>
      <c r="H2194" s="50" t="inlineStr">
        <is>
          <t>1 CTE nặng dùng lại &gt;= 2 lần mà không có CACHE: gd_active</t>
        </is>
      </c>
      <c r="I2194" s="50" t="inlineStr">
        <is>
          <t>Nếu một kết quả nặng được dùng lại nhiều bước trong cùng luồng, thêm CACHE TABLE / CACHE SELECT. Kết quả nhỏ thì cache còn chậm hơn — tự tick Pass.</t>
        </is>
      </c>
      <c r="J2194" s="48" t="inlineStr">
        <is>
          <t>091.OCB_GOLD_TTDL_FACT_BPM_APPLICATION_LINH.xlsx [Script: FACT_BPM_APPLICATION]</t>
        </is>
      </c>
    </row>
    <row r="2195">
      <c r="A2195" s="48" t="inlineStr">
        <is>
          <t>TCIMPORT.FACT_BPM_APPLICATION</t>
        </is>
      </c>
      <c r="B2195" s="48" t="inlineStr">
        <is>
          <t>SILVER_CONSUMER</t>
        </is>
      </c>
      <c r="C2195" s="48" t="inlineStr">
        <is>
          <t>3.5</t>
        </is>
      </c>
      <c r="D2195" s="48" t="inlineStr">
        <is>
          <t>Nhom 3 - Optimization</t>
        </is>
      </c>
      <c r="E2195" s="48" t="inlineStr">
        <is>
          <t>Ưu tiên MAX_BY + QUALIFY thay ROW_NUMBER() + WHERE rn = 1</t>
        </is>
      </c>
      <c r="F2195" s="48" t="inlineStr">
        <is>
          <t>N-A</t>
        </is>
      </c>
      <c r="G2195" s="48" t="inlineStr">
        <is>
          <t>Pass</t>
        </is>
      </c>
      <c r="H2195" s="50" t="inlineStr">
        <is>
          <t>script không dùng ROW_NUMBER, và MAX_BY (nếu có) không vượt quá 5 cột/khối</t>
        </is>
      </c>
      <c r="I21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195" s="48" t="inlineStr">
        <is>
          <t>091.OCB_GOLD_TTDL_FACT_BPM_APPLICATION_LINH.xlsx [Script: FACT_BPM_APPLICATION]</t>
        </is>
      </c>
    </row>
    <row r="2196">
      <c r="A2196" s="48" t="inlineStr">
        <is>
          <t>TCIMPORT.FACT_BPM_APPLICATION</t>
        </is>
      </c>
      <c r="B2196" s="48" t="inlineStr">
        <is>
          <t>SILVER_CONSUMER</t>
        </is>
      </c>
      <c r="C2196" s="48" t="inlineStr">
        <is>
          <t>3.6</t>
        </is>
      </c>
      <c r="D2196" s="48" t="inlineStr">
        <is>
          <t>Nhom 3 - Optimization</t>
        </is>
      </c>
      <c r="E2196" s="48" t="inlineStr">
        <is>
          <t>Không lạm dụng window function; có comment khi dùng</t>
        </is>
      </c>
      <c r="F2196" s="48" t="inlineStr">
        <is>
          <t>N-A</t>
        </is>
      </c>
      <c r="G2196" s="48" t="inlineStr">
        <is>
          <t>Pass</t>
        </is>
      </c>
      <c r="H2196" s="50" t="inlineStr">
        <is>
          <t>script không dùng window function</t>
        </is>
      </c>
      <c r="I2196" s="50" t="inlineStr">
        <is>
          <t>Mỗi window function cần một comment ngay trên khối CTE chứa nó, nói rõ vì sao không dùng được max_by/QUALIFY đơn giản hơn.</t>
        </is>
      </c>
      <c r="J2196" s="48" t="inlineStr">
        <is>
          <t>091.OCB_GOLD_TTDL_FACT_BPM_APPLICATION_LINH.xlsx [Script: FACT_BPM_APPLICATION]</t>
        </is>
      </c>
    </row>
    <row r="2197">
      <c r="A2197" s="48" t="inlineStr">
        <is>
          <t>TCIMPORT.FACT_BPM_APPLICATION</t>
        </is>
      </c>
      <c r="B2197" s="48" t="inlineStr">
        <is>
          <t>SILVER_CONSUMER</t>
        </is>
      </c>
      <c r="C2197" s="48" t="inlineStr">
        <is>
          <t>X.1</t>
        </is>
      </c>
      <c r="D2197" s="48" t="inlineStr">
        <is>
          <t>Nhom X - Bo sung Raffles</t>
        </is>
      </c>
      <c r="E2197" s="48" t="inlineStr">
        <is>
          <t>[Bổ sung] Link phải rút về current trước khi join (chống fan-out)</t>
        </is>
      </c>
      <c r="F2197" s="49" t="inlineStr">
        <is>
          <t>PASS</t>
        </is>
      </c>
      <c r="G2197" s="48" t="inlineStr">
        <is>
          <t>Pass</t>
        </is>
      </c>
      <c r="H2197" s="50" t="inlineStr">
        <is>
          <t>các bảng link_* đều được rút về current trước khi join</t>
        </is>
      </c>
      <c r="I21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197" s="48" t="inlineStr">
        <is>
          <t>091.OCB_GOLD_TTDL_FACT_BPM_APPLICATION_LINH.xlsx [Script: FACT_BPM_APPLICATION]</t>
        </is>
      </c>
    </row>
    <row r="2198">
      <c r="A2198" s="48" t="inlineStr">
        <is>
          <t>TCIMPORT.FACT_BPM_APPLICATION</t>
        </is>
      </c>
      <c r="B2198" s="48" t="inlineStr">
        <is>
          <t>SILVER_CONSUMER</t>
        </is>
      </c>
      <c r="C2198" s="48" t="inlineStr">
        <is>
          <t>X.6</t>
        </is>
      </c>
      <c r="D2198" s="48" t="inlineStr">
        <is>
          <t>Nhom X - Bo sung Raffles</t>
        </is>
      </c>
      <c r="E2198" s="48" t="inlineStr">
        <is>
          <t>[Bổ sung] Satellite phải LEFT JOIN, không INNER JOIN</t>
        </is>
      </c>
      <c r="F2198" s="49" t="inlineStr">
        <is>
          <t>PASS</t>
        </is>
      </c>
      <c r="G2198" s="48" t="inlineStr">
        <is>
          <t>Pass</t>
        </is>
      </c>
      <c r="H2198" s="50" t="inlineStr">
        <is>
          <t>các satellite đều LEFT JOIN</t>
        </is>
      </c>
      <c r="I2198" s="50" t="inlineStr">
        <is>
          <t>Technical Document III.4.2.2 nguyên tắc 1: làm giàu thuộc tính luôn dùng LEFT JOIN. INNER JOIN satellite sẽ loại mất bản ghi Hub đang còn hiệu lực nhưng chưa có dòng satellite.</t>
        </is>
      </c>
      <c r="J2198" s="48" t="inlineStr">
        <is>
          <t>091.OCB_GOLD_TTDL_FACT_BPM_APPLICATION_LINH.xlsx [Script: FACT_BPM_APPLICATION]</t>
        </is>
      </c>
    </row>
    <row r="2199">
      <c r="A2199" s="48" t="inlineStr">
        <is>
          <t>TCIMPORT.FACT_BPM_APPLICATION</t>
        </is>
      </c>
      <c r="B2199" s="48" t="inlineStr">
        <is>
          <t>SILVER_CONSUMER</t>
        </is>
      </c>
      <c r="C2199" s="48" t="inlineStr">
        <is>
          <t>X.7</t>
        </is>
      </c>
      <c r="D2199" s="48" t="inlineStr">
        <is>
          <t>Nhom X - Bo sung Raffles</t>
        </is>
      </c>
      <c r="E2199" s="48" t="inlineStr">
        <is>
          <t>[Bổ sung] Không hard-code catalog, dùng biến môi trường</t>
        </is>
      </c>
      <c r="F2199" s="49" t="inlineStr">
        <is>
          <t>PASS</t>
        </is>
      </c>
      <c r="G2199" s="48" t="inlineStr">
        <is>
          <t>Pass</t>
        </is>
      </c>
      <c r="H2199" s="50" t="inlineStr">
        <is>
          <t>dùng biến môi trường cho catalog</t>
        </is>
      </c>
      <c r="I21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199" s="48" t="inlineStr">
        <is>
          <t>091.OCB_GOLD_TTDL_FACT_BPM_APPLICATION_LINH.xlsx [Script: FACT_BPM_APPLICATION]</t>
        </is>
      </c>
    </row>
    <row r="2200">
      <c r="A2200" s="48" t="inlineStr">
        <is>
          <t>TCIMPORT.FACT_BPM_APPLICATION</t>
        </is>
      </c>
      <c r="B2200" s="48" t="inlineStr">
        <is>
          <t>SILVER_CONSUMER</t>
        </is>
      </c>
      <c r="C2200" s="48" t="inlineStr">
        <is>
          <t>X.10</t>
        </is>
      </c>
      <c r="D2200" s="48" t="inlineStr">
        <is>
          <t>Nhom X - Bo sung Raffles</t>
        </is>
      </c>
      <c r="E2200" s="48" t="inlineStr">
        <is>
          <t>Bang raw_vault/business_vault duoc doc phai TON TAI THAT trong Data Vault model</t>
        </is>
      </c>
      <c r="F2200" s="49" t="inlineStr">
        <is>
          <t>PASS</t>
        </is>
      </c>
      <c r="G2200" s="48" t="inlineStr">
        <is>
          <t>Pass</t>
        </is>
      </c>
      <c r="H2200" s="50" t="inlineStr">
        <is>
          <t>11 bảng Silver đều có thật trong Data Vault model</t>
        </is>
      </c>
      <c r="I2200" s="50" t="inlineStr"/>
      <c r="J2200" s="48" t="inlineStr">
        <is>
          <t>091.OCB_GOLD_TTDL_FACT_BPM_APPLICATION_LINH.xlsx [Script: FACT_BPM_APPLICATION]</t>
        </is>
      </c>
    </row>
    <row r="2201">
      <c r="A2201" s="48" t="inlineStr">
        <is>
          <t>TCIMPORT.FACT_BPM_APPLICATION</t>
        </is>
      </c>
      <c r="B2201" s="48" t="inlineStr">
        <is>
          <t>SILVER_CONSUMER</t>
        </is>
      </c>
      <c r="C2201" s="48" t="inlineStr">
        <is>
          <t>X.11</t>
        </is>
      </c>
      <c r="D2201" s="48" t="inlineStr">
        <is>
          <t>Nhom X - Bo sung Raffles</t>
        </is>
      </c>
      <c r="E2201" s="48" t="inlineStr">
        <is>
          <t>Cot doc tu satellite (sat_*) phai TON TAI THAT trong model</t>
        </is>
      </c>
      <c r="F2201" s="49" t="inlineStr">
        <is>
          <t>PASS</t>
        </is>
      </c>
      <c r="G2201" s="48" t="inlineStr">
        <is>
          <t>Pass</t>
        </is>
      </c>
      <c r="H2201" s="50" t="inlineStr">
        <is>
          <t>mọi cột đọc từ sat_* đều tồn tại trong model thật</t>
        </is>
      </c>
      <c r="I2201" s="50" t="inlineStr"/>
      <c r="J2201" s="48" t="inlineStr">
        <is>
          <t>091.OCB_GOLD_TTDL_FACT_BPM_APPLICATION_LINH.xlsx [Script: FACT_BPM_APPLICATION]</t>
        </is>
      </c>
    </row>
    <row r="2202">
      <c r="A2202" s="48" t="inlineStr">
        <is>
          <t>TCIMPORT.FACT_BPM_AP_AVY</t>
        </is>
      </c>
      <c r="B2202" s="48" t="inlineStr">
        <is>
          <t>SILVER_CONSUMER</t>
        </is>
      </c>
      <c r="C2202" s="48" t="inlineStr">
        <is>
          <t>1.1</t>
        </is>
      </c>
      <c r="D2202" s="48" t="inlineStr">
        <is>
          <t>Nhom 1 - Mapping</t>
        </is>
      </c>
      <c r="E2202" s="48" t="inlineStr">
        <is>
          <t>Đầy đủ mapping từ Silver/manual sang Gold</t>
        </is>
      </c>
      <c r="F2202" s="49" t="inlineStr">
        <is>
          <t>PASS</t>
        </is>
      </c>
      <c r="G2202" s="48" t="inlineStr">
        <is>
          <t>Pass</t>
        </is>
      </c>
      <c r="H2202" s="50" t="inlineStr">
        <is>
          <t>workbook 092.OCB_GOLD_TTDL_FACT_BPM_AP_AVY_LINH.xlsx: thiết kế 15 field, SQL có 15 cột</t>
        </is>
      </c>
      <c r="I22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202" s="48" t="inlineStr">
        <is>
          <t>092.OCB_GOLD_TTDL_FACT_BPM_AP_AVY_LINH.xlsx [Script: FACT_BPM_AP_AVY]</t>
        </is>
      </c>
    </row>
    <row r="2203">
      <c r="A2203" s="48" t="inlineStr">
        <is>
          <t>TCIMPORT.FACT_BPM_AP_AVY</t>
        </is>
      </c>
      <c r="B2203" s="48" t="inlineStr">
        <is>
          <t>SILVER_CONSUMER</t>
        </is>
      </c>
      <c r="C2203" s="48" t="inlineStr">
        <is>
          <t>1.2</t>
        </is>
      </c>
      <c r="D2203" s="48" t="inlineStr">
        <is>
          <t>Nhom 1 - Mapping</t>
        </is>
      </c>
      <c r="E2203" s="48" t="inlineStr">
        <is>
          <t>Danh sách bảng/view Gold khớp tài liệu thiết kế đã duyệt</t>
        </is>
      </c>
      <c r="F2203" s="49" t="inlineStr">
        <is>
          <t>PASS</t>
        </is>
      </c>
      <c r="G2203" s="48" t="inlineStr">
        <is>
          <t>Pass</t>
        </is>
      </c>
      <c r="H2203" s="50" t="inlineStr">
        <is>
          <t>FACT_BPM_AP_AVY có workbook thiết kế: 092.OCB_GOLD_TTDL_FACT_BPM_AP_AVY_LINH.xlsx</t>
        </is>
      </c>
      <c r="I2203" s="50" t="inlineStr">
        <is>
          <t>Đảm bảo object có workbook thiết kế tương ứng trong thư mục --mapping-dir. Muốn đối chiếu với danh sách đã duyệt thì chạy thêm tham số --gold-list "&lt;file danh sách Gold&gt;.xlsx".</t>
        </is>
      </c>
      <c r="J2203" s="48" t="inlineStr">
        <is>
          <t>092.OCB_GOLD_TTDL_FACT_BPM_AP_AVY_LINH.xlsx [Script: FACT_BPM_AP_AVY]</t>
        </is>
      </c>
    </row>
    <row r="2204">
      <c r="A2204" s="48" t="inlineStr">
        <is>
          <t>TCIMPORT.FACT_BPM_AP_AVY</t>
        </is>
      </c>
      <c r="B2204" s="48" t="inlineStr">
        <is>
          <t>SILVER_CONSUMER</t>
        </is>
      </c>
      <c r="C2204" s="48" t="inlineStr">
        <is>
          <t>2.1</t>
        </is>
      </c>
      <c r="D2204" s="48" t="inlineStr">
        <is>
          <t>Nhom 2 - Logic</t>
        </is>
      </c>
      <c r="E2204" s="48" t="inlineStr">
        <is>
          <t>Chỉ lấy bản ghi active, loại bản ghi đã xóa (qua sts_hub)</t>
        </is>
      </c>
      <c r="F2204" s="49" t="inlineStr">
        <is>
          <t>PASS</t>
        </is>
      </c>
      <c r="G2204" s="48" t="inlineStr">
        <is>
          <t>Pass</t>
        </is>
      </c>
      <c r="H2204" s="50" t="inlineStr">
        <is>
          <t>không dùng sts_hub_* (không có yêu cầu nghiệp vụ giữ bản ghi đã xóa)</t>
        </is>
      </c>
      <c r="I22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204" s="48" t="inlineStr">
        <is>
          <t>092.OCB_GOLD_TTDL_FACT_BPM_AP_AVY_LINH.xlsx [Script: FACT_BPM_AP_AVY]</t>
        </is>
      </c>
    </row>
    <row r="2205">
      <c r="A2205" s="48" t="inlineStr">
        <is>
          <t>TCIMPORT.FACT_BPM_AP_AVY</t>
        </is>
      </c>
      <c r="B2205" s="48" t="inlineStr">
        <is>
          <t>SILVER_CONSUMER</t>
        </is>
      </c>
      <c r="C2205" s="48" t="inlineStr">
        <is>
          <t>2.2</t>
        </is>
      </c>
      <c r="D2205" s="48" t="inlineStr">
        <is>
          <t>Nhom 2 - Logic</t>
        </is>
      </c>
      <c r="E2205" s="48" t="inlineStr">
        <is>
          <t>Thống nhất MỘT pattern duy nhất xác định bản ghi active mới nhất</t>
        </is>
      </c>
      <c r="F2205" s="49" t="inlineStr">
        <is>
          <t>PASS</t>
        </is>
      </c>
      <c r="G2205" s="48" t="inlineStr">
        <is>
          <t>Pass</t>
        </is>
      </c>
      <c r="H2205" s="50" t="inlineStr">
        <is>
          <t>file này dùng: ['MAX_BY']; toàn batch dùng: ['MAX_BY']</t>
        </is>
      </c>
      <c r="I22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205" s="48" t="inlineStr">
        <is>
          <t>092.OCB_GOLD_TTDL_FACT_BPM_AP_AVY_LINH.xlsx [Script: FACT_BPM_AP_AVY]</t>
        </is>
      </c>
    </row>
    <row r="2206">
      <c r="A2206" s="48" t="inlineStr">
        <is>
          <t>TCIMPORT.FACT_BPM_AP_AVY</t>
        </is>
      </c>
      <c r="B2206" s="48" t="inlineStr">
        <is>
          <t>SILVER_CONSUMER</t>
        </is>
      </c>
      <c r="C2206" s="48" t="inlineStr">
        <is>
          <t>2.3</t>
        </is>
      </c>
      <c r="D2206" s="48" t="inlineStr">
        <is>
          <t>Nhom 2 - Logic</t>
        </is>
      </c>
      <c r="E2206" s="48" t="inlineStr">
        <is>
          <t>Điều kiện lọc trạng thái đặt SAU khi xác định bản ghi mới nhất</t>
        </is>
      </c>
      <c r="F2206" s="49" t="inlineStr">
        <is>
          <t>PASS</t>
        </is>
      </c>
      <c r="G2206" s="48" t="inlineStr">
        <is>
          <t>Pass</t>
        </is>
      </c>
      <c r="H2206" s="50" t="inlineStr">
        <is>
          <t>không có điều kiện trạng thái nào lồng trong JOIN ON</t>
        </is>
      </c>
      <c r="I22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206" s="48" t="inlineStr">
        <is>
          <t>092.OCB_GOLD_TTDL_FACT_BPM_AP_AVY_LINH.xlsx [Script: FACT_BPM_AP_AVY]</t>
        </is>
      </c>
    </row>
    <row r="2207">
      <c r="A2207" s="48" t="inlineStr">
        <is>
          <t>TCIMPORT.FACT_BPM_AP_AVY</t>
        </is>
      </c>
      <c r="B2207" s="48" t="inlineStr">
        <is>
          <t>SILVER_CONSUMER</t>
        </is>
      </c>
      <c r="C2207" s="48" t="inlineStr">
        <is>
          <t>2.4</t>
        </is>
      </c>
      <c r="D2207" s="48" t="inlineStr">
        <is>
          <t>Nhom 2 - Logic</t>
        </is>
      </c>
      <c r="E2207" s="48" t="inlineStr">
        <is>
          <t>source_event_date áp dụng đúng dạng theo loại bảng</t>
        </is>
      </c>
      <c r="F2207" s="49" t="inlineStr">
        <is>
          <t>PASS</t>
        </is>
      </c>
      <c r="G2207" s="48" t="inlineStr">
        <is>
          <t>Pass</t>
        </is>
      </c>
      <c r="H2207" s="50" t="inlineStr">
        <is>
          <t>9 satellite đều đúng dạng điều kiện source_event_date</t>
        </is>
      </c>
      <c r="I22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207" s="48" t="inlineStr">
        <is>
          <t>092.OCB_GOLD_TTDL_FACT_BPM_AP_AVY_LINH.xlsx [Script: FACT_BPM_AP_AVY]</t>
        </is>
      </c>
    </row>
    <row r="2208">
      <c r="A2208" s="48" t="inlineStr">
        <is>
          <t>TCIMPORT.FACT_BPM_AP_AVY</t>
        </is>
      </c>
      <c r="B2208" s="48" t="inlineStr">
        <is>
          <t>SILVER_CONSUMER</t>
        </is>
      </c>
      <c r="C2208" s="48" t="inlineStr">
        <is>
          <t>2.5</t>
        </is>
      </c>
      <c r="D2208" s="48" t="inlineStr">
        <is>
          <t>Nhom 2 - Logic</t>
        </is>
      </c>
      <c r="E2208" s="48" t="inlineStr">
        <is>
          <t>Không lặp lại lỗi logic cũ đã được DA Data Vault fix</t>
        </is>
      </c>
      <c r="F2208" s="49" t="inlineStr">
        <is>
          <t>PASS</t>
        </is>
      </c>
      <c r="G2208" s="48" t="inlineStr">
        <is>
          <t>Pass</t>
        </is>
      </c>
      <c r="H2208" s="50" t="inlineStr">
        <is>
          <t>không trùng lỗi nào trong Issue log của DA Data Vault</t>
        </is>
      </c>
      <c r="I22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208" s="48" t="inlineStr">
        <is>
          <t>092.OCB_GOLD_TTDL_FACT_BPM_AP_AVY_LINH.xlsx [Script: FACT_BPM_AP_AVY]</t>
        </is>
      </c>
    </row>
    <row r="2209">
      <c r="A2209" s="48" t="inlineStr">
        <is>
          <t>TCIMPORT.FACT_BPM_AP_AVY</t>
        </is>
      </c>
      <c r="B2209" s="48" t="inlineStr">
        <is>
          <t>SILVER_CONSUMER</t>
        </is>
      </c>
      <c r="C2209" s="48" t="inlineStr">
        <is>
          <t>2.6</t>
        </is>
      </c>
      <c r="D2209" s="48" t="inlineStr">
        <is>
          <t>Nhom 2 - Logic</t>
        </is>
      </c>
      <c r="E2209" s="48" t="inlineStr">
        <is>
          <t>SCD Type 2 cho bảng DIM áp dụng đúng kỹ thuật đã thống nhất</t>
        </is>
      </c>
      <c r="F2209" s="48" t="inlineStr">
        <is>
          <t>N-A</t>
        </is>
      </c>
      <c r="G2209" s="48" t="inlineStr">
        <is>
          <t>Pass</t>
        </is>
      </c>
      <c r="H2209" s="50" t="inlineStr">
        <is>
          <t>object không phải bảng DIM nên không áp dụng SCD Type 2</t>
        </is>
      </c>
      <c r="I22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209" s="48" t="inlineStr">
        <is>
          <t>092.OCB_GOLD_TTDL_FACT_BPM_AP_AVY_LINH.xlsx [Script: FACT_BPM_AP_AVY]</t>
        </is>
      </c>
    </row>
    <row r="2210">
      <c r="A2210" s="48" t="inlineStr">
        <is>
          <t>TCIMPORT.FACT_BPM_AP_AVY</t>
        </is>
      </c>
      <c r="B2210" s="48" t="inlineStr">
        <is>
          <t>SILVER_CONSUMER</t>
        </is>
      </c>
      <c r="C2210" s="48" t="inlineStr">
        <is>
          <t>2.7</t>
        </is>
      </c>
      <c r="D2210" s="48" t="inlineStr">
        <is>
          <t>Nhom 2 - Logic</t>
        </is>
      </c>
      <c r="E2210" s="48" t="inlineStr">
        <is>
          <t>CASE WHEN cover đủ nhánh như job on-prem</t>
        </is>
      </c>
      <c r="F2210" s="49" t="inlineStr">
        <is>
          <t>PASS</t>
        </is>
      </c>
      <c r="G2210" s="48" t="inlineStr">
        <is>
          <t>Pass</t>
        </is>
      </c>
      <c r="H2210" s="50" t="inlineStr">
        <is>
          <t>cả 1 CASE đều có nhánh ELSE</t>
        </is>
      </c>
      <c r="I2210" s="50" t="inlineStr">
        <is>
          <t>Mở job on-prem tương ứng (DataStage DSX hoặc SQL cũ), đối chiếu từng nhánh WHEN và cả nhánh ELSE. CASE không có ELSE sẽ trả NULL âm thầm — xác nhận đó là ý muốn hay thiếu nhánh.</t>
        </is>
      </c>
      <c r="J2210" s="48" t="inlineStr">
        <is>
          <t>092.OCB_GOLD_TTDL_FACT_BPM_AP_AVY_LINH.xlsx [Script: FACT_BPM_AP_AVY]</t>
        </is>
      </c>
    </row>
    <row r="2211">
      <c r="A2211" s="48" t="inlineStr">
        <is>
          <t>TCIMPORT.FACT_BPM_AP_AVY</t>
        </is>
      </c>
      <c r="B2211" s="48" t="inlineStr">
        <is>
          <t>SILVER_CONSUMER</t>
        </is>
      </c>
      <c r="C2211" s="48" t="inlineStr">
        <is>
          <t>2.8</t>
        </is>
      </c>
      <c r="D2211" s="48" t="inlineStr">
        <is>
          <t>Nhom 2 - Logic</t>
        </is>
      </c>
      <c r="E2211" s="48" t="inlineStr">
        <is>
          <t>Cột SUM/COUNT được COALESCE/NVL hợp lý</t>
        </is>
      </c>
      <c r="F2211" s="49" t="inlineStr">
        <is>
          <t>PASS</t>
        </is>
      </c>
      <c r="G2211" s="48" t="inlineStr">
        <is>
          <t>Pass</t>
        </is>
      </c>
      <c r="H2211" s="50" t="inlineStr">
        <is>
          <t>mọi SUM/COUNT đều đã coalesce (trực tiếp hoặc ở lớp ngoài)</t>
        </is>
      </c>
      <c r="I22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211" s="48" t="inlineStr">
        <is>
          <t>092.OCB_GOLD_TTDL_FACT_BPM_AP_AVY_LINH.xlsx [Script: FACT_BPM_AP_AVY]</t>
        </is>
      </c>
    </row>
    <row r="2212">
      <c r="A2212" s="48" t="inlineStr">
        <is>
          <t>TCIMPORT.FACT_BPM_AP_AVY</t>
        </is>
      </c>
      <c r="B2212" s="48" t="inlineStr">
        <is>
          <t>SILVER_CONSUMER</t>
        </is>
      </c>
      <c r="C2212" s="48" t="inlineStr">
        <is>
          <t>2.9</t>
        </is>
      </c>
      <c r="D2212" s="48" t="inlineStr">
        <is>
          <t>Nhom 2 - Logic</t>
        </is>
      </c>
      <c r="E2212" s="48" t="inlineStr">
        <is>
          <t>Subquery / custom function / điều kiện LIKE đúng ý nghĩa nghiệp vụ</t>
        </is>
      </c>
      <c r="F2212" s="48" t="inlineStr">
        <is>
          <t>N-A</t>
        </is>
      </c>
      <c r="G2212" s="48" t="inlineStr">
        <is>
          <t>Pass</t>
        </is>
      </c>
      <c r="H2212" s="50" t="inlineStr">
        <is>
          <t>script không có điều kiện LIKE hay scalar subquery nào</t>
        </is>
      </c>
      <c r="I2212" s="50" t="inlineStr">
        <is>
          <t>Đọc lại từng điều kiện LIKE và từng subquery, đối chiếu ý nghĩa nghiệp vụ với on-prem — đúng cú pháp không đủ. Chú ý pattern LIKE có ký tự % ở đầu/cuối và phân biệt chữ hoa/thường.</t>
        </is>
      </c>
      <c r="J2212" s="48" t="inlineStr">
        <is>
          <t>092.OCB_GOLD_TTDL_FACT_BPM_AP_AVY_LINH.xlsx [Script: FACT_BPM_AP_AVY]</t>
        </is>
      </c>
    </row>
    <row r="2213">
      <c r="A2213" s="48" t="inlineStr">
        <is>
          <t>TCIMPORT.FACT_BPM_AP_AVY</t>
        </is>
      </c>
      <c r="B2213" s="48" t="inlineStr">
        <is>
          <t>SILVER_CONSUMER</t>
        </is>
      </c>
      <c r="C2213" s="48" t="inlineStr">
        <is>
          <t>2.10</t>
        </is>
      </c>
      <c r="D2213" s="48" t="inlineStr">
        <is>
          <t>Nhom 2 - Logic</t>
        </is>
      </c>
      <c r="E2213" s="48" t="inlineStr">
        <is>
          <t>Aggregation kèm filter date range chính xác</t>
        </is>
      </c>
      <c r="F2213" s="49" t="inlineStr">
        <is>
          <t>PASS</t>
        </is>
      </c>
      <c r="G2213" s="48" t="inlineStr">
        <is>
          <t>Pass</t>
        </is>
      </c>
      <c r="H2213" s="50" t="inlineStr">
        <is>
          <t>mọi khối tổng hợp đều có điều kiện theo kỳ dữ liệu</t>
        </is>
      </c>
      <c r="I2213" s="50" t="inlineStr">
        <is>
          <t>Mỗi khối SUM/COUNT/AVG phải có điều kiện lọc theo kỳ dữ liệu (CDR_DT_ID, DATA_DATE, :DATADT…). Nếu điều kiện nằm ở CTE nguồn thì ghi rõ trong comment để người review không phải truy ngược.</t>
        </is>
      </c>
      <c r="J2213" s="48" t="inlineStr">
        <is>
          <t>092.OCB_GOLD_TTDL_FACT_BPM_AP_AVY_LINH.xlsx [Script: FACT_BPM_AP_AVY]</t>
        </is>
      </c>
    </row>
    <row r="2214">
      <c r="A2214" s="48" t="inlineStr">
        <is>
          <t>TCIMPORT.FACT_BPM_AP_AVY</t>
        </is>
      </c>
      <c r="B2214" s="48" t="inlineStr">
        <is>
          <t>SILVER_CONSUMER</t>
        </is>
      </c>
      <c r="C2214" s="48" t="inlineStr">
        <is>
          <t>2.11</t>
        </is>
      </c>
      <c r="D2214" s="48" t="inlineStr">
        <is>
          <t>Nhom 2 - Logic</t>
        </is>
      </c>
      <c r="E2214" s="48" t="inlineStr">
        <is>
          <t>Join dùng key hợp lý, không lạm dụng UNION ALL + EXISTS/NOT EXISTS</t>
        </is>
      </c>
      <c r="F2214" s="49" t="inlineStr">
        <is>
          <t>PASS</t>
        </is>
      </c>
      <c r="G2214" s="48" t="inlineStr">
        <is>
          <t>Pass</t>
        </is>
      </c>
      <c r="H2214" s="50" t="inlineStr">
        <is>
          <t>join đều theo điều kiện bằng, không lạm dụng UNION ALL + EXISTS</t>
        </is>
      </c>
      <c r="I2214" s="50" t="inlineStr">
        <is>
          <t>Ưu tiên LEFT JOIN theo business key hoặc hashkey. Xem lại các chỗ dùng UNION ALL kết hợp EXISTS/NOT EXISTS — thường thay được bằng một LEFT JOIN. Join không có điều kiện bằng (=) dễ tạo tích Descartes.</t>
        </is>
      </c>
      <c r="J2214" s="48" t="inlineStr">
        <is>
          <t>092.OCB_GOLD_TTDL_FACT_BPM_AP_AVY_LINH.xlsx [Script: FACT_BPM_AP_AVY]</t>
        </is>
      </c>
    </row>
    <row r="2215">
      <c r="A2215" s="48" t="inlineStr">
        <is>
          <t>TCIMPORT.FACT_BPM_AP_AVY</t>
        </is>
      </c>
      <c r="B2215" s="48" t="inlineStr">
        <is>
          <t>SILVER_CONSUMER</t>
        </is>
      </c>
      <c r="C2215" s="48" t="inlineStr">
        <is>
          <t>2.12</t>
        </is>
      </c>
      <c r="D2215" s="48" t="inlineStr">
        <is>
          <t>Nhom 2 - Logic</t>
        </is>
      </c>
      <c r="E2215" s="48" t="inlineStr">
        <is>
          <t>Build Gold từ CTE snapshot Silver, không build nhiều tầng chồng chéo</t>
        </is>
      </c>
      <c r="F2215" s="49" t="inlineStr">
        <is>
          <t>PASS</t>
        </is>
      </c>
      <c r="G2215" s="48" t="inlineStr">
        <is>
          <t>Pass</t>
        </is>
      </c>
      <c r="H2215" s="50" t="inlineStr">
        <is>
          <t>mỗi bảng nguồn chỉ đọc trong 1 khối SELECT</t>
        </is>
      </c>
      <c r="I22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215" s="48" t="inlineStr">
        <is>
          <t>092.OCB_GOLD_TTDL_FACT_BPM_AP_AVY_LINH.xlsx [Script: FACT_BPM_AP_AVY]</t>
        </is>
      </c>
    </row>
    <row r="2216">
      <c r="A2216" s="48" t="inlineStr">
        <is>
          <t>TCIMPORT.FACT_BPM_AP_AVY</t>
        </is>
      </c>
      <c r="B2216" s="48" t="inlineStr">
        <is>
          <t>SILVER_CONSUMER</t>
        </is>
      </c>
      <c r="C2216" s="48" t="inlineStr">
        <is>
          <t>3.1</t>
        </is>
      </c>
      <c r="D2216" s="48" t="inlineStr">
        <is>
          <t>Nhom 3 - Optimization</t>
        </is>
      </c>
      <c r="E2216" s="48" t="inlineStr">
        <is>
          <t>Không SELECT *</t>
        </is>
      </c>
      <c r="F2216" s="49" t="inlineStr">
        <is>
          <t>PASS</t>
        </is>
      </c>
      <c r="G2216" s="48" t="inlineStr">
        <is>
          <t>Pass</t>
        </is>
      </c>
      <c r="H2216" s="50" t="inlineStr">
        <is>
          <t>không dùng SELECT * ở đâu</t>
        </is>
      </c>
      <c r="I2216" s="50" t="inlineStr">
        <is>
          <t>Liệt kê tường minh các cột cần dùng, kể cả trong CTE trung gian. SELECT * làm tăng IO/memory và vỡ script khi bảng nguồn thêm cột.</t>
        </is>
      </c>
      <c r="J2216" s="48" t="inlineStr">
        <is>
          <t>092.OCB_GOLD_TTDL_FACT_BPM_AP_AVY_LINH.xlsx [Script: FACT_BPM_AP_AVY]</t>
        </is>
      </c>
    </row>
    <row r="2217">
      <c r="A2217" s="48" t="inlineStr">
        <is>
          <t>TCIMPORT.FACT_BPM_AP_AVY</t>
        </is>
      </c>
      <c r="B2217" s="48" t="inlineStr">
        <is>
          <t>SILVER_CONSUMER</t>
        </is>
      </c>
      <c r="C2217" s="48" t="inlineStr">
        <is>
          <t>3.2</t>
        </is>
      </c>
      <c r="D2217" s="48" t="inlineStr">
        <is>
          <t>Nhom 3 - Optimization</t>
        </is>
      </c>
      <c r="E2217" s="48" t="inlineStr">
        <is>
          <t>CTE không bị scan lại nhiều lần</t>
        </is>
      </c>
      <c r="F2217" s="51" t="inlineStr">
        <is>
          <t>WARN</t>
        </is>
      </c>
      <c r="G2217" s="48" t="inlineStr">
        <is>
          <t>WARN</t>
        </is>
      </c>
      <c r="H2217" s="50" t="inlineStr">
        <is>
          <t>CTE bị tham chiếu lại nhiều lần: auth_nv x3, ksgn_active x2, ksgn_dv x2, ksgnct x3, c_danh_muc_ref x2, danh_muc_ref x4</t>
        </is>
      </c>
      <c r="I2217" s="50" t="inlineStr">
        <is>
          <t>Với CTE nặng (đọc nhiều bảng Silver) bị tham chiếu từ 2 chỗ trở lên: gom lại còn một lần dùng, hoặc vật chất hóa (CACHE / bảng tạm). CTE nhẹ chỉ chứa tham số thì bỏ qua được — tự tick Pass.</t>
        </is>
      </c>
      <c r="J2217" s="48" t="inlineStr">
        <is>
          <t>092.OCB_GOLD_TTDL_FACT_BPM_AP_AVY_LINH.xlsx [Script: FACT_BPM_AP_AVY]</t>
        </is>
      </c>
    </row>
    <row r="2218">
      <c r="A2218" s="48" t="inlineStr">
        <is>
          <t>TCIMPORT.FACT_BPM_AP_AVY</t>
        </is>
      </c>
      <c r="B2218" s="48" t="inlineStr">
        <is>
          <t>SILVER_CONSUMER</t>
        </is>
      </c>
      <c r="C2218" s="48" t="inlineStr">
        <is>
          <t>3.3</t>
        </is>
      </c>
      <c r="D2218" s="48" t="inlineStr">
        <is>
          <t>Nhom 3 - Optimization</t>
        </is>
      </c>
      <c r="E2218" s="48" t="inlineStr">
        <is>
          <t>Filter trước khi join, tận dụng partition pruning</t>
        </is>
      </c>
      <c r="F2218" s="49" t="inlineStr">
        <is>
          <t>PASS</t>
        </is>
      </c>
      <c r="G2218" s="48" t="inlineStr">
        <is>
          <t>Pass</t>
        </is>
      </c>
      <c r="H2218" s="50" t="inlineStr">
        <is>
          <t>các bảng join đều được filter trước</t>
        </is>
      </c>
      <c r="I2218" s="50" t="inlineStr">
        <is>
          <t>Đưa điều kiện lọc (ngày dữ liệu, trạng thái) vào subquery của từng bảng TRƯỚC khi join, để tận dụng partition pruning. Bảng dim nhỏ không partition thì không cần — tự tick Pass.</t>
        </is>
      </c>
      <c r="J2218" s="48" t="inlineStr">
        <is>
          <t>092.OCB_GOLD_TTDL_FACT_BPM_AP_AVY_LINH.xlsx [Script: FACT_BPM_AP_AVY]</t>
        </is>
      </c>
    </row>
    <row r="2219">
      <c r="A2219" s="48" t="inlineStr">
        <is>
          <t>TCIMPORT.FACT_BPM_AP_AVY</t>
        </is>
      </c>
      <c r="B2219" s="48" t="inlineStr">
        <is>
          <t>SILVER_CONSUMER</t>
        </is>
      </c>
      <c r="C2219" s="48" t="inlineStr">
        <is>
          <t>3.4</t>
        </is>
      </c>
      <c r="D2219" s="48" t="inlineStr">
        <is>
          <t>Nhom 3 - Optimization</t>
        </is>
      </c>
      <c r="E2219" s="48" t="inlineStr">
        <is>
          <t>Sử dụng CACHE cho query lặp lại trong cùng luồng</t>
        </is>
      </c>
      <c r="F2219" s="51" t="inlineStr">
        <is>
          <t>WARN</t>
        </is>
      </c>
      <c r="G2219" s="48" t="inlineStr">
        <is>
          <t>WARN</t>
        </is>
      </c>
      <c r="H2219" s="50" t="inlineStr">
        <is>
          <t>6 CTE nặng dùng lại &gt;= 2 lần mà không có CACHE: auth_nv, c_danh_muc_ref, danh_muc_ref, ksgn_active, ksgn_dv, ksgnct</t>
        </is>
      </c>
      <c r="I2219" s="50" t="inlineStr">
        <is>
          <t>Nếu một kết quả nặng được dùng lại nhiều bước trong cùng luồng, thêm CACHE TABLE / CACHE SELECT. Kết quả nhỏ thì cache còn chậm hơn — tự tick Pass.</t>
        </is>
      </c>
      <c r="J2219" s="48" t="inlineStr">
        <is>
          <t>092.OCB_GOLD_TTDL_FACT_BPM_AP_AVY_LINH.xlsx [Script: FACT_BPM_AP_AVY]</t>
        </is>
      </c>
    </row>
    <row r="2220">
      <c r="A2220" s="48" t="inlineStr">
        <is>
          <t>TCIMPORT.FACT_BPM_AP_AVY</t>
        </is>
      </c>
      <c r="B2220" s="48" t="inlineStr">
        <is>
          <t>SILVER_CONSUMER</t>
        </is>
      </c>
      <c r="C2220" s="48" t="inlineStr">
        <is>
          <t>3.5</t>
        </is>
      </c>
      <c r="D2220" s="48" t="inlineStr">
        <is>
          <t>Nhom 3 - Optimization</t>
        </is>
      </c>
      <c r="E2220" s="48" t="inlineStr">
        <is>
          <t>Ưu tiên MAX_BY + QUALIFY thay ROW_NUMBER() + WHERE rn = 1</t>
        </is>
      </c>
      <c r="F2220" s="51" t="inlineStr">
        <is>
          <t>WARN</t>
        </is>
      </c>
      <c r="G2220" s="48" t="inlineStr">
        <is>
          <t>WARN</t>
        </is>
      </c>
      <c r="H2220" s="50" t="inlineStr">
        <is>
          <t>4 khối dùng MAX_BY độc lập cho &gt;5 cột (dòng 10, [10, 11, 9,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2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20" s="48" t="inlineStr">
        <is>
          <t>092.OCB_GOLD_TTDL_FACT_BPM_AP_AVY_LINH.xlsx [Script: FACT_BPM_AP_AVY]</t>
        </is>
      </c>
    </row>
    <row r="2221">
      <c r="A2221" s="48" t="inlineStr">
        <is>
          <t>TCIMPORT.FACT_BPM_AP_AVY</t>
        </is>
      </c>
      <c r="B2221" s="48" t="inlineStr">
        <is>
          <t>SILVER_CONSUMER</t>
        </is>
      </c>
      <c r="C2221" s="48" t="inlineStr">
        <is>
          <t>3.6</t>
        </is>
      </c>
      <c r="D2221" s="48" t="inlineStr">
        <is>
          <t>Nhom 3 - Optimization</t>
        </is>
      </c>
      <c r="E2221" s="48" t="inlineStr">
        <is>
          <t>Không lạm dụng window function; có comment khi dùng</t>
        </is>
      </c>
      <c r="F2221" s="48" t="inlineStr">
        <is>
          <t>N-A</t>
        </is>
      </c>
      <c r="G2221" s="48" t="inlineStr">
        <is>
          <t>Pass</t>
        </is>
      </c>
      <c r="H2221" s="50" t="inlineStr">
        <is>
          <t>script không dùng window function</t>
        </is>
      </c>
      <c r="I2221" s="50" t="inlineStr">
        <is>
          <t>Mỗi window function cần một comment ngay trên khối CTE chứa nó, nói rõ vì sao không dùng được max_by/QUALIFY đơn giản hơn.</t>
        </is>
      </c>
      <c r="J2221" s="48" t="inlineStr">
        <is>
          <t>092.OCB_GOLD_TTDL_FACT_BPM_AP_AVY_LINH.xlsx [Script: FACT_BPM_AP_AVY]</t>
        </is>
      </c>
    </row>
    <row r="2222">
      <c r="A2222" s="48" t="inlineStr">
        <is>
          <t>TCIMPORT.FACT_BPM_AP_AVY</t>
        </is>
      </c>
      <c r="B2222" s="48" t="inlineStr">
        <is>
          <t>SILVER_CONSUMER</t>
        </is>
      </c>
      <c r="C2222" s="48" t="inlineStr">
        <is>
          <t>X.1</t>
        </is>
      </c>
      <c r="D2222" s="48" t="inlineStr">
        <is>
          <t>Nhom X - Bo sung Raffles</t>
        </is>
      </c>
      <c r="E2222" s="48" t="inlineStr">
        <is>
          <t>[Bổ sung] Link phải rút về current trước khi join (chống fan-out)</t>
        </is>
      </c>
      <c r="F2222" s="49" t="inlineStr">
        <is>
          <t>PASS</t>
        </is>
      </c>
      <c r="G2222" s="48" t="inlineStr">
        <is>
          <t>Pass</t>
        </is>
      </c>
      <c r="H2222" s="50" t="inlineStr">
        <is>
          <t>các bảng link_* đều được rút về current trước khi join</t>
        </is>
      </c>
      <c r="I22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22" s="48" t="inlineStr">
        <is>
          <t>092.OCB_GOLD_TTDL_FACT_BPM_AP_AVY_LINH.xlsx [Script: FACT_BPM_AP_AVY]</t>
        </is>
      </c>
    </row>
    <row r="2223">
      <c r="A2223" s="48" t="inlineStr">
        <is>
          <t>TCIMPORT.FACT_BPM_AP_AVY</t>
        </is>
      </c>
      <c r="B2223" s="48" t="inlineStr">
        <is>
          <t>SILVER_CONSUMER</t>
        </is>
      </c>
      <c r="C2223" s="48" t="inlineStr">
        <is>
          <t>X.6</t>
        </is>
      </c>
      <c r="D2223" s="48" t="inlineStr">
        <is>
          <t>Nhom X - Bo sung Raffles</t>
        </is>
      </c>
      <c r="E2223" s="48" t="inlineStr">
        <is>
          <t>[Bổ sung] Satellite phải LEFT JOIN, không INNER JOIN</t>
        </is>
      </c>
      <c r="F2223" s="49" t="inlineStr">
        <is>
          <t>PASS</t>
        </is>
      </c>
      <c r="G2223" s="48" t="inlineStr">
        <is>
          <t>Pass</t>
        </is>
      </c>
      <c r="H2223" s="50" t="inlineStr">
        <is>
          <t>các satellite đều LEFT JOIN</t>
        </is>
      </c>
      <c r="I2223" s="50" t="inlineStr">
        <is>
          <t>Technical Document III.4.2.2 nguyên tắc 1: làm giàu thuộc tính luôn dùng LEFT JOIN. INNER JOIN satellite sẽ loại mất bản ghi Hub đang còn hiệu lực nhưng chưa có dòng satellite.</t>
        </is>
      </c>
      <c r="J2223" s="48" t="inlineStr">
        <is>
          <t>092.OCB_GOLD_TTDL_FACT_BPM_AP_AVY_LINH.xlsx [Script: FACT_BPM_AP_AVY]</t>
        </is>
      </c>
    </row>
    <row r="2224">
      <c r="A2224" s="48" t="inlineStr">
        <is>
          <t>TCIMPORT.FACT_BPM_AP_AVY</t>
        </is>
      </c>
      <c r="B2224" s="48" t="inlineStr">
        <is>
          <t>SILVER_CONSUMER</t>
        </is>
      </c>
      <c r="C2224" s="48" t="inlineStr">
        <is>
          <t>X.7</t>
        </is>
      </c>
      <c r="D2224" s="48" t="inlineStr">
        <is>
          <t>Nhom X - Bo sung Raffles</t>
        </is>
      </c>
      <c r="E2224" s="48" t="inlineStr">
        <is>
          <t>[Bổ sung] Không hard-code catalog, dùng biến môi trường</t>
        </is>
      </c>
      <c r="F2224" s="49" t="inlineStr">
        <is>
          <t>PASS</t>
        </is>
      </c>
      <c r="G2224" s="48" t="inlineStr">
        <is>
          <t>Pass</t>
        </is>
      </c>
      <c r="H2224" s="50" t="inlineStr">
        <is>
          <t>dùng biến môi trường cho catalog</t>
        </is>
      </c>
      <c r="I22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224" s="48" t="inlineStr">
        <is>
          <t>092.OCB_GOLD_TTDL_FACT_BPM_AP_AVY_LINH.xlsx [Script: FACT_BPM_AP_AVY]</t>
        </is>
      </c>
    </row>
    <row r="2225">
      <c r="A2225" s="48" t="inlineStr">
        <is>
          <t>TCIMPORT.FACT_BPM_AP_AVY</t>
        </is>
      </c>
      <c r="B2225" s="48" t="inlineStr">
        <is>
          <t>SILVER_CONSUMER</t>
        </is>
      </c>
      <c r="C2225" s="48" t="inlineStr">
        <is>
          <t>X.10</t>
        </is>
      </c>
      <c r="D2225" s="48" t="inlineStr">
        <is>
          <t>Nhom X - Bo sung Raffles</t>
        </is>
      </c>
      <c r="E2225" s="48" t="inlineStr">
        <is>
          <t>Bang raw_vault/business_vault duoc doc phai TON TAI THAT trong Data Vault model</t>
        </is>
      </c>
      <c r="F2225" s="49" t="inlineStr">
        <is>
          <t>PASS</t>
        </is>
      </c>
      <c r="G2225" s="48" t="inlineStr">
        <is>
          <t>Pass</t>
        </is>
      </c>
      <c r="H2225" s="50" t="inlineStr">
        <is>
          <t>16 bảng Silver đều có thật trong Data Vault model</t>
        </is>
      </c>
      <c r="I2225" s="50" t="inlineStr"/>
      <c r="J2225" s="48" t="inlineStr">
        <is>
          <t>092.OCB_GOLD_TTDL_FACT_BPM_AP_AVY_LINH.xlsx [Script: FACT_BPM_AP_AVY]</t>
        </is>
      </c>
    </row>
    <row r="2226">
      <c r="A2226" s="48" t="inlineStr">
        <is>
          <t>TCIMPORT.FACT_BPM_AP_AVY</t>
        </is>
      </c>
      <c r="B2226" s="48" t="inlineStr">
        <is>
          <t>SILVER_CONSUMER</t>
        </is>
      </c>
      <c r="C2226" s="48" t="inlineStr">
        <is>
          <t>X.11</t>
        </is>
      </c>
      <c r="D2226" s="48" t="inlineStr">
        <is>
          <t>Nhom X - Bo sung Raffles</t>
        </is>
      </c>
      <c r="E2226" s="48" t="inlineStr">
        <is>
          <t>Cot doc tu satellite (sat_*) phai TON TAI THAT trong model</t>
        </is>
      </c>
      <c r="F2226" s="49" t="inlineStr">
        <is>
          <t>PASS</t>
        </is>
      </c>
      <c r="G2226" s="48" t="inlineStr">
        <is>
          <t>Pass</t>
        </is>
      </c>
      <c r="H2226" s="50" t="inlineStr">
        <is>
          <t>mọi cột đọc từ sat_* đều tồn tại trong model thật</t>
        </is>
      </c>
      <c r="I2226" s="50" t="inlineStr"/>
      <c r="J2226" s="48" t="inlineStr">
        <is>
          <t>092.OCB_GOLD_TTDL_FACT_BPM_AP_AVY_LINH.xlsx [Script: FACT_BPM_AP_AVY]</t>
        </is>
      </c>
    </row>
    <row r="2227">
      <c r="A2227" s="48" t="inlineStr">
        <is>
          <t>TCIMPORT.FACT_BPM_AP_SLA</t>
        </is>
      </c>
      <c r="B2227" s="48" t="inlineStr">
        <is>
          <t>SILVER_CONSUMER</t>
        </is>
      </c>
      <c r="C2227" s="48" t="inlineStr">
        <is>
          <t>1.1</t>
        </is>
      </c>
      <c r="D2227" s="48" t="inlineStr">
        <is>
          <t>Nhom 1 - Mapping</t>
        </is>
      </c>
      <c r="E2227" s="48" t="inlineStr">
        <is>
          <t>Đầy đủ mapping từ Silver/manual sang Gold</t>
        </is>
      </c>
      <c r="F2227" s="49" t="inlineStr">
        <is>
          <t>PASS</t>
        </is>
      </c>
      <c r="G2227" s="48" t="inlineStr">
        <is>
          <t>Pass</t>
        </is>
      </c>
      <c r="H2227" s="50" t="inlineStr">
        <is>
          <t>workbook 093.OCB_GOLD_TTDL_FACT_BPM_AP_SLA_LINH.xlsx: thiết kế 10 field, SQL có 10 cột</t>
        </is>
      </c>
      <c r="I22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227" s="48" t="inlineStr">
        <is>
          <t>093.OCB_GOLD_TTDL_FACT_BPM_AP_SLA_LINH.xlsx [Script: FACT_BPM_AP_SLA]</t>
        </is>
      </c>
    </row>
    <row r="2228">
      <c r="A2228" s="48" t="inlineStr">
        <is>
          <t>TCIMPORT.FACT_BPM_AP_SLA</t>
        </is>
      </c>
      <c r="B2228" s="48" t="inlineStr">
        <is>
          <t>SILVER_CONSUMER</t>
        </is>
      </c>
      <c r="C2228" s="48" t="inlineStr">
        <is>
          <t>1.2</t>
        </is>
      </c>
      <c r="D2228" s="48" t="inlineStr">
        <is>
          <t>Nhom 1 - Mapping</t>
        </is>
      </c>
      <c r="E2228" s="48" t="inlineStr">
        <is>
          <t>Danh sách bảng/view Gold khớp tài liệu thiết kế đã duyệt</t>
        </is>
      </c>
      <c r="F2228" s="49" t="inlineStr">
        <is>
          <t>PASS</t>
        </is>
      </c>
      <c r="G2228" s="48" t="inlineStr">
        <is>
          <t>Pass</t>
        </is>
      </c>
      <c r="H2228" s="50" t="inlineStr">
        <is>
          <t>FACT_BPM_AP_SLA có workbook thiết kế: 093.OCB_GOLD_TTDL_FACT_BPM_AP_SLA_LINH.xlsx</t>
        </is>
      </c>
      <c r="I2228" s="50" t="inlineStr">
        <is>
          <t>Đảm bảo object có workbook thiết kế tương ứng trong thư mục --mapping-dir. Muốn đối chiếu với danh sách đã duyệt thì chạy thêm tham số --gold-list "&lt;file danh sách Gold&gt;.xlsx".</t>
        </is>
      </c>
      <c r="J2228" s="48" t="inlineStr">
        <is>
          <t>093.OCB_GOLD_TTDL_FACT_BPM_AP_SLA_LINH.xlsx [Script: FACT_BPM_AP_SLA]</t>
        </is>
      </c>
    </row>
    <row r="2229">
      <c r="A2229" s="48" t="inlineStr">
        <is>
          <t>TCIMPORT.FACT_BPM_AP_SLA</t>
        </is>
      </c>
      <c r="B2229" s="48" t="inlineStr">
        <is>
          <t>SILVER_CONSUMER</t>
        </is>
      </c>
      <c r="C2229" s="48" t="inlineStr">
        <is>
          <t>2.1</t>
        </is>
      </c>
      <c r="D2229" s="48" t="inlineStr">
        <is>
          <t>Nhom 2 - Logic</t>
        </is>
      </c>
      <c r="E2229" s="48" t="inlineStr">
        <is>
          <t>Chỉ lấy bản ghi active, loại bản ghi đã xóa (qua sts_hub)</t>
        </is>
      </c>
      <c r="F2229" s="49" t="inlineStr">
        <is>
          <t>PASS</t>
        </is>
      </c>
      <c r="G2229" s="48" t="inlineStr">
        <is>
          <t>Pass</t>
        </is>
      </c>
      <c r="H2229" s="50" t="inlineStr">
        <is>
          <t>không dùng sts_hub_* (không có yêu cầu nghiệp vụ giữ bản ghi đã xóa)</t>
        </is>
      </c>
      <c r="I22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229" s="48" t="inlineStr">
        <is>
          <t>093.OCB_GOLD_TTDL_FACT_BPM_AP_SLA_LINH.xlsx [Script: FACT_BPM_AP_SLA]</t>
        </is>
      </c>
    </row>
    <row r="2230">
      <c r="A2230" s="48" t="inlineStr">
        <is>
          <t>TCIMPORT.FACT_BPM_AP_SLA</t>
        </is>
      </c>
      <c r="B2230" s="48" t="inlineStr">
        <is>
          <t>SILVER_CONSUMER</t>
        </is>
      </c>
      <c r="C2230" s="48" t="inlineStr">
        <is>
          <t>2.2</t>
        </is>
      </c>
      <c r="D2230" s="48" t="inlineStr">
        <is>
          <t>Nhom 2 - Logic</t>
        </is>
      </c>
      <c r="E2230" s="48" t="inlineStr">
        <is>
          <t>Thống nhất MỘT pattern duy nhất xác định bản ghi active mới nhất</t>
        </is>
      </c>
      <c r="F2230" s="49" t="inlineStr">
        <is>
          <t>PASS</t>
        </is>
      </c>
      <c r="G2230" s="48" t="inlineStr">
        <is>
          <t>Pass</t>
        </is>
      </c>
      <c r="H2230" s="50" t="inlineStr">
        <is>
          <t>file này dùng: ['MAX_BY']; toàn batch dùng: ['MAX_BY']</t>
        </is>
      </c>
      <c r="I22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230" s="48" t="inlineStr">
        <is>
          <t>093.OCB_GOLD_TTDL_FACT_BPM_AP_SLA_LINH.xlsx [Script: FACT_BPM_AP_SLA]</t>
        </is>
      </c>
    </row>
    <row r="2231">
      <c r="A2231" s="48" t="inlineStr">
        <is>
          <t>TCIMPORT.FACT_BPM_AP_SLA</t>
        </is>
      </c>
      <c r="B2231" s="48" t="inlineStr">
        <is>
          <t>SILVER_CONSUMER</t>
        </is>
      </c>
      <c r="C2231" s="48" t="inlineStr">
        <is>
          <t>2.3</t>
        </is>
      </c>
      <c r="D2231" s="48" t="inlineStr">
        <is>
          <t>Nhom 2 - Logic</t>
        </is>
      </c>
      <c r="E2231" s="48" t="inlineStr">
        <is>
          <t>Điều kiện lọc trạng thái đặt SAU khi xác định bản ghi mới nhất</t>
        </is>
      </c>
      <c r="F2231" s="49" t="inlineStr">
        <is>
          <t>PASS</t>
        </is>
      </c>
      <c r="G2231" s="48" t="inlineStr">
        <is>
          <t>Pass</t>
        </is>
      </c>
      <c r="H2231" s="50" t="inlineStr">
        <is>
          <t>không có điều kiện trạng thái nào lồng trong JOIN ON</t>
        </is>
      </c>
      <c r="I22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231" s="48" t="inlineStr">
        <is>
          <t>093.OCB_GOLD_TTDL_FACT_BPM_AP_SLA_LINH.xlsx [Script: FACT_BPM_AP_SLA]</t>
        </is>
      </c>
    </row>
    <row r="2232">
      <c r="A2232" s="48" t="inlineStr">
        <is>
          <t>TCIMPORT.FACT_BPM_AP_SLA</t>
        </is>
      </c>
      <c r="B2232" s="48" t="inlineStr">
        <is>
          <t>SILVER_CONSUMER</t>
        </is>
      </c>
      <c r="C2232" s="48" t="inlineStr">
        <is>
          <t>2.4</t>
        </is>
      </c>
      <c r="D2232" s="48" t="inlineStr">
        <is>
          <t>Nhom 2 - Logic</t>
        </is>
      </c>
      <c r="E2232" s="48" t="inlineStr">
        <is>
          <t>source_event_date áp dụng đúng dạng theo loại bảng</t>
        </is>
      </c>
      <c r="F2232" s="49" t="inlineStr">
        <is>
          <t>PASS</t>
        </is>
      </c>
      <c r="G2232" s="48" t="inlineStr">
        <is>
          <t>Pass</t>
        </is>
      </c>
      <c r="H2232" s="50" t="inlineStr">
        <is>
          <t>1 satellite đều đúng dạng điều kiện source_event_date</t>
        </is>
      </c>
      <c r="I22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232" s="48" t="inlineStr">
        <is>
          <t>093.OCB_GOLD_TTDL_FACT_BPM_AP_SLA_LINH.xlsx [Script: FACT_BPM_AP_SLA]</t>
        </is>
      </c>
    </row>
    <row r="2233">
      <c r="A2233" s="48" t="inlineStr">
        <is>
          <t>TCIMPORT.FACT_BPM_AP_SLA</t>
        </is>
      </c>
      <c r="B2233" s="48" t="inlineStr">
        <is>
          <t>SILVER_CONSUMER</t>
        </is>
      </c>
      <c r="C2233" s="48" t="inlineStr">
        <is>
          <t>2.5</t>
        </is>
      </c>
      <c r="D2233" s="48" t="inlineStr">
        <is>
          <t>Nhom 2 - Logic</t>
        </is>
      </c>
      <c r="E2233" s="48" t="inlineStr">
        <is>
          <t>Không lặp lại lỗi logic cũ đã được DA Data Vault fix</t>
        </is>
      </c>
      <c r="F2233" s="49" t="inlineStr">
        <is>
          <t>PASS</t>
        </is>
      </c>
      <c r="G2233" s="48" t="inlineStr">
        <is>
          <t>Pass</t>
        </is>
      </c>
      <c r="H2233" s="50" t="inlineStr">
        <is>
          <t>không trùng lỗi nào trong Issue log của DA Data Vault</t>
        </is>
      </c>
      <c r="I22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233" s="48" t="inlineStr">
        <is>
          <t>093.OCB_GOLD_TTDL_FACT_BPM_AP_SLA_LINH.xlsx [Script: FACT_BPM_AP_SLA]</t>
        </is>
      </c>
    </row>
    <row r="2234">
      <c r="A2234" s="48" t="inlineStr">
        <is>
          <t>TCIMPORT.FACT_BPM_AP_SLA</t>
        </is>
      </c>
      <c r="B2234" s="48" t="inlineStr">
        <is>
          <t>SILVER_CONSUMER</t>
        </is>
      </c>
      <c r="C2234" s="48" t="inlineStr">
        <is>
          <t>2.6</t>
        </is>
      </c>
      <c r="D2234" s="48" t="inlineStr">
        <is>
          <t>Nhom 2 - Logic</t>
        </is>
      </c>
      <c r="E2234" s="48" t="inlineStr">
        <is>
          <t>SCD Type 2 cho bảng DIM áp dụng đúng kỹ thuật đã thống nhất</t>
        </is>
      </c>
      <c r="F2234" s="48" t="inlineStr">
        <is>
          <t>N-A</t>
        </is>
      </c>
      <c r="G2234" s="48" t="inlineStr">
        <is>
          <t>Pass</t>
        </is>
      </c>
      <c r="H2234" s="50" t="inlineStr">
        <is>
          <t>object không phải bảng DIM nên không áp dụng SCD Type 2</t>
        </is>
      </c>
      <c r="I22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234" s="48" t="inlineStr">
        <is>
          <t>093.OCB_GOLD_TTDL_FACT_BPM_AP_SLA_LINH.xlsx [Script: FACT_BPM_AP_SLA]</t>
        </is>
      </c>
    </row>
    <row r="2235">
      <c r="A2235" s="48" t="inlineStr">
        <is>
          <t>TCIMPORT.FACT_BPM_AP_SLA</t>
        </is>
      </c>
      <c r="B2235" s="48" t="inlineStr">
        <is>
          <t>SILVER_CONSUMER</t>
        </is>
      </c>
      <c r="C2235" s="48" t="inlineStr">
        <is>
          <t>2.7</t>
        </is>
      </c>
      <c r="D2235" s="48" t="inlineStr">
        <is>
          <t>Nhom 2 - Logic</t>
        </is>
      </c>
      <c r="E2235" s="48" t="inlineStr">
        <is>
          <t>CASE WHEN cover đủ nhánh như job on-prem</t>
        </is>
      </c>
      <c r="F2235" s="48" t="inlineStr">
        <is>
          <t>N-A</t>
        </is>
      </c>
      <c r="G2235" s="48" t="inlineStr">
        <is>
          <t>Pass</t>
        </is>
      </c>
      <c r="H2235" s="50" t="inlineStr">
        <is>
          <t>script không có CASE WHEN nào</t>
        </is>
      </c>
      <c r="I2235" s="50" t="inlineStr">
        <is>
          <t>Mở job on-prem tương ứng (DataStage DSX hoặc SQL cũ), đối chiếu từng nhánh WHEN và cả nhánh ELSE. CASE không có ELSE sẽ trả NULL âm thầm — xác nhận đó là ý muốn hay thiếu nhánh.</t>
        </is>
      </c>
      <c r="J2235" s="48" t="inlineStr">
        <is>
          <t>093.OCB_GOLD_TTDL_FACT_BPM_AP_SLA_LINH.xlsx [Script: FACT_BPM_AP_SLA]</t>
        </is>
      </c>
    </row>
    <row r="2236">
      <c r="A2236" s="48" t="inlineStr">
        <is>
          <t>TCIMPORT.FACT_BPM_AP_SLA</t>
        </is>
      </c>
      <c r="B2236" s="48" t="inlineStr">
        <is>
          <t>SILVER_CONSUMER</t>
        </is>
      </c>
      <c r="C2236" s="48" t="inlineStr">
        <is>
          <t>2.8</t>
        </is>
      </c>
      <c r="D2236" s="48" t="inlineStr">
        <is>
          <t>Nhom 2 - Logic</t>
        </is>
      </c>
      <c r="E2236" s="48" t="inlineStr">
        <is>
          <t>Cột SUM/COUNT được COALESCE/NVL hợp lý</t>
        </is>
      </c>
      <c r="F2236" s="49" t="inlineStr">
        <is>
          <t>PASS</t>
        </is>
      </c>
      <c r="G2236" s="48" t="inlineStr">
        <is>
          <t>Pass</t>
        </is>
      </c>
      <c r="H2236" s="50" t="inlineStr">
        <is>
          <t>mọi SUM/COUNT đều đã coalesce (trực tiếp hoặc ở lớp ngoài)</t>
        </is>
      </c>
      <c r="I22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236" s="48" t="inlineStr">
        <is>
          <t>093.OCB_GOLD_TTDL_FACT_BPM_AP_SLA_LINH.xlsx [Script: FACT_BPM_AP_SLA]</t>
        </is>
      </c>
    </row>
    <row r="2237">
      <c r="A2237" s="48" t="inlineStr">
        <is>
          <t>TCIMPORT.FACT_BPM_AP_SLA</t>
        </is>
      </c>
      <c r="B2237" s="48" t="inlineStr">
        <is>
          <t>SILVER_CONSUMER</t>
        </is>
      </c>
      <c r="C2237" s="48" t="inlineStr">
        <is>
          <t>2.9</t>
        </is>
      </c>
      <c r="D2237" s="48" t="inlineStr">
        <is>
          <t>Nhom 2 - Logic</t>
        </is>
      </c>
      <c r="E2237" s="48" t="inlineStr">
        <is>
          <t>Subquery / custom function / điều kiện LIKE đúng ý nghĩa nghiệp vụ</t>
        </is>
      </c>
      <c r="F2237" s="48" t="inlineStr">
        <is>
          <t>N-A</t>
        </is>
      </c>
      <c r="G2237" s="48" t="inlineStr">
        <is>
          <t>Pass</t>
        </is>
      </c>
      <c r="H2237" s="50" t="inlineStr">
        <is>
          <t>script không có điều kiện LIKE hay scalar subquery nào</t>
        </is>
      </c>
      <c r="I2237" s="50" t="inlineStr">
        <is>
          <t>Đọc lại từng điều kiện LIKE và từng subquery, đối chiếu ý nghĩa nghiệp vụ với on-prem — đúng cú pháp không đủ. Chú ý pattern LIKE có ký tự % ở đầu/cuối và phân biệt chữ hoa/thường.</t>
        </is>
      </c>
      <c r="J2237" s="48" t="inlineStr">
        <is>
          <t>093.OCB_GOLD_TTDL_FACT_BPM_AP_SLA_LINH.xlsx [Script: FACT_BPM_AP_SLA]</t>
        </is>
      </c>
    </row>
    <row r="2238">
      <c r="A2238" s="48" t="inlineStr">
        <is>
          <t>TCIMPORT.FACT_BPM_AP_SLA</t>
        </is>
      </c>
      <c r="B2238" s="48" t="inlineStr">
        <is>
          <t>SILVER_CONSUMER</t>
        </is>
      </c>
      <c r="C2238" s="48" t="inlineStr">
        <is>
          <t>2.10</t>
        </is>
      </c>
      <c r="D2238" s="48" t="inlineStr">
        <is>
          <t>Nhom 2 - Logic</t>
        </is>
      </c>
      <c r="E2238" s="48" t="inlineStr">
        <is>
          <t>Aggregation kèm filter date range chính xác</t>
        </is>
      </c>
      <c r="F2238" s="49" t="inlineStr">
        <is>
          <t>PASS</t>
        </is>
      </c>
      <c r="G2238" s="48" t="inlineStr">
        <is>
          <t>Pass</t>
        </is>
      </c>
      <c r="H2238" s="50" t="inlineStr">
        <is>
          <t>mọi khối tổng hợp đều có điều kiện theo kỳ dữ liệu</t>
        </is>
      </c>
      <c r="I2238" s="50" t="inlineStr">
        <is>
          <t>Mỗi khối SUM/COUNT/AVG phải có điều kiện lọc theo kỳ dữ liệu (CDR_DT_ID, DATA_DATE, :DATADT…). Nếu điều kiện nằm ở CTE nguồn thì ghi rõ trong comment để người review không phải truy ngược.</t>
        </is>
      </c>
      <c r="J2238" s="48" t="inlineStr">
        <is>
          <t>093.OCB_GOLD_TTDL_FACT_BPM_AP_SLA_LINH.xlsx [Script: FACT_BPM_AP_SLA]</t>
        </is>
      </c>
    </row>
    <row r="2239">
      <c r="A2239" s="48" t="inlineStr">
        <is>
          <t>TCIMPORT.FACT_BPM_AP_SLA</t>
        </is>
      </c>
      <c r="B2239" s="48" t="inlineStr">
        <is>
          <t>SILVER_CONSUMER</t>
        </is>
      </c>
      <c r="C2239" s="48" t="inlineStr">
        <is>
          <t>2.11</t>
        </is>
      </c>
      <c r="D2239" s="48" t="inlineStr">
        <is>
          <t>Nhom 2 - Logic</t>
        </is>
      </c>
      <c r="E2239" s="48" t="inlineStr">
        <is>
          <t>Join dùng key hợp lý, không lạm dụng UNION ALL + EXISTS/NOT EXISTS</t>
        </is>
      </c>
      <c r="F2239" s="49" t="inlineStr">
        <is>
          <t>PASS</t>
        </is>
      </c>
      <c r="G2239" s="48" t="inlineStr">
        <is>
          <t>Pass</t>
        </is>
      </c>
      <c r="H2239" s="50" t="inlineStr">
        <is>
          <t>join đều theo điều kiện bằng, không lạm dụng UNION ALL + EXISTS</t>
        </is>
      </c>
      <c r="I2239" s="50" t="inlineStr">
        <is>
          <t>Ưu tiên LEFT JOIN theo business key hoặc hashkey. Xem lại các chỗ dùng UNION ALL kết hợp EXISTS/NOT EXISTS — thường thay được bằng một LEFT JOIN. Join không có điều kiện bằng (=) dễ tạo tích Descartes.</t>
        </is>
      </c>
      <c r="J2239" s="48" t="inlineStr">
        <is>
          <t>093.OCB_GOLD_TTDL_FACT_BPM_AP_SLA_LINH.xlsx [Script: FACT_BPM_AP_SLA]</t>
        </is>
      </c>
    </row>
    <row r="2240">
      <c r="A2240" s="48" t="inlineStr">
        <is>
          <t>TCIMPORT.FACT_BPM_AP_SLA</t>
        </is>
      </c>
      <c r="B2240" s="48" t="inlineStr">
        <is>
          <t>SILVER_CONSUMER</t>
        </is>
      </c>
      <c r="C2240" s="48" t="inlineStr">
        <is>
          <t>2.12</t>
        </is>
      </c>
      <c r="D2240" s="48" t="inlineStr">
        <is>
          <t>Nhom 2 - Logic</t>
        </is>
      </c>
      <c r="E2240" s="48" t="inlineStr">
        <is>
          <t>Build Gold từ CTE snapshot Silver, không build nhiều tầng chồng chéo</t>
        </is>
      </c>
      <c r="F2240" s="49" t="inlineStr">
        <is>
          <t>PASS</t>
        </is>
      </c>
      <c r="G2240" s="48" t="inlineStr">
        <is>
          <t>Pass</t>
        </is>
      </c>
      <c r="H2240" s="50" t="inlineStr">
        <is>
          <t>mỗi bảng nguồn chỉ đọc trong 1 khối SELECT</t>
        </is>
      </c>
      <c r="I22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240" s="48" t="inlineStr">
        <is>
          <t>093.OCB_GOLD_TTDL_FACT_BPM_AP_SLA_LINH.xlsx [Script: FACT_BPM_AP_SLA]</t>
        </is>
      </c>
    </row>
    <row r="2241">
      <c r="A2241" s="48" t="inlineStr">
        <is>
          <t>TCIMPORT.FACT_BPM_AP_SLA</t>
        </is>
      </c>
      <c r="B2241" s="48" t="inlineStr">
        <is>
          <t>SILVER_CONSUMER</t>
        </is>
      </c>
      <c r="C2241" s="48" t="inlineStr">
        <is>
          <t>3.1</t>
        </is>
      </c>
      <c r="D2241" s="48" t="inlineStr">
        <is>
          <t>Nhom 3 - Optimization</t>
        </is>
      </c>
      <c r="E2241" s="48" t="inlineStr">
        <is>
          <t>Không SELECT *</t>
        </is>
      </c>
      <c r="F2241" s="49" t="inlineStr">
        <is>
          <t>PASS</t>
        </is>
      </c>
      <c r="G2241" s="48" t="inlineStr">
        <is>
          <t>Pass</t>
        </is>
      </c>
      <c r="H2241" s="50" t="inlineStr">
        <is>
          <t>không dùng SELECT * ở đâu</t>
        </is>
      </c>
      <c r="I2241" s="50" t="inlineStr">
        <is>
          <t>Liệt kê tường minh các cột cần dùng, kể cả trong CTE trung gian. SELECT * làm tăng IO/memory và vỡ script khi bảng nguồn thêm cột.</t>
        </is>
      </c>
      <c r="J2241" s="48" t="inlineStr">
        <is>
          <t>093.OCB_GOLD_TTDL_FACT_BPM_AP_SLA_LINH.xlsx [Script: FACT_BPM_AP_SLA]</t>
        </is>
      </c>
    </row>
    <row r="2242">
      <c r="A2242" s="48" t="inlineStr">
        <is>
          <t>TCIMPORT.FACT_BPM_AP_SLA</t>
        </is>
      </c>
      <c r="B2242" s="48" t="inlineStr">
        <is>
          <t>SILVER_CONSUMER</t>
        </is>
      </c>
      <c r="C2242" s="48" t="inlineStr">
        <is>
          <t>3.2</t>
        </is>
      </c>
      <c r="D2242" s="48" t="inlineStr">
        <is>
          <t>Nhom 3 - Optimization</t>
        </is>
      </c>
      <c r="E2242" s="48" t="inlineStr">
        <is>
          <t>CTE không bị scan lại nhiều lần</t>
        </is>
      </c>
      <c r="F2242" s="49" t="inlineStr">
        <is>
          <t>PASS</t>
        </is>
      </c>
      <c r="G2242" s="48" t="inlineStr">
        <is>
          <t>Pass</t>
        </is>
      </c>
      <c r="H2242" s="50" t="inlineStr">
        <is>
          <t>không có CTE nào bị gọi lại</t>
        </is>
      </c>
      <c r="I2242" s="50" t="inlineStr">
        <is>
          <t>Với CTE nặng (đọc nhiều bảng Silver) bị tham chiếu từ 2 chỗ trở lên: gom lại còn một lần dùng, hoặc vật chất hóa (CACHE / bảng tạm). CTE nhẹ chỉ chứa tham số thì bỏ qua được — tự tick Pass.</t>
        </is>
      </c>
      <c r="J2242" s="48" t="inlineStr">
        <is>
          <t>093.OCB_GOLD_TTDL_FACT_BPM_AP_SLA_LINH.xlsx [Script: FACT_BPM_AP_SLA]</t>
        </is>
      </c>
    </row>
    <row r="2243">
      <c r="A2243" s="48" t="inlineStr">
        <is>
          <t>TCIMPORT.FACT_BPM_AP_SLA</t>
        </is>
      </c>
      <c r="B2243" s="48" t="inlineStr">
        <is>
          <t>SILVER_CONSUMER</t>
        </is>
      </c>
      <c r="C2243" s="48" t="inlineStr">
        <is>
          <t>3.3</t>
        </is>
      </c>
      <c r="D2243" s="48" t="inlineStr">
        <is>
          <t>Nhom 3 - Optimization</t>
        </is>
      </c>
      <c r="E2243" s="48" t="inlineStr">
        <is>
          <t>Filter trước khi join, tận dụng partition pruning</t>
        </is>
      </c>
      <c r="F2243" s="51" t="inlineStr">
        <is>
          <t>WARN</t>
        </is>
      </c>
      <c r="G2243" s="48" t="inlineStr">
        <is>
          <t>WARN</t>
        </is>
      </c>
      <c r="H2243" s="50" t="inlineStr">
        <is>
          <t>1 bảng join trực tiếp mà không có filter riêng: BPM_V_APPLICATION (ap)</t>
        </is>
      </c>
      <c r="I2243" s="50" t="inlineStr">
        <is>
          <t>Đưa điều kiện lọc (ngày dữ liệu, trạng thái) vào subquery của từng bảng TRƯỚC khi join, để tận dụng partition pruning. Bảng dim nhỏ không partition thì không cần — tự tick Pass.</t>
        </is>
      </c>
      <c r="J2243" s="48" t="inlineStr">
        <is>
          <t>093.OCB_GOLD_TTDL_FACT_BPM_AP_SLA_LINH.xlsx [Script: FACT_BPM_AP_SLA]</t>
        </is>
      </c>
    </row>
    <row r="2244">
      <c r="A2244" s="48" t="inlineStr">
        <is>
          <t>TCIMPORT.FACT_BPM_AP_SLA</t>
        </is>
      </c>
      <c r="B2244" s="48" t="inlineStr">
        <is>
          <t>SILVER_CONSUMER</t>
        </is>
      </c>
      <c r="C2244" s="48" t="inlineStr">
        <is>
          <t>3.4</t>
        </is>
      </c>
      <c r="D2244" s="48" t="inlineStr">
        <is>
          <t>Nhom 3 - Optimization</t>
        </is>
      </c>
      <c r="E2244" s="48" t="inlineStr">
        <is>
          <t>Sử dụng CACHE cho query lặp lại trong cùng luồng</t>
        </is>
      </c>
      <c r="F2244" s="48" t="inlineStr">
        <is>
          <t>N-A</t>
        </is>
      </c>
      <c r="G2244" s="48" t="inlineStr">
        <is>
          <t>Pass</t>
        </is>
      </c>
      <c r="H2244" s="50" t="inlineStr">
        <is>
          <t>không có kết quả nào được dùng lại nhiều lần nên chưa cần CACHE</t>
        </is>
      </c>
      <c r="I2244" s="50" t="inlineStr">
        <is>
          <t>Nếu một kết quả nặng được dùng lại nhiều bước trong cùng luồng, thêm CACHE TABLE / CACHE SELECT. Kết quả nhỏ thì cache còn chậm hơn — tự tick Pass.</t>
        </is>
      </c>
      <c r="J2244" s="48" t="inlineStr">
        <is>
          <t>093.OCB_GOLD_TTDL_FACT_BPM_AP_SLA_LINH.xlsx [Script: FACT_BPM_AP_SLA]</t>
        </is>
      </c>
    </row>
    <row r="2245">
      <c r="A2245" s="48" t="inlineStr">
        <is>
          <t>TCIMPORT.FACT_BPM_AP_SLA</t>
        </is>
      </c>
      <c r="B2245" s="48" t="inlineStr">
        <is>
          <t>SILVER_CONSUMER</t>
        </is>
      </c>
      <c r="C2245" s="48" t="inlineStr">
        <is>
          <t>3.5</t>
        </is>
      </c>
      <c r="D2245" s="48" t="inlineStr">
        <is>
          <t>Nhom 3 - Optimization</t>
        </is>
      </c>
      <c r="E2245" s="48" t="inlineStr">
        <is>
          <t>Ưu tiên MAX_BY + QUALIFY thay ROW_NUMBER() + WHERE rn = 1</t>
        </is>
      </c>
      <c r="F2245" s="51" t="inlineStr">
        <is>
          <t>WARN</t>
        </is>
      </c>
      <c r="G2245" s="48" t="inlineStr">
        <is>
          <t>WARN</t>
        </is>
      </c>
      <c r="H2245" s="50" t="inlineStr">
        <is>
          <t>1 khối dùng MAX_BY độc lập cho &gt;5 cột (dòng 12, [28]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2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45" s="48" t="inlineStr">
        <is>
          <t>093.OCB_GOLD_TTDL_FACT_BPM_AP_SLA_LINH.xlsx [Script: FACT_BPM_AP_SLA]</t>
        </is>
      </c>
    </row>
    <row r="2246">
      <c r="A2246" s="48" t="inlineStr">
        <is>
          <t>TCIMPORT.FACT_BPM_AP_SLA</t>
        </is>
      </c>
      <c r="B2246" s="48" t="inlineStr">
        <is>
          <t>SILVER_CONSUMER</t>
        </is>
      </c>
      <c r="C2246" s="48" t="inlineStr">
        <is>
          <t>3.6</t>
        </is>
      </c>
      <c r="D2246" s="48" t="inlineStr">
        <is>
          <t>Nhom 3 - Optimization</t>
        </is>
      </c>
      <c r="E2246" s="48" t="inlineStr">
        <is>
          <t>Không lạm dụng window function; có comment khi dùng</t>
        </is>
      </c>
      <c r="F2246" s="48" t="inlineStr">
        <is>
          <t>N-A</t>
        </is>
      </c>
      <c r="G2246" s="48" t="inlineStr">
        <is>
          <t>Pass</t>
        </is>
      </c>
      <c r="H2246" s="50" t="inlineStr">
        <is>
          <t>script không dùng window function</t>
        </is>
      </c>
      <c r="I2246" s="50" t="inlineStr">
        <is>
          <t>Mỗi window function cần một comment ngay trên khối CTE chứa nó, nói rõ vì sao không dùng được max_by/QUALIFY đơn giản hơn.</t>
        </is>
      </c>
      <c r="J2246" s="48" t="inlineStr">
        <is>
          <t>093.OCB_GOLD_TTDL_FACT_BPM_AP_SLA_LINH.xlsx [Script: FACT_BPM_AP_SLA]</t>
        </is>
      </c>
    </row>
    <row r="2247">
      <c r="A2247" s="48" t="inlineStr">
        <is>
          <t>TCIMPORT.FACT_BPM_AP_SLA</t>
        </is>
      </c>
      <c r="B2247" s="48" t="inlineStr">
        <is>
          <t>SILVER_CONSUMER</t>
        </is>
      </c>
      <c r="C2247" s="48" t="inlineStr">
        <is>
          <t>X.1</t>
        </is>
      </c>
      <c r="D2247" s="48" t="inlineStr">
        <is>
          <t>Nhom X - Bo sung Raffles</t>
        </is>
      </c>
      <c r="E2247" s="48" t="inlineStr">
        <is>
          <t>[Bổ sung] Link phải rút về current trước khi join (chống fan-out)</t>
        </is>
      </c>
      <c r="F2247" s="49" t="inlineStr">
        <is>
          <t>PASS</t>
        </is>
      </c>
      <c r="G2247" s="48" t="inlineStr">
        <is>
          <t>Pass</t>
        </is>
      </c>
      <c r="H2247" s="50" t="inlineStr">
        <is>
          <t>các bảng link_* đều được rút về current trước khi join</t>
        </is>
      </c>
      <c r="I22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47" s="48" t="inlineStr">
        <is>
          <t>093.OCB_GOLD_TTDL_FACT_BPM_AP_SLA_LINH.xlsx [Script: FACT_BPM_AP_SLA]</t>
        </is>
      </c>
    </row>
    <row r="2248">
      <c r="A2248" s="48" t="inlineStr">
        <is>
          <t>TCIMPORT.FACT_BPM_AP_SLA</t>
        </is>
      </c>
      <c r="B2248" s="48" t="inlineStr">
        <is>
          <t>SILVER_CONSUMER</t>
        </is>
      </c>
      <c r="C2248" s="48" t="inlineStr">
        <is>
          <t>X.6</t>
        </is>
      </c>
      <c r="D2248" s="48" t="inlineStr">
        <is>
          <t>Nhom X - Bo sung Raffles</t>
        </is>
      </c>
      <c r="E2248" s="48" t="inlineStr">
        <is>
          <t>[Bổ sung] Satellite phải LEFT JOIN, không INNER JOIN</t>
        </is>
      </c>
      <c r="F2248" s="49" t="inlineStr">
        <is>
          <t>PASS</t>
        </is>
      </c>
      <c r="G2248" s="48" t="inlineStr">
        <is>
          <t>Pass</t>
        </is>
      </c>
      <c r="H2248" s="50" t="inlineStr">
        <is>
          <t>các satellite đều LEFT JOIN</t>
        </is>
      </c>
      <c r="I2248" s="50" t="inlineStr">
        <is>
          <t>Technical Document III.4.2.2 nguyên tắc 1: làm giàu thuộc tính luôn dùng LEFT JOIN. INNER JOIN satellite sẽ loại mất bản ghi Hub đang còn hiệu lực nhưng chưa có dòng satellite.</t>
        </is>
      </c>
      <c r="J2248" s="48" t="inlineStr">
        <is>
          <t>093.OCB_GOLD_TTDL_FACT_BPM_AP_SLA_LINH.xlsx [Script: FACT_BPM_AP_SLA]</t>
        </is>
      </c>
    </row>
    <row r="2249">
      <c r="A2249" s="48" t="inlineStr">
        <is>
          <t>TCIMPORT.FACT_BPM_AP_SLA</t>
        </is>
      </c>
      <c r="B2249" s="48" t="inlineStr">
        <is>
          <t>SILVER_CONSUMER</t>
        </is>
      </c>
      <c r="C2249" s="48" t="inlineStr">
        <is>
          <t>X.7</t>
        </is>
      </c>
      <c r="D2249" s="48" t="inlineStr">
        <is>
          <t>Nhom X - Bo sung Raffles</t>
        </is>
      </c>
      <c r="E2249" s="48" t="inlineStr">
        <is>
          <t>[Bổ sung] Không hard-code catalog, dùng biến môi trường</t>
        </is>
      </c>
      <c r="F2249" s="49" t="inlineStr">
        <is>
          <t>PASS</t>
        </is>
      </c>
      <c r="G2249" s="48" t="inlineStr">
        <is>
          <t>Pass</t>
        </is>
      </c>
      <c r="H2249" s="50" t="inlineStr">
        <is>
          <t>dùng biến môi trường cho catalog</t>
        </is>
      </c>
      <c r="I22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249" s="48" t="inlineStr">
        <is>
          <t>093.OCB_GOLD_TTDL_FACT_BPM_AP_SLA_LINH.xlsx [Script: FACT_BPM_AP_SLA]</t>
        </is>
      </c>
    </row>
    <row r="2250">
      <c r="A2250" s="48" t="inlineStr">
        <is>
          <t>TCIMPORT.FACT_BPM_AP_SLA</t>
        </is>
      </c>
      <c r="B2250" s="48" t="inlineStr">
        <is>
          <t>SILVER_CONSUMER</t>
        </is>
      </c>
      <c r="C2250" s="48" t="inlineStr">
        <is>
          <t>X.10</t>
        </is>
      </c>
      <c r="D2250" s="48" t="inlineStr">
        <is>
          <t>Nhom X - Bo sung Raffles</t>
        </is>
      </c>
      <c r="E2250" s="48" t="inlineStr">
        <is>
          <t>Bang raw_vault/business_vault duoc doc phai TON TAI THAT trong Data Vault model</t>
        </is>
      </c>
      <c r="F2250" s="49" t="inlineStr">
        <is>
          <t>PASS</t>
        </is>
      </c>
      <c r="G2250" s="48" t="inlineStr">
        <is>
          <t>Pass</t>
        </is>
      </c>
      <c r="H2250" s="50" t="inlineStr">
        <is>
          <t>2 bảng Silver đều có thật trong Data Vault model</t>
        </is>
      </c>
      <c r="I2250" s="50" t="inlineStr"/>
      <c r="J2250" s="48" t="inlineStr">
        <is>
          <t>093.OCB_GOLD_TTDL_FACT_BPM_AP_SLA_LINH.xlsx [Script: FACT_BPM_AP_SLA]</t>
        </is>
      </c>
    </row>
    <row r="2251">
      <c r="A2251" s="48" t="inlineStr">
        <is>
          <t>TCIMPORT.FACT_BPM_AP_SLA</t>
        </is>
      </c>
      <c r="B2251" s="48" t="inlineStr">
        <is>
          <t>SILVER_CONSUMER</t>
        </is>
      </c>
      <c r="C2251" s="48" t="inlineStr">
        <is>
          <t>X.11</t>
        </is>
      </c>
      <c r="D2251" s="48" t="inlineStr">
        <is>
          <t>Nhom X - Bo sung Raffles</t>
        </is>
      </c>
      <c r="E2251" s="48" t="inlineStr">
        <is>
          <t>Cot doc tu satellite (sat_*) phai TON TAI THAT trong model</t>
        </is>
      </c>
      <c r="F2251" s="49" t="inlineStr">
        <is>
          <t>PASS</t>
        </is>
      </c>
      <c r="G2251" s="48" t="inlineStr">
        <is>
          <t>Pass</t>
        </is>
      </c>
      <c r="H2251" s="50" t="inlineStr">
        <is>
          <t>mọi cột đọc từ sat_* đều tồn tại trong model thật</t>
        </is>
      </c>
      <c r="I2251" s="50" t="inlineStr"/>
      <c r="J2251" s="48" t="inlineStr">
        <is>
          <t>093.OCB_GOLD_TTDL_FACT_BPM_AP_SLA_LINH.xlsx [Script: FACT_BPM_AP_SLA]</t>
        </is>
      </c>
    </row>
    <row r="2252">
      <c r="A2252" s="48" t="inlineStr">
        <is>
          <t>TCIMPORT.FACT_BPM_AP_TAT</t>
        </is>
      </c>
      <c r="B2252" s="48" t="inlineStr">
        <is>
          <t>GOLD_DERIVED</t>
        </is>
      </c>
      <c r="C2252" s="48" t="inlineStr">
        <is>
          <t>1.1</t>
        </is>
      </c>
      <c r="D2252" s="48" t="inlineStr">
        <is>
          <t>Nhom 1 - Mapping</t>
        </is>
      </c>
      <c r="E2252" s="48" t="inlineStr">
        <is>
          <t>Đầy đủ mapping từ Silver/manual sang Gold</t>
        </is>
      </c>
      <c r="F2252" s="49" t="inlineStr">
        <is>
          <t>PASS</t>
        </is>
      </c>
      <c r="G2252" s="48" t="inlineStr">
        <is>
          <t>Pass</t>
        </is>
      </c>
      <c r="H2252" s="50" t="inlineStr">
        <is>
          <t>workbook 094.OCB_GOLD_TTDL_FACT_BPM_AP_TAT_LINH.xlsx: thiết kế 7 field, SQL có 7 cột</t>
        </is>
      </c>
      <c r="I22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252" s="48" t="inlineStr">
        <is>
          <t>094.OCB_GOLD_TTDL_FACT_BPM_AP_TAT_LINH.xlsx [Script: FACT_BPM_AP_TAT]</t>
        </is>
      </c>
    </row>
    <row r="2253">
      <c r="A2253" s="48" t="inlineStr">
        <is>
          <t>TCIMPORT.FACT_BPM_AP_TAT</t>
        </is>
      </c>
      <c r="B2253" s="48" t="inlineStr">
        <is>
          <t>GOLD_DERIVED</t>
        </is>
      </c>
      <c r="C2253" s="48" t="inlineStr">
        <is>
          <t>1.2</t>
        </is>
      </c>
      <c r="D2253" s="48" t="inlineStr">
        <is>
          <t>Nhom 1 - Mapping</t>
        </is>
      </c>
      <c r="E2253" s="48" t="inlineStr">
        <is>
          <t>Danh sách bảng/view Gold khớp tài liệu thiết kế đã duyệt</t>
        </is>
      </c>
      <c r="F2253" s="49" t="inlineStr">
        <is>
          <t>PASS</t>
        </is>
      </c>
      <c r="G2253" s="48" t="inlineStr">
        <is>
          <t>Pass</t>
        </is>
      </c>
      <c r="H2253" s="50" t="inlineStr">
        <is>
          <t>FACT_BPM_AP_TAT có workbook thiết kế: 094.OCB_GOLD_TTDL_FACT_BPM_AP_TAT_LINH.xlsx</t>
        </is>
      </c>
      <c r="I2253" s="50" t="inlineStr">
        <is>
          <t>Đảm bảo object có workbook thiết kế tương ứng trong thư mục --mapping-dir. Muốn đối chiếu với danh sách đã duyệt thì chạy thêm tham số --gold-list "&lt;file danh sách Gold&gt;.xlsx".</t>
        </is>
      </c>
      <c r="J2253" s="48" t="inlineStr">
        <is>
          <t>094.OCB_GOLD_TTDL_FACT_BPM_AP_TAT_LINH.xlsx [Script: FACT_BPM_AP_TAT]</t>
        </is>
      </c>
    </row>
    <row r="2254">
      <c r="A2254" s="48" t="inlineStr">
        <is>
          <t>TCIMPORT.FACT_BPM_AP_TAT</t>
        </is>
      </c>
      <c r="B2254" s="48" t="inlineStr">
        <is>
          <t>GOLD_DERIVED</t>
        </is>
      </c>
      <c r="C2254" s="48" t="inlineStr">
        <is>
          <t>2.1</t>
        </is>
      </c>
      <c r="D2254" s="48" t="inlineStr">
        <is>
          <t>Nhom 2 - Logic</t>
        </is>
      </c>
      <c r="E2254" s="48" t="inlineStr">
        <is>
          <t>Chỉ lấy bản ghi active, loại bản ghi đã xóa (qua sts_hub)</t>
        </is>
      </c>
      <c r="F2254" s="48" t="inlineStr">
        <is>
          <t>N-A</t>
        </is>
      </c>
      <c r="G2254" s="48" t="inlineStr">
        <is>
          <t>Pass</t>
        </is>
      </c>
      <c r="H2254" s="50" t="inlineStr">
        <is>
          <t>khong ap dung cho profile GOLD_DERIVED</t>
        </is>
      </c>
      <c r="I22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254" s="48" t="inlineStr">
        <is>
          <t>094.OCB_GOLD_TTDL_FACT_BPM_AP_TAT_LINH.xlsx [Script: FACT_BPM_AP_TAT]</t>
        </is>
      </c>
    </row>
    <row r="2255">
      <c r="A2255" s="48" t="inlineStr">
        <is>
          <t>TCIMPORT.FACT_BPM_AP_TAT</t>
        </is>
      </c>
      <c r="B2255" s="48" t="inlineStr">
        <is>
          <t>GOLD_DERIVED</t>
        </is>
      </c>
      <c r="C2255" s="48" t="inlineStr">
        <is>
          <t>2.2</t>
        </is>
      </c>
      <c r="D2255" s="48" t="inlineStr">
        <is>
          <t>Nhom 2 - Logic</t>
        </is>
      </c>
      <c r="E2255" s="48" t="inlineStr">
        <is>
          <t>Thống nhất MỘT pattern duy nhất xác định bản ghi active mới nhất</t>
        </is>
      </c>
      <c r="F2255" s="48" t="inlineStr">
        <is>
          <t>N-A</t>
        </is>
      </c>
      <c r="G2255" s="48" t="inlineStr">
        <is>
          <t>Pass</t>
        </is>
      </c>
      <c r="H2255" s="50" t="inlineStr">
        <is>
          <t>khong ap dung cho profile GOLD_DERIVED</t>
        </is>
      </c>
      <c r="I22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255" s="48" t="inlineStr">
        <is>
          <t>094.OCB_GOLD_TTDL_FACT_BPM_AP_TAT_LINH.xlsx [Script: FACT_BPM_AP_TAT]</t>
        </is>
      </c>
    </row>
    <row r="2256">
      <c r="A2256" s="48" t="inlineStr">
        <is>
          <t>TCIMPORT.FACT_BPM_AP_TAT</t>
        </is>
      </c>
      <c r="B2256" s="48" t="inlineStr">
        <is>
          <t>GOLD_DERIVED</t>
        </is>
      </c>
      <c r="C2256" s="48" t="inlineStr">
        <is>
          <t>2.3</t>
        </is>
      </c>
      <c r="D2256" s="48" t="inlineStr">
        <is>
          <t>Nhom 2 - Logic</t>
        </is>
      </c>
      <c r="E2256" s="48" t="inlineStr">
        <is>
          <t>Điều kiện lọc trạng thái đặt SAU khi xác định bản ghi mới nhất</t>
        </is>
      </c>
      <c r="F2256" s="49" t="inlineStr">
        <is>
          <t>PASS</t>
        </is>
      </c>
      <c r="G2256" s="48" t="inlineStr">
        <is>
          <t>Pass</t>
        </is>
      </c>
      <c r="H2256" s="50" t="inlineStr">
        <is>
          <t>không có điều kiện trạng thái nào lồng trong JOIN ON</t>
        </is>
      </c>
      <c r="I22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256" s="48" t="inlineStr">
        <is>
          <t>094.OCB_GOLD_TTDL_FACT_BPM_AP_TAT_LINH.xlsx [Script: FACT_BPM_AP_TAT]</t>
        </is>
      </c>
    </row>
    <row r="2257">
      <c r="A2257" s="48" t="inlineStr">
        <is>
          <t>TCIMPORT.FACT_BPM_AP_TAT</t>
        </is>
      </c>
      <c r="B2257" s="48" t="inlineStr">
        <is>
          <t>GOLD_DERIVED</t>
        </is>
      </c>
      <c r="C2257" s="48" t="inlineStr">
        <is>
          <t>2.4</t>
        </is>
      </c>
      <c r="D2257" s="48" t="inlineStr">
        <is>
          <t>Nhom 2 - Logic</t>
        </is>
      </c>
      <c r="E2257" s="48" t="inlineStr">
        <is>
          <t>source_event_date áp dụng đúng dạng theo loại bảng</t>
        </is>
      </c>
      <c r="F2257" s="48" t="inlineStr">
        <is>
          <t>N-A</t>
        </is>
      </c>
      <c r="G2257" s="48" t="inlineStr">
        <is>
          <t>Pass</t>
        </is>
      </c>
      <c r="H2257" s="50" t="inlineStr">
        <is>
          <t>khong ap dung cho profile GOLD_DERIVED</t>
        </is>
      </c>
      <c r="I22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257" s="48" t="inlineStr">
        <is>
          <t>094.OCB_GOLD_TTDL_FACT_BPM_AP_TAT_LINH.xlsx [Script: FACT_BPM_AP_TAT]</t>
        </is>
      </c>
    </row>
    <row r="2258">
      <c r="A2258" s="48" t="inlineStr">
        <is>
          <t>TCIMPORT.FACT_BPM_AP_TAT</t>
        </is>
      </c>
      <c r="B2258" s="48" t="inlineStr">
        <is>
          <t>GOLD_DERIVED</t>
        </is>
      </c>
      <c r="C2258" s="48" t="inlineStr">
        <is>
          <t>2.5</t>
        </is>
      </c>
      <c r="D2258" s="48" t="inlineStr">
        <is>
          <t>Nhom 2 - Logic</t>
        </is>
      </c>
      <c r="E2258" s="48" t="inlineStr">
        <is>
          <t>Không lặp lại lỗi logic cũ đã được DA Data Vault fix</t>
        </is>
      </c>
      <c r="F2258" s="49" t="inlineStr">
        <is>
          <t>PASS</t>
        </is>
      </c>
      <c r="G2258" s="48" t="inlineStr">
        <is>
          <t>Pass</t>
        </is>
      </c>
      <c r="H2258" s="50" t="inlineStr">
        <is>
          <t>không trùng lỗi nào trong Issue log của DA Data Vault</t>
        </is>
      </c>
      <c r="I22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258" s="48" t="inlineStr">
        <is>
          <t>094.OCB_GOLD_TTDL_FACT_BPM_AP_TAT_LINH.xlsx [Script: FACT_BPM_AP_TAT]</t>
        </is>
      </c>
    </row>
    <row r="2259">
      <c r="A2259" s="48" t="inlineStr">
        <is>
          <t>TCIMPORT.FACT_BPM_AP_TAT</t>
        </is>
      </c>
      <c r="B2259" s="48" t="inlineStr">
        <is>
          <t>GOLD_DERIVED</t>
        </is>
      </c>
      <c r="C2259" s="48" t="inlineStr">
        <is>
          <t>2.6</t>
        </is>
      </c>
      <c r="D2259" s="48" t="inlineStr">
        <is>
          <t>Nhom 2 - Logic</t>
        </is>
      </c>
      <c r="E2259" s="48" t="inlineStr">
        <is>
          <t>SCD Type 2 cho bảng DIM áp dụng đúng kỹ thuật đã thống nhất</t>
        </is>
      </c>
      <c r="F2259" s="48" t="inlineStr">
        <is>
          <t>N-A</t>
        </is>
      </c>
      <c r="G2259" s="48" t="inlineStr">
        <is>
          <t>Pass</t>
        </is>
      </c>
      <c r="H2259" s="50" t="inlineStr">
        <is>
          <t>object không phải bảng DIM nên không áp dụng SCD Type 2</t>
        </is>
      </c>
      <c r="I22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259" s="48" t="inlineStr">
        <is>
          <t>094.OCB_GOLD_TTDL_FACT_BPM_AP_TAT_LINH.xlsx [Script: FACT_BPM_AP_TAT]</t>
        </is>
      </c>
    </row>
    <row r="2260">
      <c r="A2260" s="48" t="inlineStr">
        <is>
          <t>TCIMPORT.FACT_BPM_AP_TAT</t>
        </is>
      </c>
      <c r="B2260" s="48" t="inlineStr">
        <is>
          <t>GOLD_DERIVED</t>
        </is>
      </c>
      <c r="C2260" s="48" t="inlineStr">
        <is>
          <t>2.7</t>
        </is>
      </c>
      <c r="D2260" s="48" t="inlineStr">
        <is>
          <t>Nhom 2 - Logic</t>
        </is>
      </c>
      <c r="E2260" s="48" t="inlineStr">
        <is>
          <t>CASE WHEN cover đủ nhánh như job on-prem</t>
        </is>
      </c>
      <c r="F2260" s="48" t="inlineStr">
        <is>
          <t>N-A</t>
        </is>
      </c>
      <c r="G2260" s="48" t="inlineStr">
        <is>
          <t>Pass</t>
        </is>
      </c>
      <c r="H2260" s="50" t="inlineStr">
        <is>
          <t>script không có CASE WHEN nào</t>
        </is>
      </c>
      <c r="I2260" s="50" t="inlineStr">
        <is>
          <t>Mở job on-prem tương ứng (DataStage DSX hoặc SQL cũ), đối chiếu từng nhánh WHEN và cả nhánh ELSE. CASE không có ELSE sẽ trả NULL âm thầm — xác nhận đó là ý muốn hay thiếu nhánh.</t>
        </is>
      </c>
      <c r="J2260" s="48" t="inlineStr">
        <is>
          <t>094.OCB_GOLD_TTDL_FACT_BPM_AP_TAT_LINH.xlsx [Script: FACT_BPM_AP_TAT]</t>
        </is>
      </c>
    </row>
    <row r="2261">
      <c r="A2261" s="48" t="inlineStr">
        <is>
          <t>TCIMPORT.FACT_BPM_AP_TAT</t>
        </is>
      </c>
      <c r="B2261" s="48" t="inlineStr">
        <is>
          <t>GOLD_DERIVED</t>
        </is>
      </c>
      <c r="C2261" s="48" t="inlineStr">
        <is>
          <t>2.8</t>
        </is>
      </c>
      <c r="D2261" s="48" t="inlineStr">
        <is>
          <t>Nhom 2 - Logic</t>
        </is>
      </c>
      <c r="E2261" s="48" t="inlineStr">
        <is>
          <t>Cột SUM/COUNT được COALESCE/NVL hợp lý</t>
        </is>
      </c>
      <c r="F2261" s="49" t="inlineStr">
        <is>
          <t>PASS</t>
        </is>
      </c>
      <c r="G2261" s="48" t="inlineStr">
        <is>
          <t>Pass</t>
        </is>
      </c>
      <c r="H2261" s="50" t="inlineStr">
        <is>
          <t>mọi SUM/COUNT đều đã coalesce (trực tiếp hoặc ở lớp ngoài)</t>
        </is>
      </c>
      <c r="I22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261" s="48" t="inlineStr">
        <is>
          <t>094.OCB_GOLD_TTDL_FACT_BPM_AP_TAT_LINH.xlsx [Script: FACT_BPM_AP_TAT]</t>
        </is>
      </c>
    </row>
    <row r="2262">
      <c r="A2262" s="48" t="inlineStr">
        <is>
          <t>TCIMPORT.FACT_BPM_AP_TAT</t>
        </is>
      </c>
      <c r="B2262" s="48" t="inlineStr">
        <is>
          <t>GOLD_DERIVED</t>
        </is>
      </c>
      <c r="C2262" s="48" t="inlineStr">
        <is>
          <t>2.9</t>
        </is>
      </c>
      <c r="D2262" s="48" t="inlineStr">
        <is>
          <t>Nhom 2 - Logic</t>
        </is>
      </c>
      <c r="E2262" s="48" t="inlineStr">
        <is>
          <t>Subquery / custom function / điều kiện LIKE đúng ý nghĩa nghiệp vụ</t>
        </is>
      </c>
      <c r="F2262" s="48" t="inlineStr">
        <is>
          <t>N-A</t>
        </is>
      </c>
      <c r="G2262" s="48" t="inlineStr">
        <is>
          <t>Pass</t>
        </is>
      </c>
      <c r="H2262" s="50" t="inlineStr">
        <is>
          <t>script không có điều kiện LIKE hay scalar subquery nào</t>
        </is>
      </c>
      <c r="I2262" s="50" t="inlineStr">
        <is>
          <t>Đọc lại từng điều kiện LIKE và từng subquery, đối chiếu ý nghĩa nghiệp vụ với on-prem — đúng cú pháp không đủ. Chú ý pattern LIKE có ký tự % ở đầu/cuối và phân biệt chữ hoa/thường.</t>
        </is>
      </c>
      <c r="J2262" s="48" t="inlineStr">
        <is>
          <t>094.OCB_GOLD_TTDL_FACT_BPM_AP_TAT_LINH.xlsx [Script: FACT_BPM_AP_TAT]</t>
        </is>
      </c>
    </row>
    <row r="2263">
      <c r="A2263" s="48" t="inlineStr">
        <is>
          <t>TCIMPORT.FACT_BPM_AP_TAT</t>
        </is>
      </c>
      <c r="B2263" s="48" t="inlineStr">
        <is>
          <t>GOLD_DERIVED</t>
        </is>
      </c>
      <c r="C2263" s="48" t="inlineStr">
        <is>
          <t>2.10</t>
        </is>
      </c>
      <c r="D2263" s="48" t="inlineStr">
        <is>
          <t>Nhom 2 - Logic</t>
        </is>
      </c>
      <c r="E2263" s="48" t="inlineStr">
        <is>
          <t>Aggregation kèm filter date range chính xác</t>
        </is>
      </c>
      <c r="F2263" s="49" t="inlineStr">
        <is>
          <t>PASS</t>
        </is>
      </c>
      <c r="G2263" s="48" t="inlineStr">
        <is>
          <t>Pass</t>
        </is>
      </c>
      <c r="H2263" s="50" t="inlineStr">
        <is>
          <t>mọi khối tổng hợp đều có điều kiện theo kỳ dữ liệu</t>
        </is>
      </c>
      <c r="I2263" s="50" t="inlineStr">
        <is>
          <t>Mỗi khối SUM/COUNT/AVG phải có điều kiện lọc theo kỳ dữ liệu (CDR_DT_ID, DATA_DATE, :DATADT…). Nếu điều kiện nằm ở CTE nguồn thì ghi rõ trong comment để người review không phải truy ngược.</t>
        </is>
      </c>
      <c r="J2263" s="48" t="inlineStr">
        <is>
          <t>094.OCB_GOLD_TTDL_FACT_BPM_AP_TAT_LINH.xlsx [Script: FACT_BPM_AP_TAT]</t>
        </is>
      </c>
    </row>
    <row r="2264">
      <c r="A2264" s="48" t="inlineStr">
        <is>
          <t>TCIMPORT.FACT_BPM_AP_TAT</t>
        </is>
      </c>
      <c r="B2264" s="48" t="inlineStr">
        <is>
          <t>GOLD_DERIVED</t>
        </is>
      </c>
      <c r="C2264" s="48" t="inlineStr">
        <is>
          <t>2.11</t>
        </is>
      </c>
      <c r="D2264" s="48" t="inlineStr">
        <is>
          <t>Nhom 2 - Logic</t>
        </is>
      </c>
      <c r="E2264" s="48" t="inlineStr">
        <is>
          <t>Join dùng key hợp lý, không lạm dụng UNION ALL + EXISTS/NOT EXISTS</t>
        </is>
      </c>
      <c r="F2264" s="49" t="inlineStr">
        <is>
          <t>PASS</t>
        </is>
      </c>
      <c r="G2264" s="48" t="inlineStr">
        <is>
          <t>Pass</t>
        </is>
      </c>
      <c r="H2264" s="50" t="inlineStr">
        <is>
          <t>join đều theo điều kiện bằng, không lạm dụng UNION ALL + EXISTS</t>
        </is>
      </c>
      <c r="I2264" s="50" t="inlineStr">
        <is>
          <t>Ưu tiên LEFT JOIN theo business key hoặc hashkey. Xem lại các chỗ dùng UNION ALL kết hợp EXISTS/NOT EXISTS — thường thay được bằng một LEFT JOIN. Join không có điều kiện bằng (=) dễ tạo tích Descartes.</t>
        </is>
      </c>
      <c r="J2264" s="48" t="inlineStr">
        <is>
          <t>094.OCB_GOLD_TTDL_FACT_BPM_AP_TAT_LINH.xlsx [Script: FACT_BPM_AP_TAT]</t>
        </is>
      </c>
    </row>
    <row r="2265">
      <c r="A2265" s="48" t="inlineStr">
        <is>
          <t>TCIMPORT.FACT_BPM_AP_TAT</t>
        </is>
      </c>
      <c r="B2265" s="48" t="inlineStr">
        <is>
          <t>GOLD_DERIVED</t>
        </is>
      </c>
      <c r="C2265" s="48" t="inlineStr">
        <is>
          <t>2.12</t>
        </is>
      </c>
      <c r="D2265" s="48" t="inlineStr">
        <is>
          <t>Nhom 2 - Logic</t>
        </is>
      </c>
      <c r="E2265" s="48" t="inlineStr">
        <is>
          <t>Build Gold từ CTE snapshot Silver, không build nhiều tầng chồng chéo</t>
        </is>
      </c>
      <c r="F2265" s="49" t="inlineStr">
        <is>
          <t>PASS</t>
        </is>
      </c>
      <c r="G2265" s="48" t="inlineStr">
        <is>
          <t>Pass</t>
        </is>
      </c>
      <c r="H2265" s="50" t="inlineStr">
        <is>
          <t>mỗi bảng nguồn chỉ đọc trong 1 khối SELECT</t>
        </is>
      </c>
      <c r="I22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265" s="48" t="inlineStr">
        <is>
          <t>094.OCB_GOLD_TTDL_FACT_BPM_AP_TAT_LINH.xlsx [Script: FACT_BPM_AP_TAT]</t>
        </is>
      </c>
    </row>
    <row r="2266">
      <c r="A2266" s="48" t="inlineStr">
        <is>
          <t>TCIMPORT.FACT_BPM_AP_TAT</t>
        </is>
      </c>
      <c r="B2266" s="48" t="inlineStr">
        <is>
          <t>GOLD_DERIVED</t>
        </is>
      </c>
      <c r="C2266" s="48" t="inlineStr">
        <is>
          <t>3.1</t>
        </is>
      </c>
      <c r="D2266" s="48" t="inlineStr">
        <is>
          <t>Nhom 3 - Optimization</t>
        </is>
      </c>
      <c r="E2266" s="48" t="inlineStr">
        <is>
          <t>Không SELECT *</t>
        </is>
      </c>
      <c r="F2266" s="49" t="inlineStr">
        <is>
          <t>PASS</t>
        </is>
      </c>
      <c r="G2266" s="48" t="inlineStr">
        <is>
          <t>Pass</t>
        </is>
      </c>
      <c r="H2266" s="50" t="inlineStr">
        <is>
          <t>không dùng SELECT * ở đâu</t>
        </is>
      </c>
      <c r="I2266" s="50" t="inlineStr">
        <is>
          <t>Liệt kê tường minh các cột cần dùng, kể cả trong CTE trung gian. SELECT * làm tăng IO/memory và vỡ script khi bảng nguồn thêm cột.</t>
        </is>
      </c>
      <c r="J2266" s="48" t="inlineStr">
        <is>
          <t>094.OCB_GOLD_TTDL_FACT_BPM_AP_TAT_LINH.xlsx [Script: FACT_BPM_AP_TAT]</t>
        </is>
      </c>
    </row>
    <row r="2267">
      <c r="A2267" s="48" t="inlineStr">
        <is>
          <t>TCIMPORT.FACT_BPM_AP_TAT</t>
        </is>
      </c>
      <c r="B2267" s="48" t="inlineStr">
        <is>
          <t>GOLD_DERIVED</t>
        </is>
      </c>
      <c r="C2267" s="48" t="inlineStr">
        <is>
          <t>3.2</t>
        </is>
      </c>
      <c r="D2267" s="48" t="inlineStr">
        <is>
          <t>Nhom 3 - Optimization</t>
        </is>
      </c>
      <c r="E2267" s="48" t="inlineStr">
        <is>
          <t>CTE không bị scan lại nhiều lần</t>
        </is>
      </c>
      <c r="F2267" s="49" t="inlineStr">
        <is>
          <t>PASS</t>
        </is>
      </c>
      <c r="G2267" s="48" t="inlineStr">
        <is>
          <t>Pass</t>
        </is>
      </c>
      <c r="H2267" s="50" t="inlineStr">
        <is>
          <t>không có CTE nào bị gọi lại</t>
        </is>
      </c>
      <c r="I2267" s="50" t="inlineStr">
        <is>
          <t>Với CTE nặng (đọc nhiều bảng Silver) bị tham chiếu từ 2 chỗ trở lên: gom lại còn một lần dùng, hoặc vật chất hóa (CACHE / bảng tạm). CTE nhẹ chỉ chứa tham số thì bỏ qua được — tự tick Pass.</t>
        </is>
      </c>
      <c r="J2267" s="48" t="inlineStr">
        <is>
          <t>094.OCB_GOLD_TTDL_FACT_BPM_AP_TAT_LINH.xlsx [Script: FACT_BPM_AP_TAT]</t>
        </is>
      </c>
    </row>
    <row r="2268">
      <c r="A2268" s="48" t="inlineStr">
        <is>
          <t>TCIMPORT.FACT_BPM_AP_TAT</t>
        </is>
      </c>
      <c r="B2268" s="48" t="inlineStr">
        <is>
          <t>GOLD_DERIVED</t>
        </is>
      </c>
      <c r="C2268" s="48" t="inlineStr">
        <is>
          <t>3.3</t>
        </is>
      </c>
      <c r="D2268" s="48" t="inlineStr">
        <is>
          <t>Nhom 3 - Optimization</t>
        </is>
      </c>
      <c r="E2268" s="48" t="inlineStr">
        <is>
          <t>Filter trước khi join, tận dụng partition pruning</t>
        </is>
      </c>
      <c r="F2268" s="51" t="inlineStr">
        <is>
          <t>WARN</t>
        </is>
      </c>
      <c r="G2268" s="48" t="inlineStr">
        <is>
          <t>WARN</t>
        </is>
      </c>
      <c r="H2268" s="50" t="inlineStr">
        <is>
          <t>1 bảng join trực tiếp mà không có filter riêng: bpm_v_application (app)</t>
        </is>
      </c>
      <c r="I2268" s="50" t="inlineStr">
        <is>
          <t>Đưa điều kiện lọc (ngày dữ liệu, trạng thái) vào subquery của từng bảng TRƯỚC khi join, để tận dụng partition pruning. Bảng dim nhỏ không partition thì không cần — tự tick Pass.</t>
        </is>
      </c>
      <c r="J2268" s="48" t="inlineStr">
        <is>
          <t>094.OCB_GOLD_TTDL_FACT_BPM_AP_TAT_LINH.xlsx [Script: FACT_BPM_AP_TAT]</t>
        </is>
      </c>
    </row>
    <row r="2269">
      <c r="A2269" s="48" t="inlineStr">
        <is>
          <t>TCIMPORT.FACT_BPM_AP_TAT</t>
        </is>
      </c>
      <c r="B2269" s="48" t="inlineStr">
        <is>
          <t>GOLD_DERIVED</t>
        </is>
      </c>
      <c r="C2269" s="48" t="inlineStr">
        <is>
          <t>3.4</t>
        </is>
      </c>
      <c r="D2269" s="48" t="inlineStr">
        <is>
          <t>Nhom 3 - Optimization</t>
        </is>
      </c>
      <c r="E2269" s="48" t="inlineStr">
        <is>
          <t>Sử dụng CACHE cho query lặp lại trong cùng luồng</t>
        </is>
      </c>
      <c r="F2269" s="48" t="inlineStr">
        <is>
          <t>N-A</t>
        </is>
      </c>
      <c r="G2269" s="48" t="inlineStr">
        <is>
          <t>Pass</t>
        </is>
      </c>
      <c r="H2269" s="50" t="inlineStr">
        <is>
          <t>không có kết quả nào được dùng lại nhiều lần nên chưa cần CACHE</t>
        </is>
      </c>
      <c r="I2269" s="50" t="inlineStr">
        <is>
          <t>Nếu một kết quả nặng được dùng lại nhiều bước trong cùng luồng, thêm CACHE TABLE / CACHE SELECT. Kết quả nhỏ thì cache còn chậm hơn — tự tick Pass.</t>
        </is>
      </c>
      <c r="J2269" s="48" t="inlineStr">
        <is>
          <t>094.OCB_GOLD_TTDL_FACT_BPM_AP_TAT_LINH.xlsx [Script: FACT_BPM_AP_TAT]</t>
        </is>
      </c>
    </row>
    <row r="2270">
      <c r="A2270" s="48" t="inlineStr">
        <is>
          <t>TCIMPORT.FACT_BPM_AP_TAT</t>
        </is>
      </c>
      <c r="B2270" s="48" t="inlineStr">
        <is>
          <t>GOLD_DERIVED</t>
        </is>
      </c>
      <c r="C2270" s="48" t="inlineStr">
        <is>
          <t>3.5</t>
        </is>
      </c>
      <c r="D2270" s="48" t="inlineStr">
        <is>
          <t>Nhom 3 - Optimization</t>
        </is>
      </c>
      <c r="E2270" s="48" t="inlineStr">
        <is>
          <t>Ưu tiên MAX_BY + QUALIFY thay ROW_NUMBER() + WHERE rn = 1</t>
        </is>
      </c>
      <c r="F2270" s="48" t="inlineStr">
        <is>
          <t>N-A</t>
        </is>
      </c>
      <c r="G2270" s="48" t="inlineStr">
        <is>
          <t>Pass</t>
        </is>
      </c>
      <c r="H2270" s="50" t="inlineStr">
        <is>
          <t>script không dùng ROW_NUMBER, và MAX_BY (nếu có) không vượt quá 5 cột/khối</t>
        </is>
      </c>
      <c r="I22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70" s="48" t="inlineStr">
        <is>
          <t>094.OCB_GOLD_TTDL_FACT_BPM_AP_TAT_LINH.xlsx [Script: FACT_BPM_AP_TAT]</t>
        </is>
      </c>
    </row>
    <row r="2271">
      <c r="A2271" s="48" t="inlineStr">
        <is>
          <t>TCIMPORT.FACT_BPM_AP_TAT</t>
        </is>
      </c>
      <c r="B2271" s="48" t="inlineStr">
        <is>
          <t>GOLD_DERIVED</t>
        </is>
      </c>
      <c r="C2271" s="48" t="inlineStr">
        <is>
          <t>3.6</t>
        </is>
      </c>
      <c r="D2271" s="48" t="inlineStr">
        <is>
          <t>Nhom 3 - Optimization</t>
        </is>
      </c>
      <c r="E2271" s="48" t="inlineStr">
        <is>
          <t>Không lạm dụng window function; có comment khi dùng</t>
        </is>
      </c>
      <c r="F2271" s="48" t="inlineStr">
        <is>
          <t>N-A</t>
        </is>
      </c>
      <c r="G2271" s="48" t="inlineStr">
        <is>
          <t>Pass</t>
        </is>
      </c>
      <c r="H2271" s="50" t="inlineStr">
        <is>
          <t>script không dùng window function</t>
        </is>
      </c>
      <c r="I2271" s="50" t="inlineStr">
        <is>
          <t>Mỗi window function cần một comment ngay trên khối CTE chứa nó, nói rõ vì sao không dùng được max_by/QUALIFY đơn giản hơn.</t>
        </is>
      </c>
      <c r="J2271" s="48" t="inlineStr">
        <is>
          <t>094.OCB_GOLD_TTDL_FACT_BPM_AP_TAT_LINH.xlsx [Script: FACT_BPM_AP_TAT]</t>
        </is>
      </c>
    </row>
    <row r="2272">
      <c r="A2272" s="48" t="inlineStr">
        <is>
          <t>TCIMPORT.FACT_BPM_AP_TAT</t>
        </is>
      </c>
      <c r="B2272" s="48" t="inlineStr">
        <is>
          <t>GOLD_DERIVED</t>
        </is>
      </c>
      <c r="C2272" s="48" t="inlineStr">
        <is>
          <t>X.1</t>
        </is>
      </c>
      <c r="D2272" s="48" t="inlineStr">
        <is>
          <t>Nhom X - Bo sung Raffles</t>
        </is>
      </c>
      <c r="E2272" s="48" t="inlineStr">
        <is>
          <t>[Bổ sung] Link phải rút về current trước khi join (chống fan-out)</t>
        </is>
      </c>
      <c r="F2272" s="48" t="inlineStr">
        <is>
          <t>N-A</t>
        </is>
      </c>
      <c r="G2272" s="48" t="inlineStr">
        <is>
          <t>Pass</t>
        </is>
      </c>
      <c r="H2272" s="50" t="inlineStr">
        <is>
          <t>khong ap dung cho profile GOLD_DERIVED</t>
        </is>
      </c>
      <c r="I22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72" s="48" t="inlineStr">
        <is>
          <t>094.OCB_GOLD_TTDL_FACT_BPM_AP_TAT_LINH.xlsx [Script: FACT_BPM_AP_TAT]</t>
        </is>
      </c>
    </row>
    <row r="2273">
      <c r="A2273" s="48" t="inlineStr">
        <is>
          <t>TCIMPORT.FACT_BPM_AP_TAT</t>
        </is>
      </c>
      <c r="B2273" s="48" t="inlineStr">
        <is>
          <t>GOLD_DERIVED</t>
        </is>
      </c>
      <c r="C2273" s="48" t="inlineStr">
        <is>
          <t>X.6</t>
        </is>
      </c>
      <c r="D2273" s="48" t="inlineStr">
        <is>
          <t>Nhom X - Bo sung Raffles</t>
        </is>
      </c>
      <c r="E2273" s="48" t="inlineStr">
        <is>
          <t>[Bổ sung] Satellite phải LEFT JOIN, không INNER JOIN</t>
        </is>
      </c>
      <c r="F2273" s="48" t="inlineStr">
        <is>
          <t>N-A</t>
        </is>
      </c>
      <c r="G2273" s="48" t="inlineStr">
        <is>
          <t>Pass</t>
        </is>
      </c>
      <c r="H2273" s="50" t="inlineStr">
        <is>
          <t>khong ap dung cho profile GOLD_DERIVED</t>
        </is>
      </c>
      <c r="I2273" s="50" t="inlineStr">
        <is>
          <t>Technical Document III.4.2.2 nguyên tắc 1: làm giàu thuộc tính luôn dùng LEFT JOIN. INNER JOIN satellite sẽ loại mất bản ghi Hub đang còn hiệu lực nhưng chưa có dòng satellite.</t>
        </is>
      </c>
      <c r="J2273" s="48" t="inlineStr">
        <is>
          <t>094.OCB_GOLD_TTDL_FACT_BPM_AP_TAT_LINH.xlsx [Script: FACT_BPM_AP_TAT]</t>
        </is>
      </c>
    </row>
    <row r="2274">
      <c r="A2274" s="48" t="inlineStr">
        <is>
          <t>TCIMPORT.FACT_BPM_AP_TAT</t>
        </is>
      </c>
      <c r="B2274" s="48" t="inlineStr">
        <is>
          <t>GOLD_DERIVED</t>
        </is>
      </c>
      <c r="C2274" s="48" t="inlineStr">
        <is>
          <t>X.7</t>
        </is>
      </c>
      <c r="D2274" s="48" t="inlineStr">
        <is>
          <t>Nhom X - Bo sung Raffles</t>
        </is>
      </c>
      <c r="E2274" s="48" t="inlineStr">
        <is>
          <t>[Bổ sung] Không hard-code catalog, dùng biến môi trường</t>
        </is>
      </c>
      <c r="F2274" s="49" t="inlineStr">
        <is>
          <t>PASS</t>
        </is>
      </c>
      <c r="G2274" s="48" t="inlineStr">
        <is>
          <t>Pass</t>
        </is>
      </c>
      <c r="H2274" s="50" t="inlineStr">
        <is>
          <t>dùng biến môi trường cho catalog</t>
        </is>
      </c>
      <c r="I22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274" s="48" t="inlineStr">
        <is>
          <t>094.OCB_GOLD_TTDL_FACT_BPM_AP_TAT_LINH.xlsx [Script: FACT_BPM_AP_TAT]</t>
        </is>
      </c>
    </row>
    <row r="2275">
      <c r="A2275" s="48" t="inlineStr">
        <is>
          <t>TCIMPORT.FACT_BPM_AP_TAT</t>
        </is>
      </c>
      <c r="B2275" s="48" t="inlineStr">
        <is>
          <t>GOLD_DERIVED</t>
        </is>
      </c>
      <c r="C2275" s="48" t="inlineStr">
        <is>
          <t>X.10</t>
        </is>
      </c>
      <c r="D2275" s="48" t="inlineStr">
        <is>
          <t>Nhom X - Bo sung Raffles</t>
        </is>
      </c>
      <c r="E2275" s="48" t="inlineStr">
        <is>
          <t>Bang raw_vault/business_vault duoc doc phai TON TAI THAT trong Data Vault model</t>
        </is>
      </c>
      <c r="F2275" s="48" t="inlineStr">
        <is>
          <t>N-A</t>
        </is>
      </c>
      <c r="G2275" s="48" t="inlineStr">
        <is>
          <t>Pass</t>
        </is>
      </c>
      <c r="H2275" s="50" t="inlineStr">
        <is>
          <t>script không đọc bảng raw_vault/business_vault nào</t>
        </is>
      </c>
      <c r="I2275" s="50" t="inlineStr"/>
      <c r="J2275" s="48" t="inlineStr">
        <is>
          <t>094.OCB_GOLD_TTDL_FACT_BPM_AP_TAT_LINH.xlsx [Script: FACT_BPM_AP_TAT]</t>
        </is>
      </c>
    </row>
    <row r="2276">
      <c r="A2276" s="48" t="inlineStr">
        <is>
          <t>TCIMPORT.FACT_BPM_AP_TAT</t>
        </is>
      </c>
      <c r="B2276" s="48" t="inlineStr">
        <is>
          <t>GOLD_DERIVED</t>
        </is>
      </c>
      <c r="C2276" s="48" t="inlineStr">
        <is>
          <t>X.11</t>
        </is>
      </c>
      <c r="D2276" s="48" t="inlineStr">
        <is>
          <t>Nhom X - Bo sung Raffles</t>
        </is>
      </c>
      <c r="E2276" s="48" t="inlineStr">
        <is>
          <t>Cot doc tu satellite (sat_*) phai TON TAI THAT trong model</t>
        </is>
      </c>
      <c r="F2276" s="48" t="inlineStr">
        <is>
          <t>N-A</t>
        </is>
      </c>
      <c r="G2276" s="48" t="inlineStr">
        <is>
          <t>Pass</t>
        </is>
      </c>
      <c r="H2276" s="50" t="inlineStr">
        <is>
          <t>không có bảng sat_* nào đủ điều kiện đối chiếu (Select chỉ đọc 1 bảng)</t>
        </is>
      </c>
      <c r="I2276" s="50" t="inlineStr"/>
      <c r="J2276" s="48" t="inlineStr">
        <is>
          <t>094.OCB_GOLD_TTDL_FACT_BPM_AP_TAT_LINH.xlsx [Script: FACT_BPM_AP_TAT]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2026-07-23T16:42:25Z</dcterms:created>
  <dcterms:modified xmlns:dcterms="http://purl.org/dc/terms/" xmlns:xsi="http://www.w3.org/2001/XMLSchema-instance" xsi:type="dcterms:W3CDTF">2026-08-11T06:58:04Z</dcterms:modified>
  <cp:lastModifiedBy>Quang Viet Ha (RAFFLES)</cp:lastModifiedBy>
  <cp:revision>0</cp:revision>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0x0101008E8AE0589F554649956EA8CE8E02225C</vt:lpwstr>
  </property>
  <property name="MediaServiceImageTags" fmtid="{D5CDD505-2E9C-101B-9397-08002B2CF9AE}" pid="3">
    <vt:lpwstr xmlns:vt="http://schemas.openxmlformats.org/officeDocument/2006/docPropsVTypes"/>
  </property>
</Properties>
</file>