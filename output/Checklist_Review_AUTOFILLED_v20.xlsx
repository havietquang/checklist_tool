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300" windowWidth="19420" windowHeight="10420" tabRatio="500" firstSheet="0" activeTab="1" autoFilterDateGrouping="1"/>
  </bookViews>
  <sheets>
    <sheet xmlns:r="http://schemas.openxmlformats.org/officeDocument/2006/relationships" name="Hướng dẫn" sheetId="1" state="visible" r:id="rId1"/>
    <sheet xmlns:r="http://schemas.openxmlformats.org/officeDocument/2006/relationships" name="Checklist tiêu chí" sheetId="2" state="visible" r:id="rId2"/>
    <sheet xmlns:r="http://schemas.openxmlformats.org/officeDocument/2006/relationships" name="Review theo bảng" sheetId="3" state="visible" r:id="rId3"/>
    <sheet xmlns:r="http://schemas.openxmlformats.org/officeDocument/2006/relationships" name="Tổng hợp Dashboard" sheetId="4" state="visible" r:id="rId4"/>
    <sheet xmlns:r="http://schemas.openxmlformats.org/officeDocument/2006/relationships" name="Auto-check chi tiết" sheetId="5" state="visible" r:id="rId5"/>
  </sheets>
  <definedNames/>
  <calcPr calcId="191029" fullCalcOnLoad="1"/>
</workbook>
</file>

<file path=xl/styles.xml><?xml version="1.0" encoding="utf-8"?>
<styleSheet xmlns="http://schemas.openxmlformats.org/spreadsheetml/2006/main">
  <numFmts count="1">
    <numFmt numFmtId="164" formatCode="0.0%"/>
  </numFmts>
  <fonts count="17">
    <font>
      <name val="Calibri"/>
      <charset val="1"/>
      <family val="2"/>
      <color theme="1"/>
      <sz val="11"/>
    </font>
    <font>
      <name val="Arial"/>
      <family val="2"/>
      <sz val="10"/>
    </font>
    <font>
      <name val="Arial"/>
      <family val="2"/>
      <b val="1"/>
      <color rgb="FF000080"/>
      <sz val="14"/>
    </font>
    <font>
      <name val="Arial"/>
      <family val="2"/>
      <b val="1"/>
      <color rgb="FF0069BA"/>
      <sz val="12"/>
    </font>
    <font>
      <name val="Arial"/>
      <family val="2"/>
      <color rgb="FF000000"/>
      <sz val="11"/>
    </font>
    <font>
      <name val="Arial"/>
      <family val="2"/>
      <b val="1"/>
      <color rgb="FFFFFFFF"/>
      <sz val="11"/>
    </font>
    <font>
      <name val="Arial"/>
      <family val="2"/>
      <sz val="11"/>
    </font>
    <font>
      <name val="Arial"/>
      <family val="2"/>
      <b val="1"/>
      <color rgb="FFFFFFFF"/>
      <sz val="10"/>
    </font>
    <font>
      <name val="Arial"/>
      <family val="2"/>
      <b val="1"/>
      <color rgb="FFFFFFFF"/>
      <sz val="9"/>
    </font>
    <font>
      <name val="Arial"/>
      <family val="2"/>
      <b val="1"/>
      <sz val="10"/>
    </font>
    <font>
      <name val="Arial"/>
      <family val="2"/>
      <b val="1"/>
      <sz val="11"/>
    </font>
    <font>
      <name val="Arial"/>
      <family val="2"/>
      <i val="1"/>
      <color rgb="FF595959"/>
      <sz val="10"/>
    </font>
    <font>
      <name val="Arial"/>
      <sz val="11"/>
    </font>
    <font>
      <name val="Arial"/>
      <b val="1"/>
      <color rgb="FFFFFFFF"/>
      <sz val="11"/>
    </font>
    <font>
      <name val="Arial"/>
      <b val="1"/>
      <color rgb="FF1FBA00"/>
      <sz val="11"/>
    </font>
    <font>
      <name val="Arial"/>
      <b val="1"/>
      <color rgb="FF0069BA"/>
      <sz val="11"/>
    </font>
    <font>
      <name val="Arial"/>
      <b val="1"/>
      <color rgb="FF000080"/>
      <sz val="11"/>
    </font>
  </fonts>
  <fills count="9">
    <fill>
      <patternFill/>
    </fill>
    <fill>
      <patternFill patternType="gray125"/>
    </fill>
    <fill>
      <patternFill patternType="solid">
        <fgColor rgb="FF000080"/>
        <bgColor rgb="FF000080"/>
      </patternFill>
    </fill>
    <fill>
      <patternFill patternType="solid">
        <fgColor rgb="FFDCE6F1"/>
        <bgColor rgb="FFE7E6E6"/>
      </patternFill>
    </fill>
    <fill>
      <patternFill patternType="solid">
        <fgColor rgb="FFFDE9D9"/>
        <bgColor rgb="FFFFF2CC"/>
      </patternFill>
    </fill>
    <fill>
      <patternFill patternType="solid">
        <fgColor rgb="FFE2EFDA"/>
        <bgColor rgb="FFE7E6E6"/>
      </patternFill>
    </fill>
    <fill>
      <patternFill patternType="solid">
        <fgColor rgb="FF0069BA"/>
        <bgColor rgb="FF008080"/>
      </patternFill>
    </fill>
    <fill>
      <patternFill patternType="solid">
        <fgColor rgb="FFFFF2CC"/>
        <bgColor rgb="FFFDE9D9"/>
      </patternFill>
    </fill>
    <fill>
      <patternFill patternType="solid">
        <fgColor rgb="FF000080"/>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s>
  <cellStyleXfs count="1">
    <xf numFmtId="0" fontId="0" fillId="0" borderId="0"/>
  </cellStyleXfs>
  <cellXfs count="53">
    <xf numFmtId="0" fontId="0"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6" fillId="3" borderId="1" applyAlignment="1" pivotButton="0" quotePrefix="0" xfId="0">
      <alignment horizontal="left" vertical="top" wrapText="1"/>
    </xf>
    <xf numFmtId="9" fontId="6" fillId="3" borderId="1" applyAlignment="1" pivotButton="0" quotePrefix="0" xfId="0">
      <alignment horizontal="center" vertical="top"/>
    </xf>
    <xf numFmtId="0" fontId="6" fillId="3" borderId="1" applyAlignment="1" pivotButton="0" quotePrefix="0" xfId="0">
      <alignment horizontal="center" vertical="top"/>
    </xf>
    <xf numFmtId="0" fontId="6" fillId="4" borderId="1" applyAlignment="1" pivotButton="0" quotePrefix="0" xfId="0">
      <alignment horizontal="left" vertical="top" wrapText="1"/>
    </xf>
    <xf numFmtId="9" fontId="6" fillId="4" borderId="1" applyAlignment="1" pivotButton="0" quotePrefix="0" xfId="0">
      <alignment horizontal="center" vertical="top"/>
    </xf>
    <xf numFmtId="0" fontId="6" fillId="4" borderId="1" applyAlignment="1" pivotButton="0" quotePrefix="0" xfId="0">
      <alignment horizontal="center" vertical="top"/>
    </xf>
    <xf numFmtId="0" fontId="6" fillId="5" borderId="1" applyAlignment="1" pivotButton="0" quotePrefix="0" xfId="0">
      <alignment horizontal="left" vertical="top" wrapText="1"/>
    </xf>
    <xf numFmtId="9" fontId="6" fillId="5" borderId="1" applyAlignment="1" pivotButton="0" quotePrefix="0" xfId="0">
      <alignment horizontal="center" vertical="top"/>
    </xf>
    <xf numFmtId="0" fontId="6" fillId="5" borderId="1" applyAlignment="1" pivotButton="0" quotePrefix="0" xfId="0">
      <alignment horizontal="center" vertical="top"/>
    </xf>
    <xf numFmtId="0" fontId="8" fillId="6" borderId="1" applyAlignment="1" pivotButton="0" quotePrefix="0" xfId="0">
      <alignment horizontal="center" vertical="center" wrapText="1"/>
    </xf>
    <xf numFmtId="0" fontId="8" fillId="2" borderId="1" applyAlignment="1" pivotButton="0" quotePrefix="0" xfId="0">
      <alignment horizontal="center" vertical="center" wrapText="1"/>
    </xf>
    <xf numFmtId="0" fontId="0" fillId="7" borderId="0" pivotButton="0" quotePrefix="0" xfId="0"/>
    <xf numFmtId="0" fontId="9" fillId="7" borderId="1" applyAlignment="1" pivotButton="0" quotePrefix="0" xfId="0">
      <alignment horizontal="center" vertical="center"/>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9" fillId="0" borderId="1" applyAlignment="1" pivotButton="0" quotePrefix="0" xfId="0">
      <alignment horizontal="center" vertical="center"/>
    </xf>
    <xf numFmtId="9" fontId="6" fillId="0" borderId="1" applyAlignment="1" pivotButton="0" quotePrefix="0" xfId="0">
      <alignment horizontal="center" vertical="center" wrapText="1"/>
    </xf>
    <xf numFmtId="164" fontId="6"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0" fillId="7" borderId="0" applyAlignment="1" pivotButton="0" quotePrefix="0" xfId="0">
      <alignment horizontal="center" vertical="center"/>
    </xf>
    <xf numFmtId="0" fontId="1" fillId="7" borderId="1" applyAlignment="1" pivotButton="0" quotePrefix="0" xfId="0">
      <alignment horizontal="center" vertical="center"/>
    </xf>
    <xf numFmtId="164" fontId="1" fillId="7" borderId="1" applyAlignment="1" pivotButton="0" quotePrefix="0" xfId="0">
      <alignment horizontal="center" vertical="center"/>
    </xf>
    <xf numFmtId="0" fontId="1" fillId="0" borderId="1" applyAlignment="1" pivotButton="0" quotePrefix="0" xfId="0">
      <alignment horizontal="center" vertical="center"/>
    </xf>
    <xf numFmtId="164" fontId="1" fillId="0" borderId="1" applyAlignment="1" pivotButton="0" quotePrefix="0" xfId="0">
      <alignment horizontal="center" vertical="center"/>
    </xf>
    <xf numFmtId="0" fontId="1" fillId="0" borderId="1" applyAlignment="1" pivotButton="0" quotePrefix="0" xfId="0">
      <alignment horizontal="left" vertical="center" wrapText="1"/>
    </xf>
    <xf numFmtId="0" fontId="2" fillId="0" borderId="0" applyAlignment="1" pivotButton="0" quotePrefix="0" xfId="0">
      <alignment vertical="center" wrapText="1"/>
    </xf>
    <xf numFmtId="0" fontId="7" fillId="6" borderId="1" applyAlignment="1" pivotButton="0" quotePrefix="0" xfId="0">
      <alignment horizontal="center" vertical="center" wrapText="1"/>
    </xf>
    <xf numFmtId="0" fontId="0" fillId="0" borderId="2" pivotButton="0" quotePrefix="0" xfId="0"/>
    <xf numFmtId="0" fontId="0" fillId="0" borderId="3" pivotButton="0" quotePrefix="0" xfId="0"/>
    <xf numFmtId="0" fontId="7" fillId="2" borderId="1" applyAlignment="1" pivotButton="0" quotePrefix="0" xfId="0">
      <alignment horizontal="center" vertical="center" wrapText="1"/>
    </xf>
    <xf numFmtId="0" fontId="0" fillId="0" borderId="4" pivotButton="0" quotePrefix="0" xfId="0"/>
    <xf numFmtId="0" fontId="11" fillId="0" borderId="0" applyAlignment="1" pivotButton="0" quotePrefix="0" xfId="0">
      <alignment vertical="top" wrapText="1"/>
    </xf>
    <xf numFmtId="0" fontId="0" fillId="0" borderId="0" pivotButton="0" quotePrefix="0" xfId="0"/>
    <xf numFmtId="0" fontId="2" fillId="0" borderId="0" pivotButton="0" quotePrefix="0" xfId="0"/>
    <xf numFmtId="0" fontId="6" fillId="3" borderId="1" applyAlignment="1" pivotButton="0" quotePrefix="0" xfId="0">
      <alignment horizontal="left" vertical="top"/>
    </xf>
    <xf numFmtId="0" fontId="0" fillId="0" borderId="0" applyAlignment="1" pivotButton="0" quotePrefix="0" xfId="0">
      <alignment horizontal="center" vertical="center"/>
    </xf>
    <xf numFmtId="0" fontId="0" fillId="0" borderId="1" applyAlignment="1" pivotButton="0" quotePrefix="0" xfId="0">
      <alignment horizontal="center" vertical="center"/>
    </xf>
    <xf numFmtId="0" fontId="0" fillId="0" borderId="1" pivotButton="0" quotePrefix="0" xfId="0"/>
    <xf numFmtId="0" fontId="12" fillId="0" borderId="1" pivotButton="0" quotePrefix="0" xfId="0"/>
    <xf numFmtId="0" fontId="12" fillId="0" borderId="1" applyAlignment="1" pivotButton="0" quotePrefix="0" xfId="0">
      <alignment vertical="top" wrapText="1"/>
    </xf>
    <xf numFmtId="0" fontId="12" fillId="0" borderId="1" applyAlignment="1" pivotButton="0" quotePrefix="0" xfId="0">
      <alignment horizontal="left" vertical="center" wrapText="1"/>
    </xf>
    <xf numFmtId="0" fontId="12" fillId="0" borderId="1" applyAlignment="1" pivotButton="0" quotePrefix="0" xfId="0">
      <alignment horizontal="center" vertical="center" wrapText="1"/>
    </xf>
    <xf numFmtId="0" fontId="12" fillId="0" borderId="1" applyAlignment="1" pivotButton="0" quotePrefix="0" xfId="0">
      <alignment horizontal="center" vertical="center"/>
    </xf>
    <xf numFmtId="0" fontId="13" fillId="8" borderId="0" applyAlignment="1" pivotButton="0" quotePrefix="0" xfId="0">
      <alignment vertical="center" wrapText="1"/>
    </xf>
    <xf numFmtId="0" fontId="12" fillId="0" borderId="0" applyAlignment="1" pivotButton="0" quotePrefix="0" xfId="0">
      <alignment vertical="top"/>
    </xf>
    <xf numFmtId="0" fontId="14" fillId="0" borderId="0" applyAlignment="1" pivotButton="0" quotePrefix="0" xfId="0">
      <alignment vertical="top"/>
    </xf>
    <xf numFmtId="0" fontId="12" fillId="0" borderId="0" applyAlignment="1" pivotButton="0" quotePrefix="0" xfId="0">
      <alignment vertical="top" wrapText="1"/>
    </xf>
    <xf numFmtId="0" fontId="15" fillId="0" borderId="0" applyAlignment="1" pivotButton="0" quotePrefix="0" xfId="0">
      <alignment vertical="top"/>
    </xf>
    <xf numFmtId="0" fontId="16" fillId="0" borderId="0" applyAlignment="1" pivotButton="0" quotePrefix="0" xfId="0">
      <alignment vertical="top"/>
    </xf>
  </cellXfs>
  <cellStyles count="1">
    <cellStyle name="Bình thường" xfId="0" builtinId="0"/>
  </cellStyles>
  <dxfs count="13">
    <dxf>
      <fill>
        <patternFill>
          <bgColor rgb="FFC6EFCE"/>
        </patternFill>
      </fill>
    </dxf>
    <dxf>
      <fill>
        <patternFill>
          <bgColor rgb="FFFFC7CE"/>
        </patternFill>
      </fill>
    </dxf>
    <dxf>
      <font>
        <name val="Arial"/>
        <charset val="1"/>
        <b val="1"/>
        <color rgb="FF006100"/>
      </font>
      <fill>
        <patternFill>
          <bgColor rgb="FFC6EFCE"/>
        </patternFill>
      </fill>
    </dxf>
    <dxf>
      <font>
        <name val="Arial"/>
        <charset val="1"/>
        <b val="1"/>
        <color rgb="FF9C0006"/>
      </font>
      <fill>
        <patternFill>
          <bgColor rgb="FFFFC7CE"/>
        </patternFill>
      </fill>
    </dxf>
    <dxf>
      <fill>
        <patternFill>
          <bgColor rgb="FFE7E6E6"/>
        </patternFill>
      </fill>
    </dxf>
    <dxf>
      <fill>
        <patternFill>
          <bgColor rgb="FFC6EFCE"/>
        </patternFill>
      </fill>
    </dxf>
    <dxf>
      <fill>
        <patternFill>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3F3F3F"/>
      </font>
      <fill>
        <patternFill patternType="solid">
          <fgColor rgb="FFD9D9D9"/>
          <bgColor rgb="FFD9D9D9"/>
        </patternFill>
      </fill>
    </dxf>
    <dxf>
      <font>
        <b val="1"/>
        <color rgb="FF9C0006"/>
      </font>
      <fill>
        <patternFill patternType="solid">
          <fgColor rgb="FFFFC7CE"/>
          <bgColor rgb="FFFFC7CE"/>
        </patternFill>
      </fill>
    </dxf>
    <dxf>
      <font>
        <b val="1"/>
        <color rgb="FF006100"/>
      </font>
      <fill>
        <patternFill patternType="solid">
          <fgColor rgb="FFC6EFCE"/>
          <bgColor rgb="FFC6EFCE"/>
        </patternFill>
      </fill>
    </dxf>
    <dxf>
      <font>
        <b val="1"/>
        <color rgb="FF9C6500"/>
      </font>
      <fill>
        <patternFill patternType="solid">
          <fgColor rgb="FFFFF2CC"/>
          <bgColor rgb="FFFFF2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9BA"/>
      <rgbColor rgb="FFE7E6E6"/>
      <rgbColor rgb="FF000080"/>
      <rgbColor rgb="FFFF00FF"/>
      <rgbColor rgb="FFFFFF00"/>
      <rgbColor rgb="FF00FFFF"/>
      <rgbColor rgb="FF800080"/>
      <rgbColor rgb="FF800000"/>
      <rgbColor rgb="FF008080"/>
      <rgbColor rgb="FF0000FF"/>
      <rgbColor rgb="FF00CCFF"/>
      <rgbColor rgb="FFDCE6F1"/>
      <rgbColor rgb="FFC6EFCE"/>
      <rgbColor rgb="FFFDE9D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Unknown Author</author>
  </authors>
  <commentList>
    <comment ref="F2" authorId="0" shapeId="0">
      <text>
        <t>Đầy đủ mapping từ tất cả layer nguồn (Silver/manual) sang Gold, không thiếu cột/bảng nguồn theo tài liệu mapping.</t>
      </text>
    </comment>
    <comment ref="G2" authorId="0" shapeId="0">
      <text>
        <t>Tổng số dòng và tổng SUM các cột số đối chiếu khớp với hệ thống on-prem/cũ, chênh lệch phải giải trình được.</t>
      </text>
    </comment>
    <comment ref="H2" authorId="0" shapeId="0">
      <text>
        <t>Danh sách bảng/view Gold khớp với danh sách trong tài liệu thiết kế mapping đã duyệt.</t>
      </text>
    </comment>
    <comment ref="I2" authorId="0" shapeId="0">
      <text>
        <t>Chỉ lấy các bản ghi active (cdc_status active), loại bản ghi đã xóa (cdc_status='D') trừ khi có yêu cầu nghiệp vụ khác kèm giải trình.</t>
      </text>
    </comment>
    <comment ref="J2" authorId="0" shapeId="0">
      <text>
        <t>Áp dụng thống nhất MỘT pattern xác định bản ghi active mới nhất cho toàn bộ các bảng, không có 2 cách viết khác nhau cho cùng 1 logic.</t>
      </text>
    </comment>
    <comment ref="K2" authorId="0" shapeId="0">
      <text>
        <t>Điều kiện lọc trạng thái (rn=1, cdc_status) đặt SAU khi xác định bản ghi mới nhất (WHERE/QUALIFY bên ngoài), không lồng trong điều kiện ON của LEFT JOIN.</t>
      </text>
    </comment>
    <comment ref="L2" authorId="0" shapeId="0">
      <text>
        <t>source_event_date &lt;= :p_data_date áp dụng nhất quán trên mọi Hub/Sat/Link liên quan trong cùng 1 script.</t>
      </text>
    </comment>
    <comment ref="M2" authorId="0" shapeId="0">
      <text>
        <t>Đối chiếu với các lỗi đã từng được DA Data Vault fix trước đó - xác nhận không bị lặp lại khi refactor.</t>
      </text>
    </comment>
    <comment ref="N2" authorId="0" shapeId="0">
      <text>
        <t>Logic SCD Type 2 (DIM) đúng kỹ thuật đã thống nhất: effective_date/end_date/current_flag rõ ràng, KHÔNG dùng MAX(id)+ROW_NUMBER() tăng dần.</t>
      </text>
    </comment>
    <comment ref="O2" authorId="0" shapeId="0">
      <text>
        <t>CASE WHEN cover đầy đủ các nhánh giá trị như job on-prem tương ứng (kể cả nhánh ELSE/NULL).</t>
      </text>
    </comment>
    <comment ref="P2" authorId="0" shapeId="0">
      <text>
        <t>Cột SUM/COUNT được COALESCE/NVL về 0 khi cần, đồng bộ với cách xử lý null của code/job cũ.</t>
      </text>
    </comment>
    <comment ref="Q2" authorId="0" shapeId="0">
      <text>
        <t>Subquery, custom function, điều kiện LIKE được review đúng ý nghĩa nghiệp vụ, không sai lệch so với on-prem.</t>
      </text>
    </comment>
    <comment ref="R2" authorId="0" shapeId="0">
      <text>
        <t>Điều kiện Aggregation kèm date range/filter chính xác theo kỳ báo cáo.</t>
      </text>
    </comment>
    <comment ref="S2" authorId="0" shapeId="0">
      <text>
        <t>Join dùng key hợp lý (business key/hash key đúng), không dùng UNION ALL + EXISTS/NOT EXISTS thay cho LEFT JOIN khi không cần thiết.</t>
      </text>
    </comment>
    <comment ref="T2" authorId="0" shapeId="0">
      <text>
        <t>Toàn bộ logic build trên CTE snapshot từ Silver trước khi tạo bảng Gold (không build trực tiếp nhiều tầng gây sai lệch).</t>
      </text>
    </comment>
    <comment ref="U2" authorId="0" shapeId="0">
      <text>
        <t>Không SELECT *, chỉ select cột cần dùng.</t>
      </text>
    </comment>
    <comment ref="V2" authorId="0" shapeId="0">
      <text>
        <t>CTE không bị scan lại nhiều lần (mỗi CTE chỉ nên được reference hợp lý).</t>
      </text>
    </comment>
    <comment ref="W2" authorId="0" shapeId="0">
      <text>
        <t>Filter dữ liệu trước khi join (partition pruning theo etl_date/ngày dữ liệu), tránh full scan &amp; shuffle không cần thiết.</t>
      </text>
    </comment>
    <comment ref="X2" authorId="0" shapeId="0">
      <text>
        <t>Sử dụng CACHE cho các query lặp lại nhiều lần trong cùng 1 luồng xử lý.</t>
      </text>
    </comment>
    <comment ref="Y2" authorId="0" shapeId="0">
      <text>
        <t>Ưu tiên MAX_BY kết hợp QUALIFY thay cho ROW_NUMBER()+WHERE rn=1 khi phù hợp (hiệu năng tốt hơn).</t>
      </text>
    </comment>
    <comment ref="Z2" authorId="0" shapeId="0">
      <text>
        <t>Không lạm dụng window function nếu không cần thiết; nếu dùng phải có comment giải thích lý do.</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16"/>
  <sheetViews>
    <sheetView showGridLines="0" topLeftCell="A9" zoomScaleNormal="100" workbookViewId="0">
      <selection activeCell="B16" sqref="B16"/>
    </sheetView>
  </sheetViews>
  <sheetFormatPr baseColWidth="8" defaultColWidth="8.7265625" defaultRowHeight="14.5"/>
  <cols>
    <col width="3" customWidth="1" style="36" min="1" max="1"/>
    <col width="110" customWidth="1" style="36" min="2" max="2"/>
  </cols>
  <sheetData>
    <row r="2" ht="34" customHeight="1" s="36">
      <c r="B2" s="29" t="inlineStr">
        <is>
          <t>CHECKLIST REVIEW CODE MAPPING SILVER (DATA VAULT 2.0) SANG GOLD (DATA MART) – ZONE C OCB</t>
        </is>
      </c>
    </row>
    <row r="4" ht="19.5" customHeight="1" s="36">
      <c r="B4" s="1" t="inlineStr">
        <is>
          <t>Mục đích</t>
        </is>
      </c>
    </row>
    <row r="5" ht="70" customHeight="1" s="36">
      <c r="B5" s="2" t="inlineStr">
        <is>
          <t>Đội Data Engineer của Raffles dùng checklist này để tự rà soát code và mapping của từng bảng/khung nhìn Zone C trước khi gửi OCB review. Nội dung checklist lấy từ hai nguồn: các tiêu chí đã thống nhất với OCB (sheet "Checklist - Raffles" và "Quality check") và các lỗi thực tế ghi nhận trong quá trình review Batch 1 (Issue log). Cách kiểm tra của từng tiêu chí tham chiếu trực tiếp đến tài liệu OCB_DBX_ZONEC – Technical Document v1.1, mục III.4.2 "Quy tắc khi xử lí các bảng từ Silver".</t>
        </is>
      </c>
    </row>
    <row r="6" ht="19.5" customHeight="1" s="36">
      <c r="B6" s="1" t="inlineStr">
        <is>
          <t>Cách sử dụng</t>
        </is>
      </c>
    </row>
    <row r="7" ht="28" customHeight="1" s="36">
      <c r="B7" s="2" t="inlineStr">
        <is>
          <t>1. Sheet "Checklist tiêu chí": mô tả điều kiện đạt và cách kiểm tra của từng tiêu chí, kèm mục tài liệu tham chiếu.</t>
        </is>
      </c>
    </row>
    <row r="8" ht="42" customHeight="1" s="36">
      <c r="B8" s="2" t="inlineStr">
        <is>
          <t>2. Sheet "Review theo bảng": mỗi dòng là một bảng/khung nhìn Gold. Với từng tiêu chí, DE chọn Pass / Fail / N/A từ danh sách chọn. Tiêu chí Fail phải ghi bằng chứng tại cột "Ghi chú / Bằng chứng lỗi" theo dạng: mã tiêu chí, tên file script, dòng code hoặc tên CTE liên quan.</t>
        </is>
      </c>
    </row>
    <row r="9" ht="28" customHeight="1" s="36">
      <c r="B9" s="2" t="inlineStr">
        <is>
          <t>3. Tỷ lệ lỗi tính tự động theo trọng số đã thống nhất với OCB: Nhóm 1 – Summary/Mapping 10%, Nhóm 2 – Logic 80%, Nhóm 3 – Optimization 10%. Một tiêu chí Fail thì cả nhóm đó tính là lỗi cho bảng đang xét.</t>
        </is>
      </c>
    </row>
    <row r="10" ht="28" customHeight="1" s="36">
      <c r="B10" s="2" t="inlineStr">
        <is>
          <t>4. Sheet "Tổng hợp Dashboard": tổng hợp số bảng Đạt / Không đạt theo batch và so với ngưỡng lỗi cho phép (Batch 1: 30%; Batch 2 và Batch 3: 20%).</t>
        </is>
      </c>
    </row>
    <row r="11" ht="28" customHeight="1" s="36">
      <c r="B11" s="2" t="inlineStr">
        <is>
          <t>5. Chỉ gửi code và mapping sang OCB khi bảng có kết luận "Đạt". Bảng "Không đạt" phải sửa theo pattern chuẩn nêu tại cột "Điều kiện đạt / Cách kiểm tra" rồi review lại.</t>
        </is>
      </c>
    </row>
    <row r="12" ht="19.5" customHeight="1" s="36">
      <c r="B12" s="1" t="inlineStr">
        <is>
          <t>Bốn lỗi phải kiểm tra kỹ (rút từ Issue log Batch 1)</t>
        </is>
      </c>
    </row>
    <row r="13" ht="28" customHeight="1" s="36">
      <c r="B13" s="2" t="inlineStr">
        <is>
          <t>- Điều kiện source_event_date &lt;= :DATADT bị bỏ sót ở một vài bảng trong cùng script, hoặc đặt thêm cận dưới (&gt;= start_date) làm bỏ sót bản ghi trạng thái mới nhất – Issue log #1.</t>
        </is>
      </c>
    </row>
    <row r="14" ht="28" customHeight="1" s="36">
      <c r="B14" s="2" t="inlineStr">
        <is>
          <t>- Cùng một mục đích lấy bản ghi hiệu lực nhưng mỗi script lọc cdc_status một kiểu khác nhau – Issue log #2. Toàn bộ Zone C dùng một pattern duy nhất tại mục III.4.2.1.</t>
        </is>
      </c>
    </row>
    <row r="15" ht="28" customHeight="1" s="36">
      <c r="B15" s="2" t="inlineStr">
        <is>
          <t>- Điều kiện rn = 1 hoặc cdc_status &lt;&gt; 'D' đặt trong ON của LEFT JOIN thay vì ở lớp ngoài, làm sai kết quả khi không match – Issue log #3.</t>
        </is>
      </c>
    </row>
    <row r="16" ht="28" customHeight="1" s="36">
      <c r="B16" s="2" t="inlineStr">
        <is>
          <t>- Bảng DIM sinh surrogate key bằng MAX(&lt;DIM_ID&gt;) + ROW_NUMBER(), trùng khóa khi chạy song song hoặc nạp lại lịch sử – Issue log #4. Dùng APPLY CHANGES … STORED AS SCD TYPE 2.</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21"/>
  <sheetViews>
    <sheetView showGridLines="0" tabSelected="1" zoomScale="70" zoomScaleNormal="70" workbookViewId="0">
      <pane ySplit="1" topLeftCell="A2" activePane="bottomLeft" state="frozen"/>
      <selection pane="bottomLeft" activeCell="E6" sqref="E6"/>
    </sheetView>
  </sheetViews>
  <sheetFormatPr baseColWidth="8" defaultColWidth="8.7265625" defaultRowHeight="14.5"/>
  <cols>
    <col width="27.26953125" customWidth="1" style="36" min="1" max="1"/>
    <col width="18.7265625" customWidth="1" style="36" min="2" max="2"/>
    <col width="7" customWidth="1" style="36" min="3" max="3"/>
    <col width="40" customWidth="1" style="36" min="4" max="4"/>
    <col width="69.54296875" customWidth="1" style="36" min="5" max="5"/>
    <col width="39.90625" customWidth="1" style="36" min="6" max="6"/>
  </cols>
  <sheetData>
    <row r="1" ht="30" customHeight="1" s="36">
      <c r="A1" s="3" t="inlineStr">
        <is>
          <t>Nhóm</t>
        </is>
      </c>
      <c r="B1" s="3" t="inlineStr">
        <is>
          <t>Trọng số
nhóm</t>
        </is>
      </c>
      <c r="C1" s="3" t="inlineStr">
        <is>
          <t>Mã</t>
        </is>
      </c>
      <c r="D1" s="3" t="inlineStr">
        <is>
          <t>Tiêu chí kiểm tra</t>
        </is>
      </c>
      <c r="E1" s="3" t="inlineStr">
        <is>
          <t>Điều kiện đạt / Cách kiểm tra</t>
        </is>
      </c>
      <c r="F1" s="3" t="inlineStr">
        <is>
          <t>Tham chiếu (Technical Document / Issue log / Checklist RVN-OCB)</t>
        </is>
      </c>
    </row>
    <row r="2" ht="56" customHeight="1" s="36">
      <c r="A2" s="38" t="inlineStr">
        <is>
          <t>Nhóm 1 - Summary /
Mapping</t>
        </is>
      </c>
      <c r="B2" s="5" t="n">
        <v>0.1</v>
      </c>
      <c r="C2" s="6" t="inlineStr">
        <is>
          <t>1.1</t>
        </is>
      </c>
      <c r="D2" s="4" t="inlineStr">
        <is>
          <t>Mapping đầy đủ từ Silver và nguồn upload sang Gold</t>
        </is>
      </c>
      <c r="E2" s="4" t="inlineStr">
        <is>
          <t>Đối chiếu tài liệu mapping source-to-target với script: đủ cột đầu ra, đủ bảng nguồn cần dùng, không thêm cột ngoài đặc tả. Ghi dữ liệu vào đúng catalog/schema đích ocb_datavault_${env}_curated.&lt;schema&gt;, không hard-code tên catalog.</t>
        </is>
      </c>
      <c r="F2" s="4" t="inlineStr">
        <is>
          <t>TDD mục III.4.1 Quy ước chung; Quality check tiêu chí 1</t>
        </is>
      </c>
    </row>
    <row r="3" ht="70" customHeight="1" s="36">
      <c r="A3" s="4" t="inlineStr">
        <is>
          <t>Nhóm 1 - Summary /
Mapping</t>
        </is>
      </c>
      <c r="B3" s="5" t="n">
        <v>0.1</v>
      </c>
      <c r="C3" s="6" t="inlineStr">
        <is>
          <t>1.2</t>
        </is>
      </c>
      <c r="D3" s="4" t="inlineStr">
        <is>
          <t>Danh sách bảng và khung nhìn khớp tài liệu thiết kế</t>
        </is>
      </c>
      <c r="E3" s="4" t="inlineStr">
        <is>
          <t>Danh sách đối tượng triển khai trong batch khớp danh sách đã thống nhất với OCB. Thay đổi phạm vi hoặc mô hình dữ liệu phải được thống nhất và cập nhật vào tài liệu trước khi triển khai.</t>
        </is>
      </c>
      <c r="F3" s="4" t="inlineStr">
        <is>
          <t>TDD v1.1 mục I.3 Phạm vi tài liệu; Plan điều chỉnh 5.3.3</t>
        </is>
      </c>
    </row>
    <row r="4" ht="42" customHeight="1" s="36">
      <c r="A4" s="7" t="inlineStr">
        <is>
          <t>Nhóm 2 - Logic</t>
        </is>
      </c>
      <c r="B4" s="8" t="n">
        <v>0.8</v>
      </c>
      <c r="C4" s="9" t="inlineStr">
        <is>
          <t>2.1</t>
        </is>
      </c>
      <c r="D4" s="7" t="inlineStr">
        <is>
          <t>Chỉ lấy bản ghi Hub đang có hiệu lực</t>
        </is>
      </c>
      <c r="E4" s="7" t="inlineStr">
        <is>
          <t>Join hub_* với sts_hub_* theo pattern tại mục III.4.2.1: GROUP BY hashkey, HAVING max_by(cdc_status, source_event_date) = 'D' để lấy tập khóa đã xóa, sau đó LEFT JOIN và loại các khóa này khỏi kết quả. Chỉ giữ bản ghi đã xóa khi có yêu cầu nghiệp vụ và phải ghi rõ trong mapping.</t>
        </is>
      </c>
      <c r="F4" s="7" t="inlineStr">
        <is>
          <t>TDD v1.1 mục III.4.2.1; Checklist RVN-OCB #1; Issue log #3</t>
        </is>
      </c>
    </row>
    <row r="5" ht="70" customHeight="1" s="36">
      <c r="A5" s="7" t="inlineStr">
        <is>
          <t>Nhóm 2 - Logic</t>
        </is>
      </c>
      <c r="B5" s="8" t="n">
        <v>0.8</v>
      </c>
      <c r="C5" s="9" t="inlineStr">
        <is>
          <t>2.2</t>
        </is>
      </c>
      <c r="D5" s="7" t="inlineStr">
        <is>
          <t>Dùng một pattern thống nhất để lấy bản ghi hiệu lực</t>
        </is>
      </c>
      <c r="E5" s="7" t="inlineStr">
        <is>
          <t>Toàn bộ script Zone C dùng chung một pattern max_by(cdc_status, source_event_date) trên sts_hub. Không để hai script cùng xử lý một loại logic theo hai cách khác nhau, ví dụ một script lọc cdc_status &lt;&gt; 'D' trực tiếp trên satellite, script khác lọc = 'D' trên sts_hub.</t>
        </is>
      </c>
      <c r="F5" s="7" t="inlineStr">
        <is>
          <t>TDD v1.1 mục III.4.2.1; Issue log #2</t>
        </is>
      </c>
    </row>
    <row r="6" ht="70" customHeight="1" s="36">
      <c r="A6" s="7" t="inlineStr">
        <is>
          <t>Nhóm 2 - Logic</t>
        </is>
      </c>
      <c r="B6" s="8" t="n">
        <v>0.8</v>
      </c>
      <c r="C6" s="9" t="inlineStr">
        <is>
          <t>2.3</t>
        </is>
      </c>
      <c r="D6" s="7" t="inlineStr">
        <is>
          <t>Điều kiện trạng thái đặt ở lớp ngoài, không đặt trong ON của LEFT JOIN</t>
        </is>
      </c>
      <c r="E6" s="7" t="inlineStr">
        <is>
          <t>Điều kiện lọc trạng thái và điều kiện lấy bản ghi mới nhất đặt tại WHERE hoặc QUALIFY của lớp ngoài. Đặt trong ON của LEFT JOIN sẽ sai kết quả khi không match. Ngoại lệ được phép: join PIT với satellite theo source_event_date = &lt;sat&gt;_src_ev_dt là equi-join nên đặt trong ON.</t>
        </is>
      </c>
      <c r="F6" s="7" t="inlineStr">
        <is>
          <t>TDD v1.1 mục III.4.2.3 và III.4.2.4; Issue log #3</t>
        </is>
      </c>
    </row>
    <row r="7" ht="70" customHeight="1" s="36">
      <c r="A7" s="7" t="inlineStr">
        <is>
          <t>Nhóm 2 - Logic</t>
        </is>
      </c>
      <c r="B7" s="8" t="n">
        <v>0.8</v>
      </c>
      <c r="C7" s="9" t="inlineStr">
        <is>
          <t>2.4</t>
        </is>
      </c>
      <c r="D7" s="7" t="inlineStr">
        <is>
          <t>Điều kiện source_event_date áp dụng nhất quán trong cùng script</t>
        </is>
      </c>
      <c r="E7" s="7" t="inlineStr">
        <is>
          <t>Mọi hub, satellite, link, effsat trong cùng một script đều chặn source_event_date &lt;= TO_DATE(:DATADT,'yyyyMMdd'), không đặt cận dưới. Riêng nhóm bảng transaction tại mục "Các trường hợp đặc biệt" lọc source_event_date = :DATADT. Bảng PIT lọc theo snapshot_date.</t>
        </is>
      </c>
      <c r="F7" s="7" t="inlineStr">
        <is>
          <t>TDD v1.1 mục III.4.2 và mục "Các trường hợp đặc biệt"; Issue log #1</t>
        </is>
      </c>
    </row>
    <row r="8" ht="70" customHeight="1" s="36">
      <c r="A8" s="7" t="inlineStr">
        <is>
          <t>Nhóm 2 - Logic</t>
        </is>
      </c>
      <c r="B8" s="8" t="n">
        <v>0.8</v>
      </c>
      <c r="C8" s="9" t="inlineStr">
        <is>
          <t>2.5</t>
        </is>
      </c>
      <c r="D8" s="7" t="inlineStr">
        <is>
          <t>Không lặp lại lỗi logic đã được xử lý trước đó</t>
        </is>
      </c>
      <c r="E8" s="7" t="inlineStr">
        <is>
          <t>Đối chiếu với các lỗi mà DA Data Vault đã xác nhận sửa ở các lần review trước; script viết lại trên nền tảng mới không quay lại logic cũ. Ghi rõ trong ghi chú các điểm đã từng bị sửa để reviewer đối chiếu nhanh.</t>
        </is>
      </c>
      <c r="F8" s="7" t="inlineStr">
        <is>
          <t>Issue log #1</t>
        </is>
      </c>
    </row>
    <row r="9" ht="56" customHeight="1" s="36">
      <c r="A9" s="7" t="inlineStr">
        <is>
          <t>Nhóm 2 - Logic</t>
        </is>
      </c>
      <c r="B9" s="8" t="n">
        <v>0.8</v>
      </c>
      <c r="C9" s="9" t="inlineStr">
        <is>
          <t>2.6</t>
        </is>
      </c>
      <c r="D9" s="7" t="inlineStr">
        <is>
          <t>Bảng DIM áp dụng SCD Type 2 theo cơ chế APPLY CHANGES</t>
        </is>
      </c>
      <c r="E9" s="7" t="inlineStr">
        <is>
          <t>Bảng DIM dùng APPLY CHANGES INTO … KEYS (…) SEQUENCE BY … STORED AS SCD TYPE 2 trên streaming table. Không tự sinh surrogate key bằng MAX(&lt;DIM_ID&gt;) + ROW_NUMBER() vì trùng khóa khi chạy song song hoặc nạp lại dữ liệu lịch sử.</t>
        </is>
      </c>
      <c r="F9" s="7" t="inlineStr">
        <is>
          <t>TDD v1.1 mục III.2.3 và III.2.4; Issue log #4</t>
        </is>
      </c>
    </row>
    <row r="10" ht="56" customHeight="1" s="36">
      <c r="A10" s="7" t="inlineStr">
        <is>
          <t>Nhóm 2 - Logic</t>
        </is>
      </c>
      <c r="B10" s="8" t="n">
        <v>0.8</v>
      </c>
      <c r="C10" s="9" t="inlineStr">
        <is>
          <t>2.7</t>
        </is>
      </c>
      <c r="D10" s="7" t="inlineStr">
        <is>
          <t>CASE WHEN đủ nhánh so với job hiện hữu</t>
        </is>
      </c>
      <c r="E10" s="7" t="inlineStr">
        <is>
          <t>So từng nhánh CASE WHEN với job on-prem tương ứng, gồm cả nhánh ELSE và giá trị mặc định. Giữ nguyên logic cũ nếu chưa có thay đổi được thống nhất; thay đổi phải ghi vào tài liệu mapping.</t>
        </is>
      </c>
      <c r="F10" s="7" t="inlineStr">
        <is>
          <t>Checklist RVN-OCB #10</t>
        </is>
      </c>
    </row>
    <row r="11" ht="42" customHeight="1" s="36">
      <c r="A11" s="7" t="inlineStr">
        <is>
          <t>Nhóm 2 - Logic</t>
        </is>
      </c>
      <c r="B11" s="8" t="n">
        <v>0.8</v>
      </c>
      <c r="C11" s="9" t="inlineStr">
        <is>
          <t>2.8</t>
        </is>
      </c>
      <c r="D11" s="7" t="inlineStr">
        <is>
          <t>Cột SUM và COUNT xử lý giá trị NULL đúng</t>
        </is>
      </c>
      <c r="E11" s="7" t="inlineStr">
        <is>
          <t>Cột tổng hợp coalesce về 0 khi nghiệp vụ yêu cầu. Nếu code hiện hữu không dùng NVL thì giữ nguyên hành vi của code cũ và bổ sung NVL ở script đối soát để không lệch khi lấy hiệu số.</t>
        </is>
      </c>
      <c r="F11" s="7" t="inlineStr">
        <is>
          <t>Checklist RVN-OCB #11</t>
        </is>
      </c>
    </row>
    <row r="12" ht="42" customHeight="1" s="36">
      <c r="A12" s="7" t="inlineStr">
        <is>
          <t>Nhóm 2 - Logic</t>
        </is>
      </c>
      <c r="B12" s="8" t="n">
        <v>0.8</v>
      </c>
      <c r="C12" s="9" t="inlineStr">
        <is>
          <t>2.9</t>
        </is>
      </c>
      <c r="D12" s="7" t="inlineStr">
        <is>
          <t>Subquery, custom function và điều kiện LIKE đúng ý nghĩa nghiệp vụ</t>
        </is>
      </c>
      <c r="E12" s="7" t="inlineStr">
        <is>
          <t>Đọc lại logic bên trong subquery, custom function và các điều kiện LIKE, xác nhận đúng ý nghĩa nghiệp vụ so với job hiện hữu, không chỉ đúng cú pháp. Ghi lại cách hiểu nghiệp vụ trong mapping để OCB xác nhận.</t>
        </is>
      </c>
      <c r="F12" s="7" t="inlineStr">
        <is>
          <t>Checklist RVN-OCB #6</t>
        </is>
      </c>
    </row>
    <row r="13" ht="56" customHeight="1" s="36">
      <c r="A13" s="7" t="inlineStr">
        <is>
          <t>Nhóm 2 - Logic</t>
        </is>
      </c>
      <c r="B13" s="8" t="n">
        <v>0.8</v>
      </c>
      <c r="C13" s="9" t="inlineStr">
        <is>
          <t>2.10</t>
        </is>
      </c>
      <c r="D13" s="7" t="inlineStr">
        <is>
          <t>Aggregation lọc đúng kỳ dữ liệu</t>
        </is>
      </c>
      <c r="E13" s="7" t="inlineStr">
        <is>
          <t>Điều kiện lọc kỳ báo cáo đi kèm SUM/COUNT/AVG đúng phạm vi ngày hoặc tháng cần xử lý. Bảng nạp theo tháng lọc theo kỳ đang chạy, không quét toàn bộ lịch sử.</t>
        </is>
      </c>
      <c r="F13" s="7" t="inlineStr">
        <is>
          <t>Checklist RVN-OCB #7</t>
        </is>
      </c>
    </row>
    <row r="14" ht="42" customHeight="1" s="36">
      <c r="A14" s="7" t="inlineStr">
        <is>
          <t>Nhóm 2 - Logic</t>
        </is>
      </c>
      <c r="B14" s="8" t="n">
        <v>0.8</v>
      </c>
      <c r="C14" s="9" t="inlineStr">
        <is>
          <t>2.11</t>
        </is>
      </c>
      <c r="D14" s="7" t="inlineStr">
        <is>
          <t>Join theo key đúng, không lạm dụng UNION ALL kết hợp EXISTS</t>
        </is>
      </c>
      <c r="E14" s="7" t="inlineStr">
        <is>
          <t>LEFT JOIN theo hashkey hoặc business key. Link phải rút về quan hệ hiện hành trước khi join vào fact/dim: quan hệ 1:N lấy theo driving key, quan hệ M:N khử trùng ở mức link_hashkey. Thay union all kết hợp exists/not exists bằng join khi đã có key phù hợp.</t>
        </is>
      </c>
      <c r="F14" s="7" t="inlineStr">
        <is>
          <t>TDD v1.1 mục III.4.2.3; Checklist RVN-OCB #4</t>
        </is>
      </c>
    </row>
    <row r="15" ht="70" customHeight="1" s="36">
      <c r="A15" s="7" t="inlineStr">
        <is>
          <t>Nhóm 2 - Logic</t>
        </is>
      </c>
      <c r="B15" s="8" t="n">
        <v>0.8</v>
      </c>
      <c r="C15" s="9" t="inlineStr">
        <is>
          <t>2.12</t>
        </is>
      </c>
      <c r="D15" s="7" t="inlineStr">
        <is>
          <t>Bảng Gold build từ CTE snapshot dữ liệu Silver</t>
        </is>
      </c>
      <c r="E15" s="7" t="inlineStr">
        <is>
          <t>Mỗi bảng Silver được đọc một lần trong CTE snapshot theo :DATADT rồi dùng lại trong script. Không đọc lại cùng một bảng ở nhiều nhánh với điều kiện thời điểm khác nhau, tránh lệch thời điểm dữ liệu giữa các phần của cùng một script.</t>
        </is>
      </c>
      <c r="F15" s="7" t="inlineStr">
        <is>
          <t>TDD v1.1 mục III.4.2; Checklist RVN-OCB #4</t>
        </is>
      </c>
    </row>
    <row r="16" ht="56" customHeight="1" s="36">
      <c r="A16" s="10" t="inlineStr">
        <is>
          <t>Nhóm 3 - Optimization</t>
        </is>
      </c>
      <c r="B16" s="11" t="n">
        <v>0.1</v>
      </c>
      <c r="C16" s="12" t="inlineStr">
        <is>
          <t>3.1</t>
        </is>
      </c>
      <c r="D16" s="10" t="inlineStr">
        <is>
          <t>Không dùng SELECT *</t>
        </is>
      </c>
      <c r="E16" s="10" t="inlineStr">
        <is>
          <t>Chỉ select các cột thực sự dùng ở Gold, kể cả trong CTE trung gian. Nhánh sts_hub chỉ lấy cột hashkey để join gọn.</t>
        </is>
      </c>
      <c r="F16" s="10" t="inlineStr">
        <is>
          <t>TDD v1.1 mục III.4.2.2; Checklist RVN-OCB #2</t>
        </is>
      </c>
    </row>
    <row r="17" ht="30" customHeight="1" s="36">
      <c r="A17" s="10" t="inlineStr">
        <is>
          <t>Nhóm 3 - Optimization</t>
        </is>
      </c>
      <c r="B17" s="11" t="n">
        <v>0.1</v>
      </c>
      <c r="C17" s="12" t="inlineStr">
        <is>
          <t>3.2</t>
        </is>
      </c>
      <c r="D17" s="10" t="inlineStr">
        <is>
          <t>CTE không bị tính lại nhiều lần</t>
        </is>
      </c>
      <c r="E17" s="10" t="inlineStr">
        <is>
          <t>CTE nặng chỉ được tham chiếu một lần. Nếu buộc phải dùng lại nhiều lần thì tách thành bảng trung gian hoặc cache để không tính lại.</t>
        </is>
      </c>
      <c r="F17" s="10" t="inlineStr">
        <is>
          <t>Checklist RVN-OCB #4</t>
        </is>
      </c>
    </row>
    <row r="18" ht="42" customHeight="1" s="36">
      <c r="A18" s="10" t="inlineStr">
        <is>
          <t>Nhóm 3 - Optimization</t>
        </is>
      </c>
      <c r="B18" s="11" t="n">
        <v>0.1</v>
      </c>
      <c r="C18" s="12" t="inlineStr">
        <is>
          <t>3.3</t>
        </is>
      </c>
      <c r="D18" s="10" t="inlineStr">
        <is>
          <t>Lọc trước khi join, tận dụng partition pruning</t>
        </is>
      </c>
      <c r="E18" s="10" t="inlineStr">
        <is>
          <t>Đặt điều kiện ngày dữ liệu ngay trong CTE nguồn trước khi join, để giới hạn dữ liệu quét theo partition và giảm shuffle.</t>
        </is>
      </c>
      <c r="F18" s="10" t="inlineStr">
        <is>
          <t>Checklist RVN-OCB #5</t>
        </is>
      </c>
    </row>
    <row r="19" ht="30" customHeight="1" s="36">
      <c r="A19" s="10" t="inlineStr">
        <is>
          <t>Nhóm 3 - Optimization</t>
        </is>
      </c>
      <c r="B19" s="11" t="n">
        <v>0.1</v>
      </c>
      <c r="C19" s="12" t="inlineStr">
        <is>
          <t>3.4</t>
        </is>
      </c>
      <c r="D19" s="10" t="inlineStr">
        <is>
          <t>Cache kết quả được dùng lại trong cùng luồng</t>
        </is>
      </c>
      <c r="E19" s="10" t="inlineStr">
        <is>
          <t>Truy vấn dùng lại ở nhiều bước trong cùng một luồng thì cache hoặc vật chất hóa thành Materialized View thay vì tính lại từng lần.</t>
        </is>
      </c>
      <c r="F19" s="10" t="inlineStr">
        <is>
          <t>TDD v1.1 mục III.2.2; Checklist RVN-OCB #3</t>
        </is>
      </c>
    </row>
    <row r="20" ht="42" customHeight="1" s="36">
      <c r="A20" s="10" t="inlineStr">
        <is>
          <t>Nhóm 3 - Optimization</t>
        </is>
      </c>
      <c r="B20" s="11" t="n">
        <v>0.1</v>
      </c>
      <c r="C20" s="12" t="inlineStr">
        <is>
          <t>3.5</t>
        </is>
      </c>
      <c r="D20" s="10" t="inlineStr">
        <is>
          <t>Dùng MAX_BY thay ROW_NUMBER() kết hợp rn = 1</t>
        </is>
      </c>
      <c r="E20" s="10" t="inlineStr">
        <is>
          <t>Lấy bản ghi mới nhất bằng max_by(&lt;cột&gt;, source_event_date) với GROUP BY theo pattern chuẩn, thay cho ROW_NUMBER() OVER (…) kết hợp WHERE rn = 1.</t>
        </is>
      </c>
      <c r="F20" s="10" t="inlineStr">
        <is>
          <t>TDD v1.1 mục III.4.2; Issue log #5</t>
        </is>
      </c>
    </row>
    <row r="21" ht="42" customHeight="1" s="36">
      <c r="A21" s="10" t="inlineStr">
        <is>
          <t>Nhóm 3 - Optimization</t>
        </is>
      </c>
      <c r="B21" s="11" t="n">
        <v>0.1</v>
      </c>
      <c r="C21" s="12" t="inlineStr">
        <is>
          <t>3.6</t>
        </is>
      </c>
      <c r="D21" s="10" t="inlineStr">
        <is>
          <t>Window function dùng có chủ đích và có comment</t>
        </is>
      </c>
      <c r="E21" s="10" t="inlineStr">
        <is>
          <t>Chỉ dùng window function khi max_by hoặc QUALIFY không đáp ứng được yêu cầu nghiệp vụ. Khi dùng phải ghi comment nêu lý do ngay tại chỗ dùng.</t>
        </is>
      </c>
      <c r="F21" s="10" t="inlineStr">
        <is>
          <t>Checklist RVN-OCB #8</t>
        </is>
      </c>
    </row>
    <row r="22" ht="42" customHeight="1" s="36"/>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AF200"/>
  <sheetViews>
    <sheetView showGridLines="0" zoomScale="90" zoomScaleNormal="90" workbookViewId="0">
      <pane xSplit="5" ySplit="2" topLeftCell="F3" activePane="bottomRight" state="frozen"/>
      <selection pane="topRight" activeCell="F1" sqref="F1"/>
      <selection pane="bottomLeft" activeCell="A3" sqref="A3"/>
      <selection pane="bottomRight" activeCell="AD5" sqref="AD5"/>
    </sheetView>
  </sheetViews>
  <sheetFormatPr baseColWidth="8" defaultColWidth="8.7265625" defaultRowHeight="14.5"/>
  <cols>
    <col width="7.54296875" customWidth="1" style="36" min="1" max="1"/>
    <col width="40.453125" bestFit="1" customWidth="1" style="36" min="2" max="2"/>
    <col width="10" customWidth="1" style="36" min="3" max="3"/>
    <col width="12.54296875" bestFit="1" customWidth="1" style="36" min="4" max="4"/>
    <col width="12" customWidth="1" style="36" min="5" max="5"/>
    <col width="13" customWidth="1" style="36" min="6" max="27"/>
    <col width="10" customWidth="1" style="36" min="26" max="26"/>
    <col width="40" customWidth="1" style="36" min="32" max="32"/>
  </cols>
  <sheetData>
    <row r="1" ht="21.75" customHeight="1" s="36">
      <c r="A1" s="33" t="inlineStr">
        <is>
          <t>STT</t>
        </is>
      </c>
      <c r="B1" s="33" t="inlineStr">
        <is>
          <t>Tên bảng / khung nhìn
(Gold)</t>
        </is>
      </c>
      <c r="C1" s="33" t="inlineStr">
        <is>
          <t>Batch</t>
        </is>
      </c>
      <c r="D1" s="33" t="inlineStr">
        <is>
          <t>PIC review</t>
        </is>
      </c>
      <c r="E1" s="33" t="inlineStr">
        <is>
          <t>Ngày review</t>
        </is>
      </c>
      <c r="F1" s="30" t="inlineStr">
        <is>
          <t>NHÓM 1 - SUMMARY / MAPPING (trọng số 10%)</t>
        </is>
      </c>
      <c r="G1" s="32" t="n"/>
      <c r="H1" s="33" t="inlineStr">
        <is>
          <t>NHÓM 2 - LOGIC (trọng số 80%)</t>
        </is>
      </c>
      <c r="I1" s="31" t="n"/>
      <c r="J1" s="31" t="n"/>
      <c r="K1" s="31" t="n"/>
      <c r="L1" s="31" t="n"/>
      <c r="M1" s="31" t="n"/>
      <c r="N1" s="31" t="n"/>
      <c r="O1" s="31" t="n"/>
      <c r="P1" s="31" t="n"/>
      <c r="Q1" s="31" t="n"/>
      <c r="R1" s="31" t="n"/>
      <c r="S1" s="32" t="n"/>
      <c r="T1" s="30" t="inlineStr">
        <is>
          <t>NHÓM 3 - OPTIMIZATION (trọng số 10%)</t>
        </is>
      </c>
      <c r="U1" s="31" t="n"/>
      <c r="V1" s="31" t="n"/>
      <c r="W1" s="31" t="n"/>
      <c r="X1" s="31" t="n"/>
      <c r="Y1" s="32" t="n"/>
      <c r="Z1" s="33" t="inlineStr">
        <is>
          <t>KẾT QUẢ TỔNG HỢP (tự động tính)</t>
        </is>
      </c>
      <c r="AA1" s="31" t="n"/>
      <c r="AB1" s="31" t="n"/>
      <c r="AC1" s="31" t="n"/>
      <c r="AD1" s="31" t="n"/>
      <c r="AE1" s="31" t="n"/>
      <c r="AF1" s="32" t="n"/>
    </row>
    <row r="2" ht="57" customHeight="1" s="36">
      <c r="A2" s="34" t="n"/>
      <c r="B2" s="34" t="n"/>
      <c r="C2" s="34" t="n"/>
      <c r="D2" s="34" t="n"/>
      <c r="E2" s="34" t="n"/>
      <c r="F2" s="13" t="inlineStr">
        <is>
          <t>Đủ mapping
Silver → Gold
(1.1)</t>
        </is>
      </c>
      <c r="G2" s="13" t="inlineStr">
        <is>
          <t>Danh sách bảng
khớp thiết kế
(1.2)</t>
        </is>
      </c>
      <c r="H2" s="14" t="inlineStr">
        <is>
          <t>Hub hiệu lực
qua sts_hub
(2.1)</t>
        </is>
      </c>
      <c r="I2" s="14" t="inlineStr">
        <is>
          <t>Một pattern
lấy bản ghi hiệu lực
(2.2)</t>
        </is>
      </c>
      <c r="J2" s="14" t="inlineStr">
        <is>
          <t>Điều kiện trạng thái
ở lớp ngoài
(2.3)</t>
        </is>
      </c>
      <c r="K2" s="14" t="inlineStr">
        <is>
          <t>source_event_date
nhất quán
(2.4)</t>
        </is>
      </c>
      <c r="L2" s="14" t="inlineStr">
        <is>
          <t>Không lặp lỗi
đã xử lý
(2.5)</t>
        </is>
      </c>
      <c r="M2" s="14" t="inlineStr">
        <is>
          <t>DIM SCD2 bằng
APPLY CHANGES
(2.6)</t>
        </is>
      </c>
      <c r="N2" s="14" t="inlineStr">
        <is>
          <t>CASE WHEN
đủ nhánh
(2.7)</t>
        </is>
      </c>
      <c r="O2" s="14" t="inlineStr">
        <is>
          <t>SUM/COUNT
xử lý NULL
(2.8)</t>
        </is>
      </c>
      <c r="P2" s="14" t="inlineStr">
        <is>
          <t>Subquery/function/
LIKE đúng nghiệp vụ
(2.9)</t>
        </is>
      </c>
      <c r="Q2" s="14" t="inlineStr">
        <is>
          <t>Aggregation
đúng kỳ dữ liệu
(2.10)</t>
        </is>
      </c>
      <c r="R2" s="14" t="inlineStr">
        <is>
          <t>Join đúng key,
link về hiện hành
(2.11)</t>
        </is>
      </c>
      <c r="S2" s="14" t="inlineStr">
        <is>
          <t>Build từ CTE
snapshot Silver
(2.12)</t>
        </is>
      </c>
      <c r="T2" s="13" t="inlineStr">
        <is>
          <t>Không
SELECT *
(3.1)</t>
        </is>
      </c>
      <c r="U2" s="13" t="inlineStr">
        <is>
          <t>CTE không
tính lại nhiều lần
(3.2)</t>
        </is>
      </c>
      <c r="V2" s="13" t="inlineStr">
        <is>
          <t>Lọc trước join,
partition pruning
(3.3)</t>
        </is>
      </c>
      <c r="W2" s="13" t="inlineStr">
        <is>
          <t>Cache truy vấn
dùng lại
(3.4)</t>
        </is>
      </c>
      <c r="X2" s="13" t="inlineStr">
        <is>
          <t>MAX_BY thay
ROW_NUMBER
(3.5)</t>
        </is>
      </c>
      <c r="Y2" s="13" t="inlineStr">
        <is>
          <t>Window function
có comment
(3.6)</t>
        </is>
      </c>
      <c r="Z2" s="14" t="inlineStr">
        <is>
          <t>N1
Fail?</t>
        </is>
      </c>
      <c r="AA2" s="14" t="inlineStr">
        <is>
          <t>N2
Fail?</t>
        </is>
      </c>
      <c r="AB2" s="14" t="inlineStr">
        <is>
          <t>N3
Fail?</t>
        </is>
      </c>
      <c r="AC2" s="14" t="inlineStr">
        <is>
          <t>Tỷ lệ lỗi
bảng</t>
        </is>
      </c>
      <c r="AD2" s="14" t="inlineStr">
        <is>
          <t>Ngưỡng
cho phép</t>
        </is>
      </c>
      <c r="AE2" s="14" t="inlineStr">
        <is>
          <t>Kết luận</t>
        </is>
      </c>
      <c r="AF2" s="14" t="inlineStr">
        <is>
          <t>Ghi rõ: mã tiêu chí – file script – dòng/CTE</t>
        </is>
      </c>
    </row>
    <row r="3" ht="30" customHeight="1" s="36">
      <c r="A3" s="40" t="n">
        <v>2</v>
      </c>
      <c r="B3" s="42" t="inlineStr">
        <is>
          <t>TCKH.V_BRANCH_LIST</t>
        </is>
      </c>
      <c r="C3" s="42" t="inlineStr">
        <is>
          <t>Batch 2</t>
        </is>
      </c>
      <c r="D3" s="42" t="inlineStr">
        <is>
          <t>HOP</t>
        </is>
      </c>
      <c r="E3" s="42" t="inlineStr">
        <is>
          <t>2026-08-06</t>
        </is>
      </c>
      <c r="F3" s="42" t="inlineStr">
        <is>
          <t>Pass</t>
        </is>
      </c>
      <c r="G3" s="42" t="inlineStr">
        <is>
          <t>Pass</t>
        </is>
      </c>
      <c r="H3" s="42" t="inlineStr">
        <is>
          <t>Pass</t>
        </is>
      </c>
      <c r="I3" s="42" t="inlineStr">
        <is>
          <t>Pass</t>
        </is>
      </c>
      <c r="J3" s="42" t="inlineStr">
        <is>
          <t>Pass</t>
        </is>
      </c>
      <c r="K3" s="42" t="inlineStr">
        <is>
          <t>Pass</t>
        </is>
      </c>
      <c r="L3" s="42" t="inlineStr">
        <is>
          <t>Pass</t>
        </is>
      </c>
      <c r="M3" s="42" t="inlineStr">
        <is>
          <t>Pass</t>
        </is>
      </c>
      <c r="N3" s="42" t="inlineStr">
        <is>
          <t>Pass</t>
        </is>
      </c>
      <c r="O3" s="42" t="inlineStr">
        <is>
          <t>Pass</t>
        </is>
      </c>
      <c r="P3" s="42" t="inlineStr">
        <is>
          <t>Pass</t>
        </is>
      </c>
      <c r="Q3" s="42" t="inlineStr">
        <is>
          <t>Pass</t>
        </is>
      </c>
      <c r="R3" s="42" t="inlineStr">
        <is>
          <t>Pass</t>
        </is>
      </c>
      <c r="S3" s="42" t="inlineStr">
        <is>
          <t>Pass</t>
        </is>
      </c>
      <c r="T3" s="42" t="inlineStr">
        <is>
          <t>Pass</t>
        </is>
      </c>
      <c r="U3" s="42" t="inlineStr">
        <is>
          <t>Pass</t>
        </is>
      </c>
      <c r="V3" s="42" t="inlineStr">
        <is>
          <t>Pass</t>
        </is>
      </c>
      <c r="W3" s="42" t="inlineStr">
        <is>
          <t>Pass</t>
        </is>
      </c>
      <c r="X3" s="42" t="inlineStr">
        <is>
          <t>Pass</t>
        </is>
      </c>
      <c r="Y3" s="42" t="inlineStr">
        <is>
          <t>Pass</t>
        </is>
      </c>
      <c r="Z3" s="26">
        <f>IF(B3="","",IF(COUNTIF(F3:G3,"Fail")&gt;0,1,0))</f>
        <v/>
      </c>
      <c r="AA3" s="26">
        <f>IF(B3="","",IF(COUNTIF(H3:S3,"Fail")&gt;0,1,0))</f>
        <v/>
      </c>
      <c r="AB3" s="26">
        <f>IF(B3="","",IF(COUNTIF(T3:Y3,"Fail")&gt;0,1,0))</f>
        <v/>
      </c>
      <c r="AC3" s="27">
        <f>IF(B3="","",0.1*Z3+0.8*AA3+0.1*AB3)</f>
        <v/>
      </c>
      <c r="AD3" s="27">
        <f>IF(B3="","",IF(C3="Batch 1",0.3,0.2))</f>
        <v/>
      </c>
      <c r="AE3" s="19">
        <f>IF(B3="","",IF(AC3&lt;=AD3,"Đạt","Không đạt"))</f>
        <v/>
      </c>
      <c r="AF3" s="43" t="inlineStr">
        <is>
          <t>Đạt toàn bộ tiêu chí.</t>
        </is>
      </c>
    </row>
    <row r="4" ht="30" customHeight="1" s="36">
      <c r="A4" s="17" t="n">
        <v>3</v>
      </c>
      <c r="B4" s="44" t="inlineStr">
        <is>
          <t>TCKH.V_CDR_AMT</t>
        </is>
      </c>
      <c r="C4" s="45" t="inlineStr">
        <is>
          <t>Batch 2</t>
        </is>
      </c>
      <c r="D4" s="45" t="inlineStr">
        <is>
          <t>QUANG</t>
        </is>
      </c>
      <c r="E4" s="45" t="inlineStr">
        <is>
          <t>2026-08-06</t>
        </is>
      </c>
      <c r="F4" s="46" t="inlineStr">
        <is>
          <t>Pass</t>
        </is>
      </c>
      <c r="G4" s="46" t="inlineStr">
        <is>
          <t>Pass</t>
        </is>
      </c>
      <c r="H4" s="46" t="inlineStr">
        <is>
          <t>Pass</t>
        </is>
      </c>
      <c r="I4" s="46" t="inlineStr">
        <is>
          <t>Pass</t>
        </is>
      </c>
      <c r="J4" s="46" t="inlineStr">
        <is>
          <t>Pass</t>
        </is>
      </c>
      <c r="K4" s="46" t="inlineStr">
        <is>
          <t>Pass</t>
        </is>
      </c>
      <c r="L4" s="46" t="inlineStr">
        <is>
          <t>Pass</t>
        </is>
      </c>
      <c r="M4" s="46" t="inlineStr">
        <is>
          <t>Pass</t>
        </is>
      </c>
      <c r="N4" s="46" t="inlineStr">
        <is>
          <t>Pass</t>
        </is>
      </c>
      <c r="O4" s="46" t="inlineStr">
        <is>
          <t>WARN</t>
        </is>
      </c>
      <c r="P4" s="46" t="inlineStr">
        <is>
          <t>Pass</t>
        </is>
      </c>
      <c r="Q4" s="46" t="inlineStr">
        <is>
          <t>WARN</t>
        </is>
      </c>
      <c r="R4" s="46" t="inlineStr">
        <is>
          <t>Pass</t>
        </is>
      </c>
      <c r="S4" s="46" t="inlineStr">
        <is>
          <t>Pass</t>
        </is>
      </c>
      <c r="T4" s="46" t="inlineStr">
        <is>
          <t>Pass</t>
        </is>
      </c>
      <c r="U4" s="46" t="inlineStr">
        <is>
          <t>Pass</t>
        </is>
      </c>
      <c r="V4" s="46" t="inlineStr">
        <is>
          <t>Pass</t>
        </is>
      </c>
      <c r="W4" s="46" t="inlineStr">
        <is>
          <t>Pass</t>
        </is>
      </c>
      <c r="X4" s="46" t="inlineStr">
        <is>
          <t>Pass</t>
        </is>
      </c>
      <c r="Y4" s="46" t="inlineStr">
        <is>
          <t>Pass</t>
        </is>
      </c>
      <c r="Z4" s="26">
        <f>IF(B4="","",IF(COUNTIF(F4:G4,"Fail")&gt;0,1,0))</f>
        <v/>
      </c>
      <c r="AA4" s="26">
        <f>IF(B4="","",IF(COUNTIF(H4:S4,"Fail")&gt;0,1,0))</f>
        <v/>
      </c>
      <c r="AB4" s="26">
        <f>IF(B4="","",IF(COUNTIF(T4:Y4,"Fail")&gt;0,1,0))</f>
        <v/>
      </c>
      <c r="AC4" s="27">
        <f>IF(B4="","",0.1*Z4+0.8*AA4+0.1*AB4)</f>
        <v/>
      </c>
      <c r="AD4" s="27">
        <f>IF(B4="","",IF(C4="Batch 1",0.3,0.2))</f>
        <v/>
      </c>
      <c r="AE4" s="19">
        <f>IF(B4="","",IF(AC4&lt;=AD4,"Đạt","Không đạt"))</f>
        <v/>
      </c>
      <c r="AF4" s="43" t="inlineStr">
        <is>
          <t>╔══ WARN: 2 tiêu chí — 2.8, 2.10
▼ 2.8 — Cột SUM/COUNT được COALESCE/NVL hợp lý
   • 4 biểu thức tổng hợp chưa coalesce: CDR_AMT_DEC = SUM(A.AMT_DEC); CDR_AMT_EQ_DEC = SUM(A.AMT_EQ_DEC); CDR_AMT_EQ_INCR = SUM(A.AMT_EQ_INCR); CDR_AMT_INCR = SUM(A.AMT_INCR)
   • khi đối soát với hệ thống cũ phải bọc NVL/ISNULL CẢ HAI phía để không lệch khi trừ (Checklist RVN-OCB #11)
▼ 2.10 — Aggregation kèm filter date range chính xác
   • 1 khối tổng hợp không thấy filter theo ngày/tham số: SELECT tu V_ENTRY_STMT_QUYMO</t>
        </is>
      </c>
    </row>
    <row r="5" ht="30" customHeight="1" s="36">
      <c r="A5" s="17" t="n">
        <v>4</v>
      </c>
      <c r="B5" s="44" t="inlineStr">
        <is>
          <t>TCKH.V_CDTK_DAILY</t>
        </is>
      </c>
      <c r="C5" s="45" t="inlineStr">
        <is>
          <t>Batch 2</t>
        </is>
      </c>
      <c r="D5" s="45" t="inlineStr">
        <is>
          <t>QUANG</t>
        </is>
      </c>
      <c r="E5" s="45" t="inlineStr">
        <is>
          <t>2026-08-06</t>
        </is>
      </c>
      <c r="F5" s="46" t="inlineStr">
        <is>
          <t>Pass</t>
        </is>
      </c>
      <c r="G5" s="46" t="inlineStr">
        <is>
          <t>Pass</t>
        </is>
      </c>
      <c r="H5" s="46" t="inlineStr">
        <is>
          <t>Pass</t>
        </is>
      </c>
      <c r="I5" s="46" t="inlineStr">
        <is>
          <t>Pass</t>
        </is>
      </c>
      <c r="J5" s="46" t="inlineStr">
        <is>
          <t>Pass</t>
        </is>
      </c>
      <c r="K5" s="46" t="inlineStr">
        <is>
          <t>Pass</t>
        </is>
      </c>
      <c r="L5" s="46" t="inlineStr">
        <is>
          <t>Pass</t>
        </is>
      </c>
      <c r="M5" s="46" t="inlineStr">
        <is>
          <t>Pass</t>
        </is>
      </c>
      <c r="N5" s="46" t="inlineStr">
        <is>
          <t>Pass</t>
        </is>
      </c>
      <c r="O5" s="46" t="inlineStr">
        <is>
          <t>Pass</t>
        </is>
      </c>
      <c r="P5" s="46" t="inlineStr">
        <is>
          <t>Pass</t>
        </is>
      </c>
      <c r="Q5" s="46" t="inlineStr">
        <is>
          <t>Pass</t>
        </is>
      </c>
      <c r="R5" s="46" t="inlineStr">
        <is>
          <t>Pass</t>
        </is>
      </c>
      <c r="S5" s="46" t="inlineStr">
        <is>
          <t>Pass</t>
        </is>
      </c>
      <c r="T5" s="46" t="inlineStr">
        <is>
          <t>Pass</t>
        </is>
      </c>
      <c r="U5" s="46" t="inlineStr">
        <is>
          <t>Pass</t>
        </is>
      </c>
      <c r="V5" s="46" t="inlineStr">
        <is>
          <t>Pass</t>
        </is>
      </c>
      <c r="W5" s="46" t="inlineStr">
        <is>
          <t>Pass</t>
        </is>
      </c>
      <c r="X5" s="46" t="inlineStr">
        <is>
          <t>Pass</t>
        </is>
      </c>
      <c r="Y5" s="46" t="inlineStr">
        <is>
          <t>Pass</t>
        </is>
      </c>
      <c r="Z5" s="26">
        <f>IF(B5="","",IF(COUNTIF(F5:G5,"Fail")&gt;0,1,0))</f>
        <v/>
      </c>
      <c r="AA5" s="26">
        <f>IF(B5="","",IF(COUNTIF(H5:S5,"Fail")&gt;0,1,0))</f>
        <v/>
      </c>
      <c r="AB5" s="26">
        <f>IF(B5="","",IF(COUNTIF(T5:Y5,"Fail")&gt;0,1,0))</f>
        <v/>
      </c>
      <c r="AC5" s="27">
        <f>IF(B5="","",0.1*Z5+0.8*AA5+0.1*AB5)</f>
        <v/>
      </c>
      <c r="AD5" s="27">
        <f>IF(B5="","",IF(C5="Batch 1",0.3,0.2))</f>
        <v/>
      </c>
      <c r="AE5" s="19">
        <f>IF(B5="","",IF(AC5&lt;=AD5,"Đạt","Không đạt"))</f>
        <v/>
      </c>
      <c r="AF5" s="43" t="inlineStr">
        <is>
          <t>Đạt toàn bộ tiêu chí.</t>
        </is>
      </c>
    </row>
    <row r="6" ht="30" customHeight="1" s="36">
      <c r="A6" s="17" t="n">
        <v>5</v>
      </c>
      <c r="B6" s="44" t="inlineStr">
        <is>
          <t>TCKH.V_CREDIT_LIMIT</t>
        </is>
      </c>
      <c r="C6" s="45" t="inlineStr">
        <is>
          <t>Batch 2</t>
        </is>
      </c>
      <c r="D6" s="45" t="inlineStr">
        <is>
          <t>BAOANH</t>
        </is>
      </c>
      <c r="E6" s="45" t="inlineStr">
        <is>
          <t>2026-08-06</t>
        </is>
      </c>
      <c r="F6" s="46" t="inlineStr">
        <is>
          <t>Pass</t>
        </is>
      </c>
      <c r="G6" s="46" t="inlineStr">
        <is>
          <t>Pass</t>
        </is>
      </c>
      <c r="H6" s="46" t="inlineStr">
        <is>
          <t>Pass</t>
        </is>
      </c>
      <c r="I6" s="46" t="inlineStr">
        <is>
          <t>Pass</t>
        </is>
      </c>
      <c r="J6" s="46" t="inlineStr">
        <is>
          <t>Pass</t>
        </is>
      </c>
      <c r="K6" s="46" t="inlineStr">
        <is>
          <t>Pass</t>
        </is>
      </c>
      <c r="L6" s="46" t="inlineStr">
        <is>
          <t>Pass</t>
        </is>
      </c>
      <c r="M6" s="46" t="inlineStr">
        <is>
          <t>Pass</t>
        </is>
      </c>
      <c r="N6" s="46" t="inlineStr">
        <is>
          <t>Pass</t>
        </is>
      </c>
      <c r="O6" s="46" t="inlineStr">
        <is>
          <t>Pass</t>
        </is>
      </c>
      <c r="P6" s="46" t="inlineStr">
        <is>
          <t>Pass</t>
        </is>
      </c>
      <c r="Q6" s="46" t="inlineStr">
        <is>
          <t>Pass</t>
        </is>
      </c>
      <c r="R6" s="46" t="inlineStr">
        <is>
          <t>WARN</t>
        </is>
      </c>
      <c r="S6" s="46" t="inlineStr">
        <is>
          <t>Pass</t>
        </is>
      </c>
      <c r="T6" s="46" t="inlineStr">
        <is>
          <t>Pass</t>
        </is>
      </c>
      <c r="U6" s="46" t="inlineStr">
        <is>
          <t>WARN</t>
        </is>
      </c>
      <c r="V6" s="46" t="inlineStr">
        <is>
          <t>WARN</t>
        </is>
      </c>
      <c r="W6" s="46" t="inlineStr">
        <is>
          <t>WARN</t>
        </is>
      </c>
      <c r="X6" s="46" t="inlineStr">
        <is>
          <t>Pass</t>
        </is>
      </c>
      <c r="Y6" s="46" t="inlineStr">
        <is>
          <t>Pass</t>
        </is>
      </c>
      <c r="Z6" s="26">
        <f>IF(B6="","",IF(COUNTIF(F6:G6,"Fail")&gt;0,1,0))</f>
        <v/>
      </c>
      <c r="AA6" s="26">
        <f>IF(B6="","",IF(COUNTIF(H6:S6,"Fail")&gt;0,1,0))</f>
        <v/>
      </c>
      <c r="AB6" s="26">
        <f>IF(B6="","",IF(COUNTIF(T6:Y6,"Fail")&gt;0,1,0))</f>
        <v/>
      </c>
      <c r="AC6" s="27">
        <f>IF(B6="","",0.1*Z6+0.8*AA6+0.1*AB6)</f>
        <v/>
      </c>
      <c r="AD6" s="27">
        <f>IF(B6="","",IF(C6="Batch 1",0.3,0.2))</f>
        <v/>
      </c>
      <c r="AE6" s="19">
        <f>IF(B6="","",IF(AC6&lt;=AD6,"Đạt","Không đạt"))</f>
        <v/>
      </c>
      <c r="AF6" s="43" t="inlineStr">
        <is>
          <t>╔══ WARN: 4 tiêu chí — 2.11, 3.2, 3.3, 3.4
▼ 2.11 — Join dùng key hợp lý, không lạm dụng UNION ALL + EXISTS/NOT EXISTS
   • join không có điều kiện bằng (=): ['h']
▼ 3.2 — CTE không bị scan lại nhiều lần
   • CTE bị tham chiếu lại nhiều lần: hub_by_date x2
▼ 3.3 — Filter trước khi join, tận dụng partition pruning
   • 3 bảng join trực tiếp mà không có filter riêng: hub_limit (h), sat_limit_information (s), sts_hub_limit (sts)
▼ 3.4 — Sử dụng CACHE cho query lặp lại trong cùng luồng
   • 1 CTE nặng dùng lại &gt;= 2 lần mà không có CACHE: hub_by_date</t>
        </is>
      </c>
    </row>
    <row r="7" ht="30" customHeight="1" s="36">
      <c r="A7" s="17" t="n">
        <v>6</v>
      </c>
      <c r="B7" s="44" t="inlineStr">
        <is>
          <t>TCKH.V_CUSTOMER_SEGMENT_CMB</t>
        </is>
      </c>
      <c r="C7" s="45" t="inlineStr">
        <is>
          <t>Batch 2</t>
        </is>
      </c>
      <c r="D7" s="45" t="inlineStr">
        <is>
          <t>PHAT</t>
        </is>
      </c>
      <c r="E7" s="45" t="inlineStr">
        <is>
          <t>2026-08-06</t>
        </is>
      </c>
      <c r="F7" s="46" t="inlineStr">
        <is>
          <t>Pass</t>
        </is>
      </c>
      <c r="G7" s="46" t="inlineStr">
        <is>
          <t>Pass</t>
        </is>
      </c>
      <c r="H7" s="46" t="inlineStr">
        <is>
          <t>Pass</t>
        </is>
      </c>
      <c r="I7" s="46" t="inlineStr">
        <is>
          <t>Pass</t>
        </is>
      </c>
      <c r="J7" s="46" t="inlineStr">
        <is>
          <t>Pass</t>
        </is>
      </c>
      <c r="K7" s="46" t="inlineStr">
        <is>
          <t>Pass</t>
        </is>
      </c>
      <c r="L7" s="46" t="inlineStr">
        <is>
          <t>Pass</t>
        </is>
      </c>
      <c r="M7" s="46" t="inlineStr">
        <is>
          <t>Pass</t>
        </is>
      </c>
      <c r="N7" s="46" t="inlineStr">
        <is>
          <t>Pass</t>
        </is>
      </c>
      <c r="O7" s="46" t="inlineStr">
        <is>
          <t>Pass</t>
        </is>
      </c>
      <c r="P7" s="46" t="inlineStr">
        <is>
          <t>Pass</t>
        </is>
      </c>
      <c r="Q7" s="46" t="inlineStr">
        <is>
          <t>Pass</t>
        </is>
      </c>
      <c r="R7" s="46" t="inlineStr">
        <is>
          <t>Pass</t>
        </is>
      </c>
      <c r="S7" s="46" t="inlineStr">
        <is>
          <t>WARN</t>
        </is>
      </c>
      <c r="T7" s="46" t="inlineStr">
        <is>
          <t>Pass</t>
        </is>
      </c>
      <c r="U7" s="46" t="inlineStr">
        <is>
          <t>Pass</t>
        </is>
      </c>
      <c r="V7" s="46" t="inlineStr">
        <is>
          <t>Pass</t>
        </is>
      </c>
      <c r="W7" s="46" t="inlineStr">
        <is>
          <t>Pass</t>
        </is>
      </c>
      <c r="X7" s="46" t="inlineStr">
        <is>
          <t>Pass</t>
        </is>
      </c>
      <c r="Y7" s="46" t="inlineStr">
        <is>
          <t>Pass</t>
        </is>
      </c>
      <c r="Z7" s="26">
        <f>IF(B7="","",IF(COUNTIF(F7:G7,"Fail")&gt;0,1,0))</f>
        <v/>
      </c>
      <c r="AA7" s="26">
        <f>IF(B7="","",IF(COUNTIF(H7:S7,"Fail")&gt;0,1,0))</f>
        <v/>
      </c>
      <c r="AB7" s="26">
        <f>IF(B7="","",IF(COUNTIF(T7:Y7,"Fail")&gt;0,1,0))</f>
        <v/>
      </c>
      <c r="AC7" s="27">
        <f>IF(B7="","",0.1*Z7+0.8*AA7+0.1*AB7)</f>
        <v/>
      </c>
      <c r="AD7" s="27">
        <f>IF(B7="","",IF(C7="Batch 1",0.3,0.2))</f>
        <v/>
      </c>
      <c r="AE7" s="19">
        <f>IF(B7="","",IF(AC7&lt;=AD7,"Đạt","Không đạt"))</f>
        <v/>
      </c>
      <c r="AF7" s="43" t="inlineStr">
        <is>
          <t>╔══ WARN: 1 tiêu chí — 2.12
▼ 2.12 — Build Gold từ CTE snapshot Silver, không build nhiều tầng chồng chéo
   • bảng bị đọc lại ở nhiều khối SELECT, xét gom thành 1 CTE: CUSTOMER_SEGMENT_CMB ở 2 khối</t>
        </is>
      </c>
    </row>
    <row r="8" ht="30" customHeight="1" s="36">
      <c r="A8" s="17" t="n">
        <v>7</v>
      </c>
      <c r="B8" s="44" t="inlineStr">
        <is>
          <t>TCKH.V_CUSTOMER_SEGMENT_RB</t>
        </is>
      </c>
      <c r="C8" s="45" t="inlineStr">
        <is>
          <t>Batch 2</t>
        </is>
      </c>
      <c r="D8" s="45" t="inlineStr">
        <is>
          <t>PHAT</t>
        </is>
      </c>
      <c r="E8" s="45" t="inlineStr">
        <is>
          <t>2026-08-06</t>
        </is>
      </c>
      <c r="F8" s="46" t="inlineStr">
        <is>
          <t>Pass</t>
        </is>
      </c>
      <c r="G8" s="46" t="inlineStr">
        <is>
          <t>Pass</t>
        </is>
      </c>
      <c r="H8" s="46" t="inlineStr">
        <is>
          <t>Pass</t>
        </is>
      </c>
      <c r="I8" s="46" t="inlineStr">
        <is>
          <t>Pass</t>
        </is>
      </c>
      <c r="J8" s="46" t="inlineStr">
        <is>
          <t>Pass</t>
        </is>
      </c>
      <c r="K8" s="46" t="inlineStr">
        <is>
          <t>Pass</t>
        </is>
      </c>
      <c r="L8" s="46" t="inlineStr">
        <is>
          <t>Pass</t>
        </is>
      </c>
      <c r="M8" s="46" t="inlineStr">
        <is>
          <t>Pass</t>
        </is>
      </c>
      <c r="N8" s="46" t="inlineStr">
        <is>
          <t>Pass</t>
        </is>
      </c>
      <c r="O8" s="46" t="inlineStr">
        <is>
          <t>Pass</t>
        </is>
      </c>
      <c r="P8" s="46" t="inlineStr">
        <is>
          <t>Pass</t>
        </is>
      </c>
      <c r="Q8" s="46" t="inlineStr">
        <is>
          <t>Pass</t>
        </is>
      </c>
      <c r="R8" s="46" t="inlineStr">
        <is>
          <t>Pass</t>
        </is>
      </c>
      <c r="S8" s="46" t="inlineStr">
        <is>
          <t>WARN</t>
        </is>
      </c>
      <c r="T8" s="46" t="inlineStr">
        <is>
          <t>Pass</t>
        </is>
      </c>
      <c r="U8" s="46" t="inlineStr">
        <is>
          <t>Pass</t>
        </is>
      </c>
      <c r="V8" s="46" t="inlineStr">
        <is>
          <t>Pass</t>
        </is>
      </c>
      <c r="W8" s="46" t="inlineStr">
        <is>
          <t>Pass</t>
        </is>
      </c>
      <c r="X8" s="46" t="inlineStr">
        <is>
          <t>Pass</t>
        </is>
      </c>
      <c r="Y8" s="46" t="inlineStr">
        <is>
          <t>Pass</t>
        </is>
      </c>
      <c r="Z8" s="26">
        <f>IF(B8="","",IF(COUNTIF(F8:G8,"Fail")&gt;0,1,0))</f>
        <v/>
      </c>
      <c r="AA8" s="26">
        <f>IF(B8="","",IF(COUNTIF(H8:S8,"Fail")&gt;0,1,0))</f>
        <v/>
      </c>
      <c r="AB8" s="26">
        <f>IF(B8="","",IF(COUNTIF(T8:Y8,"Fail")&gt;0,1,0))</f>
        <v/>
      </c>
      <c r="AC8" s="27">
        <f>IF(B8="","",0.1*Z8+0.8*AA8+0.1*AB8)</f>
        <v/>
      </c>
      <c r="AD8" s="27">
        <f>IF(B8="","",IF(C8="Batch 1",0.3,0.2))</f>
        <v/>
      </c>
      <c r="AE8" s="19">
        <f>IF(B8="","",IF(AC8&lt;=AD8,"Đạt","Không đạt"))</f>
        <v/>
      </c>
      <c r="AF8" s="43" t="inlineStr">
        <is>
          <t>╔══ WARN: 1 tiêu chí — 2.12
▼ 2.12 — Build Gold từ CTE snapshot Silver, không build nhiều tầng chồng chéo
   • bảng bị đọc lại ở nhiều khối SELECT, xét gom thành 1 CTE: CUSTOMER_SEGMENT_RAW ở 2 khối</t>
        </is>
      </c>
    </row>
    <row r="9" ht="30" customHeight="1" s="36">
      <c r="A9" s="17" t="n">
        <v>8</v>
      </c>
      <c r="B9" s="44" t="inlineStr">
        <is>
          <t>TCKH.V_CUST_STATUS</t>
        </is>
      </c>
      <c r="C9" s="45" t="inlineStr">
        <is>
          <t>Batch 2</t>
        </is>
      </c>
      <c r="D9" s="45" t="inlineStr">
        <is>
          <t>BAOANH</t>
        </is>
      </c>
      <c r="E9" s="45" t="inlineStr">
        <is>
          <t>2026-08-06</t>
        </is>
      </c>
      <c r="F9" s="46" t="inlineStr">
        <is>
          <t>Pass</t>
        </is>
      </c>
      <c r="G9" s="46" t="inlineStr">
        <is>
          <t>Pass</t>
        </is>
      </c>
      <c r="H9" s="46" t="inlineStr">
        <is>
          <t>Pass</t>
        </is>
      </c>
      <c r="I9" s="46" t="inlineStr">
        <is>
          <t>Pass</t>
        </is>
      </c>
      <c r="J9" s="46" t="inlineStr">
        <is>
          <t>Pass</t>
        </is>
      </c>
      <c r="K9" s="46" t="inlineStr">
        <is>
          <t>Pass</t>
        </is>
      </c>
      <c r="L9" s="46" t="inlineStr">
        <is>
          <t>Pass</t>
        </is>
      </c>
      <c r="M9" s="46" t="inlineStr">
        <is>
          <t>Pass</t>
        </is>
      </c>
      <c r="N9" s="46" t="inlineStr">
        <is>
          <t>Pass</t>
        </is>
      </c>
      <c r="O9" s="46" t="inlineStr">
        <is>
          <t>Pass</t>
        </is>
      </c>
      <c r="P9" s="46" t="inlineStr">
        <is>
          <t>Pass</t>
        </is>
      </c>
      <c r="Q9" s="46" t="inlineStr">
        <is>
          <t>Pass</t>
        </is>
      </c>
      <c r="R9" s="46" t="inlineStr">
        <is>
          <t>Pass</t>
        </is>
      </c>
      <c r="S9" s="46" t="inlineStr">
        <is>
          <t>Pass</t>
        </is>
      </c>
      <c r="T9" s="46" t="inlineStr">
        <is>
          <t>Pass</t>
        </is>
      </c>
      <c r="U9" s="46" t="inlineStr">
        <is>
          <t>Pass</t>
        </is>
      </c>
      <c r="V9" s="46" t="inlineStr">
        <is>
          <t>Pass</t>
        </is>
      </c>
      <c r="W9" s="46" t="inlineStr">
        <is>
          <t>Pass</t>
        </is>
      </c>
      <c r="X9" s="46" t="inlineStr">
        <is>
          <t>Pass</t>
        </is>
      </c>
      <c r="Y9" s="46" t="inlineStr">
        <is>
          <t>Pass</t>
        </is>
      </c>
      <c r="Z9" s="26">
        <f>IF(B9="","",IF(COUNTIF(F9:G9,"Fail")&gt;0,1,0))</f>
        <v/>
      </c>
      <c r="AA9" s="26">
        <f>IF(B9="","",IF(COUNTIF(H9:S9,"Fail")&gt;0,1,0))</f>
        <v/>
      </c>
      <c r="AB9" s="26">
        <f>IF(B9="","",IF(COUNTIF(T9:Y9,"Fail")&gt;0,1,0))</f>
        <v/>
      </c>
      <c r="AC9" s="27">
        <f>IF(B9="","",0.1*Z9+0.8*AA9+0.1*AB9)</f>
        <v/>
      </c>
      <c r="AD9" s="27">
        <f>IF(B9="","",IF(C9="Batch 1",0.3,0.2))</f>
        <v/>
      </c>
      <c r="AE9" s="19">
        <f>IF(B9="","",IF(AC9&lt;=AD9,"Đạt","Không đạt"))</f>
        <v/>
      </c>
      <c r="AF9" s="43" t="inlineStr">
        <is>
          <t>Đạt toàn bộ tiêu chí.</t>
        </is>
      </c>
    </row>
    <row r="10" ht="30" customHeight="1" s="36">
      <c r="A10" s="17" t="n">
        <v>9</v>
      </c>
      <c r="B10" s="44" t="inlineStr">
        <is>
          <t>TCKH.V_CUST_STATUS_NEW</t>
        </is>
      </c>
      <c r="C10" s="45" t="inlineStr">
        <is>
          <t>Batch 2</t>
        </is>
      </c>
      <c r="D10" s="45" t="inlineStr">
        <is>
          <t>BAOANH</t>
        </is>
      </c>
      <c r="E10" s="45" t="inlineStr">
        <is>
          <t>2026-08-06</t>
        </is>
      </c>
      <c r="F10" s="46" t="inlineStr">
        <is>
          <t>Pass</t>
        </is>
      </c>
      <c r="G10" s="46" t="inlineStr">
        <is>
          <t>Pass</t>
        </is>
      </c>
      <c r="H10" s="46" t="inlineStr">
        <is>
          <t>Pass</t>
        </is>
      </c>
      <c r="I10" s="46" t="inlineStr">
        <is>
          <t>Pass</t>
        </is>
      </c>
      <c r="J10" s="46" t="inlineStr">
        <is>
          <t>Pass</t>
        </is>
      </c>
      <c r="K10" s="46" t="inlineStr">
        <is>
          <t>Pass</t>
        </is>
      </c>
      <c r="L10" s="46" t="inlineStr">
        <is>
          <t>Pass</t>
        </is>
      </c>
      <c r="M10" s="46" t="inlineStr">
        <is>
          <t>Pass</t>
        </is>
      </c>
      <c r="N10" s="46" t="inlineStr">
        <is>
          <t>Pass</t>
        </is>
      </c>
      <c r="O10" s="46" t="inlineStr">
        <is>
          <t>Pass</t>
        </is>
      </c>
      <c r="P10" s="46" t="inlineStr">
        <is>
          <t>Pass</t>
        </is>
      </c>
      <c r="Q10" s="46" t="inlineStr">
        <is>
          <t>Pass</t>
        </is>
      </c>
      <c r="R10" s="46" t="inlineStr">
        <is>
          <t>Pass</t>
        </is>
      </c>
      <c r="S10" s="46" t="inlineStr">
        <is>
          <t>Pass</t>
        </is>
      </c>
      <c r="T10" s="46" t="inlineStr">
        <is>
          <t>Pass</t>
        </is>
      </c>
      <c r="U10" s="46" t="inlineStr">
        <is>
          <t>Pass</t>
        </is>
      </c>
      <c r="V10" s="46" t="inlineStr">
        <is>
          <t>Pass</t>
        </is>
      </c>
      <c r="W10" s="46" t="inlineStr">
        <is>
          <t>Pass</t>
        </is>
      </c>
      <c r="X10" s="46" t="inlineStr">
        <is>
          <t>Pass</t>
        </is>
      </c>
      <c r="Y10" s="46" t="inlineStr">
        <is>
          <t>Pass</t>
        </is>
      </c>
      <c r="Z10" s="26">
        <f>IF(B10="","",IF(COUNTIF(F10:G10,"Fail")&gt;0,1,0))</f>
        <v/>
      </c>
      <c r="AA10" s="26">
        <f>IF(B10="","",IF(COUNTIF(H10:S10,"Fail")&gt;0,1,0))</f>
        <v/>
      </c>
      <c r="AB10" s="26">
        <f>IF(B10="","",IF(COUNTIF(T10:Y10,"Fail")&gt;0,1,0))</f>
        <v/>
      </c>
      <c r="AC10" s="27">
        <f>IF(B10="","",0.1*Z10+0.8*AA10+0.1*AB10)</f>
        <v/>
      </c>
      <c r="AD10" s="27">
        <f>IF(B10="","",IF(C10="Batch 1",0.3,0.2))</f>
        <v/>
      </c>
      <c r="AE10" s="19">
        <f>IF(B10="","",IF(AC10&lt;=AD10,"Đạt","Không đạt"))</f>
        <v/>
      </c>
      <c r="AF10" s="43" t="inlineStr">
        <is>
          <t>Đạt toàn bộ tiêu chí.</t>
        </is>
      </c>
    </row>
    <row r="11" ht="30" customHeight="1" s="36">
      <c r="A11" s="17" t="n">
        <v>10</v>
      </c>
      <c r="B11" s="44" t="inlineStr">
        <is>
          <t>TCKH.V_FTP_003</t>
        </is>
      </c>
      <c r="C11" s="45" t="inlineStr">
        <is>
          <t>Batch 2</t>
        </is>
      </c>
      <c r="D11" s="45" t="inlineStr">
        <is>
          <t>PHAT</t>
        </is>
      </c>
      <c r="E11" s="45" t="inlineStr">
        <is>
          <t>2026-08-06</t>
        </is>
      </c>
      <c r="F11" s="46" t="inlineStr">
        <is>
          <t>Pass</t>
        </is>
      </c>
      <c r="G11" s="46" t="inlineStr">
        <is>
          <t>Pass</t>
        </is>
      </c>
      <c r="H11" s="46" t="inlineStr">
        <is>
          <t>Pass</t>
        </is>
      </c>
      <c r="I11" s="46" t="inlineStr">
        <is>
          <t>Pass</t>
        </is>
      </c>
      <c r="J11" s="46" t="inlineStr">
        <is>
          <t>Pass</t>
        </is>
      </c>
      <c r="K11" s="46" t="inlineStr">
        <is>
          <t>Pass</t>
        </is>
      </c>
      <c r="L11" s="46" t="inlineStr">
        <is>
          <t>Pass</t>
        </is>
      </c>
      <c r="M11" s="46" t="inlineStr">
        <is>
          <t>Pass</t>
        </is>
      </c>
      <c r="N11" s="46" t="inlineStr">
        <is>
          <t>Pass</t>
        </is>
      </c>
      <c r="O11" s="46" t="inlineStr">
        <is>
          <t>Pass</t>
        </is>
      </c>
      <c r="P11" s="46" t="inlineStr">
        <is>
          <t>Pass</t>
        </is>
      </c>
      <c r="Q11" s="46" t="inlineStr">
        <is>
          <t>Pass</t>
        </is>
      </c>
      <c r="R11" s="46" t="inlineStr">
        <is>
          <t>Pass</t>
        </is>
      </c>
      <c r="S11" s="46" t="inlineStr">
        <is>
          <t>WARN</t>
        </is>
      </c>
      <c r="T11" s="46" t="inlineStr">
        <is>
          <t>Pass</t>
        </is>
      </c>
      <c r="U11" s="46" t="inlineStr">
        <is>
          <t>Pass</t>
        </is>
      </c>
      <c r="V11" s="46" t="inlineStr">
        <is>
          <t>Pass</t>
        </is>
      </c>
      <c r="W11" s="46" t="inlineStr">
        <is>
          <t>Pass</t>
        </is>
      </c>
      <c r="X11" s="46" t="inlineStr">
        <is>
          <t>Pass</t>
        </is>
      </c>
      <c r="Y11" s="46" t="inlineStr">
        <is>
          <t>Pass</t>
        </is>
      </c>
      <c r="Z11" s="26">
        <f>IF(B11="","",IF(COUNTIF(F11:G11,"Fail")&gt;0,1,0))</f>
        <v/>
      </c>
      <c r="AA11" s="26">
        <f>IF(B11="","",IF(COUNTIF(H11:S11,"Fail")&gt;0,1,0))</f>
        <v/>
      </c>
      <c r="AB11" s="26">
        <f>IF(B11="","",IF(COUNTIF(T11:Y11,"Fail")&gt;0,1,0))</f>
        <v/>
      </c>
      <c r="AC11" s="27">
        <f>IF(B11="","",0.1*Z11+0.8*AA11+0.1*AB11)</f>
        <v/>
      </c>
      <c r="AD11" s="27">
        <f>IF(B11="","",IF(C11="Batch 1",0.3,0.2))</f>
        <v/>
      </c>
      <c r="AE11" s="19">
        <f>IF(B11="","",IF(AC11&lt;=AD11,"Đạt","Không đạt"))</f>
        <v/>
      </c>
      <c r="AF11" s="43" t="inlineStr">
        <is>
          <t>╔══ WARN: 1 tiêu chí — 2.12
▼ 2.12 — Build Gold từ CTE snapshot Silver, không build nhiều tầng chồng chéo
   • bảng bị đọc lại ở nhiều khối SELECT, xét gom thành 1 CTE: calendar ở 2 khối</t>
        </is>
      </c>
    </row>
    <row r="12" ht="30" customHeight="1" s="36">
      <c r="A12" s="17" t="n">
        <v>11</v>
      </c>
      <c r="B12" s="44" t="inlineStr">
        <is>
          <t>TCKH.V_HT_CP_UPL</t>
        </is>
      </c>
      <c r="C12" s="45" t="inlineStr">
        <is>
          <t>Batch 2</t>
        </is>
      </c>
      <c r="D12" s="45" t="inlineStr">
        <is>
          <t>PHAT</t>
        </is>
      </c>
      <c r="E12" s="45" t="inlineStr">
        <is>
          <t>2026-08-06</t>
        </is>
      </c>
      <c r="F12" s="46" t="inlineStr">
        <is>
          <t>Pass</t>
        </is>
      </c>
      <c r="G12" s="46" t="inlineStr">
        <is>
          <t>Pass</t>
        </is>
      </c>
      <c r="H12" s="46" t="inlineStr">
        <is>
          <t>Pass</t>
        </is>
      </c>
      <c r="I12" s="46" t="inlineStr">
        <is>
          <t>Pass</t>
        </is>
      </c>
      <c r="J12" s="46" t="inlineStr">
        <is>
          <t>Pass</t>
        </is>
      </c>
      <c r="K12" s="46" t="inlineStr">
        <is>
          <t>Pass</t>
        </is>
      </c>
      <c r="L12" s="46" t="inlineStr">
        <is>
          <t>Pass</t>
        </is>
      </c>
      <c r="M12" s="46" t="inlineStr">
        <is>
          <t>Pass</t>
        </is>
      </c>
      <c r="N12" s="46" t="inlineStr">
        <is>
          <t>Pass</t>
        </is>
      </c>
      <c r="O12" s="46" t="inlineStr">
        <is>
          <t>Pass</t>
        </is>
      </c>
      <c r="P12" s="46" t="inlineStr">
        <is>
          <t>Pass</t>
        </is>
      </c>
      <c r="Q12" s="46" t="inlineStr">
        <is>
          <t>Pass</t>
        </is>
      </c>
      <c r="R12" s="46" t="inlineStr">
        <is>
          <t>Pass</t>
        </is>
      </c>
      <c r="S12" s="46" t="inlineStr">
        <is>
          <t>Pass</t>
        </is>
      </c>
      <c r="T12" s="46" t="inlineStr">
        <is>
          <t>Pass</t>
        </is>
      </c>
      <c r="U12" s="46" t="inlineStr">
        <is>
          <t>Pass</t>
        </is>
      </c>
      <c r="V12" s="46" t="inlineStr">
        <is>
          <t>Pass</t>
        </is>
      </c>
      <c r="W12" s="46" t="inlineStr">
        <is>
          <t>Pass</t>
        </is>
      </c>
      <c r="X12" s="46" t="inlineStr">
        <is>
          <t>Pass</t>
        </is>
      </c>
      <c r="Y12" s="46" t="inlineStr">
        <is>
          <t>Pass</t>
        </is>
      </c>
      <c r="Z12" s="26">
        <f>IF(B12="","",IF(COUNTIF(F12:G12,"Fail")&gt;0,1,0))</f>
        <v/>
      </c>
      <c r="AA12" s="26">
        <f>IF(B12="","",IF(COUNTIF(H12:S12,"Fail")&gt;0,1,0))</f>
        <v/>
      </c>
      <c r="AB12" s="26">
        <f>IF(B12="","",IF(COUNTIF(T12:Y12,"Fail")&gt;0,1,0))</f>
        <v/>
      </c>
      <c r="AC12" s="27">
        <f>IF(B12="","",0.1*Z12+0.8*AA12+0.1*AB12)</f>
        <v/>
      </c>
      <c r="AD12" s="27">
        <f>IF(B12="","",IF(C12="Batch 1",0.3,0.2))</f>
        <v/>
      </c>
      <c r="AE12" s="19">
        <f>IF(B12="","",IF(AC12&lt;=AD12,"Đạt","Không đạt"))</f>
        <v/>
      </c>
      <c r="AF12" s="43" t="inlineStr">
        <is>
          <t>Đạt toàn bộ tiêu chí.</t>
        </is>
      </c>
    </row>
    <row r="13" ht="30" customHeight="1" s="36">
      <c r="A13" s="17" t="n">
        <v>13</v>
      </c>
      <c r="B13" s="44" t="inlineStr">
        <is>
          <t>TCKH.V_LOAN_BY_PRD_DAILY</t>
        </is>
      </c>
      <c r="C13" s="45" t="inlineStr">
        <is>
          <t>Batch 2</t>
        </is>
      </c>
      <c r="D13" s="45" t="inlineStr">
        <is>
          <t>PHAT</t>
        </is>
      </c>
      <c r="E13" s="45" t="inlineStr">
        <is>
          <t>2026-08-06</t>
        </is>
      </c>
      <c r="F13" s="46" t="inlineStr">
        <is>
          <t>Pass</t>
        </is>
      </c>
      <c r="G13" s="46" t="inlineStr">
        <is>
          <t>Pass</t>
        </is>
      </c>
      <c r="H13" s="46" t="inlineStr">
        <is>
          <t>Pass</t>
        </is>
      </c>
      <c r="I13" s="46" t="inlineStr">
        <is>
          <t>Pass</t>
        </is>
      </c>
      <c r="J13" s="46" t="inlineStr">
        <is>
          <t>Pass</t>
        </is>
      </c>
      <c r="K13" s="46" t="inlineStr">
        <is>
          <t>Pass</t>
        </is>
      </c>
      <c r="L13" s="46" t="inlineStr">
        <is>
          <t>Pass</t>
        </is>
      </c>
      <c r="M13" s="46" t="inlineStr">
        <is>
          <t>Pass</t>
        </is>
      </c>
      <c r="N13" s="46" t="inlineStr">
        <is>
          <t>Pass</t>
        </is>
      </c>
      <c r="O13" s="46" t="inlineStr">
        <is>
          <t>Pass</t>
        </is>
      </c>
      <c r="P13" s="46" t="inlineStr">
        <is>
          <t>Pass</t>
        </is>
      </c>
      <c r="Q13" s="46" t="inlineStr">
        <is>
          <t>Pass</t>
        </is>
      </c>
      <c r="R13" s="46" t="inlineStr">
        <is>
          <t>WARN</t>
        </is>
      </c>
      <c r="S13" s="46" t="inlineStr">
        <is>
          <t>Pass</t>
        </is>
      </c>
      <c r="T13" s="46" t="inlineStr">
        <is>
          <t>Pass</t>
        </is>
      </c>
      <c r="U13" s="46" t="inlineStr">
        <is>
          <t>WARN</t>
        </is>
      </c>
      <c r="V13" s="46" t="inlineStr">
        <is>
          <t>Pass</t>
        </is>
      </c>
      <c r="W13" s="46" t="inlineStr">
        <is>
          <t>WARN</t>
        </is>
      </c>
      <c r="X13" s="46" t="inlineStr">
        <is>
          <t>Pass</t>
        </is>
      </c>
      <c r="Y13" s="46" t="inlineStr">
        <is>
          <t>Pass</t>
        </is>
      </c>
      <c r="Z13" s="26">
        <f>IF(B13="","",IF(COUNTIF(F13:G13,"Fail")&gt;0,1,0))</f>
        <v/>
      </c>
      <c r="AA13" s="26">
        <f>IF(B13="","",IF(COUNTIF(H13:S13,"Fail")&gt;0,1,0))</f>
        <v/>
      </c>
      <c r="AB13" s="26">
        <f>IF(B13="","",IF(COUNTIF(T13:Y13,"Fail")&gt;0,1,0))</f>
        <v/>
      </c>
      <c r="AC13" s="27">
        <f>IF(B13="","",0.1*Z13+0.8*AA13+0.1*AB13)</f>
        <v/>
      </c>
      <c r="AD13" s="27">
        <f>IF(B13="","",IF(C13="Batch 1",0.3,0.2))</f>
        <v/>
      </c>
      <c r="AE13" s="19">
        <f>IF(B13="","",IF(AC13&lt;=AD13,"Đạt","Không đạt"))</f>
        <v/>
      </c>
      <c r="AF13" s="43" t="inlineStr">
        <is>
          <t>╔══ WARN: 3 tiêu chí — 2.11, 3.2, 3.4
▼ 2.11 — Join dùng key hợp lý, không lạm dụng UNION ALL + EXISTS/NOT EXISTS
   • join không có điều kiện bằng (=): ['T']
▼ 3.2 — CTE không bị scan lại nhiều lần
   • CTE bị tham chiếu lại nhiều lần: ar_dtl_daily x7, loan_base x2, loan_prd x2
▼ 3.4 — Sử dụng CACHE cho query lặp lại trong cùng luồng
   • 3 CTE nặng dùng lại &gt;= 2 lần mà không có CACHE: ar_dtl_daily, loan_base, loan_prd</t>
        </is>
      </c>
    </row>
    <row r="14" ht="30" customHeight="1" s="36">
      <c r="A14" s="17" t="n">
        <v>16</v>
      </c>
      <c r="B14" s="44" t="inlineStr">
        <is>
          <t>TCKH.V_PLA_CPHD_UPL</t>
        </is>
      </c>
      <c r="C14" s="45" t="inlineStr">
        <is>
          <t>Batch 2</t>
        </is>
      </c>
      <c r="D14" s="45" t="inlineStr">
        <is>
          <t>QUANG</t>
        </is>
      </c>
      <c r="E14" s="45" t="inlineStr">
        <is>
          <t>2026-08-06</t>
        </is>
      </c>
      <c r="F14" s="46" t="inlineStr">
        <is>
          <t>Pass</t>
        </is>
      </c>
      <c r="G14" s="46" t="inlineStr">
        <is>
          <t>Pass</t>
        </is>
      </c>
      <c r="H14" s="46" t="inlineStr">
        <is>
          <t>Pass</t>
        </is>
      </c>
      <c r="I14" s="46" t="inlineStr">
        <is>
          <t>Pass</t>
        </is>
      </c>
      <c r="J14" s="46" t="inlineStr">
        <is>
          <t>Pass</t>
        </is>
      </c>
      <c r="K14" s="46" t="inlineStr">
        <is>
          <t>Pass</t>
        </is>
      </c>
      <c r="L14" s="46" t="inlineStr">
        <is>
          <t>Pass</t>
        </is>
      </c>
      <c r="M14" s="46" t="inlineStr">
        <is>
          <t>Pass</t>
        </is>
      </c>
      <c r="N14" s="46" t="inlineStr">
        <is>
          <t>Pass</t>
        </is>
      </c>
      <c r="O14" s="46" t="inlineStr">
        <is>
          <t>Pass</t>
        </is>
      </c>
      <c r="P14" s="46" t="inlineStr">
        <is>
          <t>Pass</t>
        </is>
      </c>
      <c r="Q14" s="46" t="inlineStr">
        <is>
          <t>Pass</t>
        </is>
      </c>
      <c r="R14" s="46" t="inlineStr">
        <is>
          <t>Pass</t>
        </is>
      </c>
      <c r="S14" s="46" t="inlineStr">
        <is>
          <t>Pass</t>
        </is>
      </c>
      <c r="T14" s="46" t="inlineStr">
        <is>
          <t>Pass</t>
        </is>
      </c>
      <c r="U14" s="46" t="inlineStr">
        <is>
          <t>Pass</t>
        </is>
      </c>
      <c r="V14" s="46" t="inlineStr">
        <is>
          <t>Pass</t>
        </is>
      </c>
      <c r="W14" s="46" t="inlineStr">
        <is>
          <t>Pass</t>
        </is>
      </c>
      <c r="X14" s="46" t="inlineStr">
        <is>
          <t>Pass</t>
        </is>
      </c>
      <c r="Y14" s="46" t="inlineStr">
        <is>
          <t>Pass</t>
        </is>
      </c>
      <c r="Z14" s="26">
        <f>IF(B14="","",IF(COUNTIF(F14:G14,"Fail")&gt;0,1,0))</f>
        <v/>
      </c>
      <c r="AA14" s="26">
        <f>IF(B14="","",IF(COUNTIF(H14:S14,"Fail")&gt;0,1,0))</f>
        <v/>
      </c>
      <c r="AB14" s="26">
        <f>IF(B14="","",IF(COUNTIF(T14:Y14,"Fail")&gt;0,1,0))</f>
        <v/>
      </c>
      <c r="AC14" s="27">
        <f>IF(B14="","",0.1*Z14+0.8*AA14+0.1*AB14)</f>
        <v/>
      </c>
      <c r="AD14" s="27">
        <f>IF(B14="","",IF(C14="Batch 1",0.3,0.2))</f>
        <v/>
      </c>
      <c r="AE14" s="19">
        <f>IF(B14="","",IF(AC14&lt;=AD14,"Đạt","Không đạt"))</f>
        <v/>
      </c>
      <c r="AF14" s="43" t="inlineStr">
        <is>
          <t>Đạt toàn bộ tiêu chí.</t>
        </is>
      </c>
    </row>
    <row r="15" ht="30" customHeight="1" s="36">
      <c r="A15" s="17" t="n">
        <v>17</v>
      </c>
      <c r="B15" s="44" t="inlineStr">
        <is>
          <t>TCKH.V_PLA_NIM_UPL</t>
        </is>
      </c>
      <c r="C15" s="45" t="inlineStr">
        <is>
          <t>Batch 2</t>
        </is>
      </c>
      <c r="D15" s="45" t="inlineStr">
        <is>
          <t>QUANG</t>
        </is>
      </c>
      <c r="E15" s="45" t="inlineStr">
        <is>
          <t>2026-08-06</t>
        </is>
      </c>
      <c r="F15" s="46" t="inlineStr">
        <is>
          <t>Pass</t>
        </is>
      </c>
      <c r="G15" s="46" t="inlineStr">
        <is>
          <t>Pass</t>
        </is>
      </c>
      <c r="H15" s="46" t="inlineStr">
        <is>
          <t>Pass</t>
        </is>
      </c>
      <c r="I15" s="46" t="inlineStr">
        <is>
          <t>Pass</t>
        </is>
      </c>
      <c r="J15" s="46" t="inlineStr">
        <is>
          <t>Pass</t>
        </is>
      </c>
      <c r="K15" s="46" t="inlineStr">
        <is>
          <t>Pass</t>
        </is>
      </c>
      <c r="L15" s="46" t="inlineStr">
        <is>
          <t>Pass</t>
        </is>
      </c>
      <c r="M15" s="46" t="inlineStr">
        <is>
          <t>Pass</t>
        </is>
      </c>
      <c r="N15" s="46" t="inlineStr">
        <is>
          <t>Pass</t>
        </is>
      </c>
      <c r="O15" s="46" t="inlineStr">
        <is>
          <t>Pass</t>
        </is>
      </c>
      <c r="P15" s="46" t="inlineStr">
        <is>
          <t>Pass</t>
        </is>
      </c>
      <c r="Q15" s="46" t="inlineStr">
        <is>
          <t>Pass</t>
        </is>
      </c>
      <c r="R15" s="46" t="inlineStr">
        <is>
          <t>Pass</t>
        </is>
      </c>
      <c r="S15" s="46" t="inlineStr">
        <is>
          <t>Pass</t>
        </is>
      </c>
      <c r="T15" s="46" t="inlineStr">
        <is>
          <t>Pass</t>
        </is>
      </c>
      <c r="U15" s="46" t="inlineStr">
        <is>
          <t>Pass</t>
        </is>
      </c>
      <c r="V15" s="46" t="inlineStr">
        <is>
          <t>Pass</t>
        </is>
      </c>
      <c r="W15" s="46" t="inlineStr">
        <is>
          <t>Pass</t>
        </is>
      </c>
      <c r="X15" s="46" t="inlineStr">
        <is>
          <t>Pass</t>
        </is>
      </c>
      <c r="Y15" s="46" t="inlineStr">
        <is>
          <t>Pass</t>
        </is>
      </c>
      <c r="Z15" s="26">
        <f>IF(B15="","",IF(COUNTIF(F15:G15,"Fail")&gt;0,1,0))</f>
        <v/>
      </c>
      <c r="AA15" s="26">
        <f>IF(B15="","",IF(COUNTIF(H15:S15,"Fail")&gt;0,1,0))</f>
        <v/>
      </c>
      <c r="AB15" s="26">
        <f>IF(B15="","",IF(COUNTIF(T15:Y15,"Fail")&gt;0,1,0))</f>
        <v/>
      </c>
      <c r="AC15" s="27">
        <f>IF(B15="","",0.1*Z15+0.8*AA15+0.1*AB15)</f>
        <v/>
      </c>
      <c r="AD15" s="27">
        <f>IF(B15="","",IF(C15="Batch 1",0.3,0.2))</f>
        <v/>
      </c>
      <c r="AE15" s="19">
        <f>IF(B15="","",IF(AC15&lt;=AD15,"Đạt","Không đạt"))</f>
        <v/>
      </c>
      <c r="AF15" s="43" t="inlineStr">
        <is>
          <t>Đạt toàn bộ tiêu chí.</t>
        </is>
      </c>
    </row>
    <row r="16" ht="30" customHeight="1" s="36">
      <c r="A16" s="17" t="n">
        <v>18</v>
      </c>
      <c r="B16" s="44" t="inlineStr">
        <is>
          <t>TCKH.V_PLA_QUYMO_CHUNG_UPL</t>
        </is>
      </c>
      <c r="C16" s="45" t="inlineStr">
        <is>
          <t>Batch 2</t>
        </is>
      </c>
      <c r="D16" s="45" t="inlineStr">
        <is>
          <t>QUANG</t>
        </is>
      </c>
      <c r="E16" s="45" t="inlineStr">
        <is>
          <t>2026-08-06</t>
        </is>
      </c>
      <c r="F16" s="46" t="inlineStr">
        <is>
          <t>Pass</t>
        </is>
      </c>
      <c r="G16" s="46" t="inlineStr">
        <is>
          <t>Pass</t>
        </is>
      </c>
      <c r="H16" s="46" t="inlineStr">
        <is>
          <t>Pass</t>
        </is>
      </c>
      <c r="I16" s="46" t="inlineStr">
        <is>
          <t>Pass</t>
        </is>
      </c>
      <c r="J16" s="46" t="inlineStr">
        <is>
          <t>Pass</t>
        </is>
      </c>
      <c r="K16" s="46" t="inlineStr">
        <is>
          <t>Pass</t>
        </is>
      </c>
      <c r="L16" s="46" t="inlineStr">
        <is>
          <t>Pass</t>
        </is>
      </c>
      <c r="M16" s="46" t="inlineStr">
        <is>
          <t>Pass</t>
        </is>
      </c>
      <c r="N16" s="46" t="inlineStr">
        <is>
          <t>Pass</t>
        </is>
      </c>
      <c r="O16" s="46" t="inlineStr">
        <is>
          <t>Pass</t>
        </is>
      </c>
      <c r="P16" s="46" t="inlineStr">
        <is>
          <t>Pass</t>
        </is>
      </c>
      <c r="Q16" s="46" t="inlineStr">
        <is>
          <t>Pass</t>
        </is>
      </c>
      <c r="R16" s="46" t="inlineStr">
        <is>
          <t>Pass</t>
        </is>
      </c>
      <c r="S16" s="46" t="inlineStr">
        <is>
          <t>Pass</t>
        </is>
      </c>
      <c r="T16" s="46" t="inlineStr">
        <is>
          <t>Pass</t>
        </is>
      </c>
      <c r="U16" s="46" t="inlineStr">
        <is>
          <t>Pass</t>
        </is>
      </c>
      <c r="V16" s="46" t="inlineStr">
        <is>
          <t>Pass</t>
        </is>
      </c>
      <c r="W16" s="46" t="inlineStr">
        <is>
          <t>Pass</t>
        </is>
      </c>
      <c r="X16" s="46" t="inlineStr">
        <is>
          <t>Pass</t>
        </is>
      </c>
      <c r="Y16" s="46" t="inlineStr">
        <is>
          <t>Pass</t>
        </is>
      </c>
      <c r="Z16" s="26">
        <f>IF(B16="","",IF(COUNTIF(F16:G16,"Fail")&gt;0,1,0))</f>
        <v/>
      </c>
      <c r="AA16" s="26">
        <f>IF(B16="","",IF(COUNTIF(H16:S16,"Fail")&gt;0,1,0))</f>
        <v/>
      </c>
      <c r="AB16" s="26">
        <f>IF(B16="","",IF(COUNTIF(T16:Y16,"Fail")&gt;0,1,0))</f>
        <v/>
      </c>
      <c r="AC16" s="27">
        <f>IF(B16="","",0.1*Z16+0.8*AA16+0.1*AB16)</f>
        <v/>
      </c>
      <c r="AD16" s="27">
        <f>IF(B16="","",IF(C16="Batch 1",0.3,0.2))</f>
        <v/>
      </c>
      <c r="AE16" s="19">
        <f>IF(B16="","",IF(AC16&lt;=AD16,"Đạt","Không đạt"))</f>
        <v/>
      </c>
      <c r="AF16" s="43" t="inlineStr">
        <is>
          <t>Đạt toàn bộ tiêu chí.</t>
        </is>
      </c>
    </row>
    <row r="17" ht="30" customHeight="1" s="36">
      <c r="A17" s="17" t="n">
        <v>19</v>
      </c>
      <c r="B17" s="44" t="inlineStr">
        <is>
          <t>TCKH.V_PLA_QUYMO_NOXAU_UPL</t>
        </is>
      </c>
      <c r="C17" s="45" t="inlineStr">
        <is>
          <t>Batch 2</t>
        </is>
      </c>
      <c r="D17" s="45" t="inlineStr">
        <is>
          <t>QUANG</t>
        </is>
      </c>
      <c r="E17" s="45" t="inlineStr">
        <is>
          <t>2026-08-06</t>
        </is>
      </c>
      <c r="F17" s="46" t="inlineStr">
        <is>
          <t>Pass</t>
        </is>
      </c>
      <c r="G17" s="46" t="inlineStr">
        <is>
          <t>Pass</t>
        </is>
      </c>
      <c r="H17" s="46" t="inlineStr">
        <is>
          <t>Pass</t>
        </is>
      </c>
      <c r="I17" s="46" t="inlineStr">
        <is>
          <t>Pass</t>
        </is>
      </c>
      <c r="J17" s="46" t="inlineStr">
        <is>
          <t>Pass</t>
        </is>
      </c>
      <c r="K17" s="46" t="inlineStr">
        <is>
          <t>Pass</t>
        </is>
      </c>
      <c r="L17" s="46" t="inlineStr">
        <is>
          <t>Pass</t>
        </is>
      </c>
      <c r="M17" s="46" t="inlineStr">
        <is>
          <t>Pass</t>
        </is>
      </c>
      <c r="N17" s="46" t="inlineStr">
        <is>
          <t>Pass</t>
        </is>
      </c>
      <c r="O17" s="46" t="inlineStr">
        <is>
          <t>Pass</t>
        </is>
      </c>
      <c r="P17" s="46" t="inlineStr">
        <is>
          <t>Pass</t>
        </is>
      </c>
      <c r="Q17" s="46" t="inlineStr">
        <is>
          <t>Pass</t>
        </is>
      </c>
      <c r="R17" s="46" t="inlineStr">
        <is>
          <t>Pass</t>
        </is>
      </c>
      <c r="S17" s="46" t="inlineStr">
        <is>
          <t>Pass</t>
        </is>
      </c>
      <c r="T17" s="46" t="inlineStr">
        <is>
          <t>Pass</t>
        </is>
      </c>
      <c r="U17" s="46" t="inlineStr">
        <is>
          <t>Pass</t>
        </is>
      </c>
      <c r="V17" s="46" t="inlineStr">
        <is>
          <t>Pass</t>
        </is>
      </c>
      <c r="W17" s="46" t="inlineStr">
        <is>
          <t>Pass</t>
        </is>
      </c>
      <c r="X17" s="46" t="inlineStr">
        <is>
          <t>Pass</t>
        </is>
      </c>
      <c r="Y17" s="46" t="inlineStr">
        <is>
          <t>Pass</t>
        </is>
      </c>
      <c r="Z17" s="26">
        <f>IF(B17="","",IF(COUNTIF(F17:G17,"Fail")&gt;0,1,0))</f>
        <v/>
      </c>
      <c r="AA17" s="26">
        <f>IF(B17="","",IF(COUNTIF(H17:S17,"Fail")&gt;0,1,0))</f>
        <v/>
      </c>
      <c r="AB17" s="26">
        <f>IF(B17="","",IF(COUNTIF(T17:Y17,"Fail")&gt;0,1,0))</f>
        <v/>
      </c>
      <c r="AC17" s="27">
        <f>IF(B17="","",0.1*Z17+0.8*AA17+0.1*AB17)</f>
        <v/>
      </c>
      <c r="AD17" s="27">
        <f>IF(B17="","",IF(C17="Batch 1",0.3,0.2))</f>
        <v/>
      </c>
      <c r="AE17" s="19">
        <f>IF(B17="","",IF(AC17&lt;=AD17,"Đạt","Không đạt"))</f>
        <v/>
      </c>
      <c r="AF17" s="43" t="inlineStr">
        <is>
          <t>Đạt toàn bộ tiêu chí.</t>
        </is>
      </c>
    </row>
    <row r="18" ht="30" customHeight="1" s="36">
      <c r="A18" s="17" t="n">
        <v>20</v>
      </c>
      <c r="B18" s="44" t="inlineStr">
        <is>
          <t>TCKH.V_PLA_THUTHUAN_UPL</t>
        </is>
      </c>
      <c r="C18" s="45" t="inlineStr">
        <is>
          <t>Batch 2</t>
        </is>
      </c>
      <c r="D18" s="45" t="inlineStr">
        <is>
          <t>QUANG</t>
        </is>
      </c>
      <c r="E18" s="45" t="inlineStr">
        <is>
          <t>2026-08-06</t>
        </is>
      </c>
      <c r="F18" s="46" t="inlineStr">
        <is>
          <t>Pass</t>
        </is>
      </c>
      <c r="G18" s="46" t="inlineStr">
        <is>
          <t>Pass</t>
        </is>
      </c>
      <c r="H18" s="46" t="inlineStr">
        <is>
          <t>Pass</t>
        </is>
      </c>
      <c r="I18" s="46" t="inlineStr">
        <is>
          <t>Pass</t>
        </is>
      </c>
      <c r="J18" s="46" t="inlineStr">
        <is>
          <t>Pass</t>
        </is>
      </c>
      <c r="K18" s="46" t="inlineStr">
        <is>
          <t>Pass</t>
        </is>
      </c>
      <c r="L18" s="46" t="inlineStr">
        <is>
          <t>Pass</t>
        </is>
      </c>
      <c r="M18" s="46" t="inlineStr">
        <is>
          <t>Pass</t>
        </is>
      </c>
      <c r="N18" s="46" t="inlineStr">
        <is>
          <t>Pass</t>
        </is>
      </c>
      <c r="O18" s="46" t="inlineStr">
        <is>
          <t>Pass</t>
        </is>
      </c>
      <c r="P18" s="46" t="inlineStr">
        <is>
          <t>Pass</t>
        </is>
      </c>
      <c r="Q18" s="46" t="inlineStr">
        <is>
          <t>Pass</t>
        </is>
      </c>
      <c r="R18" s="46" t="inlineStr">
        <is>
          <t>Pass</t>
        </is>
      </c>
      <c r="S18" s="46" t="inlineStr">
        <is>
          <t>Pass</t>
        </is>
      </c>
      <c r="T18" s="46" t="inlineStr">
        <is>
          <t>Pass</t>
        </is>
      </c>
      <c r="U18" s="46" t="inlineStr">
        <is>
          <t>Pass</t>
        </is>
      </c>
      <c r="V18" s="46" t="inlineStr">
        <is>
          <t>Pass</t>
        </is>
      </c>
      <c r="W18" s="46" t="inlineStr">
        <is>
          <t>Pass</t>
        </is>
      </c>
      <c r="X18" s="46" t="inlineStr">
        <is>
          <t>Pass</t>
        </is>
      </c>
      <c r="Y18" s="46" t="inlineStr">
        <is>
          <t>Pass</t>
        </is>
      </c>
      <c r="Z18" s="26">
        <f>IF(B18="","",IF(COUNTIF(F18:G18,"Fail")&gt;0,1,0))</f>
        <v/>
      </c>
      <c r="AA18" s="26">
        <f>IF(B18="","",IF(COUNTIF(H18:S18,"Fail")&gt;0,1,0))</f>
        <v/>
      </c>
      <c r="AB18" s="26">
        <f>IF(B18="","",IF(COUNTIF(T18:Y18,"Fail")&gt;0,1,0))</f>
        <v/>
      </c>
      <c r="AC18" s="27">
        <f>IF(B18="","",0.1*Z18+0.8*AA18+0.1*AB18)</f>
        <v/>
      </c>
      <c r="AD18" s="27">
        <f>IF(B18="","",IF(C18="Batch 1",0.3,0.2))</f>
        <v/>
      </c>
      <c r="AE18" s="19">
        <f>IF(B18="","",IF(AC18&lt;=AD18,"Đạt","Không đạt"))</f>
        <v/>
      </c>
      <c r="AF18" s="43" t="inlineStr">
        <is>
          <t>Đạt toàn bộ tiêu chí.</t>
        </is>
      </c>
    </row>
    <row r="19" ht="30" customHeight="1" s="36">
      <c r="A19" s="17" t="n">
        <v>24</v>
      </c>
      <c r="B19" s="44" t="inlineStr">
        <is>
          <t>TCKH.V_PR_COLLECTION</t>
        </is>
      </c>
      <c r="C19" s="45" t="inlineStr">
        <is>
          <t>Batch 2</t>
        </is>
      </c>
      <c r="D19" s="45" t="inlineStr">
        <is>
          <t>PHAT</t>
        </is>
      </c>
      <c r="E19" s="45" t="inlineStr">
        <is>
          <t>2026-08-06</t>
        </is>
      </c>
      <c r="F19" s="46" t="inlineStr">
        <is>
          <t>Pass</t>
        </is>
      </c>
      <c r="G19" s="46" t="inlineStr">
        <is>
          <t>Pass</t>
        </is>
      </c>
      <c r="H19" s="46" t="inlineStr">
        <is>
          <t>Pass</t>
        </is>
      </c>
      <c r="I19" s="46" t="inlineStr">
        <is>
          <t>Pass</t>
        </is>
      </c>
      <c r="J19" s="46" t="inlineStr">
        <is>
          <t>WARN</t>
        </is>
      </c>
      <c r="K19" s="46" t="inlineStr">
        <is>
          <t>Pass</t>
        </is>
      </c>
      <c r="L19" s="46" t="inlineStr">
        <is>
          <t>Pass</t>
        </is>
      </c>
      <c r="M19" s="46" t="inlineStr">
        <is>
          <t>Pass</t>
        </is>
      </c>
      <c r="N19" s="46" t="inlineStr">
        <is>
          <t>Pass</t>
        </is>
      </c>
      <c r="O19" s="46" t="inlineStr">
        <is>
          <t>WARN</t>
        </is>
      </c>
      <c r="P19" s="46" t="inlineStr">
        <is>
          <t>Pass</t>
        </is>
      </c>
      <c r="Q19" s="46" t="inlineStr">
        <is>
          <t>Pass</t>
        </is>
      </c>
      <c r="R19" s="46" t="inlineStr">
        <is>
          <t>WARN</t>
        </is>
      </c>
      <c r="S19" s="46" t="inlineStr">
        <is>
          <t>Fail</t>
        </is>
      </c>
      <c r="T19" s="46" t="inlineStr">
        <is>
          <t>Pass</t>
        </is>
      </c>
      <c r="U19" s="46" t="inlineStr">
        <is>
          <t>Pass</t>
        </is>
      </c>
      <c r="V19" s="46" t="inlineStr">
        <is>
          <t>Pass</t>
        </is>
      </c>
      <c r="W19" s="46" t="inlineStr">
        <is>
          <t>Pass</t>
        </is>
      </c>
      <c r="X19" s="46" t="inlineStr">
        <is>
          <t>Pass</t>
        </is>
      </c>
      <c r="Y19" s="46" t="inlineStr">
        <is>
          <t>Pass</t>
        </is>
      </c>
      <c r="Z19" s="26">
        <f>IF(B19="","",IF(COUNTIF(F19:G19,"Fail")&gt;0,1,0))</f>
        <v/>
      </c>
      <c r="AA19" s="26">
        <f>IF(B19="","",IF(COUNTIF(H19:S19,"Fail")&gt;0,1,0))</f>
        <v/>
      </c>
      <c r="AB19" s="26">
        <f>IF(B19="","",IF(COUNTIF(T19:Y19,"Fail")&gt;0,1,0))</f>
        <v/>
      </c>
      <c r="AC19" s="27">
        <f>IF(B19="","",0.1*Z19+0.8*AA19+0.1*AB19)</f>
        <v/>
      </c>
      <c r="AD19" s="27">
        <f>IF(B19="","",IF(C19="Batch 1",0.3,0.2))</f>
        <v/>
      </c>
      <c r="AE19" s="19">
        <f>IF(B19="","",IF(AC19&lt;=AD19,"Đạt","Không đạt"))</f>
        <v/>
      </c>
      <c r="AF19" s="43" t="inlineStr">
        <is>
          <t>╔══ FAIL: 1 tiêu chí — 2.12
▼ 2.12 — Build Gold từ CTE snapshot Silver, không build nhiều tầng chồng chéo
   • Lý do: bảng Silver bị đọc ở nhiều khối SELECT khác nhau thay vì snapshot 1 CTE: raw_vault.hub_account ở 3 khối
   → Cách sửa: Mỗi bảng Silver chỉ đọc MỘT lần, snapshot vào một CTE ở đầu script rồi dùng lại. Đọc trực tiếp cùng một bảng raw_vault ở 2 chỗ khác nhau làm lệch thời điểm dữ liệu giữa các phần của cùng một script.
╔══ WARN: 3 tiêu chí — 2.3, 2.8, 2.11
▼ 2.3 — Điều kiện lọc trạng thái đặt SAU khi xác định bản ghi mới nhất
   • với INNER JOIN thì tương đương WHERE nên chưa sai kết quả, vẫn nên chuyển ra ngoài: ['source_event_date'] nằm trong ON của INNER JOIN ha; ['source_event_date'] nằm trong ON của INNER JOIN ha; ['source_event_date'] nằm trong ON của INNER JOIN ha
▼ 2.8 — Cột SUM/COUNT được COALESCE/NVL hợp lý
   • 1 biểu thức tổng hợp chưa coalesce: SUM(AMOUNT_LCY)
   • khi đối soát với hệ thống cũ phải bọc NVL/ISNULL CẢ HAI phía để không lệch khi trừ (Checklist RVN-OCB #11)
▼ 2.11 — Join dùng key hợp lý, không lạm dụng UNION ALL + EXISTS/NOT EXISTS
   • dùng đồng thời UNION ALL và EXISTS ở dòng [77, 93, 114, 135], xét thay bằng LEFT JOIN</t>
        </is>
      </c>
    </row>
    <row r="20" ht="30" customHeight="1" s="36">
      <c r="A20" s="17" t="n">
        <v>25</v>
      </c>
      <c r="B20" s="44" t="inlineStr">
        <is>
          <t>TCKH.V_P_CP_BDH_UPL</t>
        </is>
      </c>
      <c r="C20" s="45" t="inlineStr">
        <is>
          <t>Batch 2</t>
        </is>
      </c>
      <c r="D20" s="45" t="inlineStr">
        <is>
          <t>PHAT</t>
        </is>
      </c>
      <c r="E20" s="45" t="inlineStr">
        <is>
          <t>2026-08-06</t>
        </is>
      </c>
      <c r="F20" s="46" t="inlineStr">
        <is>
          <t>Pass</t>
        </is>
      </c>
      <c r="G20" s="46" t="inlineStr">
        <is>
          <t>Pass</t>
        </is>
      </c>
      <c r="H20" s="46" t="inlineStr">
        <is>
          <t>Pass</t>
        </is>
      </c>
      <c r="I20" s="46" t="inlineStr">
        <is>
          <t>Pass</t>
        </is>
      </c>
      <c r="J20" s="46" t="inlineStr">
        <is>
          <t>Pass</t>
        </is>
      </c>
      <c r="K20" s="46" t="inlineStr">
        <is>
          <t>Pass</t>
        </is>
      </c>
      <c r="L20" s="46" t="inlineStr">
        <is>
          <t>Pass</t>
        </is>
      </c>
      <c r="M20" s="46" t="inlineStr">
        <is>
          <t>Pass</t>
        </is>
      </c>
      <c r="N20" s="46" t="inlineStr">
        <is>
          <t>Pass</t>
        </is>
      </c>
      <c r="O20" s="46" t="inlineStr">
        <is>
          <t>Pass</t>
        </is>
      </c>
      <c r="P20" s="46" t="inlineStr">
        <is>
          <t>Pass</t>
        </is>
      </c>
      <c r="Q20" s="46" t="inlineStr">
        <is>
          <t>Pass</t>
        </is>
      </c>
      <c r="R20" s="46" t="inlineStr">
        <is>
          <t>Pass</t>
        </is>
      </c>
      <c r="S20" s="46" t="inlineStr">
        <is>
          <t>Pass</t>
        </is>
      </c>
      <c r="T20" s="46" t="inlineStr">
        <is>
          <t>Pass</t>
        </is>
      </c>
      <c r="U20" s="46" t="inlineStr">
        <is>
          <t>Pass</t>
        </is>
      </c>
      <c r="V20" s="46" t="inlineStr">
        <is>
          <t>Pass</t>
        </is>
      </c>
      <c r="W20" s="46" t="inlineStr">
        <is>
          <t>Pass</t>
        </is>
      </c>
      <c r="X20" s="46" t="inlineStr">
        <is>
          <t>Pass</t>
        </is>
      </c>
      <c r="Y20" s="46" t="inlineStr">
        <is>
          <t>Pass</t>
        </is>
      </c>
      <c r="Z20" s="26">
        <f>IF(B20="","",IF(COUNTIF(F20:G20,"Fail")&gt;0,1,0))</f>
        <v/>
      </c>
      <c r="AA20" s="26">
        <f>IF(B20="","",IF(COUNTIF(H20:S20,"Fail")&gt;0,1,0))</f>
        <v/>
      </c>
      <c r="AB20" s="26">
        <f>IF(B20="","",IF(COUNTIF(T20:Y20,"Fail")&gt;0,1,0))</f>
        <v/>
      </c>
      <c r="AC20" s="27">
        <f>IF(B20="","",0.1*Z20+0.8*AA20+0.1*AB20)</f>
        <v/>
      </c>
      <c r="AD20" s="27">
        <f>IF(B20="","",IF(C20="Batch 1",0.3,0.2))</f>
        <v/>
      </c>
      <c r="AE20" s="19">
        <f>IF(B20="","",IF(AC20&lt;=AD20,"Đạt","Không đạt"))</f>
        <v/>
      </c>
      <c r="AF20" s="43" t="inlineStr">
        <is>
          <t>Đạt toàn bộ tiêu chí.</t>
        </is>
      </c>
    </row>
    <row r="21" ht="30" customHeight="1" s="36">
      <c r="A21" s="17" t="n">
        <v>26</v>
      </c>
      <c r="B21" s="44" t="inlineStr">
        <is>
          <t>TCKH.V_P_REGION_CPHD_UPL</t>
        </is>
      </c>
      <c r="C21" s="45" t="inlineStr">
        <is>
          <t>Batch 2</t>
        </is>
      </c>
      <c r="D21" s="45" t="inlineStr">
        <is>
          <t>PHAT</t>
        </is>
      </c>
      <c r="E21" s="45" t="inlineStr">
        <is>
          <t>2026-08-06</t>
        </is>
      </c>
      <c r="F21" s="46" t="inlineStr">
        <is>
          <t>Pass</t>
        </is>
      </c>
      <c r="G21" s="46" t="inlineStr">
        <is>
          <t>Pass</t>
        </is>
      </c>
      <c r="H21" s="46" t="inlineStr">
        <is>
          <t>Pass</t>
        </is>
      </c>
      <c r="I21" s="46" t="inlineStr">
        <is>
          <t>Pass</t>
        </is>
      </c>
      <c r="J21" s="46" t="inlineStr">
        <is>
          <t>Pass</t>
        </is>
      </c>
      <c r="K21" s="46" t="inlineStr">
        <is>
          <t>Pass</t>
        </is>
      </c>
      <c r="L21" s="46" t="inlineStr">
        <is>
          <t>Pass</t>
        </is>
      </c>
      <c r="M21" s="46" t="inlineStr">
        <is>
          <t>Pass</t>
        </is>
      </c>
      <c r="N21" s="46" t="inlineStr">
        <is>
          <t>Pass</t>
        </is>
      </c>
      <c r="O21" s="46" t="inlineStr">
        <is>
          <t>Pass</t>
        </is>
      </c>
      <c r="P21" s="46" t="inlineStr">
        <is>
          <t>Pass</t>
        </is>
      </c>
      <c r="Q21" s="46" t="inlineStr">
        <is>
          <t>Pass</t>
        </is>
      </c>
      <c r="R21" s="46" t="inlineStr">
        <is>
          <t>Pass</t>
        </is>
      </c>
      <c r="S21" s="46" t="inlineStr">
        <is>
          <t>Pass</t>
        </is>
      </c>
      <c r="T21" s="46" t="inlineStr">
        <is>
          <t>Pass</t>
        </is>
      </c>
      <c r="U21" s="46" t="inlineStr">
        <is>
          <t>Pass</t>
        </is>
      </c>
      <c r="V21" s="46" t="inlineStr">
        <is>
          <t>Pass</t>
        </is>
      </c>
      <c r="W21" s="46" t="inlineStr">
        <is>
          <t>Pass</t>
        </is>
      </c>
      <c r="X21" s="46" t="inlineStr">
        <is>
          <t>Pass</t>
        </is>
      </c>
      <c r="Y21" s="46" t="inlineStr">
        <is>
          <t>Pass</t>
        </is>
      </c>
      <c r="Z21" s="26">
        <f>IF(B21="","",IF(COUNTIF(F21:G21,"Fail")&gt;0,1,0))</f>
        <v/>
      </c>
      <c r="AA21" s="26">
        <f>IF(B21="","",IF(COUNTIF(H21:S21,"Fail")&gt;0,1,0))</f>
        <v/>
      </c>
      <c r="AB21" s="26">
        <f>IF(B21="","",IF(COUNTIF(T21:Y21,"Fail")&gt;0,1,0))</f>
        <v/>
      </c>
      <c r="AC21" s="27">
        <f>IF(B21="","",0.1*Z21+0.8*AA21+0.1*AB21)</f>
        <v/>
      </c>
      <c r="AD21" s="27">
        <f>IF(B21="","",IF(C21="Batch 1",0.3,0.2))</f>
        <v/>
      </c>
      <c r="AE21" s="19">
        <f>IF(B21="","",IF(AC21&lt;=AD21,"Đạt","Không đạt"))</f>
        <v/>
      </c>
      <c r="AF21" s="43" t="inlineStr">
        <is>
          <t>Đạt toàn bộ tiêu chí.</t>
        </is>
      </c>
    </row>
    <row r="22" ht="30" customHeight="1" s="36">
      <c r="A22" s="17" t="n">
        <v>27</v>
      </c>
      <c r="B22" s="44" t="inlineStr">
        <is>
          <t>TCKH.V_SBV</t>
        </is>
      </c>
      <c r="C22" s="45" t="inlineStr">
        <is>
          <t>Batch 2</t>
        </is>
      </c>
      <c r="D22" s="45" t="inlineStr">
        <is>
          <t>BAOANH</t>
        </is>
      </c>
      <c r="E22" s="45" t="inlineStr">
        <is>
          <t>2026-08-06</t>
        </is>
      </c>
      <c r="F22" s="46" t="inlineStr">
        <is>
          <t>Pass</t>
        </is>
      </c>
      <c r="G22" s="46" t="inlineStr">
        <is>
          <t>Pass</t>
        </is>
      </c>
      <c r="H22" s="46" t="inlineStr">
        <is>
          <t>Pass</t>
        </is>
      </c>
      <c r="I22" s="46" t="inlineStr">
        <is>
          <t>Pass</t>
        </is>
      </c>
      <c r="J22" s="46" t="inlineStr">
        <is>
          <t>Pass</t>
        </is>
      </c>
      <c r="K22" s="46" t="inlineStr">
        <is>
          <t>Pass</t>
        </is>
      </c>
      <c r="L22" s="46" t="inlineStr">
        <is>
          <t>Pass</t>
        </is>
      </c>
      <c r="M22" s="46" t="inlineStr">
        <is>
          <t>Pass</t>
        </is>
      </c>
      <c r="N22" s="46" t="inlineStr">
        <is>
          <t>Pass</t>
        </is>
      </c>
      <c r="O22" s="46" t="inlineStr">
        <is>
          <t>Pass</t>
        </is>
      </c>
      <c r="P22" s="46" t="inlineStr">
        <is>
          <t>Pass</t>
        </is>
      </c>
      <c r="Q22" s="46" t="inlineStr">
        <is>
          <t>Pass</t>
        </is>
      </c>
      <c r="R22" s="46" t="inlineStr">
        <is>
          <t>Pass</t>
        </is>
      </c>
      <c r="S22" s="46" t="inlineStr">
        <is>
          <t>Pass</t>
        </is>
      </c>
      <c r="T22" s="46" t="inlineStr">
        <is>
          <t>Pass</t>
        </is>
      </c>
      <c r="U22" s="46" t="inlineStr">
        <is>
          <t>Pass</t>
        </is>
      </c>
      <c r="V22" s="46" t="inlineStr">
        <is>
          <t>Pass</t>
        </is>
      </c>
      <c r="W22" s="46" t="inlineStr">
        <is>
          <t>Pass</t>
        </is>
      </c>
      <c r="X22" s="46" t="inlineStr">
        <is>
          <t>Pass</t>
        </is>
      </c>
      <c r="Y22" s="46" t="inlineStr">
        <is>
          <t>Pass</t>
        </is>
      </c>
      <c r="Z22" s="26">
        <f>IF(B22="","",IF(COUNTIF(F22:G22,"Fail")&gt;0,1,0))</f>
        <v/>
      </c>
      <c r="AA22" s="26">
        <f>IF(B22="","",IF(COUNTIF(H22:S22,"Fail")&gt;0,1,0))</f>
        <v/>
      </c>
      <c r="AB22" s="26">
        <f>IF(B22="","",IF(COUNTIF(T22:Y22,"Fail")&gt;0,1,0))</f>
        <v/>
      </c>
      <c r="AC22" s="27">
        <f>IF(B22="","",0.1*Z22+0.8*AA22+0.1*AB22)</f>
        <v/>
      </c>
      <c r="AD22" s="27">
        <f>IF(B22="","",IF(C22="Batch 1",0.3,0.2))</f>
        <v/>
      </c>
      <c r="AE22" s="19">
        <f>IF(B22="","",IF(AC22&lt;=AD22,"Đạt","Không đạt"))</f>
        <v/>
      </c>
      <c r="AF22" s="43" t="inlineStr">
        <is>
          <t>Đạt toàn bộ tiêu chí.</t>
        </is>
      </c>
    </row>
    <row r="23" ht="30" customHeight="1" s="36">
      <c r="A23" s="17" t="n">
        <v>28</v>
      </c>
      <c r="B23" s="44" t="inlineStr">
        <is>
          <t>TCKH.V_SLGD</t>
        </is>
      </c>
      <c r="C23" s="45" t="inlineStr">
        <is>
          <t>Batch 2</t>
        </is>
      </c>
      <c r="D23" s="45" t="inlineStr">
        <is>
          <t>HOP</t>
        </is>
      </c>
      <c r="E23" s="45" t="inlineStr">
        <is>
          <t>2026-08-06</t>
        </is>
      </c>
      <c r="F23" s="46" t="inlineStr">
        <is>
          <t>Pass</t>
        </is>
      </c>
      <c r="G23" s="46" t="inlineStr">
        <is>
          <t>Pass</t>
        </is>
      </c>
      <c r="H23" s="46" t="inlineStr">
        <is>
          <t>Pass</t>
        </is>
      </c>
      <c r="I23" s="46" t="inlineStr">
        <is>
          <t>Pass</t>
        </is>
      </c>
      <c r="J23" s="46" t="inlineStr">
        <is>
          <t>Pass</t>
        </is>
      </c>
      <c r="K23" s="46" t="inlineStr">
        <is>
          <t>Pass</t>
        </is>
      </c>
      <c r="L23" s="46" t="inlineStr">
        <is>
          <t>Pass</t>
        </is>
      </c>
      <c r="M23" s="46" t="inlineStr">
        <is>
          <t>Pass</t>
        </is>
      </c>
      <c r="N23" s="46" t="inlineStr">
        <is>
          <t>Pass</t>
        </is>
      </c>
      <c r="O23" s="46" t="inlineStr">
        <is>
          <t>WARN</t>
        </is>
      </c>
      <c r="P23" s="46" t="inlineStr">
        <is>
          <t>Pass</t>
        </is>
      </c>
      <c r="Q23" s="46" t="inlineStr">
        <is>
          <t>Pass</t>
        </is>
      </c>
      <c r="R23" s="46" t="inlineStr">
        <is>
          <t>Pass</t>
        </is>
      </c>
      <c r="S23" s="46" t="inlineStr">
        <is>
          <t>Pass</t>
        </is>
      </c>
      <c r="T23" s="46" t="inlineStr">
        <is>
          <t>Pass</t>
        </is>
      </c>
      <c r="U23" s="46" t="inlineStr">
        <is>
          <t>Pass</t>
        </is>
      </c>
      <c r="V23" s="46" t="inlineStr">
        <is>
          <t>Pass</t>
        </is>
      </c>
      <c r="W23" s="46" t="inlineStr">
        <is>
          <t>Pass</t>
        </is>
      </c>
      <c r="X23" s="46" t="inlineStr">
        <is>
          <t>Pass</t>
        </is>
      </c>
      <c r="Y23" s="46" t="inlineStr">
        <is>
          <t>Pass</t>
        </is>
      </c>
      <c r="Z23" s="26">
        <f>IF(B23="","",IF(COUNTIF(F23:G23,"Fail")&gt;0,1,0))</f>
        <v/>
      </c>
      <c r="AA23" s="26">
        <f>IF(B23="","",IF(COUNTIF(H23:S23,"Fail")&gt;0,1,0))</f>
        <v/>
      </c>
      <c r="AB23" s="26">
        <f>IF(B23="","",IF(COUNTIF(T23:Y23,"Fail")&gt;0,1,0))</f>
        <v/>
      </c>
      <c r="AC23" s="27">
        <f>IF(B23="","",0.1*Z23+0.8*AA23+0.1*AB23)</f>
        <v/>
      </c>
      <c r="AD23" s="27">
        <f>IF(B23="","",IF(C23="Batch 1",0.3,0.2))</f>
        <v/>
      </c>
      <c r="AE23" s="19">
        <f>IF(B23="","",IF(AC23&lt;=AD23,"Đạt","Không đạt"))</f>
        <v/>
      </c>
      <c r="AF23" s="43" t="inlineStr">
        <is>
          <t>╔══ WARN: 1 tiêu chí — 2.8
▼ 2.8 — Cột SUM/COUNT được COALESCE/NVL hợp lý
   • 1 biểu thức tổng hợp chưa coalesce: TOTAL_SLGD = SUM(SO_LUONG_GD)
   • khi đối soát với hệ thống cũ phải bọc NVL/ISNULL CẢ HAI phía để không lệch khi trừ (Checklist RVN-OCB #11)</t>
        </is>
      </c>
    </row>
    <row r="24" ht="30" customHeight="1" s="36">
      <c r="A24" s="17" t="n">
        <v>29</v>
      </c>
      <c r="B24" s="44" t="inlineStr">
        <is>
          <t>TCKH.V_SLNV_UPL</t>
        </is>
      </c>
      <c r="C24" s="45" t="inlineStr">
        <is>
          <t>Batch 2</t>
        </is>
      </c>
      <c r="D24" s="45" t="inlineStr">
        <is>
          <t>HOP</t>
        </is>
      </c>
      <c r="E24" s="45" t="inlineStr">
        <is>
          <t>2026-08-06</t>
        </is>
      </c>
      <c r="F24" s="46" t="inlineStr">
        <is>
          <t>Pass</t>
        </is>
      </c>
      <c r="G24" s="46" t="inlineStr">
        <is>
          <t>Pass</t>
        </is>
      </c>
      <c r="H24" s="46" t="inlineStr">
        <is>
          <t>Pass</t>
        </is>
      </c>
      <c r="I24" s="46" t="inlineStr">
        <is>
          <t>Pass</t>
        </is>
      </c>
      <c r="J24" s="46" t="inlineStr">
        <is>
          <t>Pass</t>
        </is>
      </c>
      <c r="K24" s="46" t="inlineStr">
        <is>
          <t>Pass</t>
        </is>
      </c>
      <c r="L24" s="46" t="inlineStr">
        <is>
          <t>Pass</t>
        </is>
      </c>
      <c r="M24" s="46" t="inlineStr">
        <is>
          <t>Pass</t>
        </is>
      </c>
      <c r="N24" s="46" t="inlineStr">
        <is>
          <t>Pass</t>
        </is>
      </c>
      <c r="O24" s="46" t="inlineStr">
        <is>
          <t>WARN</t>
        </is>
      </c>
      <c r="P24" s="46" t="inlineStr">
        <is>
          <t>Pass</t>
        </is>
      </c>
      <c r="Q24" s="46" t="inlineStr">
        <is>
          <t>Pass</t>
        </is>
      </c>
      <c r="R24" s="46" t="inlineStr">
        <is>
          <t>Pass</t>
        </is>
      </c>
      <c r="S24" s="46" t="inlineStr">
        <is>
          <t>Pass</t>
        </is>
      </c>
      <c r="T24" s="46" t="inlineStr">
        <is>
          <t>Pass</t>
        </is>
      </c>
      <c r="U24" s="46" t="inlineStr">
        <is>
          <t>Pass</t>
        </is>
      </c>
      <c r="V24" s="46" t="inlineStr">
        <is>
          <t>Pass</t>
        </is>
      </c>
      <c r="W24" s="46" t="inlineStr">
        <is>
          <t>Pass</t>
        </is>
      </c>
      <c r="X24" s="46" t="inlineStr">
        <is>
          <t>Pass</t>
        </is>
      </c>
      <c r="Y24" s="46" t="inlineStr">
        <is>
          <t>Pass</t>
        </is>
      </c>
      <c r="Z24" s="26">
        <f>IF(B24="","",IF(COUNTIF(F24:G24,"Fail")&gt;0,1,0))</f>
        <v/>
      </c>
      <c r="AA24" s="26">
        <f>IF(B24="","",IF(COUNTIF(H24:S24,"Fail")&gt;0,1,0))</f>
        <v/>
      </c>
      <c r="AB24" s="26">
        <f>IF(B24="","",IF(COUNTIF(T24:Y24,"Fail")&gt;0,1,0))</f>
        <v/>
      </c>
      <c r="AC24" s="27">
        <f>IF(B24="","",0.1*Z24+0.8*AA24+0.1*AB24)</f>
        <v/>
      </c>
      <c r="AD24" s="27">
        <f>IF(B24="","",IF(C24="Batch 1",0.3,0.2))</f>
        <v/>
      </c>
      <c r="AE24" s="19">
        <f>IF(B24="","",IF(AC24&lt;=AD24,"Đạt","Không đạt"))</f>
        <v/>
      </c>
      <c r="AF24" s="43" t="inlineStr">
        <is>
          <t>╔══ WARN: 1 tiêu chí — 2.8
▼ 2.8 — Cột SUM/COUNT được COALESCE/NVL hợp lý
   • 4 biểu thức tổng hợp chưa coalesce: TotalByBranchCode = SUM(S.SO_LUONG); TotalByKVQL = SUM(S.SO_LUONG); TotalByPRNCode = SUM(S.SO_LUONG); TotalByPhong = SUM(S.SO_LUONG)
   • khi đối soát với hệ thống cũ phải bọc NVL/ISNULL CẢ HAI phía để không lệch khi trừ (Checklist RVN-OCB #11)</t>
        </is>
      </c>
    </row>
    <row r="25" ht="30" customHeight="1" s="36">
      <c r="A25" s="17" t="n">
        <v>30</v>
      </c>
      <c r="B25" s="44" t="inlineStr">
        <is>
          <t>TCKH.V_T24_CRB_FULLLIST</t>
        </is>
      </c>
      <c r="C25" s="45" t="inlineStr">
        <is>
          <t>Batch 2</t>
        </is>
      </c>
      <c r="D25" s="45" t="inlineStr">
        <is>
          <t>PHAT</t>
        </is>
      </c>
      <c r="E25" s="45" t="inlineStr">
        <is>
          <t>2026-08-06</t>
        </is>
      </c>
      <c r="F25" s="46" t="inlineStr">
        <is>
          <t>Pass</t>
        </is>
      </c>
      <c r="G25" s="46" t="inlineStr">
        <is>
          <t>Pass</t>
        </is>
      </c>
      <c r="H25" s="46" t="inlineStr">
        <is>
          <t>Pass</t>
        </is>
      </c>
      <c r="I25" s="46" t="inlineStr">
        <is>
          <t>Pass</t>
        </is>
      </c>
      <c r="J25" s="46" t="inlineStr">
        <is>
          <t>Pass</t>
        </is>
      </c>
      <c r="K25" s="46" t="inlineStr">
        <is>
          <t>Pass</t>
        </is>
      </c>
      <c r="L25" s="46" t="inlineStr">
        <is>
          <t>Pass</t>
        </is>
      </c>
      <c r="M25" s="46" t="inlineStr">
        <is>
          <t>Pass</t>
        </is>
      </c>
      <c r="N25" s="46" t="inlineStr">
        <is>
          <t>Pass</t>
        </is>
      </c>
      <c r="O25" s="46" t="inlineStr">
        <is>
          <t>Pass</t>
        </is>
      </c>
      <c r="P25" s="46" t="inlineStr">
        <is>
          <t>Pass</t>
        </is>
      </c>
      <c r="Q25" s="46" t="inlineStr">
        <is>
          <t>Pass</t>
        </is>
      </c>
      <c r="R25" s="46" t="inlineStr">
        <is>
          <t>Pass</t>
        </is>
      </c>
      <c r="S25" s="46" t="inlineStr">
        <is>
          <t>Pass</t>
        </is>
      </c>
      <c r="T25" s="46" t="inlineStr">
        <is>
          <t>Pass</t>
        </is>
      </c>
      <c r="U25" s="46" t="inlineStr">
        <is>
          <t>WARN</t>
        </is>
      </c>
      <c r="V25" s="46" t="inlineStr">
        <is>
          <t>WARN</t>
        </is>
      </c>
      <c r="W25" s="46" t="inlineStr">
        <is>
          <t>WARN</t>
        </is>
      </c>
      <c r="X25" s="46" t="inlineStr">
        <is>
          <t>Pass</t>
        </is>
      </c>
      <c r="Y25" s="46" t="inlineStr">
        <is>
          <t>Pass</t>
        </is>
      </c>
      <c r="Z25" s="26">
        <f>IF(B25="","",IF(COUNTIF(F25:G25,"Fail")&gt;0,1,0))</f>
        <v/>
      </c>
      <c r="AA25" s="26">
        <f>IF(B25="","",IF(COUNTIF(H25:S25,"Fail")&gt;0,1,0))</f>
        <v/>
      </c>
      <c r="AB25" s="26">
        <f>IF(B25="","",IF(COUNTIF(T25:Y25,"Fail")&gt;0,1,0))</f>
        <v/>
      </c>
      <c r="AC25" s="27">
        <f>IF(B25="","",0.1*Z25+0.8*AA25+0.1*AB25)</f>
        <v/>
      </c>
      <c r="AD25" s="27">
        <f>IF(B25="","",IF(C25="Batch 1",0.3,0.2))</f>
        <v/>
      </c>
      <c r="AE25" s="19">
        <f>IF(B25="","",IF(AC25&lt;=AD25,"Đạt","Không đạt"))</f>
        <v/>
      </c>
      <c r="AF25" s="43" t="inlineStr">
        <is>
          <t>╔══ WARN: 3 tiêu chí — 3.2, 3.3, 3.4
▼ 3.2 — CTE không bị scan lại nhiều lần
   • CTE bị tham chiếu lại nhiều lần: security_sts_del x2
▼ 3.3 — Filter trước khi join, tận dụng partition pruning
   • 1 bảng join trực tiếp mà không có filter riêng: branch_list (C)
▼ 3.4 — Sử dụng CACHE cho query lặp lại trong cùng luồng
   • 1 CTE nặng dùng lại &gt;= 2 lần mà không có CACHE: security_sts_del</t>
        </is>
      </c>
    </row>
    <row r="26" ht="30" customHeight="1" s="36">
      <c r="A26" s="17" t="n">
        <v>31</v>
      </c>
      <c r="B26" s="44" t="inlineStr">
        <is>
          <t>TCKH.V_T24_CUSTOMER_NEW</t>
        </is>
      </c>
      <c r="C26" s="45" t="inlineStr">
        <is>
          <t>Batch 2</t>
        </is>
      </c>
      <c r="D26" s="45" t="inlineStr">
        <is>
          <t>BAOANH</t>
        </is>
      </c>
      <c r="E26" s="45" t="inlineStr">
        <is>
          <t>2026-08-06</t>
        </is>
      </c>
      <c r="F26" s="46" t="inlineStr">
        <is>
          <t>Pass</t>
        </is>
      </c>
      <c r="G26" s="46" t="inlineStr">
        <is>
          <t>Pass</t>
        </is>
      </c>
      <c r="H26" s="46" t="inlineStr">
        <is>
          <t>Pass</t>
        </is>
      </c>
      <c r="I26" s="46" t="inlineStr">
        <is>
          <t>Pass</t>
        </is>
      </c>
      <c r="J26" s="46" t="inlineStr">
        <is>
          <t>Pass</t>
        </is>
      </c>
      <c r="K26" s="46" t="inlineStr">
        <is>
          <t>Pass</t>
        </is>
      </c>
      <c r="L26" s="46" t="inlineStr">
        <is>
          <t>Pass</t>
        </is>
      </c>
      <c r="M26" s="46" t="inlineStr">
        <is>
          <t>Pass</t>
        </is>
      </c>
      <c r="N26" s="46" t="inlineStr">
        <is>
          <t>Pass</t>
        </is>
      </c>
      <c r="O26" s="46" t="inlineStr">
        <is>
          <t>Pass</t>
        </is>
      </c>
      <c r="P26" s="46" t="inlineStr">
        <is>
          <t>Pass</t>
        </is>
      </c>
      <c r="Q26" s="46" t="inlineStr">
        <is>
          <t>Pass</t>
        </is>
      </c>
      <c r="R26" s="46" t="inlineStr">
        <is>
          <t>Pass</t>
        </is>
      </c>
      <c r="S26" s="46" t="inlineStr">
        <is>
          <t>Pass</t>
        </is>
      </c>
      <c r="T26" s="46" t="inlineStr">
        <is>
          <t>Pass</t>
        </is>
      </c>
      <c r="U26" s="46" t="inlineStr">
        <is>
          <t>Pass</t>
        </is>
      </c>
      <c r="V26" s="46" t="inlineStr">
        <is>
          <t>Pass</t>
        </is>
      </c>
      <c r="W26" s="46" t="inlineStr">
        <is>
          <t>Pass</t>
        </is>
      </c>
      <c r="X26" s="46" t="inlineStr">
        <is>
          <t>Pass</t>
        </is>
      </c>
      <c r="Y26" s="46" t="inlineStr">
        <is>
          <t>Pass</t>
        </is>
      </c>
      <c r="Z26" s="26">
        <f>IF(B26="","",IF(COUNTIF(F26:G26,"Fail")&gt;0,1,0))</f>
        <v/>
      </c>
      <c r="AA26" s="26">
        <f>IF(B26="","",IF(COUNTIF(H26:S26,"Fail")&gt;0,1,0))</f>
        <v/>
      </c>
      <c r="AB26" s="26">
        <f>IF(B26="","",IF(COUNTIF(T26:Y26,"Fail")&gt;0,1,0))</f>
        <v/>
      </c>
      <c r="AC26" s="27">
        <f>IF(B26="","",0.1*Z26+0.8*AA26+0.1*AB26)</f>
        <v/>
      </c>
      <c r="AD26" s="27">
        <f>IF(B26="","",IF(C26="Batch 1",0.3,0.2))</f>
        <v/>
      </c>
      <c r="AE26" s="19">
        <f>IF(B26="","",IF(AC26&lt;=AD26,"Đạt","Không đạt"))</f>
        <v/>
      </c>
      <c r="AF26" s="43" t="inlineStr">
        <is>
          <t>Đạt toàn bộ tiêu chí.</t>
        </is>
      </c>
    </row>
    <row r="27" ht="30" customHeight="1" s="36">
      <c r="A27" s="17" t="n">
        <v>36</v>
      </c>
      <c r="B27" s="44" t="inlineStr">
        <is>
          <t>TCKH.V_TB_NIM</t>
        </is>
      </c>
      <c r="C27" s="45" t="inlineStr">
        <is>
          <t>Batch 2</t>
        </is>
      </c>
      <c r="D27" s="45" t="inlineStr">
        <is>
          <t>HOP</t>
        </is>
      </c>
      <c r="E27" s="45" t="inlineStr">
        <is>
          <t>2026-08-06</t>
        </is>
      </c>
      <c r="F27" s="46" t="inlineStr">
        <is>
          <t>Pass</t>
        </is>
      </c>
      <c r="G27" s="46" t="inlineStr">
        <is>
          <t>Pass</t>
        </is>
      </c>
      <c r="H27" s="46" t="inlineStr">
        <is>
          <t>Pass</t>
        </is>
      </c>
      <c r="I27" s="46" t="inlineStr">
        <is>
          <t>Pass</t>
        </is>
      </c>
      <c r="J27" s="46" t="inlineStr">
        <is>
          <t>Pass</t>
        </is>
      </c>
      <c r="K27" s="46" t="inlineStr">
        <is>
          <t>Pass</t>
        </is>
      </c>
      <c r="L27" s="46" t="inlineStr">
        <is>
          <t>Pass</t>
        </is>
      </c>
      <c r="M27" s="46" t="inlineStr">
        <is>
          <t>Pass</t>
        </is>
      </c>
      <c r="N27" s="46" t="inlineStr">
        <is>
          <t>Pass</t>
        </is>
      </c>
      <c r="O27" s="46" t="inlineStr">
        <is>
          <t>Pass</t>
        </is>
      </c>
      <c r="P27" s="46" t="inlineStr">
        <is>
          <t>Pass</t>
        </is>
      </c>
      <c r="Q27" s="46" t="inlineStr">
        <is>
          <t>Pass</t>
        </is>
      </c>
      <c r="R27" s="46" t="inlineStr">
        <is>
          <t>Pass</t>
        </is>
      </c>
      <c r="S27" s="46" t="inlineStr">
        <is>
          <t>Pass</t>
        </is>
      </c>
      <c r="T27" s="46" t="inlineStr">
        <is>
          <t>Pass</t>
        </is>
      </c>
      <c r="U27" s="46" t="inlineStr">
        <is>
          <t>Pass</t>
        </is>
      </c>
      <c r="V27" s="46" t="inlineStr">
        <is>
          <t>Pass</t>
        </is>
      </c>
      <c r="W27" s="46" t="inlineStr">
        <is>
          <t>Pass</t>
        </is>
      </c>
      <c r="X27" s="46" t="inlineStr">
        <is>
          <t>Pass</t>
        </is>
      </c>
      <c r="Y27" s="46" t="inlineStr">
        <is>
          <t>Pass</t>
        </is>
      </c>
      <c r="Z27" s="26">
        <f>IF(B27="","",IF(COUNTIF(F27:G27,"Fail")&gt;0,1,0))</f>
        <v/>
      </c>
      <c r="AA27" s="26">
        <f>IF(B27="","",IF(COUNTIF(H27:S27,"Fail")&gt;0,1,0))</f>
        <v/>
      </c>
      <c r="AB27" s="26">
        <f>IF(B27="","",IF(COUNTIF(T27:Y27,"Fail")&gt;0,1,0))</f>
        <v/>
      </c>
      <c r="AC27" s="27">
        <f>IF(B27="","",0.1*Z27+0.8*AA27+0.1*AB27)</f>
        <v/>
      </c>
      <c r="AD27" s="27">
        <f>IF(B27="","",IF(C27="Batch 1",0.3,0.2))</f>
        <v/>
      </c>
      <c r="AE27" s="19">
        <f>IF(B27="","",IF(AC27&lt;=AD27,"Đạt","Không đạt"))</f>
        <v/>
      </c>
      <c r="AF27" s="43" t="inlineStr">
        <is>
          <t>Đạt toàn bộ tiêu chí.</t>
        </is>
      </c>
    </row>
    <row r="28" ht="30" customHeight="1" s="36">
      <c r="A28" s="17" t="n">
        <v>37</v>
      </c>
      <c r="B28" s="44" t="inlineStr">
        <is>
          <t>TCKH.V_USD_RATE</t>
        </is>
      </c>
      <c r="C28" s="45" t="inlineStr">
        <is>
          <t>Batch 2</t>
        </is>
      </c>
      <c r="D28" s="45" t="inlineStr">
        <is>
          <t>QUANG</t>
        </is>
      </c>
      <c r="E28" s="45" t="inlineStr">
        <is>
          <t>2026-08-06</t>
        </is>
      </c>
      <c r="F28" s="46" t="inlineStr">
        <is>
          <t>Pass</t>
        </is>
      </c>
      <c r="G28" s="46" t="inlineStr">
        <is>
          <t>Pass</t>
        </is>
      </c>
      <c r="H28" s="46" t="inlineStr">
        <is>
          <t>Pass</t>
        </is>
      </c>
      <c r="I28" s="46" t="inlineStr">
        <is>
          <t>Pass</t>
        </is>
      </c>
      <c r="J28" s="46" t="inlineStr">
        <is>
          <t>Pass</t>
        </is>
      </c>
      <c r="K28" s="46" t="inlineStr">
        <is>
          <t>Pass</t>
        </is>
      </c>
      <c r="L28" s="46" t="inlineStr">
        <is>
          <t>Pass</t>
        </is>
      </c>
      <c r="M28" s="46" t="inlineStr">
        <is>
          <t>Pass</t>
        </is>
      </c>
      <c r="N28" s="46" t="inlineStr">
        <is>
          <t>Pass</t>
        </is>
      </c>
      <c r="O28" s="46" t="inlineStr">
        <is>
          <t>Pass</t>
        </is>
      </c>
      <c r="P28" s="46" t="inlineStr">
        <is>
          <t>Pass</t>
        </is>
      </c>
      <c r="Q28" s="46" t="inlineStr">
        <is>
          <t>Pass</t>
        </is>
      </c>
      <c r="R28" s="46" t="inlineStr">
        <is>
          <t>Pass</t>
        </is>
      </c>
      <c r="S28" s="46" t="inlineStr">
        <is>
          <t>Pass</t>
        </is>
      </c>
      <c r="T28" s="46" t="inlineStr">
        <is>
          <t>Pass</t>
        </is>
      </c>
      <c r="U28" s="46" t="inlineStr">
        <is>
          <t>Pass</t>
        </is>
      </c>
      <c r="V28" s="46" t="inlineStr">
        <is>
          <t>Pass</t>
        </is>
      </c>
      <c r="W28" s="46" t="inlineStr">
        <is>
          <t>Pass</t>
        </is>
      </c>
      <c r="X28" s="46" t="inlineStr">
        <is>
          <t>Pass</t>
        </is>
      </c>
      <c r="Y28" s="46" t="inlineStr">
        <is>
          <t>Pass</t>
        </is>
      </c>
      <c r="Z28" s="26">
        <f>IF(B28="","",IF(COUNTIF(F28:G28,"Fail")&gt;0,1,0))</f>
        <v/>
      </c>
      <c r="AA28" s="26">
        <f>IF(B28="","",IF(COUNTIF(H28:S28,"Fail")&gt;0,1,0))</f>
        <v/>
      </c>
      <c r="AB28" s="26">
        <f>IF(B28="","",IF(COUNTIF(T28:Y28,"Fail")&gt;0,1,0))</f>
        <v/>
      </c>
      <c r="AC28" s="27">
        <f>IF(B28="","",0.1*Z28+0.8*AA28+0.1*AB28)</f>
        <v/>
      </c>
      <c r="AD28" s="27">
        <f>IF(B28="","",IF(C28="Batch 1",0.3,0.2))</f>
        <v/>
      </c>
      <c r="AE28" s="19">
        <f>IF(B28="","",IF(AC28&lt;=AD28,"Đạt","Không đạt"))</f>
        <v/>
      </c>
      <c r="AF28" s="43" t="inlineStr">
        <is>
          <t>Đạt toàn bộ tiêu chí.</t>
        </is>
      </c>
    </row>
    <row r="29" ht="30" customHeight="1" s="36">
      <c r="A29" s="17" t="n">
        <v>38</v>
      </c>
      <c r="B29" s="44" t="inlineStr">
        <is>
          <t>TCKH.V_SECTOR_LIST</t>
        </is>
      </c>
      <c r="C29" s="45" t="inlineStr">
        <is>
          <t>Batch 2</t>
        </is>
      </c>
      <c r="D29" s="45" t="inlineStr">
        <is>
          <t>HOP</t>
        </is>
      </c>
      <c r="E29" s="45" t="inlineStr">
        <is>
          <t>2026-08-06</t>
        </is>
      </c>
      <c r="F29" s="46" t="inlineStr">
        <is>
          <t>Pass</t>
        </is>
      </c>
      <c r="G29" s="46" t="inlineStr">
        <is>
          <t>Pass</t>
        </is>
      </c>
      <c r="H29" s="46" t="inlineStr">
        <is>
          <t>Pass</t>
        </is>
      </c>
      <c r="I29" s="46" t="inlineStr">
        <is>
          <t>Pass</t>
        </is>
      </c>
      <c r="J29" s="46" t="inlineStr">
        <is>
          <t>Pass</t>
        </is>
      </c>
      <c r="K29" s="46" t="inlineStr">
        <is>
          <t>Pass</t>
        </is>
      </c>
      <c r="L29" s="46" t="inlineStr">
        <is>
          <t>Pass</t>
        </is>
      </c>
      <c r="M29" s="46" t="inlineStr">
        <is>
          <t>Pass</t>
        </is>
      </c>
      <c r="N29" s="46" t="inlineStr">
        <is>
          <t>Pass</t>
        </is>
      </c>
      <c r="O29" s="46" t="inlineStr">
        <is>
          <t>Pass</t>
        </is>
      </c>
      <c r="P29" s="46" t="inlineStr">
        <is>
          <t>Pass</t>
        </is>
      </c>
      <c r="Q29" s="46" t="inlineStr">
        <is>
          <t>Pass</t>
        </is>
      </c>
      <c r="R29" s="46" t="inlineStr">
        <is>
          <t>Pass</t>
        </is>
      </c>
      <c r="S29" s="46" t="inlineStr">
        <is>
          <t>Pass</t>
        </is>
      </c>
      <c r="T29" s="46" t="inlineStr">
        <is>
          <t>Pass</t>
        </is>
      </c>
      <c r="U29" s="46" t="inlineStr">
        <is>
          <t>Pass</t>
        </is>
      </c>
      <c r="V29" s="46" t="inlineStr">
        <is>
          <t>Pass</t>
        </is>
      </c>
      <c r="W29" s="46" t="inlineStr">
        <is>
          <t>Pass</t>
        </is>
      </c>
      <c r="X29" s="46" t="inlineStr">
        <is>
          <t>Pass</t>
        </is>
      </c>
      <c r="Y29" s="46" t="inlineStr">
        <is>
          <t>Pass</t>
        </is>
      </c>
      <c r="Z29" s="26">
        <f>IF(B29="","",IF(COUNTIF(F29:G29,"Fail")&gt;0,1,0))</f>
        <v/>
      </c>
      <c r="AA29" s="26">
        <f>IF(B29="","",IF(COUNTIF(H29:S29,"Fail")&gt;0,1,0))</f>
        <v/>
      </c>
      <c r="AB29" s="26">
        <f>IF(B29="","",IF(COUNTIF(T29:Y29,"Fail")&gt;0,1,0))</f>
        <v/>
      </c>
      <c r="AC29" s="27">
        <f>IF(B29="","",0.1*Z29+0.8*AA29+0.1*AB29)</f>
        <v/>
      </c>
      <c r="AD29" s="27">
        <f>IF(B29="","",IF(C29="Batch 1",0.3,0.2))</f>
        <v/>
      </c>
      <c r="AE29" s="19">
        <f>IF(B29="","",IF(AC29&lt;=AD29,"Đạt","Không đạt"))</f>
        <v/>
      </c>
      <c r="AF29" s="43" t="inlineStr">
        <is>
          <t>Đạt toàn bộ tiêu chí.</t>
        </is>
      </c>
    </row>
    <row r="30" ht="30" customHeight="1" s="36">
      <c r="A30" s="17" t="n">
        <v>39</v>
      </c>
      <c r="B30" s="44" t="inlineStr">
        <is>
          <t>TCKH.BRANCH_LIST</t>
        </is>
      </c>
      <c r="C30" s="45" t="inlineStr">
        <is>
          <t>Batch 2</t>
        </is>
      </c>
      <c r="D30" s="45" t="inlineStr">
        <is>
          <t>HOP</t>
        </is>
      </c>
      <c r="E30" s="45" t="inlineStr">
        <is>
          <t>2026-08-06</t>
        </is>
      </c>
      <c r="F30" s="46" t="inlineStr">
        <is>
          <t>Pass</t>
        </is>
      </c>
      <c r="G30" s="46" t="inlineStr">
        <is>
          <t>Pass</t>
        </is>
      </c>
      <c r="H30" s="46" t="inlineStr">
        <is>
          <t>Pass</t>
        </is>
      </c>
      <c r="I30" s="46" t="inlineStr">
        <is>
          <t>Pass</t>
        </is>
      </c>
      <c r="J30" s="46" t="inlineStr">
        <is>
          <t>Pass</t>
        </is>
      </c>
      <c r="K30" s="46" t="inlineStr">
        <is>
          <t>Pass</t>
        </is>
      </c>
      <c r="L30" s="46" t="inlineStr">
        <is>
          <t>Pass</t>
        </is>
      </c>
      <c r="M30" s="46" t="inlineStr">
        <is>
          <t>Pass</t>
        </is>
      </c>
      <c r="N30" s="46" t="inlineStr">
        <is>
          <t>Pass</t>
        </is>
      </c>
      <c r="O30" s="46" t="inlineStr">
        <is>
          <t>Pass</t>
        </is>
      </c>
      <c r="P30" s="46" t="inlineStr">
        <is>
          <t>Pass</t>
        </is>
      </c>
      <c r="Q30" s="46" t="inlineStr">
        <is>
          <t>Pass</t>
        </is>
      </c>
      <c r="R30" s="46" t="inlineStr">
        <is>
          <t>Pass</t>
        </is>
      </c>
      <c r="S30" s="46" t="inlineStr">
        <is>
          <t>Pass</t>
        </is>
      </c>
      <c r="T30" s="46" t="inlineStr">
        <is>
          <t>Pass</t>
        </is>
      </c>
      <c r="U30" s="46" t="inlineStr">
        <is>
          <t>Pass</t>
        </is>
      </c>
      <c r="V30" s="46" t="inlineStr">
        <is>
          <t>Pass</t>
        </is>
      </c>
      <c r="W30" s="46" t="inlineStr">
        <is>
          <t>Pass</t>
        </is>
      </c>
      <c r="X30" s="46" t="inlineStr">
        <is>
          <t>Pass</t>
        </is>
      </c>
      <c r="Y30" s="46" t="inlineStr">
        <is>
          <t>Pass</t>
        </is>
      </c>
      <c r="Z30" s="26">
        <f>IF(B30="","",IF(COUNTIF(F30:G30,"Fail")&gt;0,1,0))</f>
        <v/>
      </c>
      <c r="AA30" s="26">
        <f>IF(B30="","",IF(COUNTIF(H30:S30,"Fail")&gt;0,1,0))</f>
        <v/>
      </c>
      <c r="AB30" s="26">
        <f>IF(B30="","",IF(COUNTIF(T30:Y30,"Fail")&gt;0,1,0))</f>
        <v/>
      </c>
      <c r="AC30" s="27">
        <f>IF(B30="","",0.1*Z30+0.8*AA30+0.1*AB30)</f>
        <v/>
      </c>
      <c r="AD30" s="27">
        <f>IF(B30="","",IF(C30="Batch 1",0.3,0.2))</f>
        <v/>
      </c>
      <c r="AE30" s="19">
        <f>IF(B30="","",IF(AC30&lt;=AD30,"Đạt","Không đạt"))</f>
        <v/>
      </c>
      <c r="AF30" s="43" t="inlineStr">
        <is>
          <t>Đạt toàn bộ tiêu chí.</t>
        </is>
      </c>
    </row>
    <row r="31" ht="30" customHeight="1" s="36">
      <c r="A31" s="17" t="n">
        <v>41</v>
      </c>
      <c r="B31" s="44" t="inlineStr">
        <is>
          <t>TCKH.HOLIDAY</t>
        </is>
      </c>
      <c r="C31" s="45" t="inlineStr">
        <is>
          <t>Batch 2</t>
        </is>
      </c>
      <c r="D31" s="45" t="inlineStr">
        <is>
          <t>BAOANH</t>
        </is>
      </c>
      <c r="E31" s="45" t="inlineStr">
        <is>
          <t>2026-08-06</t>
        </is>
      </c>
      <c r="F31" s="46" t="inlineStr">
        <is>
          <t>Pass</t>
        </is>
      </c>
      <c r="G31" s="46" t="inlineStr">
        <is>
          <t>Pass</t>
        </is>
      </c>
      <c r="H31" s="46" t="inlineStr">
        <is>
          <t>Pass</t>
        </is>
      </c>
      <c r="I31" s="46" t="inlineStr">
        <is>
          <t>Pass</t>
        </is>
      </c>
      <c r="J31" s="46" t="inlineStr">
        <is>
          <t>Pass</t>
        </is>
      </c>
      <c r="K31" s="46" t="inlineStr">
        <is>
          <t>Pass</t>
        </is>
      </c>
      <c r="L31" s="46" t="inlineStr">
        <is>
          <t>Pass</t>
        </is>
      </c>
      <c r="M31" s="46" t="inlineStr">
        <is>
          <t>Pass</t>
        </is>
      </c>
      <c r="N31" s="46" t="inlineStr">
        <is>
          <t>Pass</t>
        </is>
      </c>
      <c r="O31" s="46" t="inlineStr">
        <is>
          <t>Pass</t>
        </is>
      </c>
      <c r="P31" s="46" t="inlineStr">
        <is>
          <t>Pass</t>
        </is>
      </c>
      <c r="Q31" s="46" t="inlineStr">
        <is>
          <t>Pass</t>
        </is>
      </c>
      <c r="R31" s="46" t="inlineStr">
        <is>
          <t>Pass</t>
        </is>
      </c>
      <c r="S31" s="46" t="inlineStr">
        <is>
          <t>Pass</t>
        </is>
      </c>
      <c r="T31" s="46" t="inlineStr">
        <is>
          <t>Pass</t>
        </is>
      </c>
      <c r="U31" s="46" t="inlineStr">
        <is>
          <t>Pass</t>
        </is>
      </c>
      <c r="V31" s="46" t="inlineStr">
        <is>
          <t>Pass</t>
        </is>
      </c>
      <c r="W31" s="46" t="inlineStr">
        <is>
          <t>Pass</t>
        </is>
      </c>
      <c r="X31" s="46" t="inlineStr">
        <is>
          <t>Pass</t>
        </is>
      </c>
      <c r="Y31" s="46" t="inlineStr">
        <is>
          <t>Pass</t>
        </is>
      </c>
      <c r="Z31" s="26">
        <f>IF(B31="","",IF(COUNTIF(F31:G31,"Fail")&gt;0,1,0))</f>
        <v/>
      </c>
      <c r="AA31" s="26">
        <f>IF(B31="","",IF(COUNTIF(H31:S31,"Fail")&gt;0,1,0))</f>
        <v/>
      </c>
      <c r="AB31" s="26">
        <f>IF(B31="","",IF(COUNTIF(T31:Y31,"Fail")&gt;0,1,0))</f>
        <v/>
      </c>
      <c r="AC31" s="27">
        <f>IF(B31="","",0.1*Z31+0.8*AA31+0.1*AB31)</f>
        <v/>
      </c>
      <c r="AD31" s="27">
        <f>IF(B31="","",IF(C31="Batch 1",0.3,0.2))</f>
        <v/>
      </c>
      <c r="AE31" s="19">
        <f>IF(B31="","",IF(AC31&lt;=AD31,"Đạt","Không đạt"))</f>
        <v/>
      </c>
      <c r="AF31" s="43" t="inlineStr">
        <is>
          <t>Đạt toàn bộ tiêu chí.</t>
        </is>
      </c>
    </row>
    <row r="32" ht="30" customHeight="1" s="36">
      <c r="A32" s="17" t="n">
        <v>43</v>
      </c>
      <c r="B32" s="44" t="inlineStr">
        <is>
          <t>TCKH.T24_CRB</t>
        </is>
      </c>
      <c r="C32" s="45" t="inlineStr">
        <is>
          <t>Batch 2</t>
        </is>
      </c>
      <c r="D32" s="45" t="inlineStr">
        <is>
          <t>PHAT</t>
        </is>
      </c>
      <c r="E32" s="45" t="inlineStr">
        <is>
          <t>2026-08-06</t>
        </is>
      </c>
      <c r="F32" s="46" t="inlineStr">
        <is>
          <t>Pass</t>
        </is>
      </c>
      <c r="G32" s="46" t="inlineStr">
        <is>
          <t>Pass</t>
        </is>
      </c>
      <c r="H32" s="46" t="inlineStr">
        <is>
          <t>Pass</t>
        </is>
      </c>
      <c r="I32" s="46" t="inlineStr">
        <is>
          <t>Pass</t>
        </is>
      </c>
      <c r="J32" s="46" t="inlineStr">
        <is>
          <t>Pass</t>
        </is>
      </c>
      <c r="K32" s="46" t="inlineStr">
        <is>
          <t>Pass</t>
        </is>
      </c>
      <c r="L32" s="46" t="inlineStr">
        <is>
          <t>Pass</t>
        </is>
      </c>
      <c r="M32" s="46" t="inlineStr">
        <is>
          <t>Pass</t>
        </is>
      </c>
      <c r="N32" s="46" t="inlineStr">
        <is>
          <t>Pass</t>
        </is>
      </c>
      <c r="O32" s="46" t="inlineStr">
        <is>
          <t>Pass</t>
        </is>
      </c>
      <c r="P32" s="46" t="inlineStr">
        <is>
          <t>Pass</t>
        </is>
      </c>
      <c r="Q32" s="46" t="inlineStr">
        <is>
          <t>Pass</t>
        </is>
      </c>
      <c r="R32" s="46" t="inlineStr">
        <is>
          <t>Pass</t>
        </is>
      </c>
      <c r="S32" s="46" t="inlineStr">
        <is>
          <t>Pass</t>
        </is>
      </c>
      <c r="T32" s="46" t="inlineStr">
        <is>
          <t>Pass</t>
        </is>
      </c>
      <c r="U32" s="46" t="inlineStr">
        <is>
          <t>WARN</t>
        </is>
      </c>
      <c r="V32" s="46" t="inlineStr">
        <is>
          <t>WARN</t>
        </is>
      </c>
      <c r="W32" s="46" t="inlineStr">
        <is>
          <t>WARN</t>
        </is>
      </c>
      <c r="X32" s="46" t="inlineStr">
        <is>
          <t>Pass</t>
        </is>
      </c>
      <c r="Y32" s="46" t="inlineStr">
        <is>
          <t>Pass</t>
        </is>
      </c>
      <c r="Z32" s="26">
        <f>IF(B32="","",IF(COUNTIF(F32:G32,"Fail")&gt;0,1,0))</f>
        <v/>
      </c>
      <c r="AA32" s="26">
        <f>IF(B32="","",IF(COUNTIF(H32:S32,"Fail")&gt;0,1,0))</f>
        <v/>
      </c>
      <c r="AB32" s="26">
        <f>IF(B32="","",IF(COUNTIF(T32:Y32,"Fail")&gt;0,1,0))</f>
        <v/>
      </c>
      <c r="AC32" s="27">
        <f>IF(B32="","",0.1*Z32+0.8*AA32+0.1*AB32)</f>
        <v/>
      </c>
      <c r="AD32" s="27">
        <f>IF(B32="","",IF(C32="Batch 1",0.3,0.2))</f>
        <v/>
      </c>
      <c r="AE32" s="19">
        <f>IF(B32="","",IF(AC32&lt;=AD32,"Đạt","Không đạt"))</f>
        <v/>
      </c>
      <c r="AF32" s="43" t="inlineStr">
        <is>
          <t>╔══ WARN: 3 tiêu chí — 3.2, 3.3, 3.4
▼ 3.2 — CTE không bị scan lại nhiều lần
   • CTE bị tham chiếu lại nhiều lần: crb_sts_del x2
▼ 3.3 — Filter trước khi join, tận dụng partition pruning
   • 2 bảng join trực tiếp mà không có filter riêng: hub_branch (hb), hub_customer (hc)
▼ 3.4 — Sử dụng CACHE cho query lặp lại trong cùng luồng
   • 1 CTE nặng dùng lại &gt;= 2 lần mà không có CACHE: crb_sts_del</t>
        </is>
      </c>
    </row>
    <row r="33" ht="30" customHeight="1" s="36">
      <c r="A33" s="17" t="n">
        <v>44</v>
      </c>
      <c r="B33" s="44" t="inlineStr">
        <is>
          <t>TCKH.T24_CUSTOMER</t>
        </is>
      </c>
      <c r="C33" s="45" t="inlineStr">
        <is>
          <t>Batch 2</t>
        </is>
      </c>
      <c r="D33" s="45" t="inlineStr">
        <is>
          <t>PHAT</t>
        </is>
      </c>
      <c r="E33" s="45" t="inlineStr">
        <is>
          <t>2026-08-06</t>
        </is>
      </c>
      <c r="F33" s="46" t="inlineStr">
        <is>
          <t>Pass</t>
        </is>
      </c>
      <c r="G33" s="46" t="inlineStr">
        <is>
          <t>Pass</t>
        </is>
      </c>
      <c r="H33" s="46" t="inlineStr">
        <is>
          <t>Pass</t>
        </is>
      </c>
      <c r="I33" s="46" t="inlineStr">
        <is>
          <t>Pass</t>
        </is>
      </c>
      <c r="J33" s="46" t="inlineStr">
        <is>
          <t>Pass</t>
        </is>
      </c>
      <c r="K33" s="46" t="inlineStr">
        <is>
          <t>Pass</t>
        </is>
      </c>
      <c r="L33" s="46" t="inlineStr">
        <is>
          <t>Pass</t>
        </is>
      </c>
      <c r="M33" s="46" t="inlineStr">
        <is>
          <t>Pass</t>
        </is>
      </c>
      <c r="N33" s="46" t="inlineStr">
        <is>
          <t>Pass</t>
        </is>
      </c>
      <c r="O33" s="46" t="inlineStr">
        <is>
          <t>Pass</t>
        </is>
      </c>
      <c r="P33" s="46" t="inlineStr">
        <is>
          <t>Pass</t>
        </is>
      </c>
      <c r="Q33" s="46" t="inlineStr">
        <is>
          <t>Pass</t>
        </is>
      </c>
      <c r="R33" s="46" t="inlineStr">
        <is>
          <t>Pass</t>
        </is>
      </c>
      <c r="S33" s="46" t="inlineStr">
        <is>
          <t>Pass</t>
        </is>
      </c>
      <c r="T33" s="46" t="inlineStr">
        <is>
          <t>Pass</t>
        </is>
      </c>
      <c r="U33" s="46" t="inlineStr">
        <is>
          <t>WARN</t>
        </is>
      </c>
      <c r="V33" s="46" t="inlineStr">
        <is>
          <t>WARN</t>
        </is>
      </c>
      <c r="W33" s="46" t="inlineStr">
        <is>
          <t>WARN</t>
        </is>
      </c>
      <c r="X33" s="46" t="inlineStr">
        <is>
          <t>Pass</t>
        </is>
      </c>
      <c r="Y33" s="46" t="inlineStr">
        <is>
          <t>Pass</t>
        </is>
      </c>
      <c r="Z33" s="26">
        <f>IF(B33="","",IF(COUNTIF(F33:G33,"Fail")&gt;0,1,0))</f>
        <v/>
      </c>
      <c r="AA33" s="26">
        <f>IF(B33="","",IF(COUNTIF(H33:S33,"Fail")&gt;0,1,0))</f>
        <v/>
      </c>
      <c r="AB33" s="26">
        <f>IF(B33="","",IF(COUNTIF(T33:Y33,"Fail")&gt;0,1,0))</f>
        <v/>
      </c>
      <c r="AC33" s="27">
        <f>IF(B33="","",0.1*Z33+0.8*AA33+0.1*AB33)</f>
        <v/>
      </c>
      <c r="AD33" s="27">
        <f>IF(B33="","",IF(C33="Batch 1",0.3,0.2))</f>
        <v/>
      </c>
      <c r="AE33" s="19">
        <f>IF(B33="","",IF(AC33&lt;=AD33,"Đạt","Không đạt"))</f>
        <v/>
      </c>
      <c r="AF33" s="43" t="inlineStr">
        <is>
          <t>╔══ WARN: 3 tiêu chí — 3.2, 3.3, 3.4
▼ 3.2 — CTE không bị scan lại nhiều lần
   • CTE bị tham chiếu lại nhiều lần: cust_sts_del x2
▼ 3.3 — Filter trước khi join, tận dụng partition pruning
   • 7 bảng join trực tiếp mà không có filter riêng: hub_acct_officer (ha), hub_branch (hb), sat_customer_classification (scl), sat_customer_contact (sc), sat_customer_financial_statement (sf), sat_customer_information (si), sat_customer_kyc (sk)
▼ 3.4 — Sử dụng CACHE cho query lặp lại trong cùng luồng
   • 1 CTE nặng dùng lại &gt;= 2 lần mà không có CACHE: cust_sts_del</t>
        </is>
      </c>
    </row>
    <row r="34" ht="30" customHeight="1" s="36">
      <c r="A34" s="17" t="n">
        <v>48</v>
      </c>
      <c r="B34" s="44" t="inlineStr">
        <is>
          <t>TCKH.V_CDTK_DAILY_1</t>
        </is>
      </c>
      <c r="C34" s="45" t="inlineStr">
        <is>
          <t>Batch 2</t>
        </is>
      </c>
      <c r="D34" s="45" t="inlineStr">
        <is>
          <t>QUANG</t>
        </is>
      </c>
      <c r="E34" s="45" t="inlineStr">
        <is>
          <t>2026-08-06</t>
        </is>
      </c>
      <c r="F34" s="46" t="inlineStr">
        <is>
          <t>Pass</t>
        </is>
      </c>
      <c r="G34" s="46" t="inlineStr">
        <is>
          <t>Pass</t>
        </is>
      </c>
      <c r="H34" s="46" t="inlineStr">
        <is>
          <t>Pass</t>
        </is>
      </c>
      <c r="I34" s="46" t="inlineStr">
        <is>
          <t>Pass</t>
        </is>
      </c>
      <c r="J34" s="46" t="inlineStr">
        <is>
          <t>Pass</t>
        </is>
      </c>
      <c r="K34" s="46" t="inlineStr">
        <is>
          <t>Pass</t>
        </is>
      </c>
      <c r="L34" s="46" t="inlineStr">
        <is>
          <t>Pass</t>
        </is>
      </c>
      <c r="M34" s="46" t="inlineStr">
        <is>
          <t>Pass</t>
        </is>
      </c>
      <c r="N34" s="46" t="inlineStr">
        <is>
          <t>Pass</t>
        </is>
      </c>
      <c r="O34" s="46" t="inlineStr">
        <is>
          <t>Pass</t>
        </is>
      </c>
      <c r="P34" s="46" t="inlineStr">
        <is>
          <t>Pass</t>
        </is>
      </c>
      <c r="Q34" s="46" t="inlineStr">
        <is>
          <t>Pass</t>
        </is>
      </c>
      <c r="R34" s="46" t="inlineStr">
        <is>
          <t>Pass</t>
        </is>
      </c>
      <c r="S34" s="46" t="inlineStr">
        <is>
          <t>Pass</t>
        </is>
      </c>
      <c r="T34" s="46" t="inlineStr">
        <is>
          <t>Pass</t>
        </is>
      </c>
      <c r="U34" s="46" t="inlineStr">
        <is>
          <t>Pass</t>
        </is>
      </c>
      <c r="V34" s="46" t="inlineStr">
        <is>
          <t>Pass</t>
        </is>
      </c>
      <c r="W34" s="46" t="inlineStr">
        <is>
          <t>Pass</t>
        </is>
      </c>
      <c r="X34" s="46" t="inlineStr">
        <is>
          <t>Pass</t>
        </is>
      </c>
      <c r="Y34" s="46" t="inlineStr">
        <is>
          <t>Pass</t>
        </is>
      </c>
      <c r="Z34" s="26">
        <f>IF(B34="","",IF(COUNTIF(F34:G34,"Fail")&gt;0,1,0))</f>
        <v/>
      </c>
      <c r="AA34" s="26">
        <f>IF(B34="","",IF(COUNTIF(H34:S34,"Fail")&gt;0,1,0))</f>
        <v/>
      </c>
      <c r="AB34" s="26">
        <f>IF(B34="","",IF(COUNTIF(T34:Y34,"Fail")&gt;0,1,0))</f>
        <v/>
      </c>
      <c r="AC34" s="27">
        <f>IF(B34="","",0.1*Z34+0.8*AA34+0.1*AB34)</f>
        <v/>
      </c>
      <c r="AD34" s="27">
        <f>IF(B34="","",IF(C34="Batch 1",0.3,0.2))</f>
        <v/>
      </c>
      <c r="AE34" s="19">
        <f>IF(B34="","",IF(AC34&lt;=AD34,"Đạt","Không đạt"))</f>
        <v/>
      </c>
      <c r="AF34" s="43" t="inlineStr">
        <is>
          <t>Đạt toàn bộ tiêu chí.</t>
        </is>
      </c>
    </row>
    <row r="35" ht="30" customHeight="1" s="36">
      <c r="A35" s="17" t="n">
        <v>50</v>
      </c>
      <c r="B35" s="44" t="inlineStr">
        <is>
          <t>TCKH.V_ENTRY_STMT_QUYMO</t>
        </is>
      </c>
      <c r="C35" s="45" t="inlineStr">
        <is>
          <t>Batch 2</t>
        </is>
      </c>
      <c r="D35" s="45" t="inlineStr">
        <is>
          <t>QUANG</t>
        </is>
      </c>
      <c r="E35" s="45" t="inlineStr">
        <is>
          <t>2026-08-06</t>
        </is>
      </c>
      <c r="F35" s="46" t="inlineStr">
        <is>
          <t>Pass</t>
        </is>
      </c>
      <c r="G35" s="46" t="inlineStr">
        <is>
          <t>Pass</t>
        </is>
      </c>
      <c r="H35" s="46" t="inlineStr">
        <is>
          <t>Pass</t>
        </is>
      </c>
      <c r="I35" s="46" t="inlineStr">
        <is>
          <t>Pass</t>
        </is>
      </c>
      <c r="J35" s="46" t="inlineStr">
        <is>
          <t>Pass</t>
        </is>
      </c>
      <c r="K35" s="46" t="inlineStr">
        <is>
          <t>Pass</t>
        </is>
      </c>
      <c r="L35" s="46" t="inlineStr">
        <is>
          <t>Pass</t>
        </is>
      </c>
      <c r="M35" s="46" t="inlineStr">
        <is>
          <t>Pass</t>
        </is>
      </c>
      <c r="N35" s="46" t="inlineStr">
        <is>
          <t>Pass</t>
        </is>
      </c>
      <c r="O35" s="46" t="inlineStr">
        <is>
          <t>Pass</t>
        </is>
      </c>
      <c r="P35" s="46" t="inlineStr">
        <is>
          <t>Pass</t>
        </is>
      </c>
      <c r="Q35" s="46" t="inlineStr">
        <is>
          <t>Pass</t>
        </is>
      </c>
      <c r="R35" s="46" t="inlineStr">
        <is>
          <t>Pass</t>
        </is>
      </c>
      <c r="S35" s="46" t="inlineStr">
        <is>
          <t>Pass</t>
        </is>
      </c>
      <c r="T35" s="46" t="inlineStr">
        <is>
          <t>Pass</t>
        </is>
      </c>
      <c r="U35" s="46" t="inlineStr">
        <is>
          <t>Pass</t>
        </is>
      </c>
      <c r="V35" s="46" t="inlineStr">
        <is>
          <t>Pass</t>
        </is>
      </c>
      <c r="W35" s="46" t="inlineStr">
        <is>
          <t>Pass</t>
        </is>
      </c>
      <c r="X35" s="46" t="inlineStr">
        <is>
          <t>Pass</t>
        </is>
      </c>
      <c r="Y35" s="46" t="inlineStr">
        <is>
          <t>Pass</t>
        </is>
      </c>
      <c r="Z35" s="26">
        <f>IF(B35="","",IF(COUNTIF(F35:G35,"Fail")&gt;0,1,0))</f>
        <v/>
      </c>
      <c r="AA35" s="26">
        <f>IF(B35="","",IF(COUNTIF(H35:S35,"Fail")&gt;0,1,0))</f>
        <v/>
      </c>
      <c r="AB35" s="26">
        <f>IF(B35="","",IF(COUNTIF(T35:Y35,"Fail")&gt;0,1,0))</f>
        <v/>
      </c>
      <c r="AC35" s="27">
        <f>IF(B35="","",0.1*Z35+0.8*AA35+0.1*AB35)</f>
        <v/>
      </c>
      <c r="AD35" s="27">
        <f>IF(B35="","",IF(C35="Batch 1",0.3,0.2))</f>
        <v/>
      </c>
      <c r="AE35" s="19">
        <f>IF(B35="","",IF(AC35&lt;=AD35,"Đạt","Không đạt"))</f>
        <v/>
      </c>
      <c r="AF35" s="43" t="inlineStr">
        <is>
          <t>Đạt toàn bộ tiêu chí.</t>
        </is>
      </c>
    </row>
    <row r="36" ht="30" customHeight="1" s="36">
      <c r="A36" s="17" t="n">
        <v>51</v>
      </c>
      <c r="B36" s="44" t="inlineStr">
        <is>
          <t>TCKH.V_FTP_INTEREST_RATE_NIM_ON</t>
        </is>
      </c>
      <c r="C36" s="45" t="inlineStr">
        <is>
          <t>Batch 2</t>
        </is>
      </c>
      <c r="D36" s="45" t="inlineStr">
        <is>
          <t>PHAT</t>
        </is>
      </c>
      <c r="E36" s="45" t="inlineStr">
        <is>
          <t>2026-08-06</t>
        </is>
      </c>
      <c r="F36" s="46" t="inlineStr">
        <is>
          <t>Pass</t>
        </is>
      </c>
      <c r="G36" s="46" t="inlineStr">
        <is>
          <t>Pass</t>
        </is>
      </c>
      <c r="H36" s="46" t="inlineStr">
        <is>
          <t>Pass</t>
        </is>
      </c>
      <c r="I36" s="46" t="inlineStr">
        <is>
          <t>Pass</t>
        </is>
      </c>
      <c r="J36" s="46" t="inlineStr">
        <is>
          <t>Pass</t>
        </is>
      </c>
      <c r="K36" s="46" t="inlineStr">
        <is>
          <t>Pass</t>
        </is>
      </c>
      <c r="L36" s="46" t="inlineStr">
        <is>
          <t>Pass</t>
        </is>
      </c>
      <c r="M36" s="46" t="inlineStr">
        <is>
          <t>Pass</t>
        </is>
      </c>
      <c r="N36" s="46" t="inlineStr">
        <is>
          <t>Pass</t>
        </is>
      </c>
      <c r="O36" s="46" t="inlineStr">
        <is>
          <t>Pass</t>
        </is>
      </c>
      <c r="P36" s="46" t="inlineStr">
        <is>
          <t>Pass</t>
        </is>
      </c>
      <c r="Q36" s="46" t="inlineStr">
        <is>
          <t>Pass</t>
        </is>
      </c>
      <c r="R36" s="46" t="inlineStr">
        <is>
          <t>Pass</t>
        </is>
      </c>
      <c r="S36" s="46" t="inlineStr">
        <is>
          <t>Pass</t>
        </is>
      </c>
      <c r="T36" s="46" t="inlineStr">
        <is>
          <t>Pass</t>
        </is>
      </c>
      <c r="U36" s="46" t="inlineStr">
        <is>
          <t>Pass</t>
        </is>
      </c>
      <c r="V36" s="46" t="inlineStr">
        <is>
          <t>Pass</t>
        </is>
      </c>
      <c r="W36" s="46" t="inlineStr">
        <is>
          <t>Pass</t>
        </is>
      </c>
      <c r="X36" s="46" t="inlineStr">
        <is>
          <t>Pass</t>
        </is>
      </c>
      <c r="Y36" s="46" t="inlineStr">
        <is>
          <t>Pass</t>
        </is>
      </c>
      <c r="Z36" s="26">
        <f>IF(B36="","",IF(COUNTIF(F36:G36,"Fail")&gt;0,1,0))</f>
        <v/>
      </c>
      <c r="AA36" s="26">
        <f>IF(B36="","",IF(COUNTIF(H36:S36,"Fail")&gt;0,1,0))</f>
        <v/>
      </c>
      <c r="AB36" s="26">
        <f>IF(B36="","",IF(COUNTIF(T36:Y36,"Fail")&gt;0,1,0))</f>
        <v/>
      </c>
      <c r="AC36" s="27">
        <f>IF(B36="","",0.1*Z36+0.8*AA36+0.1*AB36)</f>
        <v/>
      </c>
      <c r="AD36" s="27">
        <f>IF(B36="","",IF(C36="Batch 1",0.3,0.2))</f>
        <v/>
      </c>
      <c r="AE36" s="19">
        <f>IF(B36="","",IF(AC36&lt;=AD36,"Đạt","Không đạt"))</f>
        <v/>
      </c>
      <c r="AF36" s="43" t="inlineStr">
        <is>
          <t>Đạt toàn bộ tiêu chí.</t>
        </is>
      </c>
    </row>
    <row r="37" ht="30" customHeight="1" s="36">
      <c r="A37" s="17" t="n">
        <v>52</v>
      </c>
      <c r="B37" s="44" t="inlineStr">
        <is>
          <t>TCKH.V_FTP_RATE</t>
        </is>
      </c>
      <c r="C37" s="45" t="inlineStr">
        <is>
          <t>Batch 2</t>
        </is>
      </c>
      <c r="D37" s="45" t="inlineStr">
        <is>
          <t>PHAT</t>
        </is>
      </c>
      <c r="E37" s="45" t="inlineStr">
        <is>
          <t>2026-08-06</t>
        </is>
      </c>
      <c r="F37" s="46" t="inlineStr">
        <is>
          <t>Pass</t>
        </is>
      </c>
      <c r="G37" s="46" t="inlineStr">
        <is>
          <t>Pass</t>
        </is>
      </c>
      <c r="H37" s="46" t="inlineStr">
        <is>
          <t>Pass</t>
        </is>
      </c>
      <c r="I37" s="46" t="inlineStr">
        <is>
          <t>Pass</t>
        </is>
      </c>
      <c r="J37" s="46" t="inlineStr">
        <is>
          <t>Pass</t>
        </is>
      </c>
      <c r="K37" s="46" t="inlineStr">
        <is>
          <t>Pass</t>
        </is>
      </c>
      <c r="L37" s="46" t="inlineStr">
        <is>
          <t>Pass</t>
        </is>
      </c>
      <c r="M37" s="46" t="inlineStr">
        <is>
          <t>Pass</t>
        </is>
      </c>
      <c r="N37" s="46" t="inlineStr">
        <is>
          <t>Pass</t>
        </is>
      </c>
      <c r="O37" s="46" t="inlineStr">
        <is>
          <t>Pass</t>
        </is>
      </c>
      <c r="P37" s="46" t="inlineStr">
        <is>
          <t>Pass</t>
        </is>
      </c>
      <c r="Q37" s="46" t="inlineStr">
        <is>
          <t>Pass</t>
        </is>
      </c>
      <c r="R37" s="46" t="inlineStr">
        <is>
          <t>Pass</t>
        </is>
      </c>
      <c r="S37" s="46" t="inlineStr">
        <is>
          <t>Pass</t>
        </is>
      </c>
      <c r="T37" s="46" t="inlineStr">
        <is>
          <t>Pass</t>
        </is>
      </c>
      <c r="U37" s="46" t="inlineStr">
        <is>
          <t>Pass</t>
        </is>
      </c>
      <c r="V37" s="46" t="inlineStr">
        <is>
          <t>Pass</t>
        </is>
      </c>
      <c r="W37" s="46" t="inlineStr">
        <is>
          <t>Pass</t>
        </is>
      </c>
      <c r="X37" s="46" t="inlineStr">
        <is>
          <t>Pass</t>
        </is>
      </c>
      <c r="Y37" s="46" t="inlineStr">
        <is>
          <t>Pass</t>
        </is>
      </c>
      <c r="Z37" s="26">
        <f>IF(B37="","",IF(COUNTIF(F37:G37,"Fail")&gt;0,1,0))</f>
        <v/>
      </c>
      <c r="AA37" s="26">
        <f>IF(B37="","",IF(COUNTIF(H37:S37,"Fail")&gt;0,1,0))</f>
        <v/>
      </c>
      <c r="AB37" s="26">
        <f>IF(B37="","",IF(COUNTIF(T37:Y37,"Fail")&gt;0,1,0))</f>
        <v/>
      </c>
      <c r="AC37" s="27">
        <f>IF(B37="","",0.1*Z37+0.8*AA37+0.1*AB37)</f>
        <v/>
      </c>
      <c r="AD37" s="27">
        <f>IF(B37="","",IF(C37="Batch 1",0.3,0.2))</f>
        <v/>
      </c>
      <c r="AE37" s="19">
        <f>IF(B37="","",IF(AC37&lt;=AD37,"Đạt","Không đạt"))</f>
        <v/>
      </c>
      <c r="AF37" s="43" t="inlineStr">
        <is>
          <t>Đạt toàn bộ tiêu chí.</t>
        </is>
      </c>
    </row>
    <row r="38" ht="30" customHeight="1" s="36">
      <c r="A38" s="17" t="n">
        <v>53</v>
      </c>
      <c r="B38" s="44" t="inlineStr">
        <is>
          <t>TCKH.V_OPEX_DTL_ADJ_G</t>
        </is>
      </c>
      <c r="C38" s="45" t="inlineStr">
        <is>
          <t>Batch 2</t>
        </is>
      </c>
      <c r="D38" s="45" t="inlineStr">
        <is>
          <t>HOP</t>
        </is>
      </c>
      <c r="E38" s="45" t="inlineStr">
        <is>
          <t>2026-08-06</t>
        </is>
      </c>
      <c r="F38" s="46" t="inlineStr">
        <is>
          <t>Pass</t>
        </is>
      </c>
      <c r="G38" s="46" t="inlineStr">
        <is>
          <t>Pass</t>
        </is>
      </c>
      <c r="H38" s="46" t="inlineStr">
        <is>
          <t>Pass</t>
        </is>
      </c>
      <c r="I38" s="46" t="inlineStr">
        <is>
          <t>Pass</t>
        </is>
      </c>
      <c r="J38" s="46" t="inlineStr">
        <is>
          <t>Pass</t>
        </is>
      </c>
      <c r="K38" s="46" t="inlineStr">
        <is>
          <t>Pass</t>
        </is>
      </c>
      <c r="L38" s="46" t="inlineStr">
        <is>
          <t>Pass</t>
        </is>
      </c>
      <c r="M38" s="46" t="inlineStr">
        <is>
          <t>Pass</t>
        </is>
      </c>
      <c r="N38" s="46" t="inlineStr">
        <is>
          <t>Pass</t>
        </is>
      </c>
      <c r="O38" s="46" t="inlineStr">
        <is>
          <t>Pass</t>
        </is>
      </c>
      <c r="P38" s="46" t="inlineStr">
        <is>
          <t>Pass</t>
        </is>
      </c>
      <c r="Q38" s="46" t="inlineStr">
        <is>
          <t>Pass</t>
        </is>
      </c>
      <c r="R38" s="46" t="inlineStr">
        <is>
          <t>Pass</t>
        </is>
      </c>
      <c r="S38" s="46" t="inlineStr">
        <is>
          <t>Pass</t>
        </is>
      </c>
      <c r="T38" s="46" t="inlineStr">
        <is>
          <t>Pass</t>
        </is>
      </c>
      <c r="U38" s="46" t="inlineStr">
        <is>
          <t>Pass</t>
        </is>
      </c>
      <c r="V38" s="46" t="inlineStr">
        <is>
          <t>Pass</t>
        </is>
      </c>
      <c r="W38" s="46" t="inlineStr">
        <is>
          <t>Pass</t>
        </is>
      </c>
      <c r="X38" s="46" t="inlineStr">
        <is>
          <t>Pass</t>
        </is>
      </c>
      <c r="Y38" s="46" t="inlineStr">
        <is>
          <t>Pass</t>
        </is>
      </c>
      <c r="Z38" s="26">
        <f>IF(B38="","",IF(COUNTIF(F38:G38,"Fail")&gt;0,1,0))</f>
        <v/>
      </c>
      <c r="AA38" s="26">
        <f>IF(B38="","",IF(COUNTIF(H38:S38,"Fail")&gt;0,1,0))</f>
        <v/>
      </c>
      <c r="AB38" s="26">
        <f>IF(B38="","",IF(COUNTIF(T38:Y38,"Fail")&gt;0,1,0))</f>
        <v/>
      </c>
      <c r="AC38" s="27">
        <f>IF(B38="","",0.1*Z38+0.8*AA38+0.1*AB38)</f>
        <v/>
      </c>
      <c r="AD38" s="27">
        <f>IF(B38="","",IF(C38="Batch 1",0.3,0.2))</f>
        <v/>
      </c>
      <c r="AE38" s="19">
        <f>IF(B38="","",IF(AC38&lt;=AD38,"Đạt","Không đạt"))</f>
        <v/>
      </c>
      <c r="AF38" s="43" t="inlineStr">
        <is>
          <t>Đạt toàn bộ tiêu chí.</t>
        </is>
      </c>
    </row>
    <row r="39" ht="30" customHeight="1" s="36">
      <c r="A39" s="17" t="n">
        <v>58</v>
      </c>
      <c r="B39" s="44" t="inlineStr">
        <is>
          <t>TCKH.V_SBV_1</t>
        </is>
      </c>
      <c r="C39" s="45" t="inlineStr">
        <is>
          <t>Batch 2</t>
        </is>
      </c>
      <c r="D39" s="45" t="inlineStr">
        <is>
          <t>1</t>
        </is>
      </c>
      <c r="E39" s="45" t="inlineStr">
        <is>
          <t>2026-08-06</t>
        </is>
      </c>
      <c r="F39" s="46" t="inlineStr">
        <is>
          <t>Pass</t>
        </is>
      </c>
      <c r="G39" s="46" t="inlineStr">
        <is>
          <t>Pass</t>
        </is>
      </c>
      <c r="H39" s="46" t="inlineStr">
        <is>
          <t>Pass</t>
        </is>
      </c>
      <c r="I39" s="46" t="inlineStr">
        <is>
          <t>Pass</t>
        </is>
      </c>
      <c r="J39" s="46" t="inlineStr">
        <is>
          <t>Pass</t>
        </is>
      </c>
      <c r="K39" s="46" t="inlineStr">
        <is>
          <t>Pass</t>
        </is>
      </c>
      <c r="L39" s="46" t="inlineStr">
        <is>
          <t>Pass</t>
        </is>
      </c>
      <c r="M39" s="46" t="inlineStr">
        <is>
          <t>Pass</t>
        </is>
      </c>
      <c r="N39" s="46" t="inlineStr">
        <is>
          <t>Pass</t>
        </is>
      </c>
      <c r="O39" s="46" t="inlineStr">
        <is>
          <t>Pass</t>
        </is>
      </c>
      <c r="P39" s="46" t="inlineStr">
        <is>
          <t>Pass</t>
        </is>
      </c>
      <c r="Q39" s="46" t="inlineStr">
        <is>
          <t>Pass</t>
        </is>
      </c>
      <c r="R39" s="46" t="inlineStr">
        <is>
          <t>WARN</t>
        </is>
      </c>
      <c r="S39" s="46" t="inlineStr">
        <is>
          <t>Pass</t>
        </is>
      </c>
      <c r="T39" s="46" t="inlineStr">
        <is>
          <t>Pass</t>
        </is>
      </c>
      <c r="U39" s="46" t="inlineStr">
        <is>
          <t>WARN</t>
        </is>
      </c>
      <c r="V39" s="46" t="inlineStr">
        <is>
          <t>WARN</t>
        </is>
      </c>
      <c r="W39" s="46" t="inlineStr">
        <is>
          <t>WARN</t>
        </is>
      </c>
      <c r="X39" s="46" t="inlineStr">
        <is>
          <t>Pass</t>
        </is>
      </c>
      <c r="Y39" s="46" t="inlineStr">
        <is>
          <t>Pass</t>
        </is>
      </c>
      <c r="Z39" s="26">
        <f>IF(B39="","",IF(COUNTIF(F39:G39,"Fail")&gt;0,1,0))</f>
        <v/>
      </c>
      <c r="AA39" s="26">
        <f>IF(B39="","",IF(COUNTIF(H39:S39,"Fail")&gt;0,1,0))</f>
        <v/>
      </c>
      <c r="AB39" s="26">
        <f>IF(B39="","",IF(COUNTIF(T39:Y39,"Fail")&gt;0,1,0))</f>
        <v/>
      </c>
      <c r="AC39" s="27">
        <f>IF(B39="","",0.1*Z39+0.8*AA39+0.1*AB39)</f>
        <v/>
      </c>
      <c r="AD39" s="27">
        <f>IF(B39="","",IF(C39="Batch 1",0.3,0.2))</f>
        <v/>
      </c>
      <c r="AE39" s="19">
        <f>IF(B39="","",IF(AC39&lt;=AD39,"Đạt","Không đạt"))</f>
        <v/>
      </c>
      <c r="AF39" s="43" t="inlineStr">
        <is>
          <t>╔══ FAIL: 1 tiêu chí — X.6
▼ X.6 — [Bổ sung] Satellite phải LEFT JOIN, không INNER JOIN   [bổ sung, không tính điểm — Technical Document ZoneC v1.1, mục III.4.2.2 nguyên tắc 1]
   • Lý do: 1 satellite dùng INNER JOIN, sẽ mất bản ghi Hub chưa có dòng satellite: sat_pc_re_stat_line_bal (dong 47)
   → Cách sửa: Technical Document III.4.2.2 nguyên tắc 1: làm giàu thuộc tính luôn dùng LEFT JOIN. INNER JOIN satellite sẽ loại mất bản ghi Hub đang còn hiệu lực nhưng chưa có dòng satellite.
╔══ WARN: 4 tiêu chí — 2.11, 3.2, 3.3, 3.4
▼ 2.11 — Join dùng key hợp lý, không lạm dụng UNION ALL + EXISTS/NOT EXISTS
   • join không có điều kiện bằng (=): ['s']
▼ 3.2 — CTE không bị scan lại nhiều lần
   • CTE bị tham chiếu lại nhiều lần: cte_pc_re_stat_line_bal x4
▼ 3.3 — Filter trước khi join, tận dụng partition pruning
   • 3 bảng join trực tiếp mà không có filter riêng: gl_acct_dim (g), sat_pc_re_stat_line_bal (s), sbv_accountbc_name (n)
▼ 3.4 — Sử dụng CACHE cho query lặp lại trong cùng luồng
   • 1 CTE nặng dùng lại &gt;= 2 lần mà không có CACHE: cte_pc_re_stat_line_bal</t>
        </is>
      </c>
    </row>
    <row r="40" ht="30" customHeight="1" s="36">
      <c r="A40" s="17" t="n">
        <v>61</v>
      </c>
      <c r="B40" s="44" t="inlineStr">
        <is>
          <t>TCKH.V_TB_NIM_1</t>
        </is>
      </c>
      <c r="C40" s="45" t="inlineStr">
        <is>
          <t>Batch 2</t>
        </is>
      </c>
      <c r="D40" s="45" t="inlineStr">
        <is>
          <t>HOP</t>
        </is>
      </c>
      <c r="E40" s="45" t="inlineStr">
        <is>
          <t>2026-08-06</t>
        </is>
      </c>
      <c r="F40" s="46" t="inlineStr">
        <is>
          <t>Pass</t>
        </is>
      </c>
      <c r="G40" s="46" t="inlineStr">
        <is>
          <t>Pass</t>
        </is>
      </c>
      <c r="H40" s="46" t="inlineStr">
        <is>
          <t>Pass</t>
        </is>
      </c>
      <c r="I40" s="46" t="inlineStr">
        <is>
          <t>Pass</t>
        </is>
      </c>
      <c r="J40" s="46" t="inlineStr">
        <is>
          <t>Pass</t>
        </is>
      </c>
      <c r="K40" s="46" t="inlineStr">
        <is>
          <t>Pass</t>
        </is>
      </c>
      <c r="L40" s="46" t="inlineStr">
        <is>
          <t>Pass</t>
        </is>
      </c>
      <c r="M40" s="46" t="inlineStr">
        <is>
          <t>Pass</t>
        </is>
      </c>
      <c r="N40" s="46" t="inlineStr">
        <is>
          <t>Pass</t>
        </is>
      </c>
      <c r="O40" s="46" t="inlineStr">
        <is>
          <t>Pass</t>
        </is>
      </c>
      <c r="P40" s="46" t="inlineStr">
        <is>
          <t>Pass</t>
        </is>
      </c>
      <c r="Q40" s="46" t="inlineStr">
        <is>
          <t>Pass</t>
        </is>
      </c>
      <c r="R40" s="46" t="inlineStr">
        <is>
          <t>Pass</t>
        </is>
      </c>
      <c r="S40" s="46" t="inlineStr">
        <is>
          <t>Pass</t>
        </is>
      </c>
      <c r="T40" s="46" t="inlineStr">
        <is>
          <t>Fail</t>
        </is>
      </c>
      <c r="U40" s="46" t="inlineStr">
        <is>
          <t>WARN</t>
        </is>
      </c>
      <c r="V40" s="46" t="inlineStr">
        <is>
          <t>Pass</t>
        </is>
      </c>
      <c r="W40" s="46" t="inlineStr">
        <is>
          <t>WARN</t>
        </is>
      </c>
      <c r="X40" s="46" t="inlineStr">
        <is>
          <t>Pass</t>
        </is>
      </c>
      <c r="Y40" s="46" t="inlineStr">
        <is>
          <t>Pass</t>
        </is>
      </c>
      <c r="Z40" s="26">
        <f>IF(B40="","",IF(COUNTIF(F40:G40,"Fail")&gt;0,1,0))</f>
        <v/>
      </c>
      <c r="AA40" s="26">
        <f>IF(B40="","",IF(COUNTIF(H40:S40,"Fail")&gt;0,1,0))</f>
        <v/>
      </c>
      <c r="AB40" s="26">
        <f>IF(B40="","",IF(COUNTIF(T40:Y40,"Fail")&gt;0,1,0))</f>
        <v/>
      </c>
      <c r="AC40" s="27">
        <f>IF(B40="","",0.1*Z40+0.8*AA40+0.1*AB40)</f>
        <v/>
      </c>
      <c r="AD40" s="27">
        <f>IF(B40="","",IF(C40="Batch 1",0.3,0.2))</f>
        <v/>
      </c>
      <c r="AE40" s="19">
        <f>IF(B40="","",IF(AC40&lt;=AD40,"Đạt","Không đạt"))</f>
        <v/>
      </c>
      <c r="AF40" s="43" t="inlineStr">
        <is>
          <t>╔══ FAIL: 1 tiêu chí — 3.1
▼ 3.1 — Không SELECT *
   • Lý do: có 3 lần SELECT * ở dòng [255, 257, 259]
   → Cách sửa: Liệt kê tường minh các cột cần dùng, kể cả trong CTE trung gian. SELECT * làm tăng IO/memory và vỡ script khi bảng nguồn thêm cột.
╔══ WARN: 2 tiêu chí — 3.2, 3.4
▼ 3.2 — CTE không bị scan lại nhiều lần
   • CTE bị tham chiếu lại nhiều lần: v_ftp_rate x3, v_ftp_interest_rate_nim_on x3
▼ 3.4 — Sử dụng CACHE cho query lặp lại trong cùng luồng
   • 2 CTE nặng dùng lại &gt;= 2 lần mà không có CACHE: v_ftp_interest_rate_nim_on, v_ftp_rate</t>
        </is>
      </c>
    </row>
    <row r="41" ht="30" customHeight="1" s="36">
      <c r="A41" s="17" t="n">
        <v>62</v>
      </c>
      <c r="B41" s="44" t="inlineStr">
        <is>
          <t>TCKH.WORKING_DAY</t>
        </is>
      </c>
      <c r="C41" s="45" t="inlineStr">
        <is>
          <t>Batch 2</t>
        </is>
      </c>
      <c r="D41" s="45" t="inlineStr">
        <is>
          <t>BAOANH</t>
        </is>
      </c>
      <c r="E41" s="45" t="inlineStr">
        <is>
          <t>2026-08-06</t>
        </is>
      </c>
      <c r="F41" s="46" t="inlineStr">
        <is>
          <t>Pass</t>
        </is>
      </c>
      <c r="G41" s="46" t="inlineStr">
        <is>
          <t>Pass</t>
        </is>
      </c>
      <c r="H41" s="46" t="inlineStr">
        <is>
          <t>Pass</t>
        </is>
      </c>
      <c r="I41" s="46" t="inlineStr">
        <is>
          <t>Pass</t>
        </is>
      </c>
      <c r="J41" s="46" t="inlineStr">
        <is>
          <t>Pass</t>
        </is>
      </c>
      <c r="K41" s="46" t="inlineStr">
        <is>
          <t>Pass</t>
        </is>
      </c>
      <c r="L41" s="46" t="inlineStr">
        <is>
          <t>Pass</t>
        </is>
      </c>
      <c r="M41" s="46" t="inlineStr">
        <is>
          <t>Pass</t>
        </is>
      </c>
      <c r="N41" s="46" t="inlineStr">
        <is>
          <t>Pass</t>
        </is>
      </c>
      <c r="O41" s="46" t="inlineStr">
        <is>
          <t>Pass</t>
        </is>
      </c>
      <c r="P41" s="46" t="inlineStr">
        <is>
          <t>Pass</t>
        </is>
      </c>
      <c r="Q41" s="46" t="inlineStr">
        <is>
          <t>Pass</t>
        </is>
      </c>
      <c r="R41" s="46" t="inlineStr">
        <is>
          <t>Pass</t>
        </is>
      </c>
      <c r="S41" s="46" t="inlineStr">
        <is>
          <t>WARN</t>
        </is>
      </c>
      <c r="T41" s="46" t="inlineStr">
        <is>
          <t>Pass</t>
        </is>
      </c>
      <c r="U41" s="46" t="inlineStr">
        <is>
          <t>Pass</t>
        </is>
      </c>
      <c r="V41" s="46" t="inlineStr">
        <is>
          <t>Pass</t>
        </is>
      </c>
      <c r="W41" s="46" t="inlineStr">
        <is>
          <t>Pass</t>
        </is>
      </c>
      <c r="X41" s="46" t="inlineStr">
        <is>
          <t>Pass</t>
        </is>
      </c>
      <c r="Y41" s="46" t="inlineStr">
        <is>
          <t>Pass</t>
        </is>
      </c>
      <c r="Z41" s="26">
        <f>IF(B41="","",IF(COUNTIF(F41:G41,"Fail")&gt;0,1,0))</f>
        <v/>
      </c>
      <c r="AA41" s="26">
        <f>IF(B41="","",IF(COUNTIF(H41:S41,"Fail")&gt;0,1,0))</f>
        <v/>
      </c>
      <c r="AB41" s="26">
        <f>IF(B41="","",IF(COUNTIF(T41:Y41,"Fail")&gt;0,1,0))</f>
        <v/>
      </c>
      <c r="AC41" s="27">
        <f>IF(B41="","",0.1*Z41+0.8*AA41+0.1*AB41)</f>
        <v/>
      </c>
      <c r="AD41" s="27">
        <f>IF(B41="","",IF(C41="Batch 1",0.3,0.2))</f>
        <v/>
      </c>
      <c r="AE41" s="19">
        <f>IF(B41="","",IF(AC41&lt;=AD41,"Đạt","Không đạt"))</f>
        <v/>
      </c>
      <c r="AF41" s="43" t="inlineStr">
        <is>
          <t>╔══ WARN: 1 tiêu chí — 2.12
▼ 2.12 — Build Gold từ CTE snapshot Silver, không build nhiều tầng chồng chéo
   • bảng bị đọc lại ở nhiều khối SELECT, xét gom thành 1 CTE: calendar ở 2 khối</t>
        </is>
      </c>
    </row>
    <row r="42" ht="30" customHeight="1" s="36">
      <c r="A42" s="17" t="n">
        <v>63</v>
      </c>
      <c r="B42" s="44" t="inlineStr">
        <is>
          <t>TCKH.CB_OFCR_DIM</t>
        </is>
      </c>
      <c r="C42" s="45" t="inlineStr">
        <is>
          <t>Batch 2</t>
        </is>
      </c>
      <c r="D42" s="45" t="inlineStr">
        <is>
          <t>HOP</t>
        </is>
      </c>
      <c r="E42" s="45" t="inlineStr">
        <is>
          <t>2026-08-06</t>
        </is>
      </c>
      <c r="F42" s="46" t="inlineStr">
        <is>
          <t>Fail</t>
        </is>
      </c>
      <c r="G42" s="46" t="inlineStr">
        <is>
          <t>Pass</t>
        </is>
      </c>
      <c r="H42" s="46" t="inlineStr">
        <is>
          <t>Pass</t>
        </is>
      </c>
      <c r="I42" s="46" t="inlineStr">
        <is>
          <t>Pass</t>
        </is>
      </c>
      <c r="J42" s="46" t="inlineStr">
        <is>
          <t>Pass</t>
        </is>
      </c>
      <c r="K42" s="46" t="inlineStr">
        <is>
          <t>Pass</t>
        </is>
      </c>
      <c r="L42" s="46" t="inlineStr">
        <is>
          <t>Fail</t>
        </is>
      </c>
      <c r="M42" s="46" t="inlineStr">
        <is>
          <t>Fail</t>
        </is>
      </c>
      <c r="N42" s="46" t="inlineStr">
        <is>
          <t>Pass</t>
        </is>
      </c>
      <c r="O42" s="46" t="inlineStr">
        <is>
          <t>Pass</t>
        </is>
      </c>
      <c r="P42" s="46" t="inlineStr">
        <is>
          <t>Pass</t>
        </is>
      </c>
      <c r="Q42" s="46" t="inlineStr">
        <is>
          <t>WARN</t>
        </is>
      </c>
      <c r="R42" s="46" t="inlineStr">
        <is>
          <t>Pass</t>
        </is>
      </c>
      <c r="S42" s="46" t="inlineStr">
        <is>
          <t>Pass</t>
        </is>
      </c>
      <c r="T42" s="46" t="inlineStr">
        <is>
          <t>Fail</t>
        </is>
      </c>
      <c r="U42" s="46" t="inlineStr">
        <is>
          <t>Pass</t>
        </is>
      </c>
      <c r="V42" s="46" t="inlineStr">
        <is>
          <t>WARN</t>
        </is>
      </c>
      <c r="W42" s="46" t="inlineStr">
        <is>
          <t>Pass</t>
        </is>
      </c>
      <c r="X42" s="46" t="inlineStr">
        <is>
          <t>Pass</t>
        </is>
      </c>
      <c r="Y42" s="46" t="inlineStr">
        <is>
          <t>Pass</t>
        </is>
      </c>
      <c r="Z42" s="26">
        <f>IF(B42="","",IF(COUNTIF(F42:G42,"Fail")&gt;0,1,0))</f>
        <v/>
      </c>
      <c r="AA42" s="26">
        <f>IF(B42="","",IF(COUNTIF(H42:S42,"Fail")&gt;0,1,0))</f>
        <v/>
      </c>
      <c r="AB42" s="26">
        <f>IF(B42="","",IF(COUNTIF(T42:Y42,"Fail")&gt;0,1,0))</f>
        <v/>
      </c>
      <c r="AC42" s="27">
        <f>IF(B42="","",0.1*Z42+0.8*AA42+0.1*AB42)</f>
        <v/>
      </c>
      <c r="AD42" s="27">
        <f>IF(B42="","",IF(C42="Batch 1",0.3,0.2))</f>
        <v/>
      </c>
      <c r="AE42" s="19">
        <f>IF(B42="","",IF(AC42&lt;=AD42,"Đạt","Không đạt"))</f>
        <v/>
      </c>
      <c r="AF42" s="43" t="inlineStr">
        <is>
          <t>╔══ FAIL: 5 tiêu chí — 1.1, 2.5, 2.6, 3.1, X.6
▼ 1.1 — Đầy đủ mapping từ Silver/manual sang Gold
   • Lý do: workbook 063. OCB_GOLD_TCKH_CB_OFCR_DIM_HOP.xlsx: thiết kế 16 field, SQL có 17 cột
   • Lý do: SQL có 1 cột KHÔNG có trong thiết kế: ['PPN_TM']
   → Cách sửa: Mở workbook thiết kế, đối chiếu block FIELD MAPPING với danh sách cột trong câu SELECT/INSERT của file SQL. Cột nào thiếu thì bổ sung vào SQL; cột nào SQL có mà thiết kế không có thì bổ sung vào workbook hoặc bỏ khỏi SQL.
▼ 2.5 — Không lặp lại lỗi logic cũ đã được DA Data Vault fix
   • Lý do: lặp lại 1 lỗi DA Data Vault đã nêu ở Issue log: Issue#4 COALESCE(MAX(&lt;DIM_ID&gt;),0) lam moc tang dan cho surrogate key @ dòng [75]
   → Cách sửa: 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
▼ 2.6 — SCD Type 2 cho bảng DIM áp dụng đúng kỹ thuật đã thống nhất
   • Lý do: dùng antipattern MAX(ID) + ROW_NUMBER để sinh surrogate key ở dòng [119] (Issue log #4)
   → Cách sửa: 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
▼ 3.1 — Không SELECT *
   • Lý do: có 1 lần SELECT * ở dòng []
   → Cách sửa: Liệt kê tường minh các cột cần dùng, kể cả trong CTE trung gian. SELECT * làm tăng IO/memory và vỡ script khi bảng nguồn thêm cột.
▼ X.6 — [Bổ sung] Satellite phải LEFT JOIN, không INNER JOIN   [bổ sung, không tính điểm — Technical Document ZoneC v1.1, mục III.4.2.2 nguyên tắc 1]
   • Lý do: 1 satellite dùng INNER JOIN, sẽ mất bản ghi Hub chưa có dòng satellite: sat_ofcr (dong 28)
   → Cách sửa: Technical Document III.4.2.2 nguyên tắc 1: làm giàu thuộc tính luôn dùng LEFT JOIN. INNER JOIN satellite sẽ loại mất bản ghi Hub đang còn hiệu lực nhưng chưa có dòng satellite.
╔══ WARN: 2 tiêu chí — 2.10, 3.3
▼ 2.10 — Aggregation kèm filter date range chính xác
   • 1 khối tổng hợp không thấy filter theo ngày/tham số: max_id
▼ 3.3 — Filter trước khi join, tận dụng partition pruning
   • 1 bảng join trực tiếp mà không có filter riêng: ou_area_mapping (am)</t>
        </is>
      </c>
    </row>
    <row r="43" ht="30" customHeight="1" s="36">
      <c r="A43" s="17" t="n">
        <v>64</v>
      </c>
      <c r="B43" s="44" t="inlineStr">
        <is>
          <t>TCKH.CST_DIM_NEW</t>
        </is>
      </c>
      <c r="C43" s="45" t="inlineStr">
        <is>
          <t>Batch 2</t>
        </is>
      </c>
      <c r="D43" s="45" t="inlineStr">
        <is>
          <t>HOP</t>
        </is>
      </c>
      <c r="E43" s="45" t="inlineStr">
        <is>
          <t>2026-08-06</t>
        </is>
      </c>
      <c r="F43" s="46" t="inlineStr">
        <is>
          <t>Pass</t>
        </is>
      </c>
      <c r="G43" s="46" t="inlineStr">
        <is>
          <t>Pass</t>
        </is>
      </c>
      <c r="H43" s="46" t="inlineStr">
        <is>
          <t>Pass</t>
        </is>
      </c>
      <c r="I43" s="46" t="inlineStr">
        <is>
          <t>Pass</t>
        </is>
      </c>
      <c r="J43" s="46" t="inlineStr">
        <is>
          <t>Pass</t>
        </is>
      </c>
      <c r="K43" s="46" t="inlineStr">
        <is>
          <t>Fail</t>
        </is>
      </c>
      <c r="L43" s="46" t="inlineStr">
        <is>
          <t>Pass</t>
        </is>
      </c>
      <c r="M43" s="46" t="inlineStr">
        <is>
          <t>Pass</t>
        </is>
      </c>
      <c r="N43" s="46" t="inlineStr">
        <is>
          <t>Pass</t>
        </is>
      </c>
      <c r="O43" s="46" t="inlineStr">
        <is>
          <t>Pass</t>
        </is>
      </c>
      <c r="P43" s="46" t="inlineStr">
        <is>
          <t>Pass</t>
        </is>
      </c>
      <c r="Q43" s="46" t="inlineStr">
        <is>
          <t>Pass</t>
        </is>
      </c>
      <c r="R43" s="46" t="inlineStr">
        <is>
          <t>Pass</t>
        </is>
      </c>
      <c r="S43" s="46" t="inlineStr">
        <is>
          <t>Fail</t>
        </is>
      </c>
      <c r="T43" s="46" t="inlineStr">
        <is>
          <t>Pass</t>
        </is>
      </c>
      <c r="U43" s="46" t="inlineStr">
        <is>
          <t>Pass</t>
        </is>
      </c>
      <c r="V43" s="46" t="inlineStr">
        <is>
          <t>Pass</t>
        </is>
      </c>
      <c r="W43" s="46" t="inlineStr">
        <is>
          <t>Pass</t>
        </is>
      </c>
      <c r="X43" s="46" t="inlineStr">
        <is>
          <t>Pass</t>
        </is>
      </c>
      <c r="Y43" s="46" t="inlineStr">
        <is>
          <t>Pass</t>
        </is>
      </c>
      <c r="Z43" s="26">
        <f>IF(B43="","",IF(COUNTIF(F43:G43,"Fail")&gt;0,1,0))</f>
        <v/>
      </c>
      <c r="AA43" s="26">
        <f>IF(B43="","",IF(COUNTIF(H43:S43,"Fail")&gt;0,1,0))</f>
        <v/>
      </c>
      <c r="AB43" s="26">
        <f>IF(B43="","",IF(COUNTIF(T43:Y43,"Fail")&gt;0,1,0))</f>
        <v/>
      </c>
      <c r="AC43" s="27">
        <f>IF(B43="","",0.1*Z43+0.8*AA43+0.1*AB43)</f>
        <v/>
      </c>
      <c r="AD43" s="27">
        <f>IF(B43="","",IF(C43="Batch 1",0.3,0.2))</f>
        <v/>
      </c>
      <c r="AE43" s="19">
        <f>IF(B43="","",IF(AC43&lt;=AD43,"Đạt","Không đạt"))</f>
        <v/>
      </c>
      <c r="AF43" s="43" t="inlineStr">
        <is>
          <t>╔══ FAIL: 2 tiêu chí — 2.4, 2.12
▼ 2.4 — source_event_date áp dụng đúng dạng theo loại bảng
   • Lý do: sat_customer_contact (dong 59): dùng = :DATADT nhưng KHÔNG thuộc danh sách 49 bảng transaction, sẽ bỏ sót bản ghi mới nhất nằm trước ngày chạy (Issue log #1)
   • Lý do: sat_customer_contact (dong 59): dùng = :DATADT nhưng KHÔNG thuộc danh sách 49 bảng transaction, sẽ bỏ sót bản ghi mới nhất nằm trước ngày chạy (Issue log #1)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2.12 — Build Gold từ CTE snapshot Silver, không build nhiều tầng chồng chéo
   • Lý do: bảng Silver bị đọc ở nhiều khối SELECT khác nhau thay vì snapshot 1 CTE: raw_vault.sat_customer_contact ở 2 khối
   → Cách sửa: Mỗi bảng Silver chỉ đọc MỘT lần, snapshot vào một CTE ở đầu script rồi dùng lại. Đọc trực tiếp cùng một bảng raw_vault ở 2 chỗ khác nhau làm lệch thời điểm dữ liệu giữa các phần của cùng một script.</t>
        </is>
      </c>
    </row>
    <row r="44" ht="30" customHeight="1" s="36">
      <c r="A44" s="17" t="n">
        <v>65</v>
      </c>
      <c r="B44" s="44" t="inlineStr">
        <is>
          <t>RT_AR_DTL</t>
        </is>
      </c>
      <c r="C44" s="45" t="inlineStr">
        <is>
          <t>Batch 2</t>
        </is>
      </c>
      <c r="D44" s="45" t="inlineStr">
        <is>
          <t>HOP</t>
        </is>
      </c>
      <c r="E44" s="45" t="inlineStr">
        <is>
          <t>2026-08-06</t>
        </is>
      </c>
      <c r="F44" s="46" t="inlineStr">
        <is>
          <t>Fail</t>
        </is>
      </c>
      <c r="G44" s="46" t="inlineStr">
        <is>
          <t>Fail</t>
        </is>
      </c>
      <c r="H44" s="46" t="inlineStr">
        <is>
          <t>Fail</t>
        </is>
      </c>
      <c r="I44" s="46" t="inlineStr">
        <is>
          <t>Fail</t>
        </is>
      </c>
      <c r="J44" s="46" t="inlineStr">
        <is>
          <t>Fail</t>
        </is>
      </c>
      <c r="K44" s="46" t="inlineStr">
        <is>
          <t>Fail</t>
        </is>
      </c>
      <c r="L44" s="46" t="inlineStr">
        <is>
          <t>Fail</t>
        </is>
      </c>
      <c r="M44" s="46" t="inlineStr">
        <is>
          <t>Fail</t>
        </is>
      </c>
      <c r="N44" s="46" t="inlineStr">
        <is>
          <t>Fail</t>
        </is>
      </c>
      <c r="O44" s="46" t="inlineStr">
        <is>
          <t>Fail</t>
        </is>
      </c>
      <c r="P44" s="46" t="inlineStr">
        <is>
          <t>Fail</t>
        </is>
      </c>
      <c r="Q44" s="46" t="inlineStr">
        <is>
          <t>Fail</t>
        </is>
      </c>
      <c r="R44" s="46" t="inlineStr">
        <is>
          <t>Fail</t>
        </is>
      </c>
      <c r="S44" s="46" t="inlineStr">
        <is>
          <t>Fail</t>
        </is>
      </c>
      <c r="T44" s="46" t="inlineStr">
        <is>
          <t>Fail</t>
        </is>
      </c>
      <c r="U44" s="46" t="inlineStr">
        <is>
          <t>Fail</t>
        </is>
      </c>
      <c r="V44" s="46" t="inlineStr">
        <is>
          <t>Fail</t>
        </is>
      </c>
      <c r="W44" s="46" t="inlineStr">
        <is>
          <t>Fail</t>
        </is>
      </c>
      <c r="X44" s="46" t="inlineStr">
        <is>
          <t>Fail</t>
        </is>
      </c>
      <c r="Y44" s="46" t="inlineStr">
        <is>
          <t>Fail</t>
        </is>
      </c>
      <c r="Z44" s="26">
        <f>IF(B44="","",IF(COUNTIF(F44:G44,"Fail")&gt;0,1,0))</f>
        <v/>
      </c>
      <c r="AA44" s="26">
        <f>IF(B44="","",IF(COUNTIF(H44:S44,"Fail")&gt;0,1,0))</f>
        <v/>
      </c>
      <c r="AB44" s="26">
        <f>IF(B44="","",IF(COUNTIF(T44:Y44,"Fail")&gt;0,1,0))</f>
        <v/>
      </c>
      <c r="AC44" s="27">
        <f>IF(B44="","",0.1*Z44+0.8*AA44+0.1*AB44)</f>
        <v/>
      </c>
      <c r="AD44" s="27">
        <f>IF(B44="","",IF(C44="Batch 1",0.3,0.2))</f>
        <v/>
      </c>
      <c r="AE44" s="19">
        <f>IF(B44="","",IF(AC44&lt;=AD44,"Đạt","Không đạt"))</f>
        <v/>
      </c>
      <c r="AF44" s="43" t="inlineStr">
        <is>
          <t>╔══ FAIL: 23 tiêu chí — 1.1, 1.2, 2.1, 2.2, 2.3, 2.4, 2.5, 2.6, 2.7, 2.8, 2.9, 2.10, 2.11, 2.12, 3.1, 3.2, 3.3, 3.4, 3.5, 3.6, X.1, X.6, X.7
    Lý do chung: SQL lỗi cú pháp, không phân tích được: ParseError: Expecting ). Line 679, Col: 30.</t>
        </is>
      </c>
    </row>
    <row r="45" ht="30" customHeight="1" s="36">
      <c r="A45" s="17" t="n">
        <v>67</v>
      </c>
      <c r="B45" s="44" t="inlineStr">
        <is>
          <t>TCKH.AR_DIM</t>
        </is>
      </c>
      <c r="C45" s="45" t="inlineStr">
        <is>
          <t>Batch 2</t>
        </is>
      </c>
      <c r="D45" s="45" t="inlineStr">
        <is>
          <t>HOP</t>
        </is>
      </c>
      <c r="E45" s="45" t="inlineStr">
        <is>
          <t>2026-08-06</t>
        </is>
      </c>
      <c r="F45" s="46" t="inlineStr">
        <is>
          <t>Pass</t>
        </is>
      </c>
      <c r="G45" s="46" t="inlineStr">
        <is>
          <t>Pass</t>
        </is>
      </c>
      <c r="H45" s="46" t="inlineStr">
        <is>
          <t>Pass</t>
        </is>
      </c>
      <c r="I45" s="46" t="inlineStr">
        <is>
          <t>Pass</t>
        </is>
      </c>
      <c r="J45" s="46" t="inlineStr">
        <is>
          <t>Pass</t>
        </is>
      </c>
      <c r="K45" s="46" t="inlineStr">
        <is>
          <t>Fail</t>
        </is>
      </c>
      <c r="L45" s="46" t="inlineStr">
        <is>
          <t>Fail</t>
        </is>
      </c>
      <c r="M45" s="46" t="inlineStr">
        <is>
          <t>Fail</t>
        </is>
      </c>
      <c r="N45" s="46" t="inlineStr">
        <is>
          <t>Pass</t>
        </is>
      </c>
      <c r="O45" s="46" t="inlineStr">
        <is>
          <t>Pass</t>
        </is>
      </c>
      <c r="P45" s="46" t="inlineStr">
        <is>
          <t>Pass</t>
        </is>
      </c>
      <c r="Q45" s="46" t="inlineStr">
        <is>
          <t>WARN</t>
        </is>
      </c>
      <c r="R45" s="46" t="inlineStr">
        <is>
          <t>Pass</t>
        </is>
      </c>
      <c r="S45" s="46" t="inlineStr">
        <is>
          <t>Fail</t>
        </is>
      </c>
      <c r="T45" s="46" t="inlineStr">
        <is>
          <t>Fail</t>
        </is>
      </c>
      <c r="U45" s="46" t="inlineStr">
        <is>
          <t>WARN</t>
        </is>
      </c>
      <c r="V45" s="46" t="inlineStr">
        <is>
          <t>Pass</t>
        </is>
      </c>
      <c r="W45" s="46" t="inlineStr">
        <is>
          <t>WARN</t>
        </is>
      </c>
      <c r="X45" s="46" t="inlineStr">
        <is>
          <t>Pass</t>
        </is>
      </c>
      <c r="Y45" s="46" t="inlineStr">
        <is>
          <t>Pass</t>
        </is>
      </c>
      <c r="Z45" s="26">
        <f>IF(B45="","",IF(COUNTIF(F45:G45,"Fail")&gt;0,1,0))</f>
        <v/>
      </c>
      <c r="AA45" s="26">
        <f>IF(B45="","",IF(COUNTIF(H45:S45,"Fail")&gt;0,1,0))</f>
        <v/>
      </c>
      <c r="AB45" s="26">
        <f>IF(B45="","",IF(COUNTIF(T45:Y45,"Fail")&gt;0,1,0))</f>
        <v/>
      </c>
      <c r="AC45" s="27">
        <f>IF(B45="","",0.1*Z45+0.8*AA45+0.1*AB45)</f>
        <v/>
      </c>
      <c r="AD45" s="27">
        <f>IF(B45="","",IF(C45="Batch 1",0.3,0.2))</f>
        <v/>
      </c>
      <c r="AE45" s="19">
        <f>IF(B45="","",IF(AC45&lt;=AD45,"Đạt","Không đạt"))</f>
        <v/>
      </c>
      <c r="AF45" s="43" t="inlineStr">
        <is>
          <t>╔══ FAIL: 5 tiêu chí — 2.4, 2.5, 2.6, 2.12, 3.1
▼ 2.4 — source_event_date áp dụng đúng dạng theo loại bảng
   • Lý do: 16 satellite không có điều kiện source_event_date nào: sat_account_information (dong 123), sat_account_locked_events_information (dong 183), sat_collateral_information (dong 139), sat_consumer_loan_information (dong 171), sat_drawings_information (dong 189), sat_forex_information (dong 147), sat_letter_of_credit_information (dong 155), sat_limit_information (dong 163), sat_loans_information (dong 131), sat_loans_payment_due_information (dong 231), sat_md_deal_information (dong 216), sat_money_market_information (dong 224), sat_passbook_information (dong 177), sat_repo_information (dong 195), sat_sc_trading_position_information (dong 202), sat_sec_trade_information (dong 208)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2.5 — Không lặp lại lỗi logic cũ đã được DA Data Vault fix
   • Lý do: lặp lại 1 lỗi DA Data Vault đã nêu ở Issue log: Issue#5 ROW_NUMBER()+WHERE rn=1 thay vi MAX_BY (cham hon) @ dòng [412]
   → Cách sửa: 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
▼ 2.6 — SCD Type 2 cho bảng DIM áp dụng đúng kỹ thuật đã thống nhất
   • Lý do: không dùng APPLY CHANGES ... SCD TYPE 2 và cũng không có cột effective_date/end_date/current_flag để tự quản hiệu lực
   → Cách sửa: 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
▼ 2.12 — Build Gold từ CTE snapshot Silver, không build nhiều tầng chồng chéo
   • Lý do: bảng Silver bị đọc ở nhiều khối SELECT khác nhau thay vì snapshot 1 CTE: raw_vault.hub_account ở 2 khối
   → Cách sửa: Mỗi bảng Silver chỉ đọc MỘT lần, snapshot vào một CTE ở đầu script rồi dùng lại. Đọc trực tiếp cùng một bảng raw_vault ở 2 chỗ khác nhau làm lệch thời điểm dữ liệu giữa các phần của cùng một script.
▼ 3.1 — Không SELECT *
   • Lý do: có 1 lần SELECT * ở dòng [392]
   → Cách sửa: Liệt kê tường minh các cột cần dùng, kể cả trong CTE trung gian. SELECT * làm tăng IO/memory và vỡ script khi bảng nguồn thêm cột.
╔══ WARN: 3 tiêu chí — 2.10, 3.2, 3.4
▼ 2.10 — Aggregation kèm filter date range chính xác
   • 16 khối tổng hợp không thấy filter theo ngày/tham số: sat_account, sat_loans, sat_collateral, sat_forex, sat_lc, sat_limit
▼ 3.2 — CTE không bị scan lại nhiều lần
   • CTE bị tham chiếu lại nhiều lần: sts_account x2, sat_account x2
▼ 3.4 — Sử dụng CACHE cho query lặp lại trong cùng luồng
   • 2 CTE nặng dùng lại &gt;= 2 lần mà không có CACHE: sat_account, sts_account</t>
        </is>
      </c>
    </row>
    <row r="46" ht="30" customHeight="1" s="36">
      <c r="A46" s="17" t="n">
        <v>68</v>
      </c>
      <c r="B46" s="44" t="inlineStr">
        <is>
          <t>TCKH.FTP_RATE_LIST_HIST</t>
        </is>
      </c>
      <c r="C46" s="45" t="inlineStr">
        <is>
          <t>Batch 2</t>
        </is>
      </c>
      <c r="D46" s="45" t="inlineStr">
        <is>
          <t>PHAT</t>
        </is>
      </c>
      <c r="E46" s="45" t="inlineStr">
        <is>
          <t>2026-08-06</t>
        </is>
      </c>
      <c r="F46" s="46" t="inlineStr">
        <is>
          <t>Pass</t>
        </is>
      </c>
      <c r="G46" s="46" t="inlineStr">
        <is>
          <t>Pass</t>
        </is>
      </c>
      <c r="H46" s="46" t="inlineStr">
        <is>
          <t>Pass</t>
        </is>
      </c>
      <c r="I46" s="46" t="inlineStr">
        <is>
          <t>Pass</t>
        </is>
      </c>
      <c r="J46" s="46" t="inlineStr">
        <is>
          <t>Pass</t>
        </is>
      </c>
      <c r="K46" s="46" t="inlineStr">
        <is>
          <t>Pass</t>
        </is>
      </c>
      <c r="L46" s="46" t="inlineStr">
        <is>
          <t>Pass</t>
        </is>
      </c>
      <c r="M46" s="46" t="inlineStr">
        <is>
          <t>Pass</t>
        </is>
      </c>
      <c r="N46" s="46" t="inlineStr">
        <is>
          <t>Pass</t>
        </is>
      </c>
      <c r="O46" s="46" t="inlineStr">
        <is>
          <t>Pass</t>
        </is>
      </c>
      <c r="P46" s="46" t="inlineStr">
        <is>
          <t>Pass</t>
        </is>
      </c>
      <c r="Q46" s="46" t="inlineStr">
        <is>
          <t>Pass</t>
        </is>
      </c>
      <c r="R46" s="46" t="inlineStr">
        <is>
          <t>Pass</t>
        </is>
      </c>
      <c r="S46" s="46" t="inlineStr">
        <is>
          <t>Pass</t>
        </is>
      </c>
      <c r="T46" s="46" t="inlineStr">
        <is>
          <t>Pass</t>
        </is>
      </c>
      <c r="U46" s="46" t="inlineStr">
        <is>
          <t>Pass</t>
        </is>
      </c>
      <c r="V46" s="46" t="inlineStr">
        <is>
          <t>Pass</t>
        </is>
      </c>
      <c r="W46" s="46" t="inlineStr">
        <is>
          <t>Pass</t>
        </is>
      </c>
      <c r="X46" s="46" t="inlineStr">
        <is>
          <t>Pass</t>
        </is>
      </c>
      <c r="Y46" s="46" t="inlineStr">
        <is>
          <t>Pass</t>
        </is>
      </c>
      <c r="Z46" s="26">
        <f>IF(B46="","",IF(COUNTIF(F46:G46,"Fail")&gt;0,1,0))</f>
        <v/>
      </c>
      <c r="AA46" s="26">
        <f>IF(B46="","",IF(COUNTIF(H46:S46,"Fail")&gt;0,1,0))</f>
        <v/>
      </c>
      <c r="AB46" s="26">
        <f>IF(B46="","",IF(COUNTIF(T46:Y46,"Fail")&gt;0,1,0))</f>
        <v/>
      </c>
      <c r="AC46" s="27">
        <f>IF(B46="","",0.1*Z46+0.8*AA46+0.1*AB46)</f>
        <v/>
      </c>
      <c r="AD46" s="27">
        <f>IF(B46="","",IF(C46="Batch 1",0.3,0.2))</f>
        <v/>
      </c>
      <c r="AE46" s="19">
        <f>IF(B46="","",IF(AC46&lt;=AD46,"Đạt","Không đạt"))</f>
        <v/>
      </c>
      <c r="AF46" s="43" t="inlineStr">
        <is>
          <t>Đạt toàn bộ tiêu chí.</t>
        </is>
      </c>
    </row>
    <row r="47" ht="30" customHeight="1" s="36">
      <c r="A47" s="17" t="n">
        <v>69</v>
      </c>
      <c r="B47" s="44" t="inlineStr">
        <is>
          <t>TCKH.GL_ACCT_DIM</t>
        </is>
      </c>
      <c r="C47" s="45" t="inlineStr">
        <is>
          <t>Batch 2</t>
        </is>
      </c>
      <c r="D47" s="45" t="inlineStr">
        <is>
          <t>BAOANH</t>
        </is>
      </c>
      <c r="E47" s="45" t="inlineStr">
        <is>
          <t>2026-08-06</t>
        </is>
      </c>
      <c r="F47" s="46" t="inlineStr">
        <is>
          <t>Pass</t>
        </is>
      </c>
      <c r="G47" s="46" t="inlineStr">
        <is>
          <t>Pass</t>
        </is>
      </c>
      <c r="H47" s="46" t="inlineStr">
        <is>
          <t>Pass</t>
        </is>
      </c>
      <c r="I47" s="46" t="inlineStr">
        <is>
          <t>Pass</t>
        </is>
      </c>
      <c r="J47" s="46" t="inlineStr">
        <is>
          <t>Pass</t>
        </is>
      </c>
      <c r="K47" s="46" t="inlineStr">
        <is>
          <t>Pass</t>
        </is>
      </c>
      <c r="L47" s="46" t="inlineStr">
        <is>
          <t>Pass</t>
        </is>
      </c>
      <c r="M47" s="46" t="inlineStr">
        <is>
          <t>Fail</t>
        </is>
      </c>
      <c r="N47" s="46" t="inlineStr">
        <is>
          <t>Pass</t>
        </is>
      </c>
      <c r="O47" s="46" t="inlineStr">
        <is>
          <t>Pass</t>
        </is>
      </c>
      <c r="P47" s="46" t="inlineStr">
        <is>
          <t>Pass</t>
        </is>
      </c>
      <c r="Q47" s="46" t="inlineStr">
        <is>
          <t>Pass</t>
        </is>
      </c>
      <c r="R47" s="46" t="inlineStr">
        <is>
          <t>Pass</t>
        </is>
      </c>
      <c r="S47" s="46" t="inlineStr">
        <is>
          <t>Pass</t>
        </is>
      </c>
      <c r="T47" s="46" t="inlineStr">
        <is>
          <t>Pass</t>
        </is>
      </c>
      <c r="U47" s="46" t="inlineStr">
        <is>
          <t>Pass</t>
        </is>
      </c>
      <c r="V47" s="46" t="inlineStr">
        <is>
          <t>Pass</t>
        </is>
      </c>
      <c r="W47" s="46" t="inlineStr">
        <is>
          <t>Pass</t>
        </is>
      </c>
      <c r="X47" s="46" t="inlineStr">
        <is>
          <t>Pass</t>
        </is>
      </c>
      <c r="Y47" s="46" t="inlineStr">
        <is>
          <t>Pass</t>
        </is>
      </c>
      <c r="Z47" s="26">
        <f>IF(B47="","",IF(COUNTIF(F47:G47,"Fail")&gt;0,1,0))</f>
        <v/>
      </c>
      <c r="AA47" s="26">
        <f>IF(B47="","",IF(COUNTIF(H47:S47,"Fail")&gt;0,1,0))</f>
        <v/>
      </c>
      <c r="AB47" s="26">
        <f>IF(B47="","",IF(COUNTIF(T47:Y47,"Fail")&gt;0,1,0))</f>
        <v/>
      </c>
      <c r="AC47" s="27">
        <f>IF(B47="","",0.1*Z47+0.8*AA47+0.1*AB47)</f>
        <v/>
      </c>
      <c r="AD47" s="27">
        <f>IF(B47="","",IF(C47="Batch 1",0.3,0.2))</f>
        <v/>
      </c>
      <c r="AE47" s="19">
        <f>IF(B47="","",IF(AC47&lt;=AD47,"Đạt","Không đạt"))</f>
        <v/>
      </c>
      <c r="AF47" s="43" t="inlineStr">
        <is>
          <t>╔══ FAIL: 1 tiêu chí — 2.6
▼ 2.6 — SCD Type 2 cho bảng DIM áp dụng đúng kỹ thuật đã thống nhất
   • Lý do: không dùng APPLY CHANGES ... SCD TYPE 2 và cũng không có cột effective_date/end_date/current_flag để tự quản hiệu lực
   → Cách sửa: 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row>
    <row r="48" ht="30" customHeight="1" s="36">
      <c r="A48" s="17" t="n">
        <v>70</v>
      </c>
      <c r="B48" s="44" t="inlineStr">
        <is>
          <t>TCKH.LD_FTP_RATE</t>
        </is>
      </c>
      <c r="C48" s="45" t="inlineStr">
        <is>
          <t>Batch 2</t>
        </is>
      </c>
      <c r="D48" s="45" t="inlineStr">
        <is>
          <t>PHAT</t>
        </is>
      </c>
      <c r="E48" s="45" t="inlineStr">
        <is>
          <t>2026-08-06</t>
        </is>
      </c>
      <c r="F48" s="46" t="inlineStr">
        <is>
          <t>Pass</t>
        </is>
      </c>
      <c r="G48" s="46" t="inlineStr">
        <is>
          <t>Pass</t>
        </is>
      </c>
      <c r="H48" s="46" t="inlineStr">
        <is>
          <t>Pass</t>
        </is>
      </c>
      <c r="I48" s="46" t="inlineStr">
        <is>
          <t>Pass</t>
        </is>
      </c>
      <c r="J48" s="46" t="inlineStr">
        <is>
          <t>Pass</t>
        </is>
      </c>
      <c r="K48" s="46" t="inlineStr">
        <is>
          <t>Pass</t>
        </is>
      </c>
      <c r="L48" s="46" t="inlineStr">
        <is>
          <t>Pass</t>
        </is>
      </c>
      <c r="M48" s="46" t="inlineStr">
        <is>
          <t>Pass</t>
        </is>
      </c>
      <c r="N48" s="46" t="inlineStr">
        <is>
          <t>Pass</t>
        </is>
      </c>
      <c r="O48" s="46" t="inlineStr">
        <is>
          <t>Pass</t>
        </is>
      </c>
      <c r="P48" s="46" t="inlineStr">
        <is>
          <t>Pass</t>
        </is>
      </c>
      <c r="Q48" s="46" t="inlineStr">
        <is>
          <t>Pass</t>
        </is>
      </c>
      <c r="R48" s="46" t="inlineStr">
        <is>
          <t>Pass</t>
        </is>
      </c>
      <c r="S48" s="46" t="inlineStr">
        <is>
          <t>Pass</t>
        </is>
      </c>
      <c r="T48" s="46" t="inlineStr">
        <is>
          <t>Pass</t>
        </is>
      </c>
      <c r="U48" s="46" t="inlineStr">
        <is>
          <t>Pass</t>
        </is>
      </c>
      <c r="V48" s="46" t="inlineStr">
        <is>
          <t>Pass</t>
        </is>
      </c>
      <c r="W48" s="46" t="inlineStr">
        <is>
          <t>Pass</t>
        </is>
      </c>
      <c r="X48" s="46" t="inlineStr">
        <is>
          <t>Pass</t>
        </is>
      </c>
      <c r="Y48" s="46" t="inlineStr">
        <is>
          <t>Pass</t>
        </is>
      </c>
      <c r="Z48" s="26">
        <f>IF(B48="","",IF(COUNTIF(F48:G48,"Fail")&gt;0,1,0))</f>
        <v/>
      </c>
      <c r="AA48" s="26">
        <f>IF(B48="","",IF(COUNTIF(H48:S48,"Fail")&gt;0,1,0))</f>
        <v/>
      </c>
      <c r="AB48" s="26">
        <f>IF(B48="","",IF(COUNTIF(T48:Y48,"Fail")&gt;0,1,0))</f>
        <v/>
      </c>
      <c r="AC48" s="27">
        <f>IF(B48="","",0.1*Z48+0.8*AA48+0.1*AB48)</f>
        <v/>
      </c>
      <c r="AD48" s="27">
        <f>IF(B48="","",IF(C48="Batch 1",0.3,0.2))</f>
        <v/>
      </c>
      <c r="AE48" s="19">
        <f>IF(B48="","",IF(AC48&lt;=AD48,"Đạt","Không đạt"))</f>
        <v/>
      </c>
      <c r="AF48" s="43" t="inlineStr">
        <is>
          <t>Đạt toàn bộ tiêu chí.</t>
        </is>
      </c>
    </row>
    <row r="49" ht="30" customHeight="1" s="36">
      <c r="A49" s="17" t="n">
        <v>71</v>
      </c>
      <c r="B49" s="44" t="inlineStr">
        <is>
          <t>TCKH.OPEX_DTL</t>
        </is>
      </c>
      <c r="C49" s="45" t="inlineStr">
        <is>
          <t>Batch 2</t>
        </is>
      </c>
      <c r="D49" s="45" t="inlineStr">
        <is>
          <t>HOP</t>
        </is>
      </c>
      <c r="E49" s="45" t="inlineStr">
        <is>
          <t>2026-08-06</t>
        </is>
      </c>
      <c r="F49" s="46" t="inlineStr">
        <is>
          <t>Pass</t>
        </is>
      </c>
      <c r="G49" s="46" t="inlineStr">
        <is>
          <t>Pass</t>
        </is>
      </c>
      <c r="H49" s="46" t="inlineStr">
        <is>
          <t>Pass</t>
        </is>
      </c>
      <c r="I49" s="46" t="inlineStr">
        <is>
          <t>Pass</t>
        </is>
      </c>
      <c r="J49" s="46" t="inlineStr">
        <is>
          <t>Pass</t>
        </is>
      </c>
      <c r="K49" s="46" t="inlineStr">
        <is>
          <t>Pass</t>
        </is>
      </c>
      <c r="L49" s="46" t="inlineStr">
        <is>
          <t>Pass</t>
        </is>
      </c>
      <c r="M49" s="46" t="inlineStr">
        <is>
          <t>Pass</t>
        </is>
      </c>
      <c r="N49" s="46" t="inlineStr">
        <is>
          <t>Pass</t>
        </is>
      </c>
      <c r="O49" s="46" t="inlineStr">
        <is>
          <t>Pass</t>
        </is>
      </c>
      <c r="P49" s="46" t="inlineStr">
        <is>
          <t>Pass</t>
        </is>
      </c>
      <c r="Q49" s="46" t="inlineStr">
        <is>
          <t>Pass</t>
        </is>
      </c>
      <c r="R49" s="46" t="inlineStr">
        <is>
          <t>Pass</t>
        </is>
      </c>
      <c r="S49" s="46" t="inlineStr">
        <is>
          <t>Pass</t>
        </is>
      </c>
      <c r="T49" s="46" t="inlineStr">
        <is>
          <t>Pass</t>
        </is>
      </c>
      <c r="U49" s="46" t="inlineStr">
        <is>
          <t>Pass</t>
        </is>
      </c>
      <c r="V49" s="46" t="inlineStr">
        <is>
          <t>Pass</t>
        </is>
      </c>
      <c r="W49" s="46" t="inlineStr">
        <is>
          <t>Pass</t>
        </is>
      </c>
      <c r="X49" s="46" t="inlineStr">
        <is>
          <t>Pass</t>
        </is>
      </c>
      <c r="Y49" s="46" t="inlineStr">
        <is>
          <t>Pass</t>
        </is>
      </c>
      <c r="Z49" s="26">
        <f>IF(B49="","",IF(COUNTIF(F49:G49,"Fail")&gt;0,1,0))</f>
        <v/>
      </c>
      <c r="AA49" s="26">
        <f>IF(B49="","",IF(COUNTIF(H49:S49,"Fail")&gt;0,1,0))</f>
        <v/>
      </c>
      <c r="AB49" s="26">
        <f>IF(B49="","",IF(COUNTIF(T49:Y49,"Fail")&gt;0,1,0))</f>
        <v/>
      </c>
      <c r="AC49" s="27">
        <f>IF(B49="","",0.1*Z49+0.8*AA49+0.1*AB49)</f>
        <v/>
      </c>
      <c r="AD49" s="27">
        <f>IF(B49="","",IF(C49="Batch 1",0.3,0.2))</f>
        <v/>
      </c>
      <c r="AE49" s="19">
        <f>IF(B49="","",IF(AC49&lt;=AD49,"Đạt","Không đạt"))</f>
        <v/>
      </c>
      <c r="AF49" s="43" t="inlineStr">
        <is>
          <t>Đạt toàn bộ tiêu chí.</t>
        </is>
      </c>
    </row>
    <row r="50" ht="30" customHeight="1" s="36">
      <c r="A50" s="17" t="n">
        <v>74</v>
      </c>
      <c r="B50" s="44" t="inlineStr">
        <is>
          <t>TCKH.T24_USER</t>
        </is>
      </c>
      <c r="C50" s="45" t="inlineStr">
        <is>
          <t>Batch 2</t>
        </is>
      </c>
      <c r="D50" s="45" t="inlineStr">
        <is>
          <t>BAOANH</t>
        </is>
      </c>
      <c r="E50" s="45" t="inlineStr">
        <is>
          <t>2026-08-06</t>
        </is>
      </c>
      <c r="F50" s="46" t="inlineStr">
        <is>
          <t>Pass</t>
        </is>
      </c>
      <c r="G50" s="46" t="inlineStr">
        <is>
          <t>Pass</t>
        </is>
      </c>
      <c r="H50" s="46" t="inlineStr">
        <is>
          <t>Pass</t>
        </is>
      </c>
      <c r="I50" s="46" t="inlineStr">
        <is>
          <t>Pass</t>
        </is>
      </c>
      <c r="J50" s="46" t="inlineStr">
        <is>
          <t>Pass</t>
        </is>
      </c>
      <c r="K50" s="46" t="inlineStr">
        <is>
          <t>Pass</t>
        </is>
      </c>
      <c r="L50" s="46" t="inlineStr">
        <is>
          <t>Pass</t>
        </is>
      </c>
      <c r="M50" s="46" t="inlineStr">
        <is>
          <t>Pass</t>
        </is>
      </c>
      <c r="N50" s="46" t="inlineStr">
        <is>
          <t>Pass</t>
        </is>
      </c>
      <c r="O50" s="46" t="inlineStr">
        <is>
          <t>Pass</t>
        </is>
      </c>
      <c r="P50" s="46" t="inlineStr">
        <is>
          <t>Pass</t>
        </is>
      </c>
      <c r="Q50" s="46" t="inlineStr">
        <is>
          <t>Pass</t>
        </is>
      </c>
      <c r="R50" s="46" t="inlineStr">
        <is>
          <t>Pass</t>
        </is>
      </c>
      <c r="S50" s="46" t="inlineStr">
        <is>
          <t>Pass</t>
        </is>
      </c>
      <c r="T50" s="46" t="inlineStr">
        <is>
          <t>Pass</t>
        </is>
      </c>
      <c r="U50" s="46" t="inlineStr">
        <is>
          <t>Pass</t>
        </is>
      </c>
      <c r="V50" s="46" t="inlineStr">
        <is>
          <t>Pass</t>
        </is>
      </c>
      <c r="W50" s="46" t="inlineStr">
        <is>
          <t>Pass</t>
        </is>
      </c>
      <c r="X50" s="46" t="inlineStr">
        <is>
          <t>Pass</t>
        </is>
      </c>
      <c r="Y50" s="46" t="inlineStr">
        <is>
          <t>Pass</t>
        </is>
      </c>
      <c r="Z50" s="26">
        <f>IF(B50="","",IF(COUNTIF(F50:G50,"Fail")&gt;0,1,0))</f>
        <v/>
      </c>
      <c r="AA50" s="26">
        <f>IF(B50="","",IF(COUNTIF(H50:S50,"Fail")&gt;0,1,0))</f>
        <v/>
      </c>
      <c r="AB50" s="26">
        <f>IF(B50="","",IF(COUNTIF(T50:Y50,"Fail")&gt;0,1,0))</f>
        <v/>
      </c>
      <c r="AC50" s="27">
        <f>IF(B50="","",0.1*Z50+0.8*AA50+0.1*AB50)</f>
        <v/>
      </c>
      <c r="AD50" s="27">
        <f>IF(B50="","",IF(C50="Batch 1",0.3,0.2))</f>
        <v/>
      </c>
      <c r="AE50" s="19">
        <f>IF(B50="","",IF(AC50&lt;=AD50,"Đạt","Không đạt"))</f>
        <v/>
      </c>
      <c r="AF50" s="43" t="inlineStr">
        <is>
          <t>Đạt toàn bộ tiêu chí.</t>
        </is>
      </c>
    </row>
    <row r="51" ht="30" customHeight="1" s="36">
      <c r="A51" s="17" t="n">
        <v>76</v>
      </c>
      <c r="B51" s="44" t="inlineStr">
        <is>
          <t>TCKH.TXN_TP_DIM</t>
        </is>
      </c>
      <c r="C51" s="45" t="inlineStr">
        <is>
          <t>Batch 2</t>
        </is>
      </c>
      <c r="D51" s="45" t="inlineStr">
        <is>
          <t>HOP</t>
        </is>
      </c>
      <c r="E51" s="45" t="inlineStr">
        <is>
          <t>2026-08-06</t>
        </is>
      </c>
      <c r="F51" s="46" t="inlineStr">
        <is>
          <t>Pass</t>
        </is>
      </c>
      <c r="G51" s="46" t="inlineStr">
        <is>
          <t>Pass</t>
        </is>
      </c>
      <c r="H51" s="46" t="inlineStr">
        <is>
          <t>Pass</t>
        </is>
      </c>
      <c r="I51" s="46" t="inlineStr">
        <is>
          <t>Pass</t>
        </is>
      </c>
      <c r="J51" s="46" t="inlineStr">
        <is>
          <t>Pass</t>
        </is>
      </c>
      <c r="K51" s="46" t="inlineStr">
        <is>
          <t>Pass</t>
        </is>
      </c>
      <c r="L51" s="46" t="inlineStr">
        <is>
          <t>Pass</t>
        </is>
      </c>
      <c r="M51" s="46" t="inlineStr">
        <is>
          <t>Fail</t>
        </is>
      </c>
      <c r="N51" s="46" t="inlineStr">
        <is>
          <t>Pass</t>
        </is>
      </c>
      <c r="O51" s="46" t="inlineStr">
        <is>
          <t>Pass</t>
        </is>
      </c>
      <c r="P51" s="46" t="inlineStr">
        <is>
          <t>Pass</t>
        </is>
      </c>
      <c r="Q51" s="46" t="inlineStr">
        <is>
          <t>Pass</t>
        </is>
      </c>
      <c r="R51" s="46" t="inlineStr">
        <is>
          <t>Pass</t>
        </is>
      </c>
      <c r="S51" s="46" t="inlineStr">
        <is>
          <t>Pass</t>
        </is>
      </c>
      <c r="T51" s="46" t="inlineStr">
        <is>
          <t>Pass</t>
        </is>
      </c>
      <c r="U51" s="46" t="inlineStr">
        <is>
          <t>Pass</t>
        </is>
      </c>
      <c r="V51" s="46" t="inlineStr">
        <is>
          <t>Pass</t>
        </is>
      </c>
      <c r="W51" s="46" t="inlineStr">
        <is>
          <t>Pass</t>
        </is>
      </c>
      <c r="X51" s="46" t="inlineStr">
        <is>
          <t>Pass</t>
        </is>
      </c>
      <c r="Y51" s="46" t="inlineStr">
        <is>
          <t>Pass</t>
        </is>
      </c>
      <c r="Z51" s="26">
        <f>IF(B51="","",IF(COUNTIF(F51:G51,"Fail")&gt;0,1,0))</f>
        <v/>
      </c>
      <c r="AA51" s="26">
        <f>IF(B51="","",IF(COUNTIF(H51:S51,"Fail")&gt;0,1,0))</f>
        <v/>
      </c>
      <c r="AB51" s="26">
        <f>IF(B51="","",IF(COUNTIF(T51:Y51,"Fail")&gt;0,1,0))</f>
        <v/>
      </c>
      <c r="AC51" s="27">
        <f>IF(B51="","",0.1*Z51+0.8*AA51+0.1*AB51)</f>
        <v/>
      </c>
      <c r="AD51" s="27">
        <f>IF(B51="","",IF(C51="Batch 1",0.3,0.2))</f>
        <v/>
      </c>
      <c r="AE51" s="19">
        <f>IF(B51="","",IF(AC51&lt;=AD51,"Đạt","Không đạt"))</f>
        <v/>
      </c>
      <c r="AF51" s="43" t="inlineStr">
        <is>
          <t>╔══ FAIL: 1 tiêu chí — 2.6
▼ 2.6 — SCD Type 2 cho bảng DIM áp dụng đúng kỹ thuật đã thống nhất
   • Lý do: không dùng APPLY CHANGES ... SCD TYPE 2 và cũng không có cột effective_date/end_date/current_flag để tự quản hiệu lực
   → Cách sửa: 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row>
    <row r="52" ht="30" customHeight="1" s="36">
      <c r="A52" s="17" t="n">
        <v>79</v>
      </c>
      <c r="B52" s="44" t="inlineStr">
        <is>
          <t>TCKH.CB_OU_DIM</t>
        </is>
      </c>
      <c r="C52" s="45" t="inlineStr">
        <is>
          <t>Batch 2</t>
        </is>
      </c>
      <c r="D52" s="45" t="inlineStr">
        <is>
          <t>HOP</t>
        </is>
      </c>
      <c r="E52" s="45" t="inlineStr">
        <is>
          <t>2026-08-06</t>
        </is>
      </c>
      <c r="F52" s="46" t="inlineStr">
        <is>
          <t>Pass</t>
        </is>
      </c>
      <c r="G52" s="46" t="inlineStr">
        <is>
          <t>Pass</t>
        </is>
      </c>
      <c r="H52" s="46" t="inlineStr">
        <is>
          <t>Pass</t>
        </is>
      </c>
      <c r="I52" s="46" t="inlineStr">
        <is>
          <t>Pass</t>
        </is>
      </c>
      <c r="J52" s="46" t="inlineStr">
        <is>
          <t>Pass</t>
        </is>
      </c>
      <c r="K52" s="46" t="inlineStr">
        <is>
          <t>Pass</t>
        </is>
      </c>
      <c r="L52" s="46" t="inlineStr">
        <is>
          <t>Fail</t>
        </is>
      </c>
      <c r="M52" s="46" t="inlineStr">
        <is>
          <t>Fail</t>
        </is>
      </c>
      <c r="N52" s="46" t="inlineStr">
        <is>
          <t>Pass</t>
        </is>
      </c>
      <c r="O52" s="46" t="inlineStr">
        <is>
          <t>Pass</t>
        </is>
      </c>
      <c r="P52" s="46" t="inlineStr">
        <is>
          <t>Pass</t>
        </is>
      </c>
      <c r="Q52" s="46" t="inlineStr">
        <is>
          <t>WARN</t>
        </is>
      </c>
      <c r="R52" s="46" t="inlineStr">
        <is>
          <t>Pass</t>
        </is>
      </c>
      <c r="S52" s="46" t="inlineStr">
        <is>
          <t>Pass</t>
        </is>
      </c>
      <c r="T52" s="46" t="inlineStr">
        <is>
          <t>Fail</t>
        </is>
      </c>
      <c r="U52" s="46" t="inlineStr">
        <is>
          <t>WARN</t>
        </is>
      </c>
      <c r="V52" s="46" t="inlineStr">
        <is>
          <t>WARN</t>
        </is>
      </c>
      <c r="W52" s="46" t="inlineStr">
        <is>
          <t>WARN</t>
        </is>
      </c>
      <c r="X52" s="46" t="inlineStr">
        <is>
          <t>Pass</t>
        </is>
      </c>
      <c r="Y52" s="46" t="inlineStr">
        <is>
          <t>WARN</t>
        </is>
      </c>
      <c r="Z52" s="26">
        <f>IF(B52="","",IF(COUNTIF(F52:G52,"Fail")&gt;0,1,0))</f>
        <v/>
      </c>
      <c r="AA52" s="26">
        <f>IF(B52="","",IF(COUNTIF(H52:S52,"Fail")&gt;0,1,0))</f>
        <v/>
      </c>
      <c r="AB52" s="26">
        <f>IF(B52="","",IF(COUNTIF(T52:Y52,"Fail")&gt;0,1,0))</f>
        <v/>
      </c>
      <c r="AC52" s="27">
        <f>IF(B52="","",0.1*Z52+0.8*AA52+0.1*AB52)</f>
        <v/>
      </c>
      <c r="AD52" s="27">
        <f>IF(B52="","",IF(C52="Batch 1",0.3,0.2))</f>
        <v/>
      </c>
      <c r="AE52" s="19">
        <f>IF(B52="","",IF(AC52&lt;=AD52,"Đạt","Không đạt"))</f>
        <v/>
      </c>
      <c r="AF52" s="43" t="inlineStr">
        <is>
          <t>╔══ FAIL: 3 tiêu chí — 2.5, 2.6, 3.1
▼ 2.5 — Không lặp lại lỗi logic cũ đã được DA Data Vault fix
   • Lý do: lặp lại 2 lỗi DA Data Vault đã nêu ở Issue log: Issue#4 surrogate key DIM sinh bang MAX(&lt;DIM_ID&gt;) + ROW_NUMBER (trung khi chay song song) @ dòng [5]; Issue#4 COALESCE(MAX(&lt;DIM_ID&gt;),0) lam moc tang dan cho surrogate key @ dòng [97]
   → Cách sửa: 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
▼ 2.6 — SCD Type 2 cho bảng DIM áp dụng đúng kỹ thuật đã thống nhất
   • Lý do: dùng antipattern MAX(ID) + ROW_NUMBER để sinh surrogate key ở dòng [5, 130] (Issue log #4)
   → Cách sửa: 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
▼ 3.1 — Không SELECT *
   • Lý do: có 2 lần SELECT * ở dòng [165, 167]
   → Cách sửa: Liệt kê tường minh các cột cần dùng, kể cả trong CTE trung gian. SELECT * làm tăng IO/memory và vỡ script khi bảng nguồn thêm cột.
╔══ WARN: 5 tiêu chí — 2.10, 3.2, 3.3, 3.4, 3.6
▼ 2.10 — Aggregation kèm filter date range chính xác
   • 1 khối tổng hợp không thấy filter theo ngày/tham số: max_id
▼ 3.2 — CTE không bị scan lại nhiều lần
   • CTE bị tham chiếu lại nhiều lần: hub_active x2, sat_latest x2, source_data x3, changed x2
▼ 3.3 — Filter trước khi join, tận dụng partition pruning
   • 1 bảng join trực tiếp mà không có filter riêng: ou_area_mapping (am)
▼ 3.4 — Sử dụng CACHE cho query lặp lại trong cùng luồng
   • 4 CTE nặng dùng lại &gt;= 2 lần mà không có CACHE: changed, hub_active, sat_latest, source_data
▼ 3.6 — Không lạm dụng window function; có comment khi dùng
   • 1/1 window function không có comment giải thích, ở dòng [130]</t>
        </is>
      </c>
    </row>
    <row r="53" ht="30" customHeight="1" s="36">
      <c r="A53" s="17" t="n">
        <v>81</v>
      </c>
      <c r="B53" s="44" t="inlineStr">
        <is>
          <t>TCKH.V_DATE_OF_WORK</t>
        </is>
      </c>
      <c r="C53" s="45" t="inlineStr">
        <is>
          <t>Batch 2</t>
        </is>
      </c>
      <c r="D53" s="45" t="inlineStr">
        <is>
          <t>HOP</t>
        </is>
      </c>
      <c r="E53" s="45" t="inlineStr">
        <is>
          <t>2026-08-06</t>
        </is>
      </c>
      <c r="F53" s="46" t="inlineStr">
        <is>
          <t>Pass</t>
        </is>
      </c>
      <c r="G53" s="46" t="inlineStr">
        <is>
          <t>Pass</t>
        </is>
      </c>
      <c r="H53" s="46" t="inlineStr">
        <is>
          <t>Pass</t>
        </is>
      </c>
      <c r="I53" s="46" t="inlineStr">
        <is>
          <t>Pass</t>
        </is>
      </c>
      <c r="J53" s="46" t="inlineStr">
        <is>
          <t>Pass</t>
        </is>
      </c>
      <c r="K53" s="46" t="inlineStr">
        <is>
          <t>Pass</t>
        </is>
      </c>
      <c r="L53" s="46" t="inlineStr">
        <is>
          <t>Pass</t>
        </is>
      </c>
      <c r="M53" s="46" t="inlineStr">
        <is>
          <t>Pass</t>
        </is>
      </c>
      <c r="N53" s="46" t="inlineStr">
        <is>
          <t>Pass</t>
        </is>
      </c>
      <c r="O53" s="46" t="inlineStr">
        <is>
          <t>Pass</t>
        </is>
      </c>
      <c r="P53" s="46" t="inlineStr">
        <is>
          <t>Pass</t>
        </is>
      </c>
      <c r="Q53" s="46" t="inlineStr">
        <is>
          <t>Pass</t>
        </is>
      </c>
      <c r="R53" s="46" t="inlineStr">
        <is>
          <t>Pass</t>
        </is>
      </c>
      <c r="S53" s="46" t="inlineStr">
        <is>
          <t>Pass</t>
        </is>
      </c>
      <c r="T53" s="46" t="inlineStr">
        <is>
          <t>Pass</t>
        </is>
      </c>
      <c r="U53" s="46" t="inlineStr">
        <is>
          <t>Pass</t>
        </is>
      </c>
      <c r="V53" s="46" t="inlineStr">
        <is>
          <t>Pass</t>
        </is>
      </c>
      <c r="W53" s="46" t="inlineStr">
        <is>
          <t>Pass</t>
        </is>
      </c>
      <c r="X53" s="46" t="inlineStr">
        <is>
          <t>Pass</t>
        </is>
      </c>
      <c r="Y53" s="46" t="inlineStr">
        <is>
          <t>Pass</t>
        </is>
      </c>
      <c r="Z53" s="26">
        <f>IF(B53="","",IF(COUNTIF(F53:G53,"Fail")&gt;0,1,0))</f>
        <v/>
      </c>
      <c r="AA53" s="26">
        <f>IF(B53="","",IF(COUNTIF(H53:S53,"Fail")&gt;0,1,0))</f>
        <v/>
      </c>
      <c r="AB53" s="26">
        <f>IF(B53="","",IF(COUNTIF(T53:Y53,"Fail")&gt;0,1,0))</f>
        <v/>
      </c>
      <c r="AC53" s="27">
        <f>IF(B53="","",0.1*Z53+0.8*AA53+0.1*AB53)</f>
        <v/>
      </c>
      <c r="AD53" s="27">
        <f>IF(B53="","",IF(C53="Batch 1",0.3,0.2))</f>
        <v/>
      </c>
      <c r="AE53" s="19">
        <f>IF(B53="","",IF(AC53&lt;=AD53,"Đạt","Không đạt"))</f>
        <v/>
      </c>
      <c r="AF53" s="43" t="inlineStr">
        <is>
          <t>Đạt toàn bộ tiêu chí.</t>
        </is>
      </c>
    </row>
    <row r="54" ht="30" customHeight="1" s="36">
      <c r="A54" s="17" t="n">
        <v>82</v>
      </c>
      <c r="B54" s="44" t="inlineStr">
        <is>
          <t>TCKH.V_LD_FTP_RATE</t>
        </is>
      </c>
      <c r="C54" s="45" t="inlineStr">
        <is>
          <t>Batch 2</t>
        </is>
      </c>
      <c r="D54" s="45" t="inlineStr">
        <is>
          <t>PHAT</t>
        </is>
      </c>
      <c r="E54" s="45" t="inlineStr">
        <is>
          <t>2026-08-06</t>
        </is>
      </c>
      <c r="F54" s="46" t="inlineStr">
        <is>
          <t>Pass</t>
        </is>
      </c>
      <c r="G54" s="46" t="inlineStr">
        <is>
          <t>Pass</t>
        </is>
      </c>
      <c r="H54" s="46" t="inlineStr">
        <is>
          <t>Pass</t>
        </is>
      </c>
      <c r="I54" s="46" t="inlineStr">
        <is>
          <t>Pass</t>
        </is>
      </c>
      <c r="J54" s="46" t="inlineStr">
        <is>
          <t>Pass</t>
        </is>
      </c>
      <c r="K54" s="46" t="inlineStr">
        <is>
          <t>Pass</t>
        </is>
      </c>
      <c r="L54" s="46" t="inlineStr">
        <is>
          <t>Pass</t>
        </is>
      </c>
      <c r="M54" s="46" t="inlineStr">
        <is>
          <t>Pass</t>
        </is>
      </c>
      <c r="N54" s="46" t="inlineStr">
        <is>
          <t>Pass</t>
        </is>
      </c>
      <c r="O54" s="46" t="inlineStr">
        <is>
          <t>WARN</t>
        </is>
      </c>
      <c r="P54" s="46" t="inlineStr">
        <is>
          <t>Pass</t>
        </is>
      </c>
      <c r="Q54" s="46" t="inlineStr">
        <is>
          <t>WARN</t>
        </is>
      </c>
      <c r="R54" s="46" t="inlineStr">
        <is>
          <t>Pass</t>
        </is>
      </c>
      <c r="S54" s="46" t="inlineStr">
        <is>
          <t>Pass</t>
        </is>
      </c>
      <c r="T54" s="46" t="inlineStr">
        <is>
          <t>Pass</t>
        </is>
      </c>
      <c r="U54" s="46" t="inlineStr">
        <is>
          <t>Pass</t>
        </is>
      </c>
      <c r="V54" s="46" t="inlineStr">
        <is>
          <t>Pass</t>
        </is>
      </c>
      <c r="W54" s="46" t="inlineStr">
        <is>
          <t>Pass</t>
        </is>
      </c>
      <c r="X54" s="46" t="inlineStr">
        <is>
          <t>Pass</t>
        </is>
      </c>
      <c r="Y54" s="46" t="inlineStr">
        <is>
          <t>Pass</t>
        </is>
      </c>
      <c r="Z54" s="26">
        <f>IF(B54="","",IF(COUNTIF(F54:G54,"Fail")&gt;0,1,0))</f>
        <v/>
      </c>
      <c r="AA54" s="26">
        <f>IF(B54="","",IF(COUNTIF(H54:S54,"Fail")&gt;0,1,0))</f>
        <v/>
      </c>
      <c r="AB54" s="26">
        <f>IF(B54="","",IF(COUNTIF(T54:Y54,"Fail")&gt;0,1,0))</f>
        <v/>
      </c>
      <c r="AC54" s="27">
        <f>IF(B54="","",0.1*Z54+0.8*AA54+0.1*AB54)</f>
        <v/>
      </c>
      <c r="AD54" s="27">
        <f>IF(B54="","",IF(C54="Batch 1",0.3,0.2))</f>
        <v/>
      </c>
      <c r="AE54" s="19">
        <f>IF(B54="","",IF(AC54&lt;=AD54,"Đạt","Không đạt"))</f>
        <v/>
      </c>
      <c r="AF54" s="43" t="inlineStr">
        <is>
          <t>╔══ WARN: 2 tiêu chí — 2.8, 2.10
▼ 2.8 — Cột SUM/COUNT được COALESCE/NVL hợp lý
   • 2 biểu thức tổng hợp chưa coalesce: SUM(CASE WHEN SUBSTRING(h.REF_NO, 1, 2) &lt;&gt; 'PD' AND h.SYSTEM; SUM(CASE WHEN SUBSTRING(h.REF_NO, 1, 2) = 'PD' THEN 0 ELSE h
   • khi đối soát với hệ thống cũ phải bọc NVL/ISNULL CẢ HAI phía để không lệch khi trừ (Checklist RVN-OCB #11)
▼ 2.10 — Aggregation kèm filter date range chính xác
   • 1 khối tổng hợp không thấy filter theo ngày/tham số: SELECT tu FTP_CONTRACT_HIST</t>
        </is>
      </c>
    </row>
    <row r="55" ht="30" customHeight="1" s="36">
      <c r="A55" s="17" t="n">
        <v>83</v>
      </c>
      <c r="B55" s="44" t="inlineStr">
        <is>
          <t>GSTX.GSTX_INTF_DUPL_CIF</t>
        </is>
      </c>
      <c r="C55" s="45" t="inlineStr">
        <is>
          <t>Batch 2</t>
        </is>
      </c>
      <c r="D55" s="45" t="inlineStr">
        <is>
          <t>Huy</t>
        </is>
      </c>
      <c r="E55" s="45" t="inlineStr">
        <is>
          <t>2026-08-06</t>
        </is>
      </c>
      <c r="F55" s="46" t="inlineStr">
        <is>
          <t>Fail</t>
        </is>
      </c>
      <c r="G55" s="46" t="inlineStr">
        <is>
          <t>Pass</t>
        </is>
      </c>
      <c r="H55" s="46" t="inlineStr">
        <is>
          <t>Pass</t>
        </is>
      </c>
      <c r="I55" s="46" t="inlineStr">
        <is>
          <t>Pass</t>
        </is>
      </c>
      <c r="J55" s="46" t="inlineStr">
        <is>
          <t>Fail</t>
        </is>
      </c>
      <c r="K55" s="46" t="inlineStr">
        <is>
          <t>Fail</t>
        </is>
      </c>
      <c r="L55" s="46" t="inlineStr">
        <is>
          <t>Fail</t>
        </is>
      </c>
      <c r="M55" s="46" t="inlineStr">
        <is>
          <t>Pass</t>
        </is>
      </c>
      <c r="N55" s="46" t="inlineStr">
        <is>
          <t>Pass</t>
        </is>
      </c>
      <c r="O55" s="46" t="inlineStr">
        <is>
          <t>WARN</t>
        </is>
      </c>
      <c r="P55" s="46" t="inlineStr">
        <is>
          <t>Pass</t>
        </is>
      </c>
      <c r="Q55" s="46" t="inlineStr">
        <is>
          <t>Pass</t>
        </is>
      </c>
      <c r="R55" s="46" t="inlineStr">
        <is>
          <t>Pass</t>
        </is>
      </c>
      <c r="S55" s="46" t="inlineStr">
        <is>
          <t>Pass</t>
        </is>
      </c>
      <c r="T55" s="46" t="inlineStr">
        <is>
          <t>Fail</t>
        </is>
      </c>
      <c r="U55" s="46" t="inlineStr">
        <is>
          <t>WARN</t>
        </is>
      </c>
      <c r="V55" s="46" t="inlineStr">
        <is>
          <t>Pass</t>
        </is>
      </c>
      <c r="W55" s="46" t="inlineStr">
        <is>
          <t>WARN</t>
        </is>
      </c>
      <c r="X55" s="46" t="inlineStr">
        <is>
          <t>Pass</t>
        </is>
      </c>
      <c r="Y55" s="46" t="inlineStr">
        <is>
          <t>Pass</t>
        </is>
      </c>
      <c r="Z55" s="26">
        <f>IF(B55="","",IF(COUNTIF(F55:G55,"Fail")&gt;0,1,0))</f>
        <v/>
      </c>
      <c r="AA55" s="26">
        <f>IF(B55="","",IF(COUNTIF(H55:S55,"Fail")&gt;0,1,0))</f>
        <v/>
      </c>
      <c r="AB55" s="26">
        <f>IF(B55="","",IF(COUNTIF(T55:Y55,"Fail")&gt;0,1,0))</f>
        <v/>
      </c>
      <c r="AC55" s="27">
        <f>IF(B55="","",0.1*Z55+0.8*AA55+0.1*AB55)</f>
        <v/>
      </c>
      <c r="AD55" s="27">
        <f>IF(B55="","",IF(C55="Batch 1",0.3,0.2))</f>
        <v/>
      </c>
      <c r="AE55" s="19">
        <f>IF(B55="","",IF(AC55&lt;=AD55,"Đạt","Không đạt"))</f>
        <v/>
      </c>
      <c r="AF55" s="43" t="inlineStr">
        <is>
          <t>╔══ FAIL: 6 tiêu chí — 1.1, 2.3, 2.4, 2.5, 3.1, X.6
▼ 1.1 — Đầy đủ mapping từ Silver/manual sang Gold
   • Lý do: còn placeholder chưa thay: &lt;t24_customer&gt; tại dòng [250]
   → Cách sửa: Mở workbook thiết kế, đối chiếu block FIELD MAPPING với danh sách cột trong câu SELECT/INSERT của file SQL. Cột nào thiếu thì bổ sung vào SQL; cột nào SQL có mà thiết kế không có thì bổ sung vào workbook hoặc bỏ khỏi SQL.
▼ 2.3 — Điều kiện lọc trạng thái đặt SAU khi xác định bản ghi mới nhất
   • Lý do: đặt trong ON của OUTER JOIN sẽ ra NULL âm thầm khi không match (Issue log #3): ['source_event_date'] nằm trong ON của LEFT JOIN si; ['source_event_date'] nằm trong ON của LEFT JOIN si
   → Cách sửa: 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
▼ 2.4 — source_event_date áp dụng đúng dạng theo loại bảng
   • Lý do: sat_crb_balance (dong 11): là bảng transaction nên phải dùng source_event_date = :DATADT, đang dùng &lt;=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2.5 — Không lặp lại lỗi logic cũ đã được DA Data Vault fix
   • Lý do: lặp lại 1 lỗi DA Data Vault đã nêu ở Issue log: Issue#5 ROW_NUMBER()+WHERE rn=1 thay vi MAX_BY (cham hon) @ dòng [262]
   → Cách sửa: 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
▼ 3.1 — Không SELECT *
   • Lý do: có 2 lần SELECT * ở dòng [19, 255, 261]
   → Cách sửa: Liệt kê tường minh các cột cần dùng, kể cả trong CTE trung gian. SELECT * làm tăng IO/memory và vỡ script khi bảng nguồn thêm cột.
▼ X.6 — [Bổ sung] Satellite phải LEFT JOIN, không INNER JOIN   [bổ sung, không tính điểm — Technical Document ZoneC v1.1, mục III.4.2.2 nguyên tắc 1]
   • Lý do: 2 satellite dùng INNER JOIN, sẽ mất bản ghi Hub chưa có dòng satellite: sat_crb_balance (dong 11), sat_soa_cust_package_information (dong 197)
   → Cách sửa: Technical Document III.4.2.2 nguyên tắc 1: làm giàu thuộc tính luôn dùng LEFT JOIN. INNER JOIN satellite sẽ loại mất bản ghi Hub đang còn hiệu lực nhưng chưa có dòng satellite.
╔══ WARN: 3 tiêu chí — 2.8, 3.2, 3.4
▼ 2.8 — Cột SUM/COUNT được COALESCE/NVL hợp lý
   • 3 biểu thức tổng hợp chưa coalesce: curr_account_bal = SUM(CASE WHEN gl LIKE '42%1' THEN noite ELSE 0 END); curr_deposit_bal = SUM(CASE WHEN gl LIKE '42%2' OR gl LIKE '43%' THEN noite ELS; curr_loan_bal = SUM(CASE WHEN gl LIKE '2%' THEN noite ELSE 0 END)
   • khi đối soát với hệ thống cũ phải bọc NVL/ISNULL CẢ HAI phía để không lệch khi trừ (Checklist RVN-OCB #11)
▼ 3.2 — CTE không bị scan lại nhiều lần
   • CTE bị tham chiếu lại nhiều lần: branch_dim x3, cust_acct_link x3, user_dir x3
▼ 3.4 — Sử dụng CACHE cho query lặp lại trong cùng luồng
   • 3 CTE nặng dùng lại &gt;= 2 lần mà không có CACHE: branch_dim, cust_acct_link, user_dir</t>
        </is>
      </c>
    </row>
    <row r="56" ht="30" customHeight="1" s="36">
      <c r="A56" s="17" t="n">
        <v>84</v>
      </c>
      <c r="B56" s="44" t="inlineStr">
        <is>
          <t>GSTX.GSTX_INTF_NOT_UPLOADED_CIF</t>
        </is>
      </c>
      <c r="C56" s="45" t="inlineStr">
        <is>
          <t>Batch 2</t>
        </is>
      </c>
      <c r="D56" s="45" t="inlineStr">
        <is>
          <t>Huy</t>
        </is>
      </c>
      <c r="E56" s="45" t="inlineStr">
        <is>
          <t>2026-08-06</t>
        </is>
      </c>
      <c r="F56" s="46" t="inlineStr">
        <is>
          <t>Fail</t>
        </is>
      </c>
      <c r="G56" s="46" t="inlineStr">
        <is>
          <t>Pass</t>
        </is>
      </c>
      <c r="H56" s="46" t="inlineStr">
        <is>
          <t>Pass</t>
        </is>
      </c>
      <c r="I56" s="46" t="inlineStr">
        <is>
          <t>Pass</t>
        </is>
      </c>
      <c r="J56" s="46" t="inlineStr">
        <is>
          <t>Fail</t>
        </is>
      </c>
      <c r="K56" s="46" t="inlineStr">
        <is>
          <t>Fail</t>
        </is>
      </c>
      <c r="L56" s="46" t="inlineStr">
        <is>
          <t>Fail</t>
        </is>
      </c>
      <c r="M56" s="46" t="inlineStr">
        <is>
          <t>Pass</t>
        </is>
      </c>
      <c r="N56" s="46" t="inlineStr">
        <is>
          <t>Pass</t>
        </is>
      </c>
      <c r="O56" s="46" t="inlineStr">
        <is>
          <t>WARN</t>
        </is>
      </c>
      <c r="P56" s="46" t="inlineStr">
        <is>
          <t>Pass</t>
        </is>
      </c>
      <c r="Q56" s="46" t="inlineStr">
        <is>
          <t>Pass</t>
        </is>
      </c>
      <c r="R56" s="46" t="inlineStr">
        <is>
          <t>Pass</t>
        </is>
      </c>
      <c r="S56" s="46" t="inlineStr">
        <is>
          <t>Pass</t>
        </is>
      </c>
      <c r="T56" s="46" t="inlineStr">
        <is>
          <t>Pass</t>
        </is>
      </c>
      <c r="U56" s="46" t="inlineStr">
        <is>
          <t>WARN</t>
        </is>
      </c>
      <c r="V56" s="46" t="inlineStr">
        <is>
          <t>Pass</t>
        </is>
      </c>
      <c r="W56" s="46" t="inlineStr">
        <is>
          <t>WARN</t>
        </is>
      </c>
      <c r="X56" s="46" t="inlineStr">
        <is>
          <t>Pass</t>
        </is>
      </c>
      <c r="Y56" s="46" t="inlineStr">
        <is>
          <t>Pass</t>
        </is>
      </c>
      <c r="Z56" s="26">
        <f>IF(B56="","",IF(COUNTIF(F56:G56,"Fail")&gt;0,1,0))</f>
        <v/>
      </c>
      <c r="AA56" s="26">
        <f>IF(B56="","",IF(COUNTIF(H56:S56,"Fail")&gt;0,1,0))</f>
        <v/>
      </c>
      <c r="AB56" s="26">
        <f>IF(B56="","",IF(COUNTIF(T56:Y56,"Fail")&gt;0,1,0))</f>
        <v/>
      </c>
      <c r="AC56" s="27">
        <f>IF(B56="","",0.1*Z56+0.8*AA56+0.1*AB56)</f>
        <v/>
      </c>
      <c r="AD56" s="27">
        <f>IF(B56="","",IF(C56="Batch 1",0.3,0.2))</f>
        <v/>
      </c>
      <c r="AE56" s="19">
        <f>IF(B56="","",IF(AC56&lt;=AD56,"Đạt","Không đạt"))</f>
        <v/>
      </c>
      <c r="AF56" s="43" t="inlineStr">
        <is>
          <t>╔══ FAIL: 5 tiêu chí — 1.1, 2.3, 2.4, 2.5, X.6
▼ 1.1 — Đầy đủ mapping từ Silver/manual sang Gold
   • Lý do: còn placeholder chưa thay: &lt;phan_khuc_col&gt; tại dòng [240]
   → Cách sửa: Mở workbook thiết kế, đối chiếu block FIELD MAPPING với danh sách cột trong câu SELECT/INSERT của file SQL. Cột nào thiếu thì bổ sung vào SQL; cột nào SQL có mà thiết kế không có thì bổ sung vào workbook hoặc bỏ khỏi SQL.
▼ 2.3 — Điều kiện lọc trạng thái đặt SAU khi xác định bản ghi mới nhất
   • Lý do: đặt trong ON của OUTER JOIN sẽ ra NULL âm thầm khi không match (Issue log #3): ['source_event_date'] nằm trong ON của LEFT JOIN si; ['source_event_date'] nằm trong ON của LEFT JOIN si
   → Cách sửa: 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
▼ 2.4 — source_event_date áp dụng đúng dạng theo loại bảng
   • Lý do: sat_crb_balance (dong 85): là bảng transaction nên phải dùng source_event_date = :DATADT, đang dùng &lt;=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2.5 — Không lặp lại lỗi logic cũ đã được DA Data Vault fix
   • Lý do: lặp lại 1 lỗi DA Data Vault đã nêu ở Issue log: Issue#5 ROW_NUMBER()+WHERE rn=1 thay vi MAX_BY (cham hon) @ dòng [151]
   → Cách sửa: 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
▼ X.6 — [Bổ sung] Satellite phải LEFT JOIN, không INNER JOIN   [bổ sung, không tính điểm — Technical Document ZoneC v1.1, mục III.4.2.2 nguyên tắc 1]
   • Lý do: 2 satellite dùng INNER JOIN, sẽ mất bản ghi Hub chưa có dòng satellite: sat_crb_balance (dong 85), sat_soa_cust_package_information (dong 185)
   → Cách sửa: Technical Document III.4.2.2 nguyên tắc 1: làm giàu thuộc tính luôn dùng LEFT JOIN. INNER JOIN satellite sẽ loại mất bản ghi Hub đang còn hiệu lực nhưng chưa có dòng satellite.
╔══ WARN: 3 tiêu chí — 2.8, 3.2, 3.4
▼ 2.8 — Cột SUM/COUNT được COALESCE/NVL hợp lý
   • 3 biểu thức tổng hợp chưa coalesce: curr_account_bal = SUM(CASE WHEN gl LIKE '42%1' AND (category LIKE '6%' OR cate; curr_deposit_bal = SUM(CASE WHEN (gl LIKE '42%2' OR gl LIKE '43%') AND category; curr_loan_bal = SUM(CASE WHEN gl LIKE '2%' THEN noite ELSE 0 END)
   • khi đối soát với hệ thống cũ phải bọc NVL/ISNULL CẢ HAI phía để không lệch khi trừ (Checklist RVN-OCB #11)
▼ 3.2 — CTE không bị scan lại nhiều lần
   • CTE bị tham chiếu lại nhiều lần: branch_dim x3, user_dir x2, users_logon_dir x2
▼ 3.4 — Sử dụng CACHE cho query lặp lại trong cùng luồng
   • 3 CTE nặng dùng lại &gt;= 2 lần mà không có CACHE: branch_dim, user_dir, users_logon_dir</t>
        </is>
      </c>
    </row>
    <row r="57" ht="30" customHeight="1" s="36">
      <c r="A57" s="17" t="n">
        <v>88</v>
      </c>
      <c r="B57" s="44" t="inlineStr">
        <is>
          <t>TTDL.TBL_BPM_QLNS</t>
        </is>
      </c>
      <c r="C57" s="45" t="inlineStr">
        <is>
          <t>Batch 2</t>
        </is>
      </c>
      <c r="D57" s="45" t="inlineStr">
        <is>
          <t>LINH</t>
        </is>
      </c>
      <c r="E57" s="45" t="inlineStr">
        <is>
          <t>2026-08-06</t>
        </is>
      </c>
      <c r="F57" s="46" t="inlineStr">
        <is>
          <t>Pass</t>
        </is>
      </c>
      <c r="G57" s="46" t="inlineStr">
        <is>
          <t>Pass</t>
        </is>
      </c>
      <c r="H57" s="46" t="inlineStr">
        <is>
          <t>Pass</t>
        </is>
      </c>
      <c r="I57" s="46" t="inlineStr">
        <is>
          <t>Pass</t>
        </is>
      </c>
      <c r="J57" s="46" t="inlineStr">
        <is>
          <t>Pass</t>
        </is>
      </c>
      <c r="K57" s="46" t="inlineStr">
        <is>
          <t>Pass</t>
        </is>
      </c>
      <c r="L57" s="46" t="inlineStr">
        <is>
          <t>Pass</t>
        </is>
      </c>
      <c r="M57" s="46" t="inlineStr">
        <is>
          <t>Pass</t>
        </is>
      </c>
      <c r="N57" s="46" t="inlineStr">
        <is>
          <t>Pass</t>
        </is>
      </c>
      <c r="O57" s="46" t="inlineStr">
        <is>
          <t>Pass</t>
        </is>
      </c>
      <c r="P57" s="46" t="inlineStr">
        <is>
          <t>Pass</t>
        </is>
      </c>
      <c r="Q57" s="46" t="inlineStr">
        <is>
          <t>Pass</t>
        </is>
      </c>
      <c r="R57" s="46" t="inlineStr">
        <is>
          <t>Pass</t>
        </is>
      </c>
      <c r="S57" s="46" t="inlineStr">
        <is>
          <t>Pass</t>
        </is>
      </c>
      <c r="T57" s="46" t="inlineStr">
        <is>
          <t>Pass</t>
        </is>
      </c>
      <c r="U57" s="46" t="inlineStr">
        <is>
          <t>Pass</t>
        </is>
      </c>
      <c r="V57" s="46" t="inlineStr">
        <is>
          <t>Pass</t>
        </is>
      </c>
      <c r="W57" s="46" t="inlineStr">
        <is>
          <t>Pass</t>
        </is>
      </c>
      <c r="X57" s="46" t="inlineStr">
        <is>
          <t>Pass</t>
        </is>
      </c>
      <c r="Y57" s="46" t="inlineStr">
        <is>
          <t>Pass</t>
        </is>
      </c>
      <c r="Z57" s="26">
        <f>IF(B57="","",IF(COUNTIF(F57:G57,"Fail")&gt;0,1,0))</f>
        <v/>
      </c>
      <c r="AA57" s="26">
        <f>IF(B57="","",IF(COUNTIF(H57:S57,"Fail")&gt;0,1,0))</f>
        <v/>
      </c>
      <c r="AB57" s="26">
        <f>IF(B57="","",IF(COUNTIF(T57:Y57,"Fail")&gt;0,1,0))</f>
        <v/>
      </c>
      <c r="AC57" s="27">
        <f>IF(B57="","",0.1*Z57+0.8*AA57+0.1*AB57)</f>
        <v/>
      </c>
      <c r="AD57" s="27">
        <f>IF(B57="","",IF(C57="Batch 1",0.3,0.2))</f>
        <v/>
      </c>
      <c r="AE57" s="19">
        <f>IF(B57="","",IF(AC57&lt;=AD57,"Đạt","Không đạt"))</f>
        <v/>
      </c>
      <c r="AF57" s="43" t="inlineStr">
        <is>
          <t>Đạt toàn bộ tiêu chí.</t>
        </is>
      </c>
    </row>
    <row r="58" ht="30" customHeight="1" s="36">
      <c r="A58" s="17" t="n">
        <v>89</v>
      </c>
      <c r="B58" s="44" t="inlineStr">
        <is>
          <t>TTDL.TBL_BPM_TCDV</t>
        </is>
      </c>
      <c r="C58" s="45" t="inlineStr">
        <is>
          <t>Batch 2</t>
        </is>
      </c>
      <c r="D58" s="45" t="inlineStr">
        <is>
          <t>LINH</t>
        </is>
      </c>
      <c r="E58" s="45" t="inlineStr">
        <is>
          <t>2026-08-06</t>
        </is>
      </c>
      <c r="F58" s="46" t="inlineStr">
        <is>
          <t>Pass</t>
        </is>
      </c>
      <c r="G58" s="46" t="inlineStr">
        <is>
          <t>Pass</t>
        </is>
      </c>
      <c r="H58" s="46" t="inlineStr">
        <is>
          <t>Pass</t>
        </is>
      </c>
      <c r="I58" s="46" t="inlineStr">
        <is>
          <t>Pass</t>
        </is>
      </c>
      <c r="J58" s="46" t="inlineStr">
        <is>
          <t>Pass</t>
        </is>
      </c>
      <c r="K58" s="46" t="inlineStr">
        <is>
          <t>Pass</t>
        </is>
      </c>
      <c r="L58" s="46" t="inlineStr">
        <is>
          <t>Pass</t>
        </is>
      </c>
      <c r="M58" s="46" t="inlineStr">
        <is>
          <t>Pass</t>
        </is>
      </c>
      <c r="N58" s="46" t="inlineStr">
        <is>
          <t>Pass</t>
        </is>
      </c>
      <c r="O58" s="46" t="inlineStr">
        <is>
          <t>Pass</t>
        </is>
      </c>
      <c r="P58" s="46" t="inlineStr">
        <is>
          <t>Pass</t>
        </is>
      </c>
      <c r="Q58" s="46" t="inlineStr">
        <is>
          <t>Pass</t>
        </is>
      </c>
      <c r="R58" s="46" t="inlineStr">
        <is>
          <t>Pass</t>
        </is>
      </c>
      <c r="S58" s="46" t="inlineStr">
        <is>
          <t>Pass</t>
        </is>
      </c>
      <c r="T58" s="46" t="inlineStr">
        <is>
          <t>Pass</t>
        </is>
      </c>
      <c r="U58" s="46" t="inlineStr">
        <is>
          <t>Pass</t>
        </is>
      </c>
      <c r="V58" s="46" t="inlineStr">
        <is>
          <t>Pass</t>
        </is>
      </c>
      <c r="W58" s="46" t="inlineStr">
        <is>
          <t>Pass</t>
        </is>
      </c>
      <c r="X58" s="46" t="inlineStr">
        <is>
          <t>Pass</t>
        </is>
      </c>
      <c r="Y58" s="46" t="inlineStr">
        <is>
          <t>Pass</t>
        </is>
      </c>
      <c r="Z58" s="26">
        <f>IF(B58="","",IF(COUNTIF(F58:G58,"Fail")&gt;0,1,0))</f>
        <v/>
      </c>
      <c r="AA58" s="26">
        <f>IF(B58="","",IF(COUNTIF(H58:S58,"Fail")&gt;0,1,0))</f>
        <v/>
      </c>
      <c r="AB58" s="26">
        <f>IF(B58="","",IF(COUNTIF(T58:Y58,"Fail")&gt;0,1,0))</f>
        <v/>
      </c>
      <c r="AC58" s="27">
        <f>IF(B58="","",0.1*Z58+0.8*AA58+0.1*AB58)</f>
        <v/>
      </c>
      <c r="AD58" s="27">
        <f>IF(B58="","",IF(C58="Batch 1",0.3,0.2))</f>
        <v/>
      </c>
      <c r="AE58" s="19">
        <f>IF(B58="","",IF(AC58&lt;=AD58,"Đạt","Không đạt"))</f>
        <v/>
      </c>
      <c r="AF58" s="43" t="inlineStr">
        <is>
          <t>Đạt toàn bộ tiêu chí.</t>
        </is>
      </c>
    </row>
    <row r="59" ht="30" customHeight="1" s="36">
      <c r="A59" s="17" t="n">
        <v>90</v>
      </c>
      <c r="B59" s="44" t="inlineStr">
        <is>
          <t>TTDL.TBL_BPM_TCDV_KV</t>
        </is>
      </c>
      <c r="C59" s="45" t="inlineStr">
        <is>
          <t>Batch 2</t>
        </is>
      </c>
      <c r="D59" s="45" t="inlineStr">
        <is>
          <t>LINH</t>
        </is>
      </c>
      <c r="E59" s="45" t="inlineStr">
        <is>
          <t>2026-08-06</t>
        </is>
      </c>
      <c r="F59" s="46" t="inlineStr">
        <is>
          <t>Pass</t>
        </is>
      </c>
      <c r="G59" s="46" t="inlineStr">
        <is>
          <t>Pass</t>
        </is>
      </c>
      <c r="H59" s="46" t="inlineStr">
        <is>
          <t>Pass</t>
        </is>
      </c>
      <c r="I59" s="46" t="inlineStr">
        <is>
          <t>Pass</t>
        </is>
      </c>
      <c r="J59" s="46" t="inlineStr">
        <is>
          <t>Pass</t>
        </is>
      </c>
      <c r="K59" s="46" t="inlineStr">
        <is>
          <t>Pass</t>
        </is>
      </c>
      <c r="L59" s="46" t="inlineStr">
        <is>
          <t>Pass</t>
        </is>
      </c>
      <c r="M59" s="46" t="inlineStr">
        <is>
          <t>Pass</t>
        </is>
      </c>
      <c r="N59" s="46" t="inlineStr">
        <is>
          <t>Pass</t>
        </is>
      </c>
      <c r="O59" s="46" t="inlineStr">
        <is>
          <t>Pass</t>
        </is>
      </c>
      <c r="P59" s="46" t="inlineStr">
        <is>
          <t>Pass</t>
        </is>
      </c>
      <c r="Q59" s="46" t="inlineStr">
        <is>
          <t>Pass</t>
        </is>
      </c>
      <c r="R59" s="46" t="inlineStr">
        <is>
          <t>Pass</t>
        </is>
      </c>
      <c r="S59" s="46" t="inlineStr">
        <is>
          <t>Pass</t>
        </is>
      </c>
      <c r="T59" s="46" t="inlineStr">
        <is>
          <t>Pass</t>
        </is>
      </c>
      <c r="U59" s="46" t="inlineStr">
        <is>
          <t>Pass</t>
        </is>
      </c>
      <c r="V59" s="46" t="inlineStr">
        <is>
          <t>Pass</t>
        </is>
      </c>
      <c r="W59" s="46" t="inlineStr">
        <is>
          <t>Pass</t>
        </is>
      </c>
      <c r="X59" s="46" t="inlineStr">
        <is>
          <t>Pass</t>
        </is>
      </c>
      <c r="Y59" s="46" t="inlineStr">
        <is>
          <t>Pass</t>
        </is>
      </c>
      <c r="Z59" s="26">
        <f>IF(B59="","",IF(COUNTIF(F59:G59,"Fail")&gt;0,1,0))</f>
        <v/>
      </c>
      <c r="AA59" s="26">
        <f>IF(B59="","",IF(COUNTIF(H59:S59,"Fail")&gt;0,1,0))</f>
        <v/>
      </c>
      <c r="AB59" s="26">
        <f>IF(B59="","",IF(COUNTIF(T59:Y59,"Fail")&gt;0,1,0))</f>
        <v/>
      </c>
      <c r="AC59" s="27">
        <f>IF(B59="","",0.1*Z59+0.8*AA59+0.1*AB59)</f>
        <v/>
      </c>
      <c r="AD59" s="27">
        <f>IF(B59="","",IF(C59="Batch 1",0.3,0.2))</f>
        <v/>
      </c>
      <c r="AE59" s="19">
        <f>IF(B59="","",IF(AC59&lt;=AD59,"Đạt","Không đạt"))</f>
        <v/>
      </c>
      <c r="AF59" s="43" t="inlineStr">
        <is>
          <t>Đạt toàn bộ tiêu chí.</t>
        </is>
      </c>
    </row>
    <row r="60" ht="30" customHeight="1" s="36">
      <c r="A60" s="17" t="n">
        <v>91</v>
      </c>
      <c r="B60" s="44" t="inlineStr">
        <is>
          <t>TTDL.TBL_BPM_TCDV_LINK</t>
        </is>
      </c>
      <c r="C60" s="45" t="inlineStr">
        <is>
          <t>Batch 2</t>
        </is>
      </c>
      <c r="D60" s="45" t="inlineStr">
        <is>
          <t>LINH</t>
        </is>
      </c>
      <c r="E60" s="45" t="inlineStr">
        <is>
          <t>2026-08-06</t>
        </is>
      </c>
      <c r="F60" s="46" t="inlineStr">
        <is>
          <t>Pass</t>
        </is>
      </c>
      <c r="G60" s="46" t="inlineStr">
        <is>
          <t>Pass</t>
        </is>
      </c>
      <c r="H60" s="46" t="inlineStr">
        <is>
          <t>Pass</t>
        </is>
      </c>
      <c r="I60" s="46" t="inlineStr">
        <is>
          <t>Pass</t>
        </is>
      </c>
      <c r="J60" s="46" t="inlineStr">
        <is>
          <t>Pass</t>
        </is>
      </c>
      <c r="K60" s="46" t="inlineStr">
        <is>
          <t>Pass</t>
        </is>
      </c>
      <c r="L60" s="46" t="inlineStr">
        <is>
          <t>Pass</t>
        </is>
      </c>
      <c r="M60" s="46" t="inlineStr">
        <is>
          <t>Pass</t>
        </is>
      </c>
      <c r="N60" s="46" t="inlineStr">
        <is>
          <t>Pass</t>
        </is>
      </c>
      <c r="O60" s="46" t="inlineStr">
        <is>
          <t>Pass</t>
        </is>
      </c>
      <c r="P60" s="46" t="inlineStr">
        <is>
          <t>Pass</t>
        </is>
      </c>
      <c r="Q60" s="46" t="inlineStr">
        <is>
          <t>Pass</t>
        </is>
      </c>
      <c r="R60" s="46" t="inlineStr">
        <is>
          <t>Pass</t>
        </is>
      </c>
      <c r="S60" s="46" t="inlineStr">
        <is>
          <t>Pass</t>
        </is>
      </c>
      <c r="T60" s="46" t="inlineStr">
        <is>
          <t>Pass</t>
        </is>
      </c>
      <c r="U60" s="46" t="inlineStr">
        <is>
          <t>Pass</t>
        </is>
      </c>
      <c r="V60" s="46" t="inlineStr">
        <is>
          <t>Pass</t>
        </is>
      </c>
      <c r="W60" s="46" t="inlineStr">
        <is>
          <t>Pass</t>
        </is>
      </c>
      <c r="X60" s="46" t="inlineStr">
        <is>
          <t>Pass</t>
        </is>
      </c>
      <c r="Y60" s="46" t="inlineStr">
        <is>
          <t>Pass</t>
        </is>
      </c>
      <c r="Z60" s="26">
        <f>IF(B60="","",IF(COUNTIF(F60:G60,"Fail")&gt;0,1,0))</f>
        <v/>
      </c>
      <c r="AA60" s="26">
        <f>IF(B60="","",IF(COUNTIF(H60:S60,"Fail")&gt;0,1,0))</f>
        <v/>
      </c>
      <c r="AB60" s="26">
        <f>IF(B60="","",IF(COUNTIF(T60:Y60,"Fail")&gt;0,1,0))</f>
        <v/>
      </c>
      <c r="AC60" s="27">
        <f>IF(B60="","",0.1*Z60+0.8*AA60+0.1*AB60)</f>
        <v/>
      </c>
      <c r="AD60" s="27">
        <f>IF(B60="","",IF(C60="Batch 1",0.3,0.2))</f>
        <v/>
      </c>
      <c r="AE60" s="19">
        <f>IF(B60="","",IF(AC60&lt;=AD60,"Đạt","Không đạt"))</f>
        <v/>
      </c>
      <c r="AF60" s="43" t="inlineStr">
        <is>
          <t>Đạt toàn bộ tiêu chí.</t>
        </is>
      </c>
    </row>
    <row r="61" ht="30" customHeight="1" s="36">
      <c r="A61" s="17" t="n">
        <v>103</v>
      </c>
      <c r="B61" s="44" t="inlineStr">
        <is>
          <t>BPM_FTR_XLGDTD</t>
        </is>
      </c>
      <c r="C61" s="45" t="inlineStr">
        <is>
          <t>Batch 2</t>
        </is>
      </c>
      <c r="D61" s="45" t="inlineStr">
        <is>
          <t>THU</t>
        </is>
      </c>
      <c r="E61" s="45" t="inlineStr">
        <is>
          <t>2026-08-06</t>
        </is>
      </c>
      <c r="F61" s="46" t="inlineStr">
        <is>
          <t>Fail</t>
        </is>
      </c>
      <c r="G61" s="46" t="inlineStr">
        <is>
          <t>Fail</t>
        </is>
      </c>
      <c r="H61" s="46" t="inlineStr">
        <is>
          <t>Fail</t>
        </is>
      </c>
      <c r="I61" s="46" t="inlineStr">
        <is>
          <t>Fail</t>
        </is>
      </c>
      <c r="J61" s="46" t="inlineStr">
        <is>
          <t>Fail</t>
        </is>
      </c>
      <c r="K61" s="46" t="inlineStr">
        <is>
          <t>Fail</t>
        </is>
      </c>
      <c r="L61" s="46" t="inlineStr">
        <is>
          <t>Fail</t>
        </is>
      </c>
      <c r="M61" s="46" t="inlineStr">
        <is>
          <t>Fail</t>
        </is>
      </c>
      <c r="N61" s="46" t="inlineStr">
        <is>
          <t>Fail</t>
        </is>
      </c>
      <c r="O61" s="46" t="inlineStr">
        <is>
          <t>Fail</t>
        </is>
      </c>
      <c r="P61" s="46" t="inlineStr">
        <is>
          <t>Fail</t>
        </is>
      </c>
      <c r="Q61" s="46" t="inlineStr">
        <is>
          <t>Fail</t>
        </is>
      </c>
      <c r="R61" s="46" t="inlineStr">
        <is>
          <t>Fail</t>
        </is>
      </c>
      <c r="S61" s="46" t="inlineStr">
        <is>
          <t>Fail</t>
        </is>
      </c>
      <c r="T61" s="46" t="inlineStr">
        <is>
          <t>Fail</t>
        </is>
      </c>
      <c r="U61" s="46" t="inlineStr">
        <is>
          <t>Fail</t>
        </is>
      </c>
      <c r="V61" s="46" t="inlineStr">
        <is>
          <t>Fail</t>
        </is>
      </c>
      <c r="W61" s="46" t="inlineStr">
        <is>
          <t>Fail</t>
        </is>
      </c>
      <c r="X61" s="46" t="inlineStr">
        <is>
          <t>Fail</t>
        </is>
      </c>
      <c r="Y61" s="46" t="inlineStr">
        <is>
          <t>Fail</t>
        </is>
      </c>
      <c r="Z61" s="26">
        <f>IF(B61="","",IF(COUNTIF(F61:G61,"Fail")&gt;0,1,0))</f>
        <v/>
      </c>
      <c r="AA61" s="26">
        <f>IF(B61="","",IF(COUNTIF(H61:S61,"Fail")&gt;0,1,0))</f>
        <v/>
      </c>
      <c r="AB61" s="26">
        <f>IF(B61="","",IF(COUNTIF(T61:Y61,"Fail")&gt;0,1,0))</f>
        <v/>
      </c>
      <c r="AC61" s="27">
        <f>IF(B61="","",0.1*Z61+0.8*AA61+0.1*AB61)</f>
        <v/>
      </c>
      <c r="AD61" s="27">
        <f>IF(B61="","",IF(C61="Batch 1",0.3,0.2))</f>
        <v/>
      </c>
      <c r="AE61" s="19">
        <f>IF(B61="","",IF(AC61&lt;=AD61,"Đạt","Không đạt"))</f>
        <v/>
      </c>
      <c r="AF61" s="43" t="inlineStr">
        <is>
          <t>╔══ FAIL: 23 tiêu chí — 1.1, 1.2, 2.1, 2.2, 2.3, 2.4, 2.5, 2.6, 2.7, 2.8, 2.9, 2.10, 2.11, 2.12, 3.1, 3.2, 3.3, 3.4, 3.5, 3.6, X.1, X.6, X.7
    Lý do chung: SQL lỗi cú pháp, không phân tích được: ParseError: Expecting ). Line 3, Col: 37.</t>
        </is>
      </c>
    </row>
    <row r="62" ht="30" customHeight="1" s="36">
      <c r="A62" s="17" t="n">
        <v>108</v>
      </c>
      <c r="B62" s="44" t="inlineStr">
        <is>
          <t>BPM_TDCN_NVCT</t>
        </is>
      </c>
      <c r="C62" s="45" t="inlineStr">
        <is>
          <t>Batch 2</t>
        </is>
      </c>
      <c r="D62" s="45" t="inlineStr">
        <is>
          <t>THU</t>
        </is>
      </c>
      <c r="E62" s="45" t="inlineStr">
        <is>
          <t>2026-08-06</t>
        </is>
      </c>
      <c r="F62" s="46" t="inlineStr">
        <is>
          <t>WARN</t>
        </is>
      </c>
      <c r="G62" s="46" t="inlineStr">
        <is>
          <t>Fail</t>
        </is>
      </c>
      <c r="H62" s="46" t="inlineStr">
        <is>
          <t>Pass</t>
        </is>
      </c>
      <c r="I62" s="46" t="inlineStr">
        <is>
          <t>Pass</t>
        </is>
      </c>
      <c r="J62" s="46" t="inlineStr">
        <is>
          <t>Pass</t>
        </is>
      </c>
      <c r="K62" s="46" t="inlineStr">
        <is>
          <t>Pass</t>
        </is>
      </c>
      <c r="L62" s="46" t="inlineStr">
        <is>
          <t>Pass</t>
        </is>
      </c>
      <c r="M62" s="46" t="inlineStr">
        <is>
          <t>Pass</t>
        </is>
      </c>
      <c r="N62" s="46" t="inlineStr">
        <is>
          <t>Pass</t>
        </is>
      </c>
      <c r="O62" s="46" t="inlineStr">
        <is>
          <t>Pass</t>
        </is>
      </c>
      <c r="P62" s="46" t="inlineStr">
        <is>
          <t>Pass</t>
        </is>
      </c>
      <c r="Q62" s="46" t="inlineStr">
        <is>
          <t>Pass</t>
        </is>
      </c>
      <c r="R62" s="46" t="inlineStr">
        <is>
          <t>Pass</t>
        </is>
      </c>
      <c r="S62" s="46" t="inlineStr">
        <is>
          <t>Pass</t>
        </is>
      </c>
      <c r="T62" s="46" t="inlineStr">
        <is>
          <t>Pass</t>
        </is>
      </c>
      <c r="U62" s="46" t="inlineStr">
        <is>
          <t>Pass</t>
        </is>
      </c>
      <c r="V62" s="46" t="inlineStr">
        <is>
          <t>WARN</t>
        </is>
      </c>
      <c r="W62" s="46" t="inlineStr">
        <is>
          <t>Pass</t>
        </is>
      </c>
      <c r="X62" s="46" t="inlineStr">
        <is>
          <t>Pass</t>
        </is>
      </c>
      <c r="Y62" s="46" t="inlineStr">
        <is>
          <t>Pass</t>
        </is>
      </c>
      <c r="Z62" s="26">
        <f>IF(B62="","",IF(COUNTIF(F62:G62,"Fail")&gt;0,1,0))</f>
        <v/>
      </c>
      <c r="AA62" s="26">
        <f>IF(B62="","",IF(COUNTIF(H62:S62,"Fail")&gt;0,1,0))</f>
        <v/>
      </c>
      <c r="AB62" s="26">
        <f>IF(B62="","",IF(COUNTIF(T62:Y62,"Fail")&gt;0,1,0))</f>
        <v/>
      </c>
      <c r="AC62" s="27">
        <f>IF(B62="","",0.1*Z62+0.8*AA62+0.1*AB62)</f>
        <v/>
      </c>
      <c r="AD62" s="27">
        <f>IF(B62="","",IF(C62="Batch 1",0.3,0.2))</f>
        <v/>
      </c>
      <c r="AE62" s="19">
        <f>IF(B62="","",IF(AC62&lt;=AD62,"Đạt","Không đạt"))</f>
        <v/>
      </c>
      <c r="AF62" s="43" t="inlineStr">
        <is>
          <t>╔══ FAIL: 1 tiêu chí — 1.2
▼ 1.2 — Danh sách bảng/view Gold khớp tài liệu thiết kế đã duyệt
   • Lý do: BPM_TDCN_NVCT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2 tiêu chí — 1.1, 3.3
▼ 1.1 — Đầy đủ mapping từ Silver/manual sang Gold
   • KHÔNG TÌM THẤY workbook thiết kế cho object BPM_TDCN_NVCT nên không đối chiếu được danh sách cột (SQL có 6 cột đầu ra)
▼ 3.3 — Filter trước khi join, tận dụng partition pruning
   • 1 bảng join trực tiếp mà không có filter riêng: ref_bpm_danh_muc (DM)</t>
        </is>
      </c>
    </row>
    <row r="63" ht="30" customHeight="1" s="36">
      <c r="A63" s="17" t="n">
        <v>109</v>
      </c>
      <c r="B63" s="44" t="inlineStr">
        <is>
          <t>BPM_TDCN_YCBS</t>
        </is>
      </c>
      <c r="C63" s="45" t="inlineStr">
        <is>
          <t>Batch 2</t>
        </is>
      </c>
      <c r="D63" s="45" t="inlineStr">
        <is>
          <t>THU</t>
        </is>
      </c>
      <c r="E63" s="45" t="inlineStr">
        <is>
          <t>2026-08-06</t>
        </is>
      </c>
      <c r="F63" s="46" t="inlineStr">
        <is>
          <t>WARN</t>
        </is>
      </c>
      <c r="G63" s="46" t="inlineStr">
        <is>
          <t>Fail</t>
        </is>
      </c>
      <c r="H63" s="46" t="inlineStr">
        <is>
          <t>Pass</t>
        </is>
      </c>
      <c r="I63" s="46" t="inlineStr">
        <is>
          <t>Pass</t>
        </is>
      </c>
      <c r="J63" s="46" t="inlineStr">
        <is>
          <t>Pass</t>
        </is>
      </c>
      <c r="K63" s="46" t="inlineStr">
        <is>
          <t>Fail</t>
        </is>
      </c>
      <c r="L63" s="46" t="inlineStr">
        <is>
          <t>Pass</t>
        </is>
      </c>
      <c r="M63" s="46" t="inlineStr">
        <is>
          <t>Pass</t>
        </is>
      </c>
      <c r="N63" s="46" t="inlineStr">
        <is>
          <t>Pass</t>
        </is>
      </c>
      <c r="O63" s="46" t="inlineStr">
        <is>
          <t>WARN</t>
        </is>
      </c>
      <c r="P63" s="46" t="inlineStr">
        <is>
          <t>Pass</t>
        </is>
      </c>
      <c r="Q63" s="46" t="inlineStr">
        <is>
          <t>Pass</t>
        </is>
      </c>
      <c r="R63" s="46" t="inlineStr">
        <is>
          <t>Pass</t>
        </is>
      </c>
      <c r="S63" s="46" t="inlineStr">
        <is>
          <t>Pass</t>
        </is>
      </c>
      <c r="T63" s="46" t="inlineStr">
        <is>
          <t>Pass</t>
        </is>
      </c>
      <c r="U63" s="46" t="inlineStr">
        <is>
          <t>Pass</t>
        </is>
      </c>
      <c r="V63" s="46" t="inlineStr">
        <is>
          <t>Pass</t>
        </is>
      </c>
      <c r="W63" s="46" t="inlineStr">
        <is>
          <t>Pass</t>
        </is>
      </c>
      <c r="X63" s="46" t="inlineStr">
        <is>
          <t>Pass</t>
        </is>
      </c>
      <c r="Y63" s="46" t="inlineStr">
        <is>
          <t>Pass</t>
        </is>
      </c>
      <c r="Z63" s="26">
        <f>IF(B63="","",IF(COUNTIF(F63:G63,"Fail")&gt;0,1,0))</f>
        <v/>
      </c>
      <c r="AA63" s="26">
        <f>IF(B63="","",IF(COUNTIF(H63:S63,"Fail")&gt;0,1,0))</f>
        <v/>
      </c>
      <c r="AB63" s="26">
        <f>IF(B63="","",IF(COUNTIF(T63:Y63,"Fail")&gt;0,1,0))</f>
        <v/>
      </c>
      <c r="AC63" s="27">
        <f>IF(B63="","",0.1*Z63+0.8*AA63+0.1*AB63)</f>
        <v/>
      </c>
      <c r="AD63" s="27">
        <f>IF(B63="","",IF(C63="Batch 1",0.3,0.2))</f>
        <v/>
      </c>
      <c r="AE63" s="19">
        <f>IF(B63="","",IF(AC63&lt;=AD63,"Đạt","Không đạt"))</f>
        <v/>
      </c>
      <c r="AF63" s="43" t="inlineStr">
        <is>
          <t>╔══ FAIL: 2 tiêu chí — 1.2, 2.4
▼ 1.2 — Danh sách bảng/view Gold khớp tài liệu thiết kế đã duyệt
   • Lý do: BPM_TDCN_YCBS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2.4 — source_event_date áp dụng đúng dạng theo loại bảng
   • Lý do: sat_giao_dich_thong_tin_chung (dong 27): là bảng transaction nên phải dùng source_event_date = :DATADT, đang dùng &lt;=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WARN: 2 tiêu chí — 1.1, 2.8
▼ 1.1 — Đầy đủ mapping từ Silver/manual sang Gold
   • KHÔNG TÌM THẤY workbook thiết kế cho object BPM_TDCN_YCBS nên không đối chiếu được danh sách cột (SQL có 3 cột đầu ra)
▼ 2.8 — Cột SUM/COUNT được COALESCE/NVL hợp lý
   • 2 biểu thức tổng hợp chưa coalesce: YCBS_DVTD_ST = SUM(CASE WHEN A.vai_tro_nguoi_xl = 448 THEN 1 ELSE 0 END); YCBS_DVTD_XL = SUM(CASE WHEN A.vai_tro_nguoi_xl = 450 THEN 1 ELSE 0 END)
   • khi đối soát với hệ thống cũ phải bọc NVL/ISNULL CẢ HAI phía để không lệch khi trừ (Checklist RVN-OCB #11)</t>
        </is>
      </c>
    </row>
    <row r="64" ht="30" customHeight="1" s="36">
      <c r="A64" s="17" t="n">
        <v>110</v>
      </c>
      <c r="B64" s="44" t="inlineStr">
        <is>
          <t>BPM_VOLUME_CTGD</t>
        </is>
      </c>
      <c r="C64" s="45" t="inlineStr">
        <is>
          <t>Batch 2</t>
        </is>
      </c>
      <c r="D64" s="45" t="inlineStr">
        <is>
          <t>THU</t>
        </is>
      </c>
      <c r="E64" s="45" t="inlineStr">
        <is>
          <t>2026-08-06</t>
        </is>
      </c>
      <c r="F64" s="46" t="inlineStr">
        <is>
          <t>WARN</t>
        </is>
      </c>
      <c r="G64" s="46" t="inlineStr">
        <is>
          <t>Fail</t>
        </is>
      </c>
      <c r="H64" s="46" t="inlineStr">
        <is>
          <t>Pass</t>
        </is>
      </c>
      <c r="I64" s="46" t="inlineStr">
        <is>
          <t>Pass</t>
        </is>
      </c>
      <c r="J64" s="46" t="inlineStr">
        <is>
          <t>Pass</t>
        </is>
      </c>
      <c r="K64" s="46" t="inlineStr">
        <is>
          <t>Pass</t>
        </is>
      </c>
      <c r="L64" s="46" t="inlineStr">
        <is>
          <t>Pass</t>
        </is>
      </c>
      <c r="M64" s="46" t="inlineStr">
        <is>
          <t>Pass</t>
        </is>
      </c>
      <c r="N64" s="46" t="inlineStr">
        <is>
          <t>Fail</t>
        </is>
      </c>
      <c r="O64" s="46" t="inlineStr">
        <is>
          <t>Pass</t>
        </is>
      </c>
      <c r="P64" s="46" t="inlineStr">
        <is>
          <t>Pass</t>
        </is>
      </c>
      <c r="Q64" s="46" t="inlineStr">
        <is>
          <t>Pass</t>
        </is>
      </c>
      <c r="R64" s="46" t="inlineStr">
        <is>
          <t>Pass</t>
        </is>
      </c>
      <c r="S64" s="46" t="inlineStr">
        <is>
          <t>Pass</t>
        </is>
      </c>
      <c r="T64" s="46" t="inlineStr">
        <is>
          <t>Pass</t>
        </is>
      </c>
      <c r="U64" s="46" t="inlineStr">
        <is>
          <t>Pass</t>
        </is>
      </c>
      <c r="V64" s="46" t="inlineStr">
        <is>
          <t>WARN</t>
        </is>
      </c>
      <c r="W64" s="46" t="inlineStr">
        <is>
          <t>Pass</t>
        </is>
      </c>
      <c r="X64" s="46" t="inlineStr">
        <is>
          <t>Pass</t>
        </is>
      </c>
      <c r="Y64" s="46" t="inlineStr">
        <is>
          <t>Pass</t>
        </is>
      </c>
      <c r="Z64" s="26">
        <f>IF(B64="","",IF(COUNTIF(F64:G64,"Fail")&gt;0,1,0))</f>
        <v/>
      </c>
      <c r="AA64" s="26">
        <f>IF(B64="","",IF(COUNTIF(H64:S64,"Fail")&gt;0,1,0))</f>
        <v/>
      </c>
      <c r="AB64" s="26">
        <f>IF(B64="","",IF(COUNTIF(T64:Y64,"Fail")&gt;0,1,0))</f>
        <v/>
      </c>
      <c r="AC64" s="27">
        <f>IF(B64="","",0.1*Z64+0.8*AA64+0.1*AB64)</f>
        <v/>
      </c>
      <c r="AD64" s="27">
        <f>IF(B64="","",IF(C64="Batch 1",0.3,0.2))</f>
        <v/>
      </c>
      <c r="AE64" s="19">
        <f>IF(B64="","",IF(AC64&lt;=AD64,"Đạt","Không đạt"))</f>
        <v/>
      </c>
      <c r="AF64" s="43" t="inlineStr">
        <is>
          <t>╔══ FAIL: 3 tiêu chí — 1.2, 2.7, X.1
▼ 1.2 — Danh sách bảng/view Gold khớp tài liệu thiết kế đã duyệt
   • Lý do: BPM_VOLUME_CTGD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2.7 — CASE WHEN cover đủ nhánh như job on-prem
   • Lý do: 1/2 CASE KHÔNG có nhánh ELSE -&gt; rơi ra ngoài mọi WHEN sẽ trả NULL âm thầm, tại dòng []
   • Lý do: bổ sung ELSE (giá trị mặc định hoặc giá trị nghiệp vụ đúng như job on-prem)
   → Cách sửa: Mở job on-prem tương ứng (DataStage DSX hoặc SQL cũ), đối chiếu từng nhánh WHEN và cả nhánh ELSE. CASE không có ELSE sẽ trả NULL âm thầm — xác nhận đó là ý muốn hay thiếu nhánh.
▼ X.1 — [Bổ sung] Link phải rút về current trước khi join (chống fan-out)   [bổ sung, không tính điểm — Technical Document ZoneC v1.1, mục III.4.2.3]
   • Lý do: 1 bảng link_* join trực tiếp mà chưa rút về current, sẽ nhân đôi số dòng: link_xl_ksgn_chung_khach_hang_cur (dong 64)
   → Cách sửa: 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
╔══ WARN: 2 tiêu chí — 1.1, 3.3
▼ 1.1 — Đầy đủ mapping từ Silver/manual sang Gold
   • KHÔNG TÌM THẤY workbook thiết kế cho object BPM_VOLUME_CTGD nên không đối chiếu được danh sách cột (SQL có 19 cột đầu ra)
▼ 3.3 — Filter trước khi join, tận dụng partition pruning
   • 10 bảng join trực tiếp mà không có filter riêng: ref_bpm_danh_muc (F1), ref_bpm_danh_muc (F2), ref_bpm_danh_muc (F2b), ref_bpm_danh_muc (F2c), ref_bpm_danh_muc (F3), ref_bpm_danh_muc (F4), ref_bpm_danh_muc (F5), ref_bpm_danh_muc (F6)</t>
        </is>
      </c>
    </row>
    <row r="65" ht="30" customHeight="1" s="36">
      <c r="A65" s="17" t="n">
        <v>111</v>
      </c>
      <c r="B65" s="44" t="inlineStr">
        <is>
          <t>BPM_VOLUME_TDCN</t>
        </is>
      </c>
      <c r="C65" s="45" t="inlineStr">
        <is>
          <t>Batch 2</t>
        </is>
      </c>
      <c r="D65" s="45" t="inlineStr">
        <is>
          <t>THU</t>
        </is>
      </c>
      <c r="E65" s="45" t="inlineStr">
        <is>
          <t>2026-08-06</t>
        </is>
      </c>
      <c r="F65" s="46" t="inlineStr">
        <is>
          <t>WARN</t>
        </is>
      </c>
      <c r="G65" s="46" t="inlineStr">
        <is>
          <t>Fail</t>
        </is>
      </c>
      <c r="H65" s="46" t="inlineStr">
        <is>
          <t>Pass</t>
        </is>
      </c>
      <c r="I65" s="46" t="inlineStr">
        <is>
          <t>Pass</t>
        </is>
      </c>
      <c r="J65" s="46" t="inlineStr">
        <is>
          <t>Pass</t>
        </is>
      </c>
      <c r="K65" s="46" t="inlineStr">
        <is>
          <t>Fail</t>
        </is>
      </c>
      <c r="L65" s="46" t="inlineStr">
        <is>
          <t>Pass</t>
        </is>
      </c>
      <c r="M65" s="46" t="inlineStr">
        <is>
          <t>Pass</t>
        </is>
      </c>
      <c r="N65" s="46" t="inlineStr">
        <is>
          <t>Pass</t>
        </is>
      </c>
      <c r="O65" s="46" t="inlineStr">
        <is>
          <t>Pass</t>
        </is>
      </c>
      <c r="P65" s="46" t="inlineStr">
        <is>
          <t>Pass</t>
        </is>
      </c>
      <c r="Q65" s="46" t="inlineStr">
        <is>
          <t>Pass</t>
        </is>
      </c>
      <c r="R65" s="46" t="inlineStr">
        <is>
          <t>Pass</t>
        </is>
      </c>
      <c r="S65" s="46" t="inlineStr">
        <is>
          <t>Pass</t>
        </is>
      </c>
      <c r="T65" s="46" t="inlineStr">
        <is>
          <t>Pass</t>
        </is>
      </c>
      <c r="U65" s="46" t="inlineStr">
        <is>
          <t>WARN</t>
        </is>
      </c>
      <c r="V65" s="46" t="inlineStr">
        <is>
          <t>WARN</t>
        </is>
      </c>
      <c r="W65" s="46" t="inlineStr">
        <is>
          <t>WARN</t>
        </is>
      </c>
      <c r="X65" s="46" t="inlineStr">
        <is>
          <t>Pass</t>
        </is>
      </c>
      <c r="Y65" s="46" t="inlineStr">
        <is>
          <t>Pass</t>
        </is>
      </c>
      <c r="Z65" s="26">
        <f>IF(B65="","",IF(COUNTIF(F65:G65,"Fail")&gt;0,1,0))</f>
        <v/>
      </c>
      <c r="AA65" s="26">
        <f>IF(B65="","",IF(COUNTIF(H65:S65,"Fail")&gt;0,1,0))</f>
        <v/>
      </c>
      <c r="AB65" s="26">
        <f>IF(B65="","",IF(COUNTIF(T65:Y65,"Fail")&gt;0,1,0))</f>
        <v/>
      </c>
      <c r="AC65" s="27">
        <f>IF(B65="","",0.1*Z65+0.8*AA65+0.1*AB65)</f>
        <v/>
      </c>
      <c r="AD65" s="27">
        <f>IF(B65="","",IF(C65="Batch 1",0.3,0.2))</f>
        <v/>
      </c>
      <c r="AE65" s="19">
        <f>IF(B65="","",IF(AC65&lt;=AD65,"Đạt","Không đạt"))</f>
        <v/>
      </c>
      <c r="AF65" s="43" t="inlineStr">
        <is>
          <t>╔══ FAIL: 3 tiêu chí — 1.2, 2.4, X.1
▼ 1.2 — Danh sách bảng/view Gold khớp tài liệu thiết kế đã duyệt
   • Lý do: BPM_VOLUME_TDCN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2.4 — source_event_date áp dụng đúng dạng theo loại bảng
   • Lý do: sat_giao_dich_thong_tin_chung (dong 69): là bảng transaction nên phải dùng source_event_date = :DATADT, đang dùng &lt;=
   • Lý do: sat_giao_dich_tdcn_thong_tin_chung (dong 76): là bảng transaction nên phải dùng source_event_date = :DATADT, đang dùng &lt;=
   • Lý do: sat_giao_dich_tdcn_tai_san_bao_dam (dong 120): là bảng transaction nên phải dùng source_event_date = :DATADT, đang dùng &lt;=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X.1 — [Bổ sung] Link phải rút về current trước khi join (chống fan-out)   [bổ sung, không tính điểm — Technical Document ZoneC v1.1, mục III.4.2.3]
   • Lý do: 1 bảng link_* join trực tiếp mà chưa rút về current, sẽ nhân đôi số dòng: link_giao_dich_khach_hang_cur (dong 49)
   → Cách sửa: 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
╔══ WARN: 4 tiêu chí — 1.1, 3.2, 3.3, 3.4
▼ 1.1 — Đầy đủ mapping từ Silver/manual sang Gold
   • KHÔNG TÌM THẤY workbook thiết kế cho object BPM_VOLUME_TDCN nên không đối chiếu được danh sách cột (SQL có 24 cột đầu ra)
▼ 3.2 — CTE không bị scan lại nhiều lần
   • CTE bị tham chiếu lại nhiều lần: giao_dich_tdcn_tsbd_sat x2
▼ 3.3 — Filter trước khi join, tận dụng partition pruning
   • 5 bảng join trực tiếp mà không có filter riêng: ref_bpm_auth_nhom (NHOM), ref_bpm_danh_muc (dmTSBD), ref_bpm_danh_muc (luongPD), ref_bpm_danh_muc (trangThai), ref_bpm_danh_muc (trangThaiHD)
▼ 3.4 — Sử dụng CACHE cho query lặp lại trong cùng luồng
   • 1 CTE nặng dùng lại &gt;= 2 lần mà không có CACHE: giao_dich_tdcn_tsbd_sat</t>
        </is>
      </c>
    </row>
    <row r="66" ht="30" customHeight="1" s="36">
      <c r="A66" s="17" t="n">
        <v>113</v>
      </c>
      <c r="B66" s="44" t="inlineStr">
        <is>
          <t>TCKH.SECTOR_LIST</t>
        </is>
      </c>
      <c r="C66" s="45" t="inlineStr">
        <is>
          <t>Batch 2</t>
        </is>
      </c>
      <c r="D66" s="45" t="inlineStr">
        <is>
          <t>HOP</t>
        </is>
      </c>
      <c r="E66" s="45" t="inlineStr">
        <is>
          <t>2026-08-06</t>
        </is>
      </c>
      <c r="F66" s="46" t="inlineStr">
        <is>
          <t>Pass</t>
        </is>
      </c>
      <c r="G66" s="46" t="inlineStr">
        <is>
          <t>Pass</t>
        </is>
      </c>
      <c r="H66" s="46" t="inlineStr">
        <is>
          <t>Pass</t>
        </is>
      </c>
      <c r="I66" s="46" t="inlineStr">
        <is>
          <t>Pass</t>
        </is>
      </c>
      <c r="J66" s="46" t="inlineStr">
        <is>
          <t>Pass</t>
        </is>
      </c>
      <c r="K66" s="46" t="inlineStr">
        <is>
          <t>Pass</t>
        </is>
      </c>
      <c r="L66" s="46" t="inlineStr">
        <is>
          <t>Pass</t>
        </is>
      </c>
      <c r="M66" s="46" t="inlineStr">
        <is>
          <t>Pass</t>
        </is>
      </c>
      <c r="N66" s="46" t="inlineStr">
        <is>
          <t>Pass</t>
        </is>
      </c>
      <c r="O66" s="46" t="inlineStr">
        <is>
          <t>Pass</t>
        </is>
      </c>
      <c r="P66" s="46" t="inlineStr">
        <is>
          <t>Pass</t>
        </is>
      </c>
      <c r="Q66" s="46" t="inlineStr">
        <is>
          <t>Pass</t>
        </is>
      </c>
      <c r="R66" s="46" t="inlineStr">
        <is>
          <t>Pass</t>
        </is>
      </c>
      <c r="S66" s="46" t="inlineStr">
        <is>
          <t>Pass</t>
        </is>
      </c>
      <c r="T66" s="46" t="inlineStr">
        <is>
          <t>Pass</t>
        </is>
      </c>
      <c r="U66" s="46" t="inlineStr">
        <is>
          <t>Pass</t>
        </is>
      </c>
      <c r="V66" s="46" t="inlineStr">
        <is>
          <t>Pass</t>
        </is>
      </c>
      <c r="W66" s="46" t="inlineStr">
        <is>
          <t>Pass</t>
        </is>
      </c>
      <c r="X66" s="46" t="inlineStr">
        <is>
          <t>Pass</t>
        </is>
      </c>
      <c r="Y66" s="46" t="inlineStr">
        <is>
          <t>Pass</t>
        </is>
      </c>
      <c r="Z66" s="26">
        <f>IF(B66="","",IF(COUNTIF(F66:G66,"Fail")&gt;0,1,0))</f>
        <v/>
      </c>
      <c r="AA66" s="26">
        <f>IF(B66="","",IF(COUNTIF(H66:S66,"Fail")&gt;0,1,0))</f>
        <v/>
      </c>
      <c r="AB66" s="26">
        <f>IF(B66="","",IF(COUNTIF(T66:Y66,"Fail")&gt;0,1,0))</f>
        <v/>
      </c>
      <c r="AC66" s="27">
        <f>IF(B66="","",0.1*Z66+0.8*AA66+0.1*AB66)</f>
        <v/>
      </c>
      <c r="AD66" s="27">
        <f>IF(B66="","",IF(C66="Batch 1",0.3,0.2))</f>
        <v/>
      </c>
      <c r="AE66" s="19">
        <f>IF(B66="","",IF(AC66&lt;=AD66,"Đạt","Không đạt"))</f>
        <v/>
      </c>
      <c r="AF66" s="43" t="inlineStr">
        <is>
          <t>Đạt toàn bộ tiêu chí.</t>
        </is>
      </c>
    </row>
    <row r="67" ht="30" customHeight="1" s="36">
      <c r="A67" s="17" t="n">
        <v>65</v>
      </c>
      <c r="B67" s="18" t="n"/>
      <c r="C67" s="17" t="n"/>
      <c r="D67" s="17" t="n"/>
      <c r="E67" s="17" t="n"/>
      <c r="F67" s="26" t="n"/>
      <c r="G67" s="26" t="n"/>
      <c r="H67" s="26" t="n"/>
      <c r="I67" s="26" t="n"/>
      <c r="J67" s="26" t="n"/>
      <c r="K67" s="26" t="n"/>
      <c r="L67" s="26" t="n"/>
      <c r="M67" s="26" t="n"/>
      <c r="N67" s="26" t="n"/>
      <c r="O67" s="26" t="n"/>
      <c r="P67" s="26" t="n"/>
      <c r="Q67" s="26" t="n"/>
      <c r="R67" s="26" t="n"/>
      <c r="S67" s="26" t="n"/>
      <c r="T67" s="26" t="n"/>
      <c r="U67" s="26" t="n"/>
      <c r="V67" s="26" t="n"/>
      <c r="W67" s="26" t="n"/>
      <c r="X67" s="26" t="n"/>
      <c r="Y67" s="26" t="n"/>
      <c r="Z67" s="26">
        <f>IF(B67="","",IF(COUNTIF(F67:G67,"Fail")&gt;0,1,0))</f>
        <v/>
      </c>
      <c r="AA67" s="26">
        <f>IF(B67="","",IF(COUNTIF(H67:S67,"Fail")&gt;0,1,0))</f>
        <v/>
      </c>
      <c r="AB67" s="26">
        <f>IF(B67="","",IF(COUNTIF(T67:Y67,"Fail")&gt;0,1,0))</f>
        <v/>
      </c>
      <c r="AC67" s="27">
        <f>IF(B67="","",0.1*Z67+0.8*AA67+0.1*AB67)</f>
        <v/>
      </c>
      <c r="AD67" s="27">
        <f>IF(B67="","",IF(C67="Batch 1",0.3,0.2))</f>
        <v/>
      </c>
      <c r="AE67" s="19">
        <f>IF(B67="","",IF(AC67&lt;=AD67,"Đạt","Không đạt"))</f>
        <v/>
      </c>
      <c r="AF67" s="28" t="n"/>
    </row>
    <row r="68" ht="30" customHeight="1" s="36">
      <c r="A68" s="17" t="n">
        <v>66</v>
      </c>
      <c r="B68" s="18" t="n"/>
      <c r="C68" s="17" t="n"/>
      <c r="D68" s="17" t="n"/>
      <c r="E68" s="17" t="n"/>
      <c r="F68" s="26" t="n"/>
      <c r="G68" s="26" t="n"/>
      <c r="H68" s="26" t="n"/>
      <c r="I68" s="26" t="n"/>
      <c r="J68" s="26" t="n"/>
      <c r="K68" s="26" t="n"/>
      <c r="L68" s="26" t="n"/>
      <c r="M68" s="26" t="n"/>
      <c r="N68" s="26" t="n"/>
      <c r="O68" s="26" t="n"/>
      <c r="P68" s="26" t="n"/>
      <c r="Q68" s="26" t="n"/>
      <c r="R68" s="26" t="n"/>
      <c r="S68" s="26" t="n"/>
      <c r="T68" s="26" t="n"/>
      <c r="U68" s="26" t="n"/>
      <c r="V68" s="26" t="n"/>
      <c r="W68" s="26" t="n"/>
      <c r="X68" s="26" t="n"/>
      <c r="Y68" s="26" t="n"/>
      <c r="Z68" s="26">
        <f>IF(B68="","",IF(COUNTIF(F68:G68,"Fail")&gt;0,1,0))</f>
        <v/>
      </c>
      <c r="AA68" s="26">
        <f>IF(B68="","",IF(COUNTIF(H68:S68,"Fail")&gt;0,1,0))</f>
        <v/>
      </c>
      <c r="AB68" s="26">
        <f>IF(B68="","",IF(COUNTIF(T68:Y68,"Fail")&gt;0,1,0))</f>
        <v/>
      </c>
      <c r="AC68" s="27">
        <f>IF(B68="","",0.1*Z68+0.8*AA68+0.1*AB68)</f>
        <v/>
      </c>
      <c r="AD68" s="27">
        <f>IF(B68="","",IF(C68="Batch 1",0.3,0.2))</f>
        <v/>
      </c>
      <c r="AE68" s="19">
        <f>IF(B68="","",IF(AC68&lt;=AD68,"Đạt","Không đạt"))</f>
        <v/>
      </c>
      <c r="AF68" s="28" t="n"/>
    </row>
    <row r="69" ht="30" customHeight="1" s="36">
      <c r="A69" s="17" t="n">
        <v>67</v>
      </c>
      <c r="B69" s="18" t="n"/>
      <c r="C69" s="17" t="n"/>
      <c r="D69" s="17" t="n"/>
      <c r="E69" s="17" t="n"/>
      <c r="F69" s="26" t="n"/>
      <c r="G69" s="26" t="n"/>
      <c r="H69" s="26" t="n"/>
      <c r="I69" s="26" t="n"/>
      <c r="J69" s="26" t="n"/>
      <c r="K69" s="26" t="n"/>
      <c r="L69" s="26" t="n"/>
      <c r="M69" s="26" t="n"/>
      <c r="N69" s="26" t="n"/>
      <c r="O69" s="26" t="n"/>
      <c r="P69" s="26" t="n"/>
      <c r="Q69" s="26" t="n"/>
      <c r="R69" s="26" t="n"/>
      <c r="S69" s="26" t="n"/>
      <c r="T69" s="26" t="n"/>
      <c r="U69" s="26" t="n"/>
      <c r="V69" s="26" t="n"/>
      <c r="W69" s="26" t="n"/>
      <c r="X69" s="26" t="n"/>
      <c r="Y69" s="26" t="n"/>
      <c r="Z69" s="26">
        <f>IF(B69="","",IF(COUNTIF(F69:G69,"Fail")&gt;0,1,0))</f>
        <v/>
      </c>
      <c r="AA69" s="26">
        <f>IF(B69="","",IF(COUNTIF(H69:S69,"Fail")&gt;0,1,0))</f>
        <v/>
      </c>
      <c r="AB69" s="26">
        <f>IF(B69="","",IF(COUNTIF(T69:Y69,"Fail")&gt;0,1,0))</f>
        <v/>
      </c>
      <c r="AC69" s="27">
        <f>IF(B69="","",0.1*Z69+0.8*AA69+0.1*AB69)</f>
        <v/>
      </c>
      <c r="AD69" s="27">
        <f>IF(B69="","",IF(C69="Batch 1",0.3,0.2))</f>
        <v/>
      </c>
      <c r="AE69" s="19">
        <f>IF(B69="","",IF(AC69&lt;=AD69,"Đạt","Không đạt"))</f>
        <v/>
      </c>
      <c r="AF69" s="28" t="n"/>
    </row>
    <row r="70" ht="30" customHeight="1" s="36">
      <c r="A70" s="17" t="n">
        <v>68</v>
      </c>
      <c r="B70" s="18" t="n"/>
      <c r="C70" s="17" t="n"/>
      <c r="D70" s="17" t="n"/>
      <c r="E70" s="17" t="n"/>
      <c r="F70" s="26" t="n"/>
      <c r="G70" s="26" t="n"/>
      <c r="H70" s="26" t="n"/>
      <c r="I70" s="26" t="n"/>
      <c r="J70" s="26" t="n"/>
      <c r="K70" s="26" t="n"/>
      <c r="L70" s="26" t="n"/>
      <c r="M70" s="26" t="n"/>
      <c r="N70" s="26" t="n"/>
      <c r="O70" s="26" t="n"/>
      <c r="P70" s="26" t="n"/>
      <c r="Q70" s="26" t="n"/>
      <c r="R70" s="26" t="n"/>
      <c r="S70" s="26" t="n"/>
      <c r="T70" s="26" t="n"/>
      <c r="U70" s="26" t="n"/>
      <c r="V70" s="26" t="n"/>
      <c r="W70" s="26" t="n"/>
      <c r="X70" s="26" t="n"/>
      <c r="Y70" s="26" t="n"/>
      <c r="Z70" s="26">
        <f>IF(B70="","",IF(COUNTIF(F70:G70,"Fail")&gt;0,1,0))</f>
        <v/>
      </c>
      <c r="AA70" s="26">
        <f>IF(B70="","",IF(COUNTIF(H70:S70,"Fail")&gt;0,1,0))</f>
        <v/>
      </c>
      <c r="AB70" s="26">
        <f>IF(B70="","",IF(COUNTIF(T70:Y70,"Fail")&gt;0,1,0))</f>
        <v/>
      </c>
      <c r="AC70" s="27">
        <f>IF(B70="","",0.1*Z70+0.8*AA70+0.1*AB70)</f>
        <v/>
      </c>
      <c r="AD70" s="27">
        <f>IF(B70="","",IF(C70="Batch 1",0.3,0.2))</f>
        <v/>
      </c>
      <c r="AE70" s="19">
        <f>IF(B70="","",IF(AC70&lt;=AD70,"Đạt","Không đạt"))</f>
        <v/>
      </c>
      <c r="AF70" s="28" t="n"/>
    </row>
    <row r="71" ht="30" customHeight="1" s="36">
      <c r="A71" s="17" t="n">
        <v>69</v>
      </c>
      <c r="B71" s="18" t="n"/>
      <c r="C71" s="17" t="n"/>
      <c r="D71" s="17" t="n"/>
      <c r="E71" s="17" t="n"/>
      <c r="F71" s="26" t="n"/>
      <c r="G71" s="26" t="n"/>
      <c r="H71" s="26" t="n"/>
      <c r="I71" s="26" t="n"/>
      <c r="J71" s="26" t="n"/>
      <c r="K71" s="26" t="n"/>
      <c r="L71" s="26" t="n"/>
      <c r="M71" s="26" t="n"/>
      <c r="N71" s="26" t="n"/>
      <c r="O71" s="26" t="n"/>
      <c r="P71" s="26" t="n"/>
      <c r="Q71" s="26" t="n"/>
      <c r="R71" s="26" t="n"/>
      <c r="S71" s="26" t="n"/>
      <c r="T71" s="26" t="n"/>
      <c r="U71" s="26" t="n"/>
      <c r="V71" s="26" t="n"/>
      <c r="W71" s="26" t="n"/>
      <c r="X71" s="26" t="n"/>
      <c r="Y71" s="26" t="n"/>
      <c r="Z71" s="26">
        <f>IF(B71="","",IF(COUNTIF(F71:G71,"Fail")&gt;0,1,0))</f>
        <v/>
      </c>
      <c r="AA71" s="26">
        <f>IF(B71="","",IF(COUNTIF(H71:S71,"Fail")&gt;0,1,0))</f>
        <v/>
      </c>
      <c r="AB71" s="26">
        <f>IF(B71="","",IF(COUNTIF(T71:Y71,"Fail")&gt;0,1,0))</f>
        <v/>
      </c>
      <c r="AC71" s="27">
        <f>IF(B71="","",0.1*Z71+0.8*AA71+0.1*AB71)</f>
        <v/>
      </c>
      <c r="AD71" s="27">
        <f>IF(B71="","",IF(C71="Batch 1",0.3,0.2))</f>
        <v/>
      </c>
      <c r="AE71" s="19">
        <f>IF(B71="","",IF(AC71&lt;=AD71,"Đạt","Không đạt"))</f>
        <v/>
      </c>
      <c r="AF71" s="28" t="n"/>
    </row>
    <row r="72" ht="30" customHeight="1" s="36">
      <c r="A72" s="17" t="n">
        <v>70</v>
      </c>
      <c r="B72" s="18" t="n"/>
      <c r="C72" s="17" t="n"/>
      <c r="D72" s="17" t="n"/>
      <c r="E72" s="17" t="n"/>
      <c r="F72" s="26" t="n"/>
      <c r="G72" s="26" t="n"/>
      <c r="H72" s="26" t="n"/>
      <c r="I72" s="26" t="n"/>
      <c r="J72" s="26" t="n"/>
      <c r="K72" s="26" t="n"/>
      <c r="L72" s="26" t="n"/>
      <c r="M72" s="26" t="n"/>
      <c r="N72" s="26" t="n"/>
      <c r="O72" s="26" t="n"/>
      <c r="P72" s="26" t="n"/>
      <c r="Q72" s="26" t="n"/>
      <c r="R72" s="26" t="n"/>
      <c r="S72" s="26" t="n"/>
      <c r="T72" s="26" t="n"/>
      <c r="U72" s="26" t="n"/>
      <c r="V72" s="26" t="n"/>
      <c r="W72" s="26" t="n"/>
      <c r="X72" s="26" t="n"/>
      <c r="Y72" s="26" t="n"/>
      <c r="Z72" s="26">
        <f>IF(B72="","",IF(COUNTIF(F72:G72,"Fail")&gt;0,1,0))</f>
        <v/>
      </c>
      <c r="AA72" s="26">
        <f>IF(B72="","",IF(COUNTIF(H72:S72,"Fail")&gt;0,1,0))</f>
        <v/>
      </c>
      <c r="AB72" s="26">
        <f>IF(B72="","",IF(COUNTIF(T72:Y72,"Fail")&gt;0,1,0))</f>
        <v/>
      </c>
      <c r="AC72" s="27">
        <f>IF(B72="","",0.1*Z72+0.8*AA72+0.1*AB72)</f>
        <v/>
      </c>
      <c r="AD72" s="27">
        <f>IF(B72="","",IF(C72="Batch 1",0.3,0.2))</f>
        <v/>
      </c>
      <c r="AE72" s="19">
        <f>IF(B72="","",IF(AC72&lt;=AD72,"Đạt","Không đạt"))</f>
        <v/>
      </c>
      <c r="AF72" s="28" t="n"/>
    </row>
    <row r="73" ht="30" customHeight="1" s="36">
      <c r="A73" s="17" t="n">
        <v>71</v>
      </c>
      <c r="B73" s="18" t="n"/>
      <c r="C73" s="17" t="n"/>
      <c r="D73" s="17" t="n"/>
      <c r="E73" s="17" t="n"/>
      <c r="F73" s="26" t="n"/>
      <c r="G73" s="26" t="n"/>
      <c r="H73" s="26" t="n"/>
      <c r="I73" s="26" t="n"/>
      <c r="J73" s="26" t="n"/>
      <c r="K73" s="26" t="n"/>
      <c r="L73" s="26" t="n"/>
      <c r="M73" s="26" t="n"/>
      <c r="N73" s="26" t="n"/>
      <c r="O73" s="26" t="n"/>
      <c r="P73" s="26" t="n"/>
      <c r="Q73" s="26" t="n"/>
      <c r="R73" s="26" t="n"/>
      <c r="S73" s="26" t="n"/>
      <c r="T73" s="26" t="n"/>
      <c r="U73" s="26" t="n"/>
      <c r="V73" s="26" t="n"/>
      <c r="W73" s="26" t="n"/>
      <c r="X73" s="26" t="n"/>
      <c r="Y73" s="26" t="n"/>
      <c r="Z73" s="26">
        <f>IF(B73="","",IF(COUNTIF(F73:G73,"Fail")&gt;0,1,0))</f>
        <v/>
      </c>
      <c r="AA73" s="26">
        <f>IF(B73="","",IF(COUNTIF(H73:S73,"Fail")&gt;0,1,0))</f>
        <v/>
      </c>
      <c r="AB73" s="26">
        <f>IF(B73="","",IF(COUNTIF(T73:Y73,"Fail")&gt;0,1,0))</f>
        <v/>
      </c>
      <c r="AC73" s="27">
        <f>IF(B73="","",0.1*Z73+0.8*AA73+0.1*AB73)</f>
        <v/>
      </c>
      <c r="AD73" s="27">
        <f>IF(B73="","",IF(C73="Batch 1",0.3,0.2))</f>
        <v/>
      </c>
      <c r="AE73" s="19">
        <f>IF(B73="","",IF(AC73&lt;=AD73,"Đạt","Không đạt"))</f>
        <v/>
      </c>
      <c r="AF73" s="28" t="n"/>
    </row>
    <row r="74" ht="30" customHeight="1" s="36">
      <c r="A74" s="17" t="n">
        <v>72</v>
      </c>
      <c r="B74" s="18" t="n"/>
      <c r="C74" s="17" t="n"/>
      <c r="D74" s="17" t="n"/>
      <c r="E74" s="17" t="n"/>
      <c r="F74" s="26" t="n"/>
      <c r="G74" s="26" t="n"/>
      <c r="H74" s="26" t="n"/>
      <c r="I74" s="26" t="n"/>
      <c r="J74" s="26" t="n"/>
      <c r="K74" s="26" t="n"/>
      <c r="L74" s="26" t="n"/>
      <c r="M74" s="26" t="n"/>
      <c r="N74" s="26" t="n"/>
      <c r="O74" s="26" t="n"/>
      <c r="P74" s="26" t="n"/>
      <c r="Q74" s="26" t="n"/>
      <c r="R74" s="26" t="n"/>
      <c r="S74" s="26" t="n"/>
      <c r="T74" s="26" t="n"/>
      <c r="U74" s="26" t="n"/>
      <c r="V74" s="26" t="n"/>
      <c r="W74" s="26" t="n"/>
      <c r="X74" s="26" t="n"/>
      <c r="Y74" s="26" t="n"/>
      <c r="Z74" s="26">
        <f>IF(B74="","",IF(COUNTIF(F74:G74,"Fail")&gt;0,1,0))</f>
        <v/>
      </c>
      <c r="AA74" s="26">
        <f>IF(B74="","",IF(COUNTIF(H74:S74,"Fail")&gt;0,1,0))</f>
        <v/>
      </c>
      <c r="AB74" s="26">
        <f>IF(B74="","",IF(COUNTIF(T74:Y74,"Fail")&gt;0,1,0))</f>
        <v/>
      </c>
      <c r="AC74" s="27">
        <f>IF(B74="","",0.1*Z74+0.8*AA74+0.1*AB74)</f>
        <v/>
      </c>
      <c r="AD74" s="27">
        <f>IF(B74="","",IF(C74="Batch 1",0.3,0.2))</f>
        <v/>
      </c>
      <c r="AE74" s="19">
        <f>IF(B74="","",IF(AC74&lt;=AD74,"Đạt","Không đạt"))</f>
        <v/>
      </c>
      <c r="AF74" s="28" t="n"/>
    </row>
    <row r="75" ht="30" customHeight="1" s="36">
      <c r="A75" s="17" t="n">
        <v>73</v>
      </c>
      <c r="B75" s="18" t="n"/>
      <c r="C75" s="17" t="n"/>
      <c r="D75" s="17" t="n"/>
      <c r="E75" s="17" t="n"/>
      <c r="F75" s="26" t="n"/>
      <c r="G75" s="26" t="n"/>
      <c r="H75" s="26" t="n"/>
      <c r="I75" s="26" t="n"/>
      <c r="J75" s="26" t="n"/>
      <c r="K75" s="26" t="n"/>
      <c r="L75" s="26" t="n"/>
      <c r="M75" s="26" t="n"/>
      <c r="N75" s="26" t="n"/>
      <c r="O75" s="26" t="n"/>
      <c r="P75" s="26" t="n"/>
      <c r="Q75" s="26" t="n"/>
      <c r="R75" s="26" t="n"/>
      <c r="S75" s="26" t="n"/>
      <c r="T75" s="26" t="n"/>
      <c r="U75" s="26" t="n"/>
      <c r="V75" s="26" t="n"/>
      <c r="W75" s="26" t="n"/>
      <c r="X75" s="26" t="n"/>
      <c r="Y75" s="26" t="n"/>
      <c r="Z75" s="26">
        <f>IF(B75="","",IF(COUNTIF(F75:G75,"Fail")&gt;0,1,0))</f>
        <v/>
      </c>
      <c r="AA75" s="26">
        <f>IF(B75="","",IF(COUNTIF(H75:S75,"Fail")&gt;0,1,0))</f>
        <v/>
      </c>
      <c r="AB75" s="26">
        <f>IF(B75="","",IF(COUNTIF(T75:Y75,"Fail")&gt;0,1,0))</f>
        <v/>
      </c>
      <c r="AC75" s="27">
        <f>IF(B75="","",0.1*Z75+0.8*AA75+0.1*AB75)</f>
        <v/>
      </c>
      <c r="AD75" s="27">
        <f>IF(B75="","",IF(C75="Batch 1",0.3,0.2))</f>
        <v/>
      </c>
      <c r="AE75" s="19">
        <f>IF(B75="","",IF(AC75&lt;=AD75,"Đạt","Không đạt"))</f>
        <v/>
      </c>
      <c r="AF75" s="28" t="n"/>
    </row>
    <row r="76" ht="30" customHeight="1" s="36">
      <c r="A76" s="17" t="n">
        <v>74</v>
      </c>
      <c r="B76" s="18" t="n"/>
      <c r="C76" s="17" t="n"/>
      <c r="D76" s="17" t="n"/>
      <c r="E76" s="17" t="n"/>
      <c r="F76" s="26" t="n"/>
      <c r="G76" s="26" t="n"/>
      <c r="H76" s="26" t="n"/>
      <c r="I76" s="26" t="n"/>
      <c r="J76" s="26" t="n"/>
      <c r="K76" s="26" t="n"/>
      <c r="L76" s="26" t="n"/>
      <c r="M76" s="26" t="n"/>
      <c r="N76" s="26" t="n"/>
      <c r="O76" s="26" t="n"/>
      <c r="P76" s="26" t="n"/>
      <c r="Q76" s="26" t="n"/>
      <c r="R76" s="26" t="n"/>
      <c r="S76" s="26" t="n"/>
      <c r="T76" s="26" t="n"/>
      <c r="U76" s="26" t="n"/>
      <c r="V76" s="26" t="n"/>
      <c r="W76" s="26" t="n"/>
      <c r="X76" s="26" t="n"/>
      <c r="Y76" s="26" t="n"/>
      <c r="Z76" s="26">
        <f>IF(B76="","",IF(COUNTIF(F76:G76,"Fail")&gt;0,1,0))</f>
        <v/>
      </c>
      <c r="AA76" s="26">
        <f>IF(B76="","",IF(COUNTIF(H76:S76,"Fail")&gt;0,1,0))</f>
        <v/>
      </c>
      <c r="AB76" s="26">
        <f>IF(B76="","",IF(COUNTIF(T76:Y76,"Fail")&gt;0,1,0))</f>
        <v/>
      </c>
      <c r="AC76" s="27">
        <f>IF(B76="","",0.1*Z76+0.8*AA76+0.1*AB76)</f>
        <v/>
      </c>
      <c r="AD76" s="27">
        <f>IF(B76="","",IF(C76="Batch 1",0.3,0.2))</f>
        <v/>
      </c>
      <c r="AE76" s="19">
        <f>IF(B76="","",IF(AC76&lt;=AD76,"Đạt","Không đạt"))</f>
        <v/>
      </c>
      <c r="AF76" s="28" t="n"/>
    </row>
    <row r="77" ht="30" customHeight="1" s="36">
      <c r="A77" s="17" t="n">
        <v>75</v>
      </c>
      <c r="B77" s="18" t="n"/>
      <c r="C77" s="17" t="n"/>
      <c r="D77" s="17" t="n"/>
      <c r="E77" s="17" t="n"/>
      <c r="F77" s="26" t="n"/>
      <c r="G77" s="26" t="n"/>
      <c r="H77" s="26" t="n"/>
      <c r="I77" s="26" t="n"/>
      <c r="J77" s="26" t="n"/>
      <c r="K77" s="26" t="n"/>
      <c r="L77" s="26" t="n"/>
      <c r="M77" s="26" t="n"/>
      <c r="N77" s="26" t="n"/>
      <c r="O77" s="26" t="n"/>
      <c r="P77" s="26" t="n"/>
      <c r="Q77" s="26" t="n"/>
      <c r="R77" s="26" t="n"/>
      <c r="S77" s="26" t="n"/>
      <c r="T77" s="26" t="n"/>
      <c r="U77" s="26" t="n"/>
      <c r="V77" s="26" t="n"/>
      <c r="W77" s="26" t="n"/>
      <c r="X77" s="26" t="n"/>
      <c r="Y77" s="26" t="n"/>
      <c r="Z77" s="26">
        <f>IF(B77="","",IF(COUNTIF(F77:G77,"Fail")&gt;0,1,0))</f>
        <v/>
      </c>
      <c r="AA77" s="26">
        <f>IF(B77="","",IF(COUNTIF(H77:S77,"Fail")&gt;0,1,0))</f>
        <v/>
      </c>
      <c r="AB77" s="26">
        <f>IF(B77="","",IF(COUNTIF(T77:Y77,"Fail")&gt;0,1,0))</f>
        <v/>
      </c>
      <c r="AC77" s="27">
        <f>IF(B77="","",0.1*Z77+0.8*AA77+0.1*AB77)</f>
        <v/>
      </c>
      <c r="AD77" s="27">
        <f>IF(B77="","",IF(C77="Batch 1",0.3,0.2))</f>
        <v/>
      </c>
      <c r="AE77" s="19">
        <f>IF(B77="","",IF(AC77&lt;=AD77,"Đạt","Không đạt"))</f>
        <v/>
      </c>
      <c r="AF77" s="28" t="n"/>
    </row>
    <row r="78" ht="30" customHeight="1" s="36">
      <c r="A78" s="17" t="n">
        <v>76</v>
      </c>
      <c r="B78" s="18" t="n"/>
      <c r="C78" s="17" t="n"/>
      <c r="D78" s="17" t="n"/>
      <c r="E78" s="17" t="n"/>
      <c r="F78" s="26" t="n"/>
      <c r="G78" s="26" t="n"/>
      <c r="H78" s="26" t="n"/>
      <c r="I78" s="26" t="n"/>
      <c r="J78" s="26" t="n"/>
      <c r="K78" s="26" t="n"/>
      <c r="L78" s="26" t="n"/>
      <c r="M78" s="26" t="n"/>
      <c r="N78" s="26" t="n"/>
      <c r="O78" s="26" t="n"/>
      <c r="P78" s="26" t="n"/>
      <c r="Q78" s="26" t="n"/>
      <c r="R78" s="26" t="n"/>
      <c r="S78" s="26" t="n"/>
      <c r="T78" s="26" t="n"/>
      <c r="U78" s="26" t="n"/>
      <c r="V78" s="26" t="n"/>
      <c r="W78" s="26" t="n"/>
      <c r="X78" s="26" t="n"/>
      <c r="Y78" s="26" t="n"/>
      <c r="Z78" s="26">
        <f>IF(B78="","",IF(COUNTIF(F78:G78,"Fail")&gt;0,1,0))</f>
        <v/>
      </c>
      <c r="AA78" s="26">
        <f>IF(B78="","",IF(COUNTIF(H78:S78,"Fail")&gt;0,1,0))</f>
        <v/>
      </c>
      <c r="AB78" s="26">
        <f>IF(B78="","",IF(COUNTIF(T78:Y78,"Fail")&gt;0,1,0))</f>
        <v/>
      </c>
      <c r="AC78" s="27">
        <f>IF(B78="","",0.1*Z78+0.8*AA78+0.1*AB78)</f>
        <v/>
      </c>
      <c r="AD78" s="27">
        <f>IF(B78="","",IF(C78="Batch 1",0.3,0.2))</f>
        <v/>
      </c>
      <c r="AE78" s="19">
        <f>IF(B78="","",IF(AC78&lt;=AD78,"Đạt","Không đạt"))</f>
        <v/>
      </c>
      <c r="AF78" s="28" t="n"/>
    </row>
    <row r="79" ht="30" customHeight="1" s="36">
      <c r="A79" s="17" t="n">
        <v>77</v>
      </c>
      <c r="B79" s="18" t="n"/>
      <c r="C79" s="17" t="n"/>
      <c r="D79" s="17" t="n"/>
      <c r="E79" s="17" t="n"/>
      <c r="F79" s="26" t="n"/>
      <c r="G79" s="26" t="n"/>
      <c r="H79" s="26" t="n"/>
      <c r="I79" s="26" t="n"/>
      <c r="J79" s="26" t="n"/>
      <c r="K79" s="26" t="n"/>
      <c r="L79" s="26" t="n"/>
      <c r="M79" s="26" t="n"/>
      <c r="N79" s="26" t="n"/>
      <c r="O79" s="26" t="n"/>
      <c r="P79" s="26" t="n"/>
      <c r="Q79" s="26" t="n"/>
      <c r="R79" s="26" t="n"/>
      <c r="S79" s="26" t="n"/>
      <c r="T79" s="26" t="n"/>
      <c r="U79" s="26" t="n"/>
      <c r="V79" s="26" t="n"/>
      <c r="W79" s="26" t="n"/>
      <c r="X79" s="26" t="n"/>
      <c r="Y79" s="26" t="n"/>
      <c r="Z79" s="26">
        <f>IF(B79="","",IF(COUNTIF(F79:G79,"Fail")&gt;0,1,0))</f>
        <v/>
      </c>
      <c r="AA79" s="26">
        <f>IF(B79="","",IF(COUNTIF(H79:S79,"Fail")&gt;0,1,0))</f>
        <v/>
      </c>
      <c r="AB79" s="26">
        <f>IF(B79="","",IF(COUNTIF(T79:Y79,"Fail")&gt;0,1,0))</f>
        <v/>
      </c>
      <c r="AC79" s="27">
        <f>IF(B79="","",0.1*Z79+0.8*AA79+0.1*AB79)</f>
        <v/>
      </c>
      <c r="AD79" s="27">
        <f>IF(B79="","",IF(C79="Batch 1",0.3,0.2))</f>
        <v/>
      </c>
      <c r="AE79" s="19">
        <f>IF(B79="","",IF(AC79&lt;=AD79,"Đạt","Không đạt"))</f>
        <v/>
      </c>
      <c r="AF79" s="28" t="n"/>
    </row>
    <row r="80" ht="30" customHeight="1" s="36">
      <c r="A80" s="17" t="n">
        <v>78</v>
      </c>
      <c r="B80" s="18" t="n"/>
      <c r="C80" s="17" t="n"/>
      <c r="D80" s="17" t="n"/>
      <c r="E80" s="17" t="n"/>
      <c r="F80" s="26" t="n"/>
      <c r="G80" s="26" t="n"/>
      <c r="H80" s="26" t="n"/>
      <c r="I80" s="26" t="n"/>
      <c r="J80" s="26" t="n"/>
      <c r="K80" s="26" t="n"/>
      <c r="L80" s="26" t="n"/>
      <c r="M80" s="26" t="n"/>
      <c r="N80" s="26" t="n"/>
      <c r="O80" s="26" t="n"/>
      <c r="P80" s="26" t="n"/>
      <c r="Q80" s="26" t="n"/>
      <c r="R80" s="26" t="n"/>
      <c r="S80" s="26" t="n"/>
      <c r="T80" s="26" t="n"/>
      <c r="U80" s="26" t="n"/>
      <c r="V80" s="26" t="n"/>
      <c r="W80" s="26" t="n"/>
      <c r="X80" s="26" t="n"/>
      <c r="Y80" s="26" t="n"/>
      <c r="Z80" s="26">
        <f>IF(B80="","",IF(COUNTIF(F80:G80,"Fail")&gt;0,1,0))</f>
        <v/>
      </c>
      <c r="AA80" s="26">
        <f>IF(B80="","",IF(COUNTIF(H80:S80,"Fail")&gt;0,1,0))</f>
        <v/>
      </c>
      <c r="AB80" s="26">
        <f>IF(B80="","",IF(COUNTIF(T80:Y80,"Fail")&gt;0,1,0))</f>
        <v/>
      </c>
      <c r="AC80" s="27">
        <f>IF(B80="","",0.1*Z80+0.8*AA80+0.1*AB80)</f>
        <v/>
      </c>
      <c r="AD80" s="27">
        <f>IF(B80="","",IF(C80="Batch 1",0.3,0.2))</f>
        <v/>
      </c>
      <c r="AE80" s="19">
        <f>IF(B80="","",IF(AC80&lt;=AD80,"Đạt","Không đạt"))</f>
        <v/>
      </c>
      <c r="AF80" s="28" t="n"/>
    </row>
    <row r="81" ht="30" customHeight="1" s="36">
      <c r="A81" s="17" t="n">
        <v>79</v>
      </c>
      <c r="B81" s="18" t="n"/>
      <c r="C81" s="17" t="n"/>
      <c r="D81" s="17" t="n"/>
      <c r="E81" s="17" t="n"/>
      <c r="F81" s="26" t="n"/>
      <c r="G81" s="26" t="n"/>
      <c r="H81" s="26" t="n"/>
      <c r="I81" s="26" t="n"/>
      <c r="J81" s="26" t="n"/>
      <c r="K81" s="26" t="n"/>
      <c r="L81" s="26" t="n"/>
      <c r="M81" s="26" t="n"/>
      <c r="N81" s="26" t="n"/>
      <c r="O81" s="26" t="n"/>
      <c r="P81" s="26" t="n"/>
      <c r="Q81" s="26" t="n"/>
      <c r="R81" s="26" t="n"/>
      <c r="S81" s="26" t="n"/>
      <c r="T81" s="26" t="n"/>
      <c r="U81" s="26" t="n"/>
      <c r="V81" s="26" t="n"/>
      <c r="W81" s="26" t="n"/>
      <c r="X81" s="26" t="n"/>
      <c r="Y81" s="26" t="n"/>
      <c r="Z81" s="26">
        <f>IF(B81="","",IF(COUNTIF(F81:G81,"Fail")&gt;0,1,0))</f>
        <v/>
      </c>
      <c r="AA81" s="26">
        <f>IF(B81="","",IF(COUNTIF(H81:S81,"Fail")&gt;0,1,0))</f>
        <v/>
      </c>
      <c r="AB81" s="26">
        <f>IF(B81="","",IF(COUNTIF(T81:Y81,"Fail")&gt;0,1,0))</f>
        <v/>
      </c>
      <c r="AC81" s="27">
        <f>IF(B81="","",0.1*Z81+0.8*AA81+0.1*AB81)</f>
        <v/>
      </c>
      <c r="AD81" s="27">
        <f>IF(B81="","",IF(C81="Batch 1",0.3,0.2))</f>
        <v/>
      </c>
      <c r="AE81" s="19">
        <f>IF(B81="","",IF(AC81&lt;=AD81,"Đạt","Không đạt"))</f>
        <v/>
      </c>
      <c r="AF81" s="28" t="n"/>
    </row>
    <row r="82" ht="30" customHeight="1" s="36">
      <c r="A82" s="17" t="n">
        <v>80</v>
      </c>
      <c r="B82" s="18" t="n"/>
      <c r="C82" s="17" t="n"/>
      <c r="D82" s="17" t="n"/>
      <c r="E82" s="17" t="n"/>
      <c r="F82" s="26" t="n"/>
      <c r="G82" s="26" t="n"/>
      <c r="H82" s="26" t="n"/>
      <c r="I82" s="26" t="n"/>
      <c r="J82" s="26" t="n"/>
      <c r="K82" s="26" t="n"/>
      <c r="L82" s="26" t="n"/>
      <c r="M82" s="26" t="n"/>
      <c r="N82" s="26" t="n"/>
      <c r="O82" s="26" t="n"/>
      <c r="P82" s="26" t="n"/>
      <c r="Q82" s="26" t="n"/>
      <c r="R82" s="26" t="n"/>
      <c r="S82" s="26" t="n"/>
      <c r="T82" s="26" t="n"/>
      <c r="U82" s="26" t="n"/>
      <c r="V82" s="26" t="n"/>
      <c r="W82" s="26" t="n"/>
      <c r="X82" s="26" t="n"/>
      <c r="Y82" s="26" t="n"/>
      <c r="Z82" s="26">
        <f>IF(B82="","",IF(COUNTIF(F82:G82,"Fail")&gt;0,1,0))</f>
        <v/>
      </c>
      <c r="AA82" s="26">
        <f>IF(B82="","",IF(COUNTIF(H82:S82,"Fail")&gt;0,1,0))</f>
        <v/>
      </c>
      <c r="AB82" s="26">
        <f>IF(B82="","",IF(COUNTIF(T82:Y82,"Fail")&gt;0,1,0))</f>
        <v/>
      </c>
      <c r="AC82" s="27">
        <f>IF(B82="","",0.1*Z82+0.8*AA82+0.1*AB82)</f>
        <v/>
      </c>
      <c r="AD82" s="27">
        <f>IF(B82="","",IF(C82="Batch 1",0.3,0.2))</f>
        <v/>
      </c>
      <c r="AE82" s="19">
        <f>IF(B82="","",IF(AC82&lt;=AD82,"Đạt","Không đạt"))</f>
        <v/>
      </c>
      <c r="AF82" s="28" t="n"/>
    </row>
    <row r="83" ht="30" customHeight="1" s="36">
      <c r="A83" s="17" t="n">
        <v>81</v>
      </c>
      <c r="B83" s="18" t="n"/>
      <c r="C83" s="17" t="n"/>
      <c r="D83" s="17" t="n"/>
      <c r="E83" s="17" t="n"/>
      <c r="F83" s="26" t="n"/>
      <c r="G83" s="26" t="n"/>
      <c r="H83" s="26" t="n"/>
      <c r="I83" s="26" t="n"/>
      <c r="J83" s="26" t="n"/>
      <c r="K83" s="26" t="n"/>
      <c r="L83" s="26" t="n"/>
      <c r="M83" s="26" t="n"/>
      <c r="N83" s="26" t="n"/>
      <c r="O83" s="26" t="n"/>
      <c r="P83" s="26" t="n"/>
      <c r="Q83" s="26" t="n"/>
      <c r="R83" s="26" t="n"/>
      <c r="S83" s="26" t="n"/>
      <c r="T83" s="26" t="n"/>
      <c r="U83" s="26" t="n"/>
      <c r="V83" s="26" t="n"/>
      <c r="W83" s="26" t="n"/>
      <c r="X83" s="26" t="n"/>
      <c r="Y83" s="26" t="n"/>
      <c r="Z83" s="26">
        <f>IF(B83="","",IF(COUNTIF(F83:G83,"Fail")&gt;0,1,0))</f>
        <v/>
      </c>
      <c r="AA83" s="26">
        <f>IF(B83="","",IF(COUNTIF(H83:S83,"Fail")&gt;0,1,0))</f>
        <v/>
      </c>
      <c r="AB83" s="26">
        <f>IF(B83="","",IF(COUNTIF(T83:Y83,"Fail")&gt;0,1,0))</f>
        <v/>
      </c>
      <c r="AC83" s="27">
        <f>IF(B83="","",0.1*Z83+0.8*AA83+0.1*AB83)</f>
        <v/>
      </c>
      <c r="AD83" s="27">
        <f>IF(B83="","",IF(C83="Batch 1",0.3,0.2))</f>
        <v/>
      </c>
      <c r="AE83" s="19">
        <f>IF(B83="","",IF(AC83&lt;=AD83,"Đạt","Không đạt"))</f>
        <v/>
      </c>
      <c r="AF83" s="28" t="n"/>
    </row>
    <row r="84" ht="30" customHeight="1" s="36">
      <c r="A84" s="17" t="n">
        <v>82</v>
      </c>
      <c r="B84" s="18" t="n"/>
      <c r="C84" s="17" t="n"/>
      <c r="D84" s="17" t="n"/>
      <c r="E84" s="17" t="n"/>
      <c r="F84" s="26" t="n"/>
      <c r="G84" s="26" t="n"/>
      <c r="H84" s="26" t="n"/>
      <c r="I84" s="26" t="n"/>
      <c r="J84" s="26" t="n"/>
      <c r="K84" s="26" t="n"/>
      <c r="L84" s="26" t="n"/>
      <c r="M84" s="26" t="n"/>
      <c r="N84" s="26" t="n"/>
      <c r="O84" s="26" t="n"/>
      <c r="P84" s="26" t="n"/>
      <c r="Q84" s="26" t="n"/>
      <c r="R84" s="26" t="n"/>
      <c r="S84" s="26" t="n"/>
      <c r="T84" s="26" t="n"/>
      <c r="U84" s="26" t="n"/>
      <c r="V84" s="26" t="n"/>
      <c r="W84" s="26" t="n"/>
      <c r="X84" s="26" t="n"/>
      <c r="Y84" s="26" t="n"/>
      <c r="Z84" s="26">
        <f>IF(B84="","",IF(COUNTIF(F84:G84,"Fail")&gt;0,1,0))</f>
        <v/>
      </c>
      <c r="AA84" s="26">
        <f>IF(B84="","",IF(COUNTIF(H84:S84,"Fail")&gt;0,1,0))</f>
        <v/>
      </c>
      <c r="AB84" s="26">
        <f>IF(B84="","",IF(COUNTIF(T84:Y84,"Fail")&gt;0,1,0))</f>
        <v/>
      </c>
      <c r="AC84" s="27">
        <f>IF(B84="","",0.1*Z84+0.8*AA84+0.1*AB84)</f>
        <v/>
      </c>
      <c r="AD84" s="27">
        <f>IF(B84="","",IF(C84="Batch 1",0.3,0.2))</f>
        <v/>
      </c>
      <c r="AE84" s="19">
        <f>IF(B84="","",IF(AC84&lt;=AD84,"Đạt","Không đạt"))</f>
        <v/>
      </c>
      <c r="AF84" s="28" t="n"/>
    </row>
    <row r="85" ht="30" customHeight="1" s="36">
      <c r="A85" s="17" t="n">
        <v>83</v>
      </c>
      <c r="B85" s="18" t="n"/>
      <c r="C85" s="17" t="n"/>
      <c r="D85" s="17" t="n"/>
      <c r="E85" s="17" t="n"/>
      <c r="F85" s="26" t="n"/>
      <c r="G85" s="26" t="n"/>
      <c r="H85" s="26" t="n"/>
      <c r="I85" s="26" t="n"/>
      <c r="J85" s="26" t="n"/>
      <c r="K85" s="26" t="n"/>
      <c r="L85" s="26" t="n"/>
      <c r="M85" s="26" t="n"/>
      <c r="N85" s="26" t="n"/>
      <c r="O85" s="26" t="n"/>
      <c r="P85" s="26" t="n"/>
      <c r="Q85" s="26" t="n"/>
      <c r="R85" s="26" t="n"/>
      <c r="S85" s="26" t="n"/>
      <c r="T85" s="26" t="n"/>
      <c r="U85" s="26" t="n"/>
      <c r="V85" s="26" t="n"/>
      <c r="W85" s="26" t="n"/>
      <c r="X85" s="26" t="n"/>
      <c r="Y85" s="26" t="n"/>
      <c r="Z85" s="26">
        <f>IF(B85="","",IF(COUNTIF(F85:G85,"Fail")&gt;0,1,0))</f>
        <v/>
      </c>
      <c r="AA85" s="26">
        <f>IF(B85="","",IF(COUNTIF(H85:S85,"Fail")&gt;0,1,0))</f>
        <v/>
      </c>
      <c r="AB85" s="26">
        <f>IF(B85="","",IF(COUNTIF(T85:Y85,"Fail")&gt;0,1,0))</f>
        <v/>
      </c>
      <c r="AC85" s="27">
        <f>IF(B85="","",0.1*Z85+0.8*AA85+0.1*AB85)</f>
        <v/>
      </c>
      <c r="AD85" s="27">
        <f>IF(B85="","",IF(C85="Batch 1",0.3,0.2))</f>
        <v/>
      </c>
      <c r="AE85" s="19">
        <f>IF(B85="","",IF(AC85&lt;=AD85,"Đạt","Không đạt"))</f>
        <v/>
      </c>
      <c r="AF85" s="28" t="n"/>
    </row>
    <row r="86" ht="30" customHeight="1" s="36">
      <c r="A86" s="17" t="n">
        <v>84</v>
      </c>
      <c r="B86" s="18" t="n"/>
      <c r="C86" s="17" t="n"/>
      <c r="D86" s="17" t="n"/>
      <c r="E86" s="17" t="n"/>
      <c r="F86" s="26" t="n"/>
      <c r="G86" s="26" t="n"/>
      <c r="H86" s="26" t="n"/>
      <c r="I86" s="26" t="n"/>
      <c r="J86" s="26" t="n"/>
      <c r="K86" s="26" t="n"/>
      <c r="L86" s="26" t="n"/>
      <c r="M86" s="26" t="n"/>
      <c r="N86" s="26" t="n"/>
      <c r="O86" s="26" t="n"/>
      <c r="P86" s="26" t="n"/>
      <c r="Q86" s="26" t="n"/>
      <c r="R86" s="26" t="n"/>
      <c r="S86" s="26" t="n"/>
      <c r="T86" s="26" t="n"/>
      <c r="U86" s="26" t="n"/>
      <c r="V86" s="26" t="n"/>
      <c r="W86" s="26" t="n"/>
      <c r="X86" s="26" t="n"/>
      <c r="Y86" s="26" t="n"/>
      <c r="Z86" s="26">
        <f>IF(B86="","",IF(COUNTIF(F86:G86,"Fail")&gt;0,1,0))</f>
        <v/>
      </c>
      <c r="AA86" s="26">
        <f>IF(B86="","",IF(COUNTIF(H86:S86,"Fail")&gt;0,1,0))</f>
        <v/>
      </c>
      <c r="AB86" s="26">
        <f>IF(B86="","",IF(COUNTIF(T86:Y86,"Fail")&gt;0,1,0))</f>
        <v/>
      </c>
      <c r="AC86" s="27">
        <f>IF(B86="","",0.1*Z86+0.8*AA86+0.1*AB86)</f>
        <v/>
      </c>
      <c r="AD86" s="27">
        <f>IF(B86="","",IF(C86="Batch 1",0.3,0.2))</f>
        <v/>
      </c>
      <c r="AE86" s="19">
        <f>IF(B86="","",IF(AC86&lt;=AD86,"Đạt","Không đạt"))</f>
        <v/>
      </c>
      <c r="AF86" s="28" t="n"/>
    </row>
    <row r="87" ht="30" customHeight="1" s="36">
      <c r="A87" s="17" t="n">
        <v>85</v>
      </c>
      <c r="B87" s="18" t="n"/>
      <c r="C87" s="17" t="n"/>
      <c r="D87" s="17" t="n"/>
      <c r="E87" s="17" t="n"/>
      <c r="F87" s="26" t="n"/>
      <c r="G87" s="26" t="n"/>
      <c r="H87" s="26" t="n"/>
      <c r="I87" s="26" t="n"/>
      <c r="J87" s="26" t="n"/>
      <c r="K87" s="26" t="n"/>
      <c r="L87" s="26" t="n"/>
      <c r="M87" s="26" t="n"/>
      <c r="N87" s="26" t="n"/>
      <c r="O87" s="26" t="n"/>
      <c r="P87" s="26" t="n"/>
      <c r="Q87" s="26" t="n"/>
      <c r="R87" s="26" t="n"/>
      <c r="S87" s="26" t="n"/>
      <c r="T87" s="26" t="n"/>
      <c r="U87" s="26" t="n"/>
      <c r="V87" s="26" t="n"/>
      <c r="W87" s="26" t="n"/>
      <c r="X87" s="26" t="n"/>
      <c r="Y87" s="26" t="n"/>
      <c r="Z87" s="26">
        <f>IF(B87="","",IF(COUNTIF(F87:G87,"Fail")&gt;0,1,0))</f>
        <v/>
      </c>
      <c r="AA87" s="26">
        <f>IF(B87="","",IF(COUNTIF(H87:S87,"Fail")&gt;0,1,0))</f>
        <v/>
      </c>
      <c r="AB87" s="26">
        <f>IF(B87="","",IF(COUNTIF(T87:Y87,"Fail")&gt;0,1,0))</f>
        <v/>
      </c>
      <c r="AC87" s="27">
        <f>IF(B87="","",0.1*Z87+0.8*AA87+0.1*AB87)</f>
        <v/>
      </c>
      <c r="AD87" s="27">
        <f>IF(B87="","",IF(C87="Batch 1",0.3,0.2))</f>
        <v/>
      </c>
      <c r="AE87" s="19">
        <f>IF(B87="","",IF(AC87&lt;=AD87,"Đạt","Không đạt"))</f>
        <v/>
      </c>
      <c r="AF87" s="28" t="n"/>
    </row>
    <row r="88" ht="30" customHeight="1" s="36">
      <c r="A88" s="17" t="n">
        <v>86</v>
      </c>
      <c r="B88" s="18" t="n"/>
      <c r="C88" s="17" t="n"/>
      <c r="D88" s="17" t="n"/>
      <c r="E88" s="17" t="n"/>
      <c r="F88" s="26" t="n"/>
      <c r="G88" s="26" t="n"/>
      <c r="H88" s="26" t="n"/>
      <c r="I88" s="26" t="n"/>
      <c r="J88" s="26" t="n"/>
      <c r="K88" s="26" t="n"/>
      <c r="L88" s="26" t="n"/>
      <c r="M88" s="26" t="n"/>
      <c r="N88" s="26" t="n"/>
      <c r="O88" s="26" t="n"/>
      <c r="P88" s="26" t="n"/>
      <c r="Q88" s="26" t="n"/>
      <c r="R88" s="26" t="n"/>
      <c r="S88" s="26" t="n"/>
      <c r="T88" s="26" t="n"/>
      <c r="U88" s="26" t="n"/>
      <c r="V88" s="26" t="n"/>
      <c r="W88" s="26" t="n"/>
      <c r="X88" s="26" t="n"/>
      <c r="Y88" s="26" t="n"/>
      <c r="Z88" s="26">
        <f>IF(B88="","",IF(COUNTIF(F88:G88,"Fail")&gt;0,1,0))</f>
        <v/>
      </c>
      <c r="AA88" s="26">
        <f>IF(B88="","",IF(COUNTIF(H88:S88,"Fail")&gt;0,1,0))</f>
        <v/>
      </c>
      <c r="AB88" s="26">
        <f>IF(B88="","",IF(COUNTIF(T88:Y88,"Fail")&gt;0,1,0))</f>
        <v/>
      </c>
      <c r="AC88" s="27">
        <f>IF(B88="","",0.1*Z88+0.8*AA88+0.1*AB88)</f>
        <v/>
      </c>
      <c r="AD88" s="27">
        <f>IF(B88="","",IF(C88="Batch 1",0.3,0.2))</f>
        <v/>
      </c>
      <c r="AE88" s="19">
        <f>IF(B88="","",IF(AC88&lt;=AD88,"Đạt","Không đạt"))</f>
        <v/>
      </c>
      <c r="AF88" s="28" t="n"/>
    </row>
    <row r="89" ht="30" customHeight="1" s="36">
      <c r="A89" s="17" t="n">
        <v>87</v>
      </c>
      <c r="B89" s="18" t="n"/>
      <c r="C89" s="17" t="n"/>
      <c r="D89" s="17" t="n"/>
      <c r="E89" s="17" t="n"/>
      <c r="F89" s="26" t="n"/>
      <c r="G89" s="26" t="n"/>
      <c r="H89" s="26" t="n"/>
      <c r="I89" s="26" t="n"/>
      <c r="J89" s="26" t="n"/>
      <c r="K89" s="26" t="n"/>
      <c r="L89" s="26" t="n"/>
      <c r="M89" s="26" t="n"/>
      <c r="N89" s="26" t="n"/>
      <c r="O89" s="26" t="n"/>
      <c r="P89" s="26" t="n"/>
      <c r="Q89" s="26" t="n"/>
      <c r="R89" s="26" t="n"/>
      <c r="S89" s="26" t="n"/>
      <c r="T89" s="26" t="n"/>
      <c r="U89" s="26" t="n"/>
      <c r="V89" s="26" t="n"/>
      <c r="W89" s="26" t="n"/>
      <c r="X89" s="26" t="n"/>
      <c r="Y89" s="26" t="n"/>
      <c r="Z89" s="26">
        <f>IF(B89="","",IF(COUNTIF(F89:G89,"Fail")&gt;0,1,0))</f>
        <v/>
      </c>
      <c r="AA89" s="26">
        <f>IF(B89="","",IF(COUNTIF(H89:S89,"Fail")&gt;0,1,0))</f>
        <v/>
      </c>
      <c r="AB89" s="26">
        <f>IF(B89="","",IF(COUNTIF(T89:Y89,"Fail")&gt;0,1,0))</f>
        <v/>
      </c>
      <c r="AC89" s="27">
        <f>IF(B89="","",0.1*Z89+0.8*AA89+0.1*AB89)</f>
        <v/>
      </c>
      <c r="AD89" s="27">
        <f>IF(B89="","",IF(C89="Batch 1",0.3,0.2))</f>
        <v/>
      </c>
      <c r="AE89" s="19">
        <f>IF(B89="","",IF(AC89&lt;=AD89,"Đạt","Không đạt"))</f>
        <v/>
      </c>
      <c r="AF89" s="28" t="n"/>
    </row>
    <row r="90" ht="30" customHeight="1" s="36">
      <c r="A90" s="17" t="n">
        <v>88</v>
      </c>
      <c r="B90" s="18" t="n"/>
      <c r="C90" s="17" t="n"/>
      <c r="D90" s="17" t="n"/>
      <c r="E90" s="17" t="n"/>
      <c r="F90" s="26" t="n"/>
      <c r="G90" s="26" t="n"/>
      <c r="H90" s="26" t="n"/>
      <c r="I90" s="26" t="n"/>
      <c r="J90" s="26" t="n"/>
      <c r="K90" s="26" t="n"/>
      <c r="L90" s="26" t="n"/>
      <c r="M90" s="26" t="n"/>
      <c r="N90" s="26" t="n"/>
      <c r="O90" s="26" t="n"/>
      <c r="P90" s="26" t="n"/>
      <c r="Q90" s="26" t="n"/>
      <c r="R90" s="26" t="n"/>
      <c r="S90" s="26" t="n"/>
      <c r="T90" s="26" t="n"/>
      <c r="U90" s="26" t="n"/>
      <c r="V90" s="26" t="n"/>
      <c r="W90" s="26" t="n"/>
      <c r="X90" s="26" t="n"/>
      <c r="Y90" s="26" t="n"/>
      <c r="Z90" s="26">
        <f>IF(B90="","",IF(COUNTIF(F90:G90,"Fail")&gt;0,1,0))</f>
        <v/>
      </c>
      <c r="AA90" s="26">
        <f>IF(B90="","",IF(COUNTIF(H90:S90,"Fail")&gt;0,1,0))</f>
        <v/>
      </c>
      <c r="AB90" s="26">
        <f>IF(B90="","",IF(COUNTIF(T90:Y90,"Fail")&gt;0,1,0))</f>
        <v/>
      </c>
      <c r="AC90" s="27">
        <f>IF(B90="","",0.1*Z90+0.8*AA90+0.1*AB90)</f>
        <v/>
      </c>
      <c r="AD90" s="27">
        <f>IF(B90="","",IF(C90="Batch 1",0.3,0.2))</f>
        <v/>
      </c>
      <c r="AE90" s="19">
        <f>IF(B90="","",IF(AC90&lt;=AD90,"Đạt","Không đạt"))</f>
        <v/>
      </c>
      <c r="AF90" s="28" t="n"/>
    </row>
    <row r="91" ht="30" customHeight="1" s="36">
      <c r="A91" s="17" t="n">
        <v>89</v>
      </c>
      <c r="B91" s="18" t="n"/>
      <c r="C91" s="17" t="n"/>
      <c r="D91" s="17" t="n"/>
      <c r="E91" s="17" t="n"/>
      <c r="F91" s="26" t="n"/>
      <c r="G91" s="26" t="n"/>
      <c r="H91" s="26" t="n"/>
      <c r="I91" s="26" t="n"/>
      <c r="J91" s="26" t="n"/>
      <c r="K91" s="26" t="n"/>
      <c r="L91" s="26" t="n"/>
      <c r="M91" s="26" t="n"/>
      <c r="N91" s="26" t="n"/>
      <c r="O91" s="26" t="n"/>
      <c r="P91" s="26" t="n"/>
      <c r="Q91" s="26" t="n"/>
      <c r="R91" s="26" t="n"/>
      <c r="S91" s="26" t="n"/>
      <c r="T91" s="26" t="n"/>
      <c r="U91" s="26" t="n"/>
      <c r="V91" s="26" t="n"/>
      <c r="W91" s="26" t="n"/>
      <c r="X91" s="26" t="n"/>
      <c r="Y91" s="26" t="n"/>
      <c r="Z91" s="26">
        <f>IF(B91="","",IF(COUNTIF(F91:G91,"Fail")&gt;0,1,0))</f>
        <v/>
      </c>
      <c r="AA91" s="26">
        <f>IF(B91="","",IF(COUNTIF(H91:S91,"Fail")&gt;0,1,0))</f>
        <v/>
      </c>
      <c r="AB91" s="26">
        <f>IF(B91="","",IF(COUNTIF(T91:Y91,"Fail")&gt;0,1,0))</f>
        <v/>
      </c>
      <c r="AC91" s="27">
        <f>IF(B91="","",0.1*Z91+0.8*AA91+0.1*AB91)</f>
        <v/>
      </c>
      <c r="AD91" s="27">
        <f>IF(B91="","",IF(C91="Batch 1",0.3,0.2))</f>
        <v/>
      </c>
      <c r="AE91" s="19">
        <f>IF(B91="","",IF(AC91&lt;=AD91,"Đạt","Không đạt"))</f>
        <v/>
      </c>
      <c r="AF91" s="28" t="n"/>
    </row>
    <row r="92" ht="30" customHeight="1" s="36">
      <c r="A92" s="17" t="n">
        <v>90</v>
      </c>
      <c r="B92" s="18" t="n"/>
      <c r="C92" s="17" t="n"/>
      <c r="D92" s="17" t="n"/>
      <c r="E92" s="17" t="n"/>
      <c r="F92" s="26" t="n"/>
      <c r="G92" s="26" t="n"/>
      <c r="H92" s="26" t="n"/>
      <c r="I92" s="26" t="n"/>
      <c r="J92" s="26" t="n"/>
      <c r="K92" s="26" t="n"/>
      <c r="L92" s="26" t="n"/>
      <c r="M92" s="26" t="n"/>
      <c r="N92" s="26" t="n"/>
      <c r="O92" s="26" t="n"/>
      <c r="P92" s="26" t="n"/>
      <c r="Q92" s="26" t="n"/>
      <c r="R92" s="26" t="n"/>
      <c r="S92" s="26" t="n"/>
      <c r="T92" s="26" t="n"/>
      <c r="U92" s="26" t="n"/>
      <c r="V92" s="26" t="n"/>
      <c r="W92" s="26" t="n"/>
      <c r="X92" s="26" t="n"/>
      <c r="Y92" s="26" t="n"/>
      <c r="Z92" s="26">
        <f>IF(B92="","",IF(COUNTIF(F92:G92,"Fail")&gt;0,1,0))</f>
        <v/>
      </c>
      <c r="AA92" s="26">
        <f>IF(B92="","",IF(COUNTIF(H92:S92,"Fail")&gt;0,1,0))</f>
        <v/>
      </c>
      <c r="AB92" s="26">
        <f>IF(B92="","",IF(COUNTIF(T92:Y92,"Fail")&gt;0,1,0))</f>
        <v/>
      </c>
      <c r="AC92" s="27">
        <f>IF(B92="","",0.1*Z92+0.8*AA92+0.1*AB92)</f>
        <v/>
      </c>
      <c r="AD92" s="27">
        <f>IF(B92="","",IF(C92="Batch 1",0.3,0.2))</f>
        <v/>
      </c>
      <c r="AE92" s="19">
        <f>IF(B92="","",IF(AC92&lt;=AD92,"Đạt","Không đạt"))</f>
        <v/>
      </c>
      <c r="AF92" s="28" t="n"/>
    </row>
    <row r="93" ht="30" customHeight="1" s="36">
      <c r="A93" s="17" t="n">
        <v>91</v>
      </c>
      <c r="B93" s="18" t="n"/>
      <c r="C93" s="17" t="n"/>
      <c r="D93" s="17" t="n"/>
      <c r="E93" s="17" t="n"/>
      <c r="F93" s="26" t="n"/>
      <c r="G93" s="26" t="n"/>
      <c r="H93" s="26" t="n"/>
      <c r="I93" s="26" t="n"/>
      <c r="J93" s="26" t="n"/>
      <c r="K93" s="26" t="n"/>
      <c r="L93" s="26" t="n"/>
      <c r="M93" s="26" t="n"/>
      <c r="N93" s="26" t="n"/>
      <c r="O93" s="26" t="n"/>
      <c r="P93" s="26" t="n"/>
      <c r="Q93" s="26" t="n"/>
      <c r="R93" s="26" t="n"/>
      <c r="S93" s="26" t="n"/>
      <c r="T93" s="26" t="n"/>
      <c r="U93" s="26" t="n"/>
      <c r="V93" s="26" t="n"/>
      <c r="W93" s="26" t="n"/>
      <c r="X93" s="26" t="n"/>
      <c r="Y93" s="26" t="n"/>
      <c r="Z93" s="26">
        <f>IF(B93="","",IF(COUNTIF(F93:G93,"Fail")&gt;0,1,0))</f>
        <v/>
      </c>
      <c r="AA93" s="26">
        <f>IF(B93="","",IF(COUNTIF(H93:S93,"Fail")&gt;0,1,0))</f>
        <v/>
      </c>
      <c r="AB93" s="26">
        <f>IF(B93="","",IF(COUNTIF(T93:Y93,"Fail")&gt;0,1,0))</f>
        <v/>
      </c>
      <c r="AC93" s="27">
        <f>IF(B93="","",0.1*Z93+0.8*AA93+0.1*AB93)</f>
        <v/>
      </c>
      <c r="AD93" s="27">
        <f>IF(B93="","",IF(C93="Batch 1",0.3,0.2))</f>
        <v/>
      </c>
      <c r="AE93" s="19">
        <f>IF(B93="","",IF(AC93&lt;=AD93,"Đạt","Không đạt"))</f>
        <v/>
      </c>
      <c r="AF93" s="28" t="n"/>
    </row>
    <row r="94" ht="30" customHeight="1" s="36">
      <c r="A94" s="17" t="n">
        <v>92</v>
      </c>
      <c r="B94" s="18" t="n"/>
      <c r="C94" s="17" t="n"/>
      <c r="D94" s="17" t="n"/>
      <c r="E94" s="17" t="n"/>
      <c r="F94" s="26" t="n"/>
      <c r="G94" s="26" t="n"/>
      <c r="H94" s="26" t="n"/>
      <c r="I94" s="26" t="n"/>
      <c r="J94" s="26" t="n"/>
      <c r="K94" s="26" t="n"/>
      <c r="L94" s="26" t="n"/>
      <c r="M94" s="26" t="n"/>
      <c r="N94" s="26" t="n"/>
      <c r="O94" s="26" t="n"/>
      <c r="P94" s="26" t="n"/>
      <c r="Q94" s="26" t="n"/>
      <c r="R94" s="26" t="n"/>
      <c r="S94" s="26" t="n"/>
      <c r="T94" s="26" t="n"/>
      <c r="U94" s="26" t="n"/>
      <c r="V94" s="26" t="n"/>
      <c r="W94" s="26" t="n"/>
      <c r="X94" s="26" t="n"/>
      <c r="Y94" s="26" t="n"/>
      <c r="Z94" s="26">
        <f>IF(B94="","",IF(COUNTIF(F94:G94,"Fail")&gt;0,1,0))</f>
        <v/>
      </c>
      <c r="AA94" s="26">
        <f>IF(B94="","",IF(COUNTIF(H94:S94,"Fail")&gt;0,1,0))</f>
        <v/>
      </c>
      <c r="AB94" s="26">
        <f>IF(B94="","",IF(COUNTIF(T94:Y94,"Fail")&gt;0,1,0))</f>
        <v/>
      </c>
      <c r="AC94" s="27">
        <f>IF(B94="","",0.1*Z94+0.8*AA94+0.1*AB94)</f>
        <v/>
      </c>
      <c r="AD94" s="27">
        <f>IF(B94="","",IF(C94="Batch 1",0.3,0.2))</f>
        <v/>
      </c>
      <c r="AE94" s="19">
        <f>IF(B94="","",IF(AC94&lt;=AD94,"Đạt","Không đạt"))</f>
        <v/>
      </c>
      <c r="AF94" s="28" t="n"/>
    </row>
    <row r="95" ht="30" customHeight="1" s="36">
      <c r="A95" s="17" t="n">
        <v>93</v>
      </c>
      <c r="B95" s="18" t="n"/>
      <c r="C95" s="17" t="n"/>
      <c r="D95" s="17" t="n"/>
      <c r="E95" s="17" t="n"/>
      <c r="F95" s="26" t="n"/>
      <c r="G95" s="26" t="n"/>
      <c r="H95" s="26" t="n"/>
      <c r="I95" s="26" t="n"/>
      <c r="J95" s="26" t="n"/>
      <c r="K95" s="26" t="n"/>
      <c r="L95" s="26" t="n"/>
      <c r="M95" s="26" t="n"/>
      <c r="N95" s="26" t="n"/>
      <c r="O95" s="26" t="n"/>
      <c r="P95" s="26" t="n"/>
      <c r="Q95" s="26" t="n"/>
      <c r="R95" s="26" t="n"/>
      <c r="S95" s="26" t="n"/>
      <c r="T95" s="26" t="n"/>
      <c r="U95" s="26" t="n"/>
      <c r="V95" s="26" t="n"/>
      <c r="W95" s="26" t="n"/>
      <c r="X95" s="26" t="n"/>
      <c r="Y95" s="26" t="n"/>
      <c r="Z95" s="26">
        <f>IF(B95="","",IF(COUNTIF(F95:G95,"Fail")&gt;0,1,0))</f>
        <v/>
      </c>
      <c r="AA95" s="26">
        <f>IF(B95="","",IF(COUNTIF(H95:S95,"Fail")&gt;0,1,0))</f>
        <v/>
      </c>
      <c r="AB95" s="26">
        <f>IF(B95="","",IF(COUNTIF(T95:Y95,"Fail")&gt;0,1,0))</f>
        <v/>
      </c>
      <c r="AC95" s="27">
        <f>IF(B95="","",0.1*Z95+0.8*AA95+0.1*AB95)</f>
        <v/>
      </c>
      <c r="AD95" s="27">
        <f>IF(B95="","",IF(C95="Batch 1",0.3,0.2))</f>
        <v/>
      </c>
      <c r="AE95" s="19">
        <f>IF(B95="","",IF(AC95&lt;=AD95,"Đạt","Không đạt"))</f>
        <v/>
      </c>
      <c r="AF95" s="28" t="n"/>
    </row>
    <row r="96" ht="30" customHeight="1" s="36">
      <c r="A96" s="17" t="n">
        <v>94</v>
      </c>
      <c r="B96" s="18" t="n"/>
      <c r="C96" s="17" t="n"/>
      <c r="D96" s="17" t="n"/>
      <c r="E96" s="17" t="n"/>
      <c r="F96" s="26" t="n"/>
      <c r="G96" s="26" t="n"/>
      <c r="H96" s="26" t="n"/>
      <c r="I96" s="26" t="n"/>
      <c r="J96" s="26" t="n"/>
      <c r="K96" s="26" t="n"/>
      <c r="L96" s="26" t="n"/>
      <c r="M96" s="26" t="n"/>
      <c r="N96" s="26" t="n"/>
      <c r="O96" s="26" t="n"/>
      <c r="P96" s="26" t="n"/>
      <c r="Q96" s="26" t="n"/>
      <c r="R96" s="26" t="n"/>
      <c r="S96" s="26" t="n"/>
      <c r="T96" s="26" t="n"/>
      <c r="U96" s="26" t="n"/>
      <c r="V96" s="26" t="n"/>
      <c r="W96" s="26" t="n"/>
      <c r="X96" s="26" t="n"/>
      <c r="Y96" s="26" t="n"/>
      <c r="Z96" s="26">
        <f>IF(B96="","",IF(COUNTIF(F96:G96,"Fail")&gt;0,1,0))</f>
        <v/>
      </c>
      <c r="AA96" s="26">
        <f>IF(B96="","",IF(COUNTIF(H96:S96,"Fail")&gt;0,1,0))</f>
        <v/>
      </c>
      <c r="AB96" s="26">
        <f>IF(B96="","",IF(COUNTIF(T96:Y96,"Fail")&gt;0,1,0))</f>
        <v/>
      </c>
      <c r="AC96" s="27">
        <f>IF(B96="","",0.1*Z96+0.8*AA96+0.1*AB96)</f>
        <v/>
      </c>
      <c r="AD96" s="27">
        <f>IF(B96="","",IF(C96="Batch 1",0.3,0.2))</f>
        <v/>
      </c>
      <c r="AE96" s="19">
        <f>IF(B96="","",IF(AC96&lt;=AD96,"Đạt","Không đạt"))</f>
        <v/>
      </c>
      <c r="AF96" s="28" t="n"/>
    </row>
    <row r="97" ht="30" customHeight="1" s="36">
      <c r="A97" s="17" t="n">
        <v>95</v>
      </c>
      <c r="B97" s="18" t="n"/>
      <c r="C97" s="17" t="n"/>
      <c r="D97" s="17" t="n"/>
      <c r="E97" s="17" t="n"/>
      <c r="F97" s="26" t="n"/>
      <c r="G97" s="26" t="n"/>
      <c r="H97" s="26" t="n"/>
      <c r="I97" s="26" t="n"/>
      <c r="J97" s="26" t="n"/>
      <c r="K97" s="26" t="n"/>
      <c r="L97" s="26" t="n"/>
      <c r="M97" s="26" t="n"/>
      <c r="N97" s="26" t="n"/>
      <c r="O97" s="26" t="n"/>
      <c r="P97" s="26" t="n"/>
      <c r="Q97" s="26" t="n"/>
      <c r="R97" s="26" t="n"/>
      <c r="S97" s="26" t="n"/>
      <c r="T97" s="26" t="n"/>
      <c r="U97" s="26" t="n"/>
      <c r="V97" s="26" t="n"/>
      <c r="W97" s="26" t="n"/>
      <c r="X97" s="26" t="n"/>
      <c r="Y97" s="26" t="n"/>
      <c r="Z97" s="26">
        <f>IF(B97="","",IF(COUNTIF(F97:G97,"Fail")&gt;0,1,0))</f>
        <v/>
      </c>
      <c r="AA97" s="26">
        <f>IF(B97="","",IF(COUNTIF(H97:S97,"Fail")&gt;0,1,0))</f>
        <v/>
      </c>
      <c r="AB97" s="26">
        <f>IF(B97="","",IF(COUNTIF(T97:Y97,"Fail")&gt;0,1,0))</f>
        <v/>
      </c>
      <c r="AC97" s="27">
        <f>IF(B97="","",0.1*Z97+0.8*AA97+0.1*AB97)</f>
        <v/>
      </c>
      <c r="AD97" s="27">
        <f>IF(B97="","",IF(C97="Batch 1",0.3,0.2))</f>
        <v/>
      </c>
      <c r="AE97" s="19">
        <f>IF(B97="","",IF(AC97&lt;=AD97,"Đạt","Không đạt"))</f>
        <v/>
      </c>
      <c r="AF97" s="28" t="n"/>
    </row>
    <row r="98" ht="30" customHeight="1" s="36">
      <c r="A98" s="17" t="n">
        <v>96</v>
      </c>
      <c r="B98" s="18" t="n"/>
      <c r="C98" s="17" t="n"/>
      <c r="D98" s="17" t="n"/>
      <c r="E98" s="17" t="n"/>
      <c r="F98" s="26" t="n"/>
      <c r="G98" s="26" t="n"/>
      <c r="H98" s="26" t="n"/>
      <c r="I98" s="26" t="n"/>
      <c r="J98" s="26" t="n"/>
      <c r="K98" s="26" t="n"/>
      <c r="L98" s="26" t="n"/>
      <c r="M98" s="26" t="n"/>
      <c r="N98" s="26" t="n"/>
      <c r="O98" s="26" t="n"/>
      <c r="P98" s="26" t="n"/>
      <c r="Q98" s="26" t="n"/>
      <c r="R98" s="26" t="n"/>
      <c r="S98" s="26" t="n"/>
      <c r="T98" s="26" t="n"/>
      <c r="U98" s="26" t="n"/>
      <c r="V98" s="26" t="n"/>
      <c r="W98" s="26" t="n"/>
      <c r="X98" s="26" t="n"/>
      <c r="Y98" s="26" t="n"/>
      <c r="Z98" s="26">
        <f>IF(B98="","",IF(COUNTIF(F98:G98,"Fail")&gt;0,1,0))</f>
        <v/>
      </c>
      <c r="AA98" s="26">
        <f>IF(B98="","",IF(COUNTIF(H98:S98,"Fail")&gt;0,1,0))</f>
        <v/>
      </c>
      <c r="AB98" s="26">
        <f>IF(B98="","",IF(COUNTIF(T98:Y98,"Fail")&gt;0,1,0))</f>
        <v/>
      </c>
      <c r="AC98" s="27">
        <f>IF(B98="","",0.1*Z98+0.8*AA98+0.1*AB98)</f>
        <v/>
      </c>
      <c r="AD98" s="27">
        <f>IF(B98="","",IF(C98="Batch 1",0.3,0.2))</f>
        <v/>
      </c>
      <c r="AE98" s="19">
        <f>IF(B98="","",IF(AC98&lt;=AD98,"Đạt","Không đạt"))</f>
        <v/>
      </c>
      <c r="AF98" s="28" t="n"/>
    </row>
    <row r="99" ht="30" customHeight="1" s="36">
      <c r="A99" s="17" t="n">
        <v>97</v>
      </c>
      <c r="B99" s="18" t="n"/>
      <c r="C99" s="17" t="n"/>
      <c r="D99" s="17" t="n"/>
      <c r="E99" s="17" t="n"/>
      <c r="F99" s="26" t="n"/>
      <c r="G99" s="26" t="n"/>
      <c r="H99" s="26" t="n"/>
      <c r="I99" s="26" t="n"/>
      <c r="J99" s="26" t="n"/>
      <c r="K99" s="26" t="n"/>
      <c r="L99" s="26" t="n"/>
      <c r="M99" s="26" t="n"/>
      <c r="N99" s="26" t="n"/>
      <c r="O99" s="26" t="n"/>
      <c r="P99" s="26" t="n"/>
      <c r="Q99" s="26" t="n"/>
      <c r="R99" s="26" t="n"/>
      <c r="S99" s="26" t="n"/>
      <c r="T99" s="26" t="n"/>
      <c r="U99" s="26" t="n"/>
      <c r="V99" s="26" t="n"/>
      <c r="W99" s="26" t="n"/>
      <c r="X99" s="26" t="n"/>
      <c r="Y99" s="26" t="n"/>
      <c r="Z99" s="26">
        <f>IF(B99="","",IF(COUNTIF(F99:G99,"Fail")&gt;0,1,0))</f>
        <v/>
      </c>
      <c r="AA99" s="26">
        <f>IF(B99="","",IF(COUNTIF(H99:S99,"Fail")&gt;0,1,0))</f>
        <v/>
      </c>
      <c r="AB99" s="26">
        <f>IF(B99="","",IF(COUNTIF(T99:Y99,"Fail")&gt;0,1,0))</f>
        <v/>
      </c>
      <c r="AC99" s="27">
        <f>IF(B99="","",0.1*Z99+0.8*AA99+0.1*AB99)</f>
        <v/>
      </c>
      <c r="AD99" s="27">
        <f>IF(B99="","",IF(C99="Batch 1",0.3,0.2))</f>
        <v/>
      </c>
      <c r="AE99" s="19">
        <f>IF(B99="","",IF(AC99&lt;=AD99,"Đạt","Không đạt"))</f>
        <v/>
      </c>
      <c r="AF99" s="28" t="n"/>
    </row>
    <row r="100" ht="30" customHeight="1" s="36">
      <c r="A100" s="17" t="n">
        <v>98</v>
      </c>
      <c r="B100" s="18" t="n"/>
      <c r="C100" s="17" t="n"/>
      <c r="D100" s="17" t="n"/>
      <c r="E100" s="17" t="n"/>
      <c r="F100" s="26" t="n"/>
      <c r="G100" s="26" t="n"/>
      <c r="H100" s="26" t="n"/>
      <c r="I100" s="26" t="n"/>
      <c r="J100" s="26" t="n"/>
      <c r="K100" s="26" t="n"/>
      <c r="L100" s="26" t="n"/>
      <c r="M100" s="26" t="n"/>
      <c r="N100" s="26" t="n"/>
      <c r="O100" s="26" t="n"/>
      <c r="P100" s="26" t="n"/>
      <c r="Q100" s="26" t="n"/>
      <c r="R100" s="26" t="n"/>
      <c r="S100" s="26" t="n"/>
      <c r="T100" s="26" t="n"/>
      <c r="U100" s="26" t="n"/>
      <c r="V100" s="26" t="n"/>
      <c r="W100" s="26" t="n"/>
      <c r="X100" s="26" t="n"/>
      <c r="Y100" s="26" t="n"/>
      <c r="Z100" s="26">
        <f>IF(B100="","",IF(COUNTIF(F100:G100,"Fail")&gt;0,1,0))</f>
        <v/>
      </c>
      <c r="AA100" s="26">
        <f>IF(B100="","",IF(COUNTIF(H100:S100,"Fail")&gt;0,1,0))</f>
        <v/>
      </c>
      <c r="AB100" s="26">
        <f>IF(B100="","",IF(COUNTIF(T100:Y100,"Fail")&gt;0,1,0))</f>
        <v/>
      </c>
      <c r="AC100" s="27">
        <f>IF(B100="","",0.1*Z100+0.8*AA100+0.1*AB100)</f>
        <v/>
      </c>
      <c r="AD100" s="27">
        <f>IF(B100="","",IF(C100="Batch 1",0.3,0.2))</f>
        <v/>
      </c>
      <c r="AE100" s="19">
        <f>IF(B100="","",IF(AC100&lt;=AD100,"Đạt","Không đạt"))</f>
        <v/>
      </c>
      <c r="AF100" s="28" t="n"/>
    </row>
    <row r="101" ht="30" customHeight="1" s="36">
      <c r="A101" s="17" t="n">
        <v>99</v>
      </c>
      <c r="B101" s="18" t="n"/>
      <c r="C101" s="17" t="n"/>
      <c r="D101" s="17" t="n"/>
      <c r="E101" s="17" t="n"/>
      <c r="F101" s="26" t="n"/>
      <c r="G101" s="26" t="n"/>
      <c r="H101" s="26" t="n"/>
      <c r="I101" s="26" t="n"/>
      <c r="J101" s="26" t="n"/>
      <c r="K101" s="26" t="n"/>
      <c r="L101" s="26" t="n"/>
      <c r="M101" s="26" t="n"/>
      <c r="N101" s="26" t="n"/>
      <c r="O101" s="26" t="n"/>
      <c r="P101" s="26" t="n"/>
      <c r="Q101" s="26" t="n"/>
      <c r="R101" s="26" t="n"/>
      <c r="S101" s="26" t="n"/>
      <c r="T101" s="26" t="n"/>
      <c r="U101" s="26" t="n"/>
      <c r="V101" s="26" t="n"/>
      <c r="W101" s="26" t="n"/>
      <c r="X101" s="26" t="n"/>
      <c r="Y101" s="26" t="n"/>
      <c r="Z101" s="26">
        <f>IF(B101="","",IF(COUNTIF(F101:G101,"Fail")&gt;0,1,0))</f>
        <v/>
      </c>
      <c r="AA101" s="26">
        <f>IF(B101="","",IF(COUNTIF(H101:S101,"Fail")&gt;0,1,0))</f>
        <v/>
      </c>
      <c r="AB101" s="26">
        <f>IF(B101="","",IF(COUNTIF(T101:Y101,"Fail")&gt;0,1,0))</f>
        <v/>
      </c>
      <c r="AC101" s="27">
        <f>IF(B101="","",0.1*Z101+0.8*AA101+0.1*AB101)</f>
        <v/>
      </c>
      <c r="AD101" s="27">
        <f>IF(B101="","",IF(C101="Batch 1",0.3,0.2))</f>
        <v/>
      </c>
      <c r="AE101" s="19">
        <f>IF(B101="","",IF(AC101&lt;=AD101,"Đạt","Không đạt"))</f>
        <v/>
      </c>
      <c r="AF101" s="28" t="n"/>
    </row>
    <row r="102" ht="30" customHeight="1" s="36">
      <c r="A102" s="17" t="n">
        <v>100</v>
      </c>
      <c r="B102" s="18" t="n"/>
      <c r="C102" s="17" t="n"/>
      <c r="D102" s="17" t="n"/>
      <c r="E102" s="17" t="n"/>
      <c r="F102" s="26" t="n"/>
      <c r="G102" s="26" t="n"/>
      <c r="H102" s="26" t="n"/>
      <c r="I102" s="26" t="n"/>
      <c r="J102" s="26" t="n"/>
      <c r="K102" s="26" t="n"/>
      <c r="L102" s="26" t="n"/>
      <c r="M102" s="26" t="n"/>
      <c r="N102" s="26" t="n"/>
      <c r="O102" s="26" t="n"/>
      <c r="P102" s="26" t="n"/>
      <c r="Q102" s="26" t="n"/>
      <c r="R102" s="26" t="n"/>
      <c r="S102" s="26" t="n"/>
      <c r="T102" s="26" t="n"/>
      <c r="U102" s="26" t="n"/>
      <c r="V102" s="26" t="n"/>
      <c r="W102" s="26" t="n"/>
      <c r="X102" s="26" t="n"/>
      <c r="Y102" s="26" t="n"/>
      <c r="Z102" s="26">
        <f>IF(B102="","",IF(COUNTIF(F102:G102,"Fail")&gt;0,1,0))</f>
        <v/>
      </c>
      <c r="AA102" s="26">
        <f>IF(B102="","",IF(COUNTIF(H102:S102,"Fail")&gt;0,1,0))</f>
        <v/>
      </c>
      <c r="AB102" s="26">
        <f>IF(B102="","",IF(COUNTIF(T102:Y102,"Fail")&gt;0,1,0))</f>
        <v/>
      </c>
      <c r="AC102" s="27">
        <f>IF(B102="","",0.1*Z102+0.8*AA102+0.1*AB102)</f>
        <v/>
      </c>
      <c r="AD102" s="27">
        <f>IF(B102="","",IF(C102="Batch 1",0.3,0.2))</f>
        <v/>
      </c>
      <c r="AE102" s="19">
        <f>IF(B102="","",IF(AC102&lt;=AD102,"Đạt","Không đạt"))</f>
        <v/>
      </c>
      <c r="AF102" s="28" t="n"/>
    </row>
    <row r="103" ht="30" customHeight="1" s="36">
      <c r="A103" s="17" t="n">
        <v>101</v>
      </c>
      <c r="B103" s="18" t="n"/>
      <c r="C103" s="17" t="n"/>
      <c r="D103" s="17" t="n"/>
      <c r="E103" s="17" t="n"/>
      <c r="F103" s="26" t="n"/>
      <c r="G103" s="26" t="n"/>
      <c r="H103" s="26" t="n"/>
      <c r="I103" s="26" t="n"/>
      <c r="J103" s="26" t="n"/>
      <c r="K103" s="26" t="n"/>
      <c r="L103" s="26" t="n"/>
      <c r="M103" s="26" t="n"/>
      <c r="N103" s="26" t="n"/>
      <c r="O103" s="26" t="n"/>
      <c r="P103" s="26" t="n"/>
      <c r="Q103" s="26" t="n"/>
      <c r="R103" s="26" t="n"/>
      <c r="S103" s="26" t="n"/>
      <c r="T103" s="26" t="n"/>
      <c r="U103" s="26" t="n"/>
      <c r="V103" s="26" t="n"/>
      <c r="W103" s="26" t="n"/>
      <c r="X103" s="26" t="n"/>
      <c r="Y103" s="26" t="n"/>
      <c r="Z103" s="26">
        <f>IF(B103="","",IF(COUNTIF(F103:G103,"Fail")&gt;0,1,0))</f>
        <v/>
      </c>
      <c r="AA103" s="26">
        <f>IF(B103="","",IF(COUNTIF(H103:S103,"Fail")&gt;0,1,0))</f>
        <v/>
      </c>
      <c r="AB103" s="26">
        <f>IF(B103="","",IF(COUNTIF(T103:Y103,"Fail")&gt;0,1,0))</f>
        <v/>
      </c>
      <c r="AC103" s="27">
        <f>IF(B103="","",0.1*Z103+0.8*AA103+0.1*AB103)</f>
        <v/>
      </c>
      <c r="AD103" s="27">
        <f>IF(B103="","",IF(C103="Batch 1",0.3,0.2))</f>
        <v/>
      </c>
      <c r="AE103" s="19">
        <f>IF(B103="","",IF(AC103&lt;=AD103,"Đạt","Không đạt"))</f>
        <v/>
      </c>
      <c r="AF103" s="28" t="n"/>
    </row>
    <row r="104" ht="30" customHeight="1" s="36">
      <c r="A104" s="17" t="n">
        <v>102</v>
      </c>
      <c r="B104" s="18" t="n"/>
      <c r="C104" s="17" t="n"/>
      <c r="D104" s="17" t="n"/>
      <c r="E104" s="17" t="n"/>
      <c r="F104" s="26" t="n"/>
      <c r="G104" s="26" t="n"/>
      <c r="H104" s="26" t="n"/>
      <c r="I104" s="26" t="n"/>
      <c r="J104" s="26" t="n"/>
      <c r="K104" s="26" t="n"/>
      <c r="L104" s="26" t="n"/>
      <c r="M104" s="26" t="n"/>
      <c r="N104" s="26" t="n"/>
      <c r="O104" s="26" t="n"/>
      <c r="P104" s="26" t="n"/>
      <c r="Q104" s="26" t="n"/>
      <c r="R104" s="26" t="n"/>
      <c r="S104" s="26" t="n"/>
      <c r="T104" s="26" t="n"/>
      <c r="U104" s="26" t="n"/>
      <c r="V104" s="26" t="n"/>
      <c r="W104" s="26" t="n"/>
      <c r="X104" s="26" t="n"/>
      <c r="Y104" s="26" t="n"/>
      <c r="Z104" s="26">
        <f>IF(B104="","",IF(COUNTIF(F104:G104,"Fail")&gt;0,1,0))</f>
        <v/>
      </c>
      <c r="AA104" s="26">
        <f>IF(B104="","",IF(COUNTIF(H104:S104,"Fail")&gt;0,1,0))</f>
        <v/>
      </c>
      <c r="AB104" s="26">
        <f>IF(B104="","",IF(COUNTIF(T104:Y104,"Fail")&gt;0,1,0))</f>
        <v/>
      </c>
      <c r="AC104" s="27">
        <f>IF(B104="","",0.1*Z104+0.8*AA104+0.1*AB104)</f>
        <v/>
      </c>
      <c r="AD104" s="27">
        <f>IF(B104="","",IF(C104="Batch 1",0.3,0.2))</f>
        <v/>
      </c>
      <c r="AE104" s="19">
        <f>IF(B104="","",IF(AC104&lt;=AD104,"Đạt","Không đạt"))</f>
        <v/>
      </c>
      <c r="AF104" s="28" t="n"/>
    </row>
    <row r="105" ht="30" customHeight="1" s="36">
      <c r="A105" s="17" t="n">
        <v>103</v>
      </c>
      <c r="B105" s="18" t="n"/>
      <c r="C105" s="17" t="n"/>
      <c r="D105" s="17" t="n"/>
      <c r="E105" s="17" t="n"/>
      <c r="F105" s="26" t="n"/>
      <c r="G105" s="26" t="n"/>
      <c r="H105" s="26" t="n"/>
      <c r="I105" s="26" t="n"/>
      <c r="J105" s="26" t="n"/>
      <c r="K105" s="26" t="n"/>
      <c r="L105" s="26" t="n"/>
      <c r="M105" s="26" t="n"/>
      <c r="N105" s="26" t="n"/>
      <c r="O105" s="26" t="n"/>
      <c r="P105" s="26" t="n"/>
      <c r="Q105" s="26" t="n"/>
      <c r="R105" s="26" t="n"/>
      <c r="S105" s="26" t="n"/>
      <c r="T105" s="26" t="n"/>
      <c r="U105" s="26" t="n"/>
      <c r="V105" s="26" t="n"/>
      <c r="W105" s="26" t="n"/>
      <c r="X105" s="26" t="n"/>
      <c r="Y105" s="26" t="n"/>
      <c r="Z105" s="26">
        <f>IF(B105="","",IF(COUNTIF(F105:G105,"Fail")&gt;0,1,0))</f>
        <v/>
      </c>
      <c r="AA105" s="26">
        <f>IF(B105="","",IF(COUNTIF(H105:S105,"Fail")&gt;0,1,0))</f>
        <v/>
      </c>
      <c r="AB105" s="26">
        <f>IF(B105="","",IF(COUNTIF(T105:Y105,"Fail")&gt;0,1,0))</f>
        <v/>
      </c>
      <c r="AC105" s="27">
        <f>IF(B105="","",0.1*Z105+0.8*AA105+0.1*AB105)</f>
        <v/>
      </c>
      <c r="AD105" s="27">
        <f>IF(B105="","",IF(C105="Batch 1",0.3,0.2))</f>
        <v/>
      </c>
      <c r="AE105" s="19">
        <f>IF(B105="","",IF(AC105&lt;=AD105,"Đạt","Không đạt"))</f>
        <v/>
      </c>
      <c r="AF105" s="28" t="n"/>
    </row>
    <row r="106" ht="30" customHeight="1" s="36">
      <c r="A106" s="17" t="n">
        <v>104</v>
      </c>
      <c r="B106" s="18" t="n"/>
      <c r="C106" s="17" t="n"/>
      <c r="D106" s="17" t="n"/>
      <c r="E106" s="17" t="n"/>
      <c r="F106" s="26" t="n"/>
      <c r="G106" s="26" t="n"/>
      <c r="H106" s="26" t="n"/>
      <c r="I106" s="26" t="n"/>
      <c r="J106" s="26" t="n"/>
      <c r="K106" s="26" t="n"/>
      <c r="L106" s="26" t="n"/>
      <c r="M106" s="26" t="n"/>
      <c r="N106" s="26" t="n"/>
      <c r="O106" s="26" t="n"/>
      <c r="P106" s="26" t="n"/>
      <c r="Q106" s="26" t="n"/>
      <c r="R106" s="26" t="n"/>
      <c r="S106" s="26" t="n"/>
      <c r="T106" s="26" t="n"/>
      <c r="U106" s="26" t="n"/>
      <c r="V106" s="26" t="n"/>
      <c r="W106" s="26" t="n"/>
      <c r="X106" s="26" t="n"/>
      <c r="Y106" s="26" t="n"/>
      <c r="Z106" s="26">
        <f>IF(B106="","",IF(COUNTIF(F106:G106,"Fail")&gt;0,1,0))</f>
        <v/>
      </c>
      <c r="AA106" s="26">
        <f>IF(B106="","",IF(COUNTIF(H106:S106,"Fail")&gt;0,1,0))</f>
        <v/>
      </c>
      <c r="AB106" s="26">
        <f>IF(B106="","",IF(COUNTIF(T106:Y106,"Fail")&gt;0,1,0))</f>
        <v/>
      </c>
      <c r="AC106" s="27">
        <f>IF(B106="","",0.1*Z106+0.8*AA106+0.1*AB106)</f>
        <v/>
      </c>
      <c r="AD106" s="27">
        <f>IF(B106="","",IF(C106="Batch 1",0.3,0.2))</f>
        <v/>
      </c>
      <c r="AE106" s="19">
        <f>IF(B106="","",IF(AC106&lt;=AD106,"Đạt","Không đạt"))</f>
        <v/>
      </c>
      <c r="AF106" s="28" t="n"/>
    </row>
    <row r="107" ht="30" customHeight="1" s="36">
      <c r="A107" s="17" t="n">
        <v>105</v>
      </c>
      <c r="B107" s="18" t="n"/>
      <c r="C107" s="17" t="n"/>
      <c r="D107" s="17" t="n"/>
      <c r="E107" s="17" t="n"/>
      <c r="F107" s="26" t="n"/>
      <c r="G107" s="26" t="n"/>
      <c r="H107" s="26" t="n"/>
      <c r="I107" s="26" t="n"/>
      <c r="J107" s="26" t="n"/>
      <c r="K107" s="26" t="n"/>
      <c r="L107" s="26" t="n"/>
      <c r="M107" s="26" t="n"/>
      <c r="N107" s="26" t="n"/>
      <c r="O107" s="26" t="n"/>
      <c r="P107" s="26" t="n"/>
      <c r="Q107" s="26" t="n"/>
      <c r="R107" s="26" t="n"/>
      <c r="S107" s="26" t="n"/>
      <c r="T107" s="26" t="n"/>
      <c r="U107" s="26" t="n"/>
      <c r="V107" s="26" t="n"/>
      <c r="W107" s="26" t="n"/>
      <c r="X107" s="26" t="n"/>
      <c r="Y107" s="26" t="n"/>
      <c r="Z107" s="26">
        <f>IF(B107="","",IF(COUNTIF(F107:G107,"Fail")&gt;0,1,0))</f>
        <v/>
      </c>
      <c r="AA107" s="26">
        <f>IF(B107="","",IF(COUNTIF(H107:S107,"Fail")&gt;0,1,0))</f>
        <v/>
      </c>
      <c r="AB107" s="26">
        <f>IF(B107="","",IF(COUNTIF(T107:Y107,"Fail")&gt;0,1,0))</f>
        <v/>
      </c>
      <c r="AC107" s="27">
        <f>IF(B107="","",0.1*Z107+0.8*AA107+0.1*AB107)</f>
        <v/>
      </c>
      <c r="AD107" s="27">
        <f>IF(B107="","",IF(C107="Batch 1",0.3,0.2))</f>
        <v/>
      </c>
      <c r="AE107" s="19">
        <f>IF(B107="","",IF(AC107&lt;=AD107,"Đạt","Không đạt"))</f>
        <v/>
      </c>
      <c r="AF107" s="28" t="n"/>
    </row>
    <row r="108" ht="30" customHeight="1" s="36">
      <c r="A108" s="17" t="n">
        <v>106</v>
      </c>
      <c r="B108" s="18" t="n"/>
      <c r="C108" s="17" t="n"/>
      <c r="D108" s="17" t="n"/>
      <c r="E108" s="17" t="n"/>
      <c r="F108" s="26" t="n"/>
      <c r="G108" s="26" t="n"/>
      <c r="H108" s="26" t="n"/>
      <c r="I108" s="26" t="n"/>
      <c r="J108" s="26" t="n"/>
      <c r="K108" s="26" t="n"/>
      <c r="L108" s="26" t="n"/>
      <c r="M108" s="26" t="n"/>
      <c r="N108" s="26" t="n"/>
      <c r="O108" s="26" t="n"/>
      <c r="P108" s="26" t="n"/>
      <c r="Q108" s="26" t="n"/>
      <c r="R108" s="26" t="n"/>
      <c r="S108" s="26" t="n"/>
      <c r="T108" s="26" t="n"/>
      <c r="U108" s="26" t="n"/>
      <c r="V108" s="26" t="n"/>
      <c r="W108" s="26" t="n"/>
      <c r="X108" s="26" t="n"/>
      <c r="Y108" s="26" t="n"/>
      <c r="Z108" s="26">
        <f>IF(B108="","",IF(COUNTIF(F108:G108,"Fail")&gt;0,1,0))</f>
        <v/>
      </c>
      <c r="AA108" s="26">
        <f>IF(B108="","",IF(COUNTIF(H108:S108,"Fail")&gt;0,1,0))</f>
        <v/>
      </c>
      <c r="AB108" s="26">
        <f>IF(B108="","",IF(COUNTIF(T108:Y108,"Fail")&gt;0,1,0))</f>
        <v/>
      </c>
      <c r="AC108" s="27">
        <f>IF(B108="","",0.1*Z108+0.8*AA108+0.1*AB108)</f>
        <v/>
      </c>
      <c r="AD108" s="27">
        <f>IF(B108="","",IF(C108="Batch 1",0.3,0.2))</f>
        <v/>
      </c>
      <c r="AE108" s="19">
        <f>IF(B108="","",IF(AC108&lt;=AD108,"Đạt","Không đạt"))</f>
        <v/>
      </c>
      <c r="AF108" s="28" t="n"/>
    </row>
    <row r="109" ht="30" customHeight="1" s="36">
      <c r="A109" s="17" t="n">
        <v>107</v>
      </c>
      <c r="B109" s="18" t="n"/>
      <c r="C109" s="17" t="n"/>
      <c r="D109" s="17" t="n"/>
      <c r="E109" s="17" t="n"/>
      <c r="F109" s="26" t="n"/>
      <c r="G109" s="26" t="n"/>
      <c r="H109" s="26" t="n"/>
      <c r="I109" s="26" t="n"/>
      <c r="J109" s="26" t="n"/>
      <c r="K109" s="26" t="n"/>
      <c r="L109" s="26" t="n"/>
      <c r="M109" s="26" t="n"/>
      <c r="N109" s="26" t="n"/>
      <c r="O109" s="26" t="n"/>
      <c r="P109" s="26" t="n"/>
      <c r="Q109" s="26" t="n"/>
      <c r="R109" s="26" t="n"/>
      <c r="S109" s="26" t="n"/>
      <c r="T109" s="26" t="n"/>
      <c r="U109" s="26" t="n"/>
      <c r="V109" s="26" t="n"/>
      <c r="W109" s="26" t="n"/>
      <c r="X109" s="26" t="n"/>
      <c r="Y109" s="26" t="n"/>
      <c r="Z109" s="26">
        <f>IF(B109="","",IF(COUNTIF(F109:G109,"Fail")&gt;0,1,0))</f>
        <v/>
      </c>
      <c r="AA109" s="26">
        <f>IF(B109="","",IF(COUNTIF(H109:S109,"Fail")&gt;0,1,0))</f>
        <v/>
      </c>
      <c r="AB109" s="26">
        <f>IF(B109="","",IF(COUNTIF(T109:Y109,"Fail")&gt;0,1,0))</f>
        <v/>
      </c>
      <c r="AC109" s="27">
        <f>IF(B109="","",0.1*Z109+0.8*AA109+0.1*AB109)</f>
        <v/>
      </c>
      <c r="AD109" s="27">
        <f>IF(B109="","",IF(C109="Batch 1",0.3,0.2))</f>
        <v/>
      </c>
      <c r="AE109" s="19">
        <f>IF(B109="","",IF(AC109&lt;=AD109,"Đạt","Không đạt"))</f>
        <v/>
      </c>
      <c r="AF109" s="28" t="n"/>
    </row>
    <row r="110" ht="30" customHeight="1" s="36">
      <c r="A110" s="17" t="n">
        <v>108</v>
      </c>
      <c r="B110" s="18" t="n"/>
      <c r="C110" s="17" t="n"/>
      <c r="D110" s="17" t="n"/>
      <c r="E110" s="17" t="n"/>
      <c r="F110" s="26" t="n"/>
      <c r="G110" s="26" t="n"/>
      <c r="H110" s="26" t="n"/>
      <c r="I110" s="26" t="n"/>
      <c r="J110" s="26" t="n"/>
      <c r="K110" s="26" t="n"/>
      <c r="L110" s="26" t="n"/>
      <c r="M110" s="26" t="n"/>
      <c r="N110" s="26" t="n"/>
      <c r="O110" s="26" t="n"/>
      <c r="P110" s="26" t="n"/>
      <c r="Q110" s="26" t="n"/>
      <c r="R110" s="26" t="n"/>
      <c r="S110" s="26" t="n"/>
      <c r="T110" s="26" t="n"/>
      <c r="U110" s="26" t="n"/>
      <c r="V110" s="26" t="n"/>
      <c r="W110" s="26" t="n"/>
      <c r="X110" s="26" t="n"/>
      <c r="Y110" s="26" t="n"/>
      <c r="Z110" s="26">
        <f>IF(B110="","",IF(COUNTIF(F110:G110,"Fail")&gt;0,1,0))</f>
        <v/>
      </c>
      <c r="AA110" s="26">
        <f>IF(B110="","",IF(COUNTIF(H110:S110,"Fail")&gt;0,1,0))</f>
        <v/>
      </c>
      <c r="AB110" s="26">
        <f>IF(B110="","",IF(COUNTIF(T110:Y110,"Fail")&gt;0,1,0))</f>
        <v/>
      </c>
      <c r="AC110" s="27">
        <f>IF(B110="","",0.1*Z110+0.8*AA110+0.1*AB110)</f>
        <v/>
      </c>
      <c r="AD110" s="27">
        <f>IF(B110="","",IF(C110="Batch 1",0.3,0.2))</f>
        <v/>
      </c>
      <c r="AE110" s="19">
        <f>IF(B110="","",IF(AC110&lt;=AD110,"Đạt","Không đạt"))</f>
        <v/>
      </c>
      <c r="AF110" s="28" t="n"/>
    </row>
    <row r="111" ht="30" customHeight="1" s="36">
      <c r="A111" s="17" t="n">
        <v>109</v>
      </c>
      <c r="B111" s="18" t="n"/>
      <c r="C111" s="17" t="n"/>
      <c r="D111" s="17" t="n"/>
      <c r="E111" s="17" t="n"/>
      <c r="F111" s="26" t="n"/>
      <c r="G111" s="26" t="n"/>
      <c r="H111" s="26" t="n"/>
      <c r="I111" s="26" t="n"/>
      <c r="J111" s="26" t="n"/>
      <c r="K111" s="26" t="n"/>
      <c r="L111" s="26" t="n"/>
      <c r="M111" s="26" t="n"/>
      <c r="N111" s="26" t="n"/>
      <c r="O111" s="26" t="n"/>
      <c r="P111" s="26" t="n"/>
      <c r="Q111" s="26" t="n"/>
      <c r="R111" s="26" t="n"/>
      <c r="S111" s="26" t="n"/>
      <c r="T111" s="26" t="n"/>
      <c r="U111" s="26" t="n"/>
      <c r="V111" s="26" t="n"/>
      <c r="W111" s="26" t="n"/>
      <c r="X111" s="26" t="n"/>
      <c r="Y111" s="26" t="n"/>
      <c r="Z111" s="26">
        <f>IF(B111="","",IF(COUNTIF(F111:G111,"Fail")&gt;0,1,0))</f>
        <v/>
      </c>
      <c r="AA111" s="26">
        <f>IF(B111="","",IF(COUNTIF(H111:S111,"Fail")&gt;0,1,0))</f>
        <v/>
      </c>
      <c r="AB111" s="26">
        <f>IF(B111="","",IF(COUNTIF(T111:Y111,"Fail")&gt;0,1,0))</f>
        <v/>
      </c>
      <c r="AC111" s="27">
        <f>IF(B111="","",0.1*Z111+0.8*AA111+0.1*AB111)</f>
        <v/>
      </c>
      <c r="AD111" s="27">
        <f>IF(B111="","",IF(C111="Batch 1",0.3,0.2))</f>
        <v/>
      </c>
      <c r="AE111" s="19">
        <f>IF(B111="","",IF(AC111&lt;=AD111,"Đạt","Không đạt"))</f>
        <v/>
      </c>
      <c r="AF111" s="28" t="n"/>
    </row>
    <row r="112" ht="30" customHeight="1" s="36">
      <c r="A112" s="17" t="n">
        <v>110</v>
      </c>
      <c r="B112" s="18" t="n"/>
      <c r="C112" s="17" t="n"/>
      <c r="D112" s="17" t="n"/>
      <c r="E112" s="17" t="n"/>
      <c r="F112" s="26" t="n"/>
      <c r="G112" s="26" t="n"/>
      <c r="H112" s="26" t="n"/>
      <c r="I112" s="26" t="n"/>
      <c r="J112" s="26" t="n"/>
      <c r="K112" s="26" t="n"/>
      <c r="L112" s="26" t="n"/>
      <c r="M112" s="26" t="n"/>
      <c r="N112" s="26" t="n"/>
      <c r="O112" s="26" t="n"/>
      <c r="P112" s="26" t="n"/>
      <c r="Q112" s="26" t="n"/>
      <c r="R112" s="26" t="n"/>
      <c r="S112" s="26" t="n"/>
      <c r="T112" s="26" t="n"/>
      <c r="U112" s="26" t="n"/>
      <c r="V112" s="26" t="n"/>
      <c r="W112" s="26" t="n"/>
      <c r="X112" s="26" t="n"/>
      <c r="Y112" s="26" t="n"/>
      <c r="Z112" s="26">
        <f>IF(B112="","",IF(COUNTIF(F112:G112,"Fail")&gt;0,1,0))</f>
        <v/>
      </c>
      <c r="AA112" s="26">
        <f>IF(B112="","",IF(COUNTIF(H112:S112,"Fail")&gt;0,1,0))</f>
        <v/>
      </c>
      <c r="AB112" s="26">
        <f>IF(B112="","",IF(COUNTIF(T112:Y112,"Fail")&gt;0,1,0))</f>
        <v/>
      </c>
      <c r="AC112" s="27">
        <f>IF(B112="","",0.1*Z112+0.8*AA112+0.1*AB112)</f>
        <v/>
      </c>
      <c r="AD112" s="27">
        <f>IF(B112="","",IF(C112="Batch 1",0.3,0.2))</f>
        <v/>
      </c>
      <c r="AE112" s="19">
        <f>IF(B112="","",IF(AC112&lt;=AD112,"Đạt","Không đạt"))</f>
        <v/>
      </c>
      <c r="AF112" s="28" t="n"/>
    </row>
    <row r="113" ht="30" customHeight="1" s="36">
      <c r="A113" s="17" t="n">
        <v>111</v>
      </c>
      <c r="B113" s="18" t="n"/>
      <c r="C113" s="17" t="n"/>
      <c r="D113" s="17" t="n"/>
      <c r="E113" s="17" t="n"/>
      <c r="F113" s="26" t="n"/>
      <c r="G113" s="26" t="n"/>
      <c r="H113" s="26" t="n"/>
      <c r="I113" s="26" t="n"/>
      <c r="J113" s="26" t="n"/>
      <c r="K113" s="26" t="n"/>
      <c r="L113" s="26" t="n"/>
      <c r="M113" s="26" t="n"/>
      <c r="N113" s="26" t="n"/>
      <c r="O113" s="26" t="n"/>
      <c r="P113" s="26" t="n"/>
      <c r="Q113" s="26" t="n"/>
      <c r="R113" s="26" t="n"/>
      <c r="S113" s="26" t="n"/>
      <c r="T113" s="26" t="n"/>
      <c r="U113" s="26" t="n"/>
      <c r="V113" s="26" t="n"/>
      <c r="W113" s="26" t="n"/>
      <c r="X113" s="26" t="n"/>
      <c r="Y113" s="26" t="n"/>
      <c r="Z113" s="26">
        <f>IF(B113="","",IF(COUNTIF(F113:G113,"Fail")&gt;0,1,0))</f>
        <v/>
      </c>
      <c r="AA113" s="26">
        <f>IF(B113="","",IF(COUNTIF(H113:S113,"Fail")&gt;0,1,0))</f>
        <v/>
      </c>
      <c r="AB113" s="26">
        <f>IF(B113="","",IF(COUNTIF(T113:Y113,"Fail")&gt;0,1,0))</f>
        <v/>
      </c>
      <c r="AC113" s="27">
        <f>IF(B113="","",0.1*Z113+0.8*AA113+0.1*AB113)</f>
        <v/>
      </c>
      <c r="AD113" s="27">
        <f>IF(B113="","",IF(C113="Batch 1",0.3,0.2))</f>
        <v/>
      </c>
      <c r="AE113" s="19">
        <f>IF(B113="","",IF(AC113&lt;=AD113,"Đạt","Không đạt"))</f>
        <v/>
      </c>
      <c r="AF113" s="28" t="n"/>
    </row>
    <row r="114" ht="30" customHeight="1" s="36">
      <c r="A114" s="17" t="n">
        <v>112</v>
      </c>
      <c r="B114" s="18" t="n"/>
      <c r="C114" s="17" t="n"/>
      <c r="D114" s="17" t="n"/>
      <c r="E114" s="17" t="n"/>
      <c r="F114" s="26" t="n"/>
      <c r="G114" s="26" t="n"/>
      <c r="H114" s="26" t="n"/>
      <c r="I114" s="26" t="n"/>
      <c r="J114" s="26" t="n"/>
      <c r="K114" s="26" t="n"/>
      <c r="L114" s="26" t="n"/>
      <c r="M114" s="26" t="n"/>
      <c r="N114" s="26" t="n"/>
      <c r="O114" s="26" t="n"/>
      <c r="P114" s="26" t="n"/>
      <c r="Q114" s="26" t="n"/>
      <c r="R114" s="26" t="n"/>
      <c r="S114" s="26" t="n"/>
      <c r="T114" s="26" t="n"/>
      <c r="U114" s="26" t="n"/>
      <c r="V114" s="26" t="n"/>
      <c r="W114" s="26" t="n"/>
      <c r="X114" s="26" t="n"/>
      <c r="Y114" s="26" t="n"/>
      <c r="Z114" s="26">
        <f>IF(B114="","",IF(COUNTIF(F114:G114,"Fail")&gt;0,1,0))</f>
        <v/>
      </c>
      <c r="AA114" s="26">
        <f>IF(B114="","",IF(COUNTIF(H114:S114,"Fail")&gt;0,1,0))</f>
        <v/>
      </c>
      <c r="AB114" s="26">
        <f>IF(B114="","",IF(COUNTIF(T114:Y114,"Fail")&gt;0,1,0))</f>
        <v/>
      </c>
      <c r="AC114" s="27">
        <f>IF(B114="","",0.1*Z114+0.8*AA114+0.1*AB114)</f>
        <v/>
      </c>
      <c r="AD114" s="27">
        <f>IF(B114="","",IF(C114="Batch 1",0.3,0.2))</f>
        <v/>
      </c>
      <c r="AE114" s="19">
        <f>IF(B114="","",IF(AC114&lt;=AD114,"Đạt","Không đạt"))</f>
        <v/>
      </c>
      <c r="AF114" s="28" t="n"/>
    </row>
    <row r="115" ht="30" customHeight="1" s="36">
      <c r="A115" s="17" t="n">
        <v>113</v>
      </c>
      <c r="B115" s="18" t="n"/>
      <c r="C115" s="17" t="n"/>
      <c r="D115" s="17" t="n"/>
      <c r="E115" s="17" t="n"/>
      <c r="F115" s="26" t="n"/>
      <c r="G115" s="26" t="n"/>
      <c r="H115" s="26" t="n"/>
      <c r="I115" s="26" t="n"/>
      <c r="J115" s="26" t="n"/>
      <c r="K115" s="26" t="n"/>
      <c r="L115" s="26" t="n"/>
      <c r="M115" s="26" t="n"/>
      <c r="N115" s="26" t="n"/>
      <c r="O115" s="26" t="n"/>
      <c r="P115" s="26" t="n"/>
      <c r="Q115" s="26" t="n"/>
      <c r="R115" s="26" t="n"/>
      <c r="S115" s="26" t="n"/>
      <c r="T115" s="26" t="n"/>
      <c r="U115" s="26" t="n"/>
      <c r="V115" s="26" t="n"/>
      <c r="W115" s="26" t="n"/>
      <c r="X115" s="26" t="n"/>
      <c r="Y115" s="26" t="n"/>
      <c r="Z115" s="26">
        <f>IF(B115="","",IF(COUNTIF(F115:G115,"Fail")&gt;0,1,0))</f>
        <v/>
      </c>
      <c r="AA115" s="26">
        <f>IF(B115="","",IF(COUNTIF(H115:S115,"Fail")&gt;0,1,0))</f>
        <v/>
      </c>
      <c r="AB115" s="26">
        <f>IF(B115="","",IF(COUNTIF(T115:Y115,"Fail")&gt;0,1,0))</f>
        <v/>
      </c>
      <c r="AC115" s="27">
        <f>IF(B115="","",0.1*Z115+0.8*AA115+0.1*AB115)</f>
        <v/>
      </c>
      <c r="AD115" s="27">
        <f>IF(B115="","",IF(C115="Batch 1",0.3,0.2))</f>
        <v/>
      </c>
      <c r="AE115" s="19">
        <f>IF(B115="","",IF(AC115&lt;=AD115,"Đạt","Không đạt"))</f>
        <v/>
      </c>
      <c r="AF115" s="28" t="n"/>
    </row>
    <row r="116" ht="30" customHeight="1" s="36">
      <c r="A116" s="17" t="n">
        <v>114</v>
      </c>
      <c r="B116" s="18" t="n"/>
      <c r="C116" s="17" t="n"/>
      <c r="D116" s="17" t="n"/>
      <c r="E116" s="17" t="n"/>
      <c r="F116" s="26" t="n"/>
      <c r="G116" s="26" t="n"/>
      <c r="H116" s="26" t="n"/>
      <c r="I116" s="26" t="n"/>
      <c r="J116" s="26" t="n"/>
      <c r="K116" s="26" t="n"/>
      <c r="L116" s="26" t="n"/>
      <c r="M116" s="26" t="n"/>
      <c r="N116" s="26" t="n"/>
      <c r="O116" s="26" t="n"/>
      <c r="P116" s="26" t="n"/>
      <c r="Q116" s="26" t="n"/>
      <c r="R116" s="26" t="n"/>
      <c r="S116" s="26" t="n"/>
      <c r="T116" s="26" t="n"/>
      <c r="U116" s="26" t="n"/>
      <c r="V116" s="26" t="n"/>
      <c r="W116" s="26" t="n"/>
      <c r="X116" s="26" t="n"/>
      <c r="Y116" s="26" t="n"/>
      <c r="Z116" s="26">
        <f>IF(B116="","",IF(COUNTIF(F116:G116,"Fail")&gt;0,1,0))</f>
        <v/>
      </c>
      <c r="AA116" s="26">
        <f>IF(B116="","",IF(COUNTIF(H116:S116,"Fail")&gt;0,1,0))</f>
        <v/>
      </c>
      <c r="AB116" s="26">
        <f>IF(B116="","",IF(COUNTIF(T116:Y116,"Fail")&gt;0,1,0))</f>
        <v/>
      </c>
      <c r="AC116" s="27">
        <f>IF(B116="","",0.1*Z116+0.8*AA116+0.1*AB116)</f>
        <v/>
      </c>
      <c r="AD116" s="27">
        <f>IF(B116="","",IF(C116="Batch 1",0.3,0.2))</f>
        <v/>
      </c>
      <c r="AE116" s="19">
        <f>IF(B116="","",IF(AC116&lt;=AD116,"Đạt","Không đạt"))</f>
        <v/>
      </c>
      <c r="AF116" s="28" t="n"/>
    </row>
    <row r="117" ht="30" customHeight="1" s="36">
      <c r="A117" s="17" t="n">
        <v>115</v>
      </c>
      <c r="B117" s="18" t="n"/>
      <c r="C117" s="17" t="n"/>
      <c r="D117" s="17" t="n"/>
      <c r="E117" s="17" t="n"/>
      <c r="F117" s="26" t="n"/>
      <c r="G117" s="26" t="n"/>
      <c r="H117" s="26" t="n"/>
      <c r="I117" s="26" t="n"/>
      <c r="J117" s="26" t="n"/>
      <c r="K117" s="26" t="n"/>
      <c r="L117" s="26" t="n"/>
      <c r="M117" s="26" t="n"/>
      <c r="N117" s="26" t="n"/>
      <c r="O117" s="26" t="n"/>
      <c r="P117" s="26" t="n"/>
      <c r="Q117" s="26" t="n"/>
      <c r="R117" s="26" t="n"/>
      <c r="S117" s="26" t="n"/>
      <c r="T117" s="26" t="n"/>
      <c r="U117" s="26" t="n"/>
      <c r="V117" s="26" t="n"/>
      <c r="W117" s="26" t="n"/>
      <c r="X117" s="26" t="n"/>
      <c r="Y117" s="26" t="n"/>
      <c r="Z117" s="26">
        <f>IF(B117="","",IF(COUNTIF(F117:G117,"Fail")&gt;0,1,0))</f>
        <v/>
      </c>
      <c r="AA117" s="26">
        <f>IF(B117="","",IF(COUNTIF(H117:S117,"Fail")&gt;0,1,0))</f>
        <v/>
      </c>
      <c r="AB117" s="26">
        <f>IF(B117="","",IF(COUNTIF(T117:Y117,"Fail")&gt;0,1,0))</f>
        <v/>
      </c>
      <c r="AC117" s="27">
        <f>IF(B117="","",0.1*Z117+0.8*AA117+0.1*AB117)</f>
        <v/>
      </c>
      <c r="AD117" s="27">
        <f>IF(B117="","",IF(C117="Batch 1",0.3,0.2))</f>
        <v/>
      </c>
      <c r="AE117" s="19">
        <f>IF(B117="","",IF(AC117&lt;=AD117,"Đạt","Không đạt"))</f>
        <v/>
      </c>
      <c r="AF117" s="28" t="n"/>
    </row>
    <row r="118" ht="30" customHeight="1" s="36">
      <c r="A118" s="17" t="n">
        <v>116</v>
      </c>
      <c r="B118" s="18" t="n"/>
      <c r="C118" s="17" t="n"/>
      <c r="D118" s="17" t="n"/>
      <c r="E118" s="17" t="n"/>
      <c r="F118" s="26" t="n"/>
      <c r="G118" s="26" t="n"/>
      <c r="H118" s="26" t="n"/>
      <c r="I118" s="26" t="n"/>
      <c r="J118" s="26" t="n"/>
      <c r="K118" s="26" t="n"/>
      <c r="L118" s="26" t="n"/>
      <c r="M118" s="26" t="n"/>
      <c r="N118" s="26" t="n"/>
      <c r="O118" s="26" t="n"/>
      <c r="P118" s="26" t="n"/>
      <c r="Q118" s="26" t="n"/>
      <c r="R118" s="26" t="n"/>
      <c r="S118" s="26" t="n"/>
      <c r="T118" s="26" t="n"/>
      <c r="U118" s="26" t="n"/>
      <c r="V118" s="26" t="n"/>
      <c r="W118" s="26" t="n"/>
      <c r="X118" s="26" t="n"/>
      <c r="Y118" s="26" t="n"/>
      <c r="Z118" s="26">
        <f>IF(B118="","",IF(COUNTIF(F118:G118,"Fail")&gt;0,1,0))</f>
        <v/>
      </c>
      <c r="AA118" s="26">
        <f>IF(B118="","",IF(COUNTIF(H118:S118,"Fail")&gt;0,1,0))</f>
        <v/>
      </c>
      <c r="AB118" s="26">
        <f>IF(B118="","",IF(COUNTIF(T118:Y118,"Fail")&gt;0,1,0))</f>
        <v/>
      </c>
      <c r="AC118" s="27">
        <f>IF(B118="","",0.1*Z118+0.8*AA118+0.1*AB118)</f>
        <v/>
      </c>
      <c r="AD118" s="27">
        <f>IF(B118="","",IF(C118="Batch 1",0.3,0.2))</f>
        <v/>
      </c>
      <c r="AE118" s="19">
        <f>IF(B118="","",IF(AC118&lt;=AD118,"Đạt","Không đạt"))</f>
        <v/>
      </c>
      <c r="AF118" s="28" t="n"/>
    </row>
    <row r="119" ht="30" customHeight="1" s="36">
      <c r="A119" s="17" t="n">
        <v>117</v>
      </c>
      <c r="B119" s="18" t="n"/>
      <c r="C119" s="17" t="n"/>
      <c r="D119" s="17" t="n"/>
      <c r="E119" s="17" t="n"/>
      <c r="F119" s="26" t="n"/>
      <c r="G119" s="26" t="n"/>
      <c r="H119" s="26" t="n"/>
      <c r="I119" s="26" t="n"/>
      <c r="J119" s="26" t="n"/>
      <c r="K119" s="26" t="n"/>
      <c r="L119" s="26" t="n"/>
      <c r="M119" s="26" t="n"/>
      <c r="N119" s="26" t="n"/>
      <c r="O119" s="26" t="n"/>
      <c r="P119" s="26" t="n"/>
      <c r="Q119" s="26" t="n"/>
      <c r="R119" s="26" t="n"/>
      <c r="S119" s="26" t="n"/>
      <c r="T119" s="26" t="n"/>
      <c r="U119" s="26" t="n"/>
      <c r="V119" s="26" t="n"/>
      <c r="W119" s="26" t="n"/>
      <c r="X119" s="26" t="n"/>
      <c r="Y119" s="26" t="n"/>
      <c r="Z119" s="26">
        <f>IF(B119="","",IF(COUNTIF(F119:G119,"Fail")&gt;0,1,0))</f>
        <v/>
      </c>
      <c r="AA119" s="26">
        <f>IF(B119="","",IF(COUNTIF(H119:S119,"Fail")&gt;0,1,0))</f>
        <v/>
      </c>
      <c r="AB119" s="26">
        <f>IF(B119="","",IF(COUNTIF(T119:Y119,"Fail")&gt;0,1,0))</f>
        <v/>
      </c>
      <c r="AC119" s="27">
        <f>IF(B119="","",0.1*Z119+0.8*AA119+0.1*AB119)</f>
        <v/>
      </c>
      <c r="AD119" s="27">
        <f>IF(B119="","",IF(C119="Batch 1",0.3,0.2))</f>
        <v/>
      </c>
      <c r="AE119" s="19">
        <f>IF(B119="","",IF(AC119&lt;=AD119,"Đạt","Không đạt"))</f>
        <v/>
      </c>
      <c r="AF119" s="28" t="n"/>
    </row>
    <row r="120" ht="30" customHeight="1" s="36">
      <c r="A120" s="17" t="n">
        <v>118</v>
      </c>
      <c r="B120" s="18" t="n"/>
      <c r="C120" s="17" t="n"/>
      <c r="D120" s="17" t="n"/>
      <c r="E120" s="17" t="n"/>
      <c r="F120" s="26" t="n"/>
      <c r="G120" s="26" t="n"/>
      <c r="H120" s="26" t="n"/>
      <c r="I120" s="26" t="n"/>
      <c r="J120" s="26" t="n"/>
      <c r="K120" s="26" t="n"/>
      <c r="L120" s="26" t="n"/>
      <c r="M120" s="26" t="n"/>
      <c r="N120" s="26" t="n"/>
      <c r="O120" s="26" t="n"/>
      <c r="P120" s="26" t="n"/>
      <c r="Q120" s="26" t="n"/>
      <c r="R120" s="26" t="n"/>
      <c r="S120" s="26" t="n"/>
      <c r="T120" s="26" t="n"/>
      <c r="U120" s="26" t="n"/>
      <c r="V120" s="26" t="n"/>
      <c r="W120" s="26" t="n"/>
      <c r="X120" s="26" t="n"/>
      <c r="Y120" s="26" t="n"/>
      <c r="Z120" s="26">
        <f>IF(B120="","",IF(COUNTIF(F120:G120,"Fail")&gt;0,1,0))</f>
        <v/>
      </c>
      <c r="AA120" s="26">
        <f>IF(B120="","",IF(COUNTIF(H120:S120,"Fail")&gt;0,1,0))</f>
        <v/>
      </c>
      <c r="AB120" s="26">
        <f>IF(B120="","",IF(COUNTIF(T120:Y120,"Fail")&gt;0,1,0))</f>
        <v/>
      </c>
      <c r="AC120" s="27">
        <f>IF(B120="","",0.1*Z120+0.8*AA120+0.1*AB120)</f>
        <v/>
      </c>
      <c r="AD120" s="27">
        <f>IF(B120="","",IF(C120="Batch 1",0.3,0.2))</f>
        <v/>
      </c>
      <c r="AE120" s="19">
        <f>IF(B120="","",IF(AC120&lt;=AD120,"Đạt","Không đạt"))</f>
        <v/>
      </c>
      <c r="AF120" s="28" t="n"/>
    </row>
    <row r="121" ht="30" customHeight="1" s="36">
      <c r="A121" s="17" t="n">
        <v>119</v>
      </c>
      <c r="B121" s="18" t="n"/>
      <c r="C121" s="17" t="n"/>
      <c r="D121" s="17" t="n"/>
      <c r="E121" s="17" t="n"/>
      <c r="F121" s="26" t="n"/>
      <c r="G121" s="26" t="n"/>
      <c r="H121" s="26" t="n"/>
      <c r="I121" s="26" t="n"/>
      <c r="J121" s="26" t="n"/>
      <c r="K121" s="26" t="n"/>
      <c r="L121" s="26" t="n"/>
      <c r="M121" s="26" t="n"/>
      <c r="N121" s="26" t="n"/>
      <c r="O121" s="26" t="n"/>
      <c r="P121" s="26" t="n"/>
      <c r="Q121" s="26" t="n"/>
      <c r="R121" s="26" t="n"/>
      <c r="S121" s="26" t="n"/>
      <c r="T121" s="26" t="n"/>
      <c r="U121" s="26" t="n"/>
      <c r="V121" s="26" t="n"/>
      <c r="W121" s="26" t="n"/>
      <c r="X121" s="26" t="n"/>
      <c r="Y121" s="26" t="n"/>
      <c r="Z121" s="26">
        <f>IF(B121="","",IF(COUNTIF(F121:G121,"Fail")&gt;0,1,0))</f>
        <v/>
      </c>
      <c r="AA121" s="26">
        <f>IF(B121="","",IF(COUNTIF(H121:S121,"Fail")&gt;0,1,0))</f>
        <v/>
      </c>
      <c r="AB121" s="26">
        <f>IF(B121="","",IF(COUNTIF(T121:Y121,"Fail")&gt;0,1,0))</f>
        <v/>
      </c>
      <c r="AC121" s="27">
        <f>IF(B121="","",0.1*Z121+0.8*AA121+0.1*AB121)</f>
        <v/>
      </c>
      <c r="AD121" s="27">
        <f>IF(B121="","",IF(C121="Batch 1",0.3,0.2))</f>
        <v/>
      </c>
      <c r="AE121" s="19">
        <f>IF(B121="","",IF(AC121&lt;=AD121,"Đạt","Không đạt"))</f>
        <v/>
      </c>
      <c r="AF121" s="28" t="n"/>
    </row>
    <row r="122" ht="30" customHeight="1" s="36">
      <c r="A122" s="17" t="n">
        <v>120</v>
      </c>
      <c r="B122" s="18" t="n"/>
      <c r="C122" s="17" t="n"/>
      <c r="D122" s="17" t="n"/>
      <c r="E122" s="17" t="n"/>
      <c r="F122" s="26" t="n"/>
      <c r="G122" s="26" t="n"/>
      <c r="H122" s="26" t="n"/>
      <c r="I122" s="26" t="n"/>
      <c r="J122" s="26" t="n"/>
      <c r="K122" s="26" t="n"/>
      <c r="L122" s="26" t="n"/>
      <c r="M122" s="26" t="n"/>
      <c r="N122" s="26" t="n"/>
      <c r="O122" s="26" t="n"/>
      <c r="P122" s="26" t="n"/>
      <c r="Q122" s="26" t="n"/>
      <c r="R122" s="26" t="n"/>
      <c r="S122" s="26" t="n"/>
      <c r="T122" s="26" t="n"/>
      <c r="U122" s="26" t="n"/>
      <c r="V122" s="26" t="n"/>
      <c r="W122" s="26" t="n"/>
      <c r="X122" s="26" t="n"/>
      <c r="Y122" s="26" t="n"/>
      <c r="Z122" s="26">
        <f>IF(B122="","",IF(COUNTIF(F122:G122,"Fail")&gt;0,1,0))</f>
        <v/>
      </c>
      <c r="AA122" s="26">
        <f>IF(B122="","",IF(COUNTIF(H122:S122,"Fail")&gt;0,1,0))</f>
        <v/>
      </c>
      <c r="AB122" s="26">
        <f>IF(B122="","",IF(COUNTIF(T122:Y122,"Fail")&gt;0,1,0))</f>
        <v/>
      </c>
      <c r="AC122" s="27">
        <f>IF(B122="","",0.1*Z122+0.8*AA122+0.1*AB122)</f>
        <v/>
      </c>
      <c r="AD122" s="27">
        <f>IF(B122="","",IF(C122="Batch 1",0.3,0.2))</f>
        <v/>
      </c>
      <c r="AE122" s="19">
        <f>IF(B122="","",IF(AC122&lt;=AD122,"Đạt","Không đạt"))</f>
        <v/>
      </c>
      <c r="AF122" s="28" t="n"/>
    </row>
    <row r="123" ht="30" customHeight="1" s="36">
      <c r="A123" s="17" t="n">
        <v>121</v>
      </c>
      <c r="B123" s="18" t="n"/>
      <c r="C123" s="17" t="n"/>
      <c r="D123" s="17" t="n"/>
      <c r="E123" s="17" t="n"/>
      <c r="F123" s="26" t="n"/>
      <c r="G123" s="26" t="n"/>
      <c r="H123" s="26" t="n"/>
      <c r="I123" s="26" t="n"/>
      <c r="J123" s="26" t="n"/>
      <c r="K123" s="26" t="n"/>
      <c r="L123" s="26" t="n"/>
      <c r="M123" s="26" t="n"/>
      <c r="N123" s="26" t="n"/>
      <c r="O123" s="26" t="n"/>
      <c r="P123" s="26" t="n"/>
      <c r="Q123" s="26" t="n"/>
      <c r="R123" s="26" t="n"/>
      <c r="S123" s="26" t="n"/>
      <c r="T123" s="26" t="n"/>
      <c r="U123" s="26" t="n"/>
      <c r="V123" s="26" t="n"/>
      <c r="W123" s="26" t="n"/>
      <c r="X123" s="26" t="n"/>
      <c r="Y123" s="26" t="n"/>
      <c r="Z123" s="26">
        <f>IF(B123="","",IF(COUNTIF(F123:G123,"Fail")&gt;0,1,0))</f>
        <v/>
      </c>
      <c r="AA123" s="26">
        <f>IF(B123="","",IF(COUNTIF(H123:S123,"Fail")&gt;0,1,0))</f>
        <v/>
      </c>
      <c r="AB123" s="26">
        <f>IF(B123="","",IF(COUNTIF(T123:Y123,"Fail")&gt;0,1,0))</f>
        <v/>
      </c>
      <c r="AC123" s="27">
        <f>IF(B123="","",0.1*Z123+0.8*AA123+0.1*AB123)</f>
        <v/>
      </c>
      <c r="AD123" s="27">
        <f>IF(B123="","",IF(C123="Batch 1",0.3,0.2))</f>
        <v/>
      </c>
      <c r="AE123" s="19">
        <f>IF(B123="","",IF(AC123&lt;=AD123,"Đạt","Không đạt"))</f>
        <v/>
      </c>
      <c r="AF123" s="28" t="n"/>
    </row>
    <row r="124" ht="30" customHeight="1" s="36">
      <c r="A124" s="17" t="n">
        <v>122</v>
      </c>
      <c r="B124" s="18" t="n"/>
      <c r="C124" s="17" t="n"/>
      <c r="D124" s="17" t="n"/>
      <c r="E124" s="17" t="n"/>
      <c r="F124" s="26" t="n"/>
      <c r="G124" s="26" t="n"/>
      <c r="H124" s="26" t="n"/>
      <c r="I124" s="26" t="n"/>
      <c r="J124" s="26" t="n"/>
      <c r="K124" s="26" t="n"/>
      <c r="L124" s="26" t="n"/>
      <c r="M124" s="26" t="n"/>
      <c r="N124" s="26" t="n"/>
      <c r="O124" s="26" t="n"/>
      <c r="P124" s="26" t="n"/>
      <c r="Q124" s="26" t="n"/>
      <c r="R124" s="26" t="n"/>
      <c r="S124" s="26" t="n"/>
      <c r="T124" s="26" t="n"/>
      <c r="U124" s="26" t="n"/>
      <c r="V124" s="26" t="n"/>
      <c r="W124" s="26" t="n"/>
      <c r="X124" s="26" t="n"/>
      <c r="Y124" s="26" t="n"/>
      <c r="Z124" s="26">
        <f>IF(B124="","",IF(COUNTIF(F124:G124,"Fail")&gt;0,1,0))</f>
        <v/>
      </c>
      <c r="AA124" s="26">
        <f>IF(B124="","",IF(COUNTIF(H124:S124,"Fail")&gt;0,1,0))</f>
        <v/>
      </c>
      <c r="AB124" s="26">
        <f>IF(B124="","",IF(COUNTIF(T124:Y124,"Fail")&gt;0,1,0))</f>
        <v/>
      </c>
      <c r="AC124" s="27">
        <f>IF(B124="","",0.1*Z124+0.8*AA124+0.1*AB124)</f>
        <v/>
      </c>
      <c r="AD124" s="27">
        <f>IF(B124="","",IF(C124="Batch 1",0.3,0.2))</f>
        <v/>
      </c>
      <c r="AE124" s="19">
        <f>IF(B124="","",IF(AC124&lt;=AD124,"Đạt","Không đạt"))</f>
        <v/>
      </c>
      <c r="AF124" s="28" t="n"/>
    </row>
    <row r="125" ht="30" customHeight="1" s="36">
      <c r="A125" s="17" t="n">
        <v>123</v>
      </c>
      <c r="B125" s="18" t="n"/>
      <c r="C125" s="17" t="n"/>
      <c r="D125" s="17" t="n"/>
      <c r="E125" s="17" t="n"/>
      <c r="F125" s="26" t="n"/>
      <c r="G125" s="26" t="n"/>
      <c r="H125" s="26" t="n"/>
      <c r="I125" s="26" t="n"/>
      <c r="J125" s="26" t="n"/>
      <c r="K125" s="26" t="n"/>
      <c r="L125" s="26" t="n"/>
      <c r="M125" s="26" t="n"/>
      <c r="N125" s="26" t="n"/>
      <c r="O125" s="26" t="n"/>
      <c r="P125" s="26" t="n"/>
      <c r="Q125" s="26" t="n"/>
      <c r="R125" s="26" t="n"/>
      <c r="S125" s="26" t="n"/>
      <c r="T125" s="26" t="n"/>
      <c r="U125" s="26" t="n"/>
      <c r="V125" s="26" t="n"/>
      <c r="W125" s="26" t="n"/>
      <c r="X125" s="26" t="n"/>
      <c r="Y125" s="26" t="n"/>
      <c r="Z125" s="26">
        <f>IF(B125="","",IF(COUNTIF(F125:G125,"Fail")&gt;0,1,0))</f>
        <v/>
      </c>
      <c r="AA125" s="26">
        <f>IF(B125="","",IF(COUNTIF(H125:S125,"Fail")&gt;0,1,0))</f>
        <v/>
      </c>
      <c r="AB125" s="26">
        <f>IF(B125="","",IF(COUNTIF(T125:Y125,"Fail")&gt;0,1,0))</f>
        <v/>
      </c>
      <c r="AC125" s="27">
        <f>IF(B125="","",0.1*Z125+0.8*AA125+0.1*AB125)</f>
        <v/>
      </c>
      <c r="AD125" s="27">
        <f>IF(B125="","",IF(C125="Batch 1",0.3,0.2))</f>
        <v/>
      </c>
      <c r="AE125" s="19">
        <f>IF(B125="","",IF(AC125&lt;=AD125,"Đạt","Không đạt"))</f>
        <v/>
      </c>
      <c r="AF125" s="28" t="n"/>
    </row>
    <row r="126" ht="30" customHeight="1" s="36">
      <c r="A126" s="17" t="n">
        <v>124</v>
      </c>
      <c r="B126" s="18" t="n"/>
      <c r="C126" s="17" t="n"/>
      <c r="D126" s="17" t="n"/>
      <c r="E126" s="17" t="n"/>
      <c r="F126" s="26" t="n"/>
      <c r="G126" s="26" t="n"/>
      <c r="H126" s="26" t="n"/>
      <c r="I126" s="26" t="n"/>
      <c r="J126" s="26" t="n"/>
      <c r="K126" s="26" t="n"/>
      <c r="L126" s="26" t="n"/>
      <c r="M126" s="26" t="n"/>
      <c r="N126" s="26" t="n"/>
      <c r="O126" s="26" t="n"/>
      <c r="P126" s="26" t="n"/>
      <c r="Q126" s="26" t="n"/>
      <c r="R126" s="26" t="n"/>
      <c r="S126" s="26" t="n"/>
      <c r="T126" s="26" t="n"/>
      <c r="U126" s="26" t="n"/>
      <c r="V126" s="26" t="n"/>
      <c r="W126" s="26" t="n"/>
      <c r="X126" s="26" t="n"/>
      <c r="Y126" s="26" t="n"/>
      <c r="Z126" s="26">
        <f>IF(B126="","",IF(COUNTIF(F126:G126,"Fail")&gt;0,1,0))</f>
        <v/>
      </c>
      <c r="AA126" s="26">
        <f>IF(B126="","",IF(COUNTIF(H126:S126,"Fail")&gt;0,1,0))</f>
        <v/>
      </c>
      <c r="AB126" s="26">
        <f>IF(B126="","",IF(COUNTIF(T126:Y126,"Fail")&gt;0,1,0))</f>
        <v/>
      </c>
      <c r="AC126" s="27">
        <f>IF(B126="","",0.1*Z126+0.8*AA126+0.1*AB126)</f>
        <v/>
      </c>
      <c r="AD126" s="27">
        <f>IF(B126="","",IF(C126="Batch 1",0.3,0.2))</f>
        <v/>
      </c>
      <c r="AE126" s="19">
        <f>IF(B126="","",IF(AC126&lt;=AD126,"Đạt","Không đạt"))</f>
        <v/>
      </c>
      <c r="AF126" s="28" t="n"/>
    </row>
    <row r="127" ht="30" customHeight="1" s="36">
      <c r="A127" s="17" t="n">
        <v>125</v>
      </c>
      <c r="B127" s="18" t="n"/>
      <c r="C127" s="17" t="n"/>
      <c r="D127" s="17" t="n"/>
      <c r="E127" s="17" t="n"/>
      <c r="F127" s="26" t="n"/>
      <c r="G127" s="26" t="n"/>
      <c r="H127" s="26" t="n"/>
      <c r="I127" s="26" t="n"/>
      <c r="J127" s="26" t="n"/>
      <c r="K127" s="26" t="n"/>
      <c r="L127" s="26" t="n"/>
      <c r="M127" s="26" t="n"/>
      <c r="N127" s="26" t="n"/>
      <c r="O127" s="26" t="n"/>
      <c r="P127" s="26" t="n"/>
      <c r="Q127" s="26" t="n"/>
      <c r="R127" s="26" t="n"/>
      <c r="S127" s="26" t="n"/>
      <c r="T127" s="26" t="n"/>
      <c r="U127" s="26" t="n"/>
      <c r="V127" s="26" t="n"/>
      <c r="W127" s="26" t="n"/>
      <c r="X127" s="26" t="n"/>
      <c r="Y127" s="26" t="n"/>
      <c r="Z127" s="26">
        <f>IF(B127="","",IF(COUNTIF(F127:G127,"Fail")&gt;0,1,0))</f>
        <v/>
      </c>
      <c r="AA127" s="26">
        <f>IF(B127="","",IF(COUNTIF(H127:S127,"Fail")&gt;0,1,0))</f>
        <v/>
      </c>
      <c r="AB127" s="26">
        <f>IF(B127="","",IF(COUNTIF(T127:Y127,"Fail")&gt;0,1,0))</f>
        <v/>
      </c>
      <c r="AC127" s="27">
        <f>IF(B127="","",0.1*Z127+0.8*AA127+0.1*AB127)</f>
        <v/>
      </c>
      <c r="AD127" s="27">
        <f>IF(B127="","",IF(C127="Batch 1",0.3,0.2))</f>
        <v/>
      </c>
      <c r="AE127" s="19">
        <f>IF(B127="","",IF(AC127&lt;=AD127,"Đạt","Không đạt"))</f>
        <v/>
      </c>
      <c r="AF127" s="28" t="n"/>
    </row>
    <row r="128" ht="30" customHeight="1" s="36">
      <c r="A128" s="17" t="n">
        <v>126</v>
      </c>
      <c r="B128" s="18" t="n"/>
      <c r="C128" s="17" t="n"/>
      <c r="D128" s="17" t="n"/>
      <c r="E128" s="17" t="n"/>
      <c r="F128" s="26" t="n"/>
      <c r="G128" s="26" t="n"/>
      <c r="H128" s="26" t="n"/>
      <c r="I128" s="26" t="n"/>
      <c r="J128" s="26" t="n"/>
      <c r="K128" s="26" t="n"/>
      <c r="L128" s="26" t="n"/>
      <c r="M128" s="26" t="n"/>
      <c r="N128" s="26" t="n"/>
      <c r="O128" s="26" t="n"/>
      <c r="P128" s="26" t="n"/>
      <c r="Q128" s="26" t="n"/>
      <c r="R128" s="26" t="n"/>
      <c r="S128" s="26" t="n"/>
      <c r="T128" s="26" t="n"/>
      <c r="U128" s="26" t="n"/>
      <c r="V128" s="26" t="n"/>
      <c r="W128" s="26" t="n"/>
      <c r="X128" s="26" t="n"/>
      <c r="Y128" s="26" t="n"/>
      <c r="Z128" s="26">
        <f>IF(B128="","",IF(COUNTIF(F128:G128,"Fail")&gt;0,1,0))</f>
        <v/>
      </c>
      <c r="AA128" s="26">
        <f>IF(B128="","",IF(COUNTIF(H128:S128,"Fail")&gt;0,1,0))</f>
        <v/>
      </c>
      <c r="AB128" s="26">
        <f>IF(B128="","",IF(COUNTIF(T128:Y128,"Fail")&gt;0,1,0))</f>
        <v/>
      </c>
      <c r="AC128" s="27">
        <f>IF(B128="","",0.1*Z128+0.8*AA128+0.1*AB128)</f>
        <v/>
      </c>
      <c r="AD128" s="27">
        <f>IF(B128="","",IF(C128="Batch 1",0.3,0.2))</f>
        <v/>
      </c>
      <c r="AE128" s="19">
        <f>IF(B128="","",IF(AC128&lt;=AD128,"Đạt","Không đạt"))</f>
        <v/>
      </c>
      <c r="AF128" s="28" t="n"/>
    </row>
    <row r="129" ht="30" customHeight="1" s="36">
      <c r="A129" s="17" t="n">
        <v>127</v>
      </c>
      <c r="B129" s="18" t="n"/>
      <c r="C129" s="17" t="n"/>
      <c r="D129" s="17" t="n"/>
      <c r="E129" s="17" t="n"/>
      <c r="F129" s="26" t="n"/>
      <c r="G129" s="26" t="n"/>
      <c r="H129" s="26" t="n"/>
      <c r="I129" s="26" t="n"/>
      <c r="J129" s="26" t="n"/>
      <c r="K129" s="26" t="n"/>
      <c r="L129" s="26" t="n"/>
      <c r="M129" s="26" t="n"/>
      <c r="N129" s="26" t="n"/>
      <c r="O129" s="26" t="n"/>
      <c r="P129" s="26" t="n"/>
      <c r="Q129" s="26" t="n"/>
      <c r="R129" s="26" t="n"/>
      <c r="S129" s="26" t="n"/>
      <c r="T129" s="26" t="n"/>
      <c r="U129" s="26" t="n"/>
      <c r="V129" s="26" t="n"/>
      <c r="W129" s="26" t="n"/>
      <c r="X129" s="26" t="n"/>
      <c r="Y129" s="26" t="n"/>
      <c r="Z129" s="26">
        <f>IF(B129="","",IF(COUNTIF(F129:G129,"Fail")&gt;0,1,0))</f>
        <v/>
      </c>
      <c r="AA129" s="26">
        <f>IF(B129="","",IF(COUNTIF(H129:S129,"Fail")&gt;0,1,0))</f>
        <v/>
      </c>
      <c r="AB129" s="26">
        <f>IF(B129="","",IF(COUNTIF(T129:Y129,"Fail")&gt;0,1,0))</f>
        <v/>
      </c>
      <c r="AC129" s="27">
        <f>IF(B129="","",0.1*Z129+0.8*AA129+0.1*AB129)</f>
        <v/>
      </c>
      <c r="AD129" s="27">
        <f>IF(B129="","",IF(C129="Batch 1",0.3,0.2))</f>
        <v/>
      </c>
      <c r="AE129" s="19">
        <f>IF(B129="","",IF(AC129&lt;=AD129,"Đạt","Không đạt"))</f>
        <v/>
      </c>
      <c r="AF129" s="28" t="n"/>
    </row>
    <row r="130" ht="30" customHeight="1" s="36">
      <c r="A130" s="17" t="n">
        <v>128</v>
      </c>
      <c r="B130" s="18" t="n"/>
      <c r="C130" s="17" t="n"/>
      <c r="D130" s="17" t="n"/>
      <c r="E130" s="17" t="n"/>
      <c r="F130" s="26" t="n"/>
      <c r="G130" s="26" t="n"/>
      <c r="H130" s="26" t="n"/>
      <c r="I130" s="26" t="n"/>
      <c r="J130" s="26" t="n"/>
      <c r="K130" s="26" t="n"/>
      <c r="L130" s="26" t="n"/>
      <c r="M130" s="26" t="n"/>
      <c r="N130" s="26" t="n"/>
      <c r="O130" s="26" t="n"/>
      <c r="P130" s="26" t="n"/>
      <c r="Q130" s="26" t="n"/>
      <c r="R130" s="26" t="n"/>
      <c r="S130" s="26" t="n"/>
      <c r="T130" s="26" t="n"/>
      <c r="U130" s="26" t="n"/>
      <c r="V130" s="26" t="n"/>
      <c r="W130" s="26" t="n"/>
      <c r="X130" s="26" t="n"/>
      <c r="Y130" s="26" t="n"/>
      <c r="Z130" s="26">
        <f>IF(B130="","",IF(COUNTIF(F130:G130,"Fail")&gt;0,1,0))</f>
        <v/>
      </c>
      <c r="AA130" s="26">
        <f>IF(B130="","",IF(COUNTIF(H130:S130,"Fail")&gt;0,1,0))</f>
        <v/>
      </c>
      <c r="AB130" s="26">
        <f>IF(B130="","",IF(COUNTIF(T130:Y130,"Fail")&gt;0,1,0))</f>
        <v/>
      </c>
      <c r="AC130" s="27">
        <f>IF(B130="","",0.1*Z130+0.8*AA130+0.1*AB130)</f>
        <v/>
      </c>
      <c r="AD130" s="27">
        <f>IF(B130="","",IF(C130="Batch 1",0.3,0.2))</f>
        <v/>
      </c>
      <c r="AE130" s="19">
        <f>IF(B130="","",IF(AC130&lt;=AD130,"Đạt","Không đạt"))</f>
        <v/>
      </c>
      <c r="AF130" s="28" t="n"/>
    </row>
    <row r="131" ht="30" customHeight="1" s="36">
      <c r="A131" s="17" t="n">
        <v>129</v>
      </c>
      <c r="B131" s="18" t="n"/>
      <c r="C131" s="17" t="n"/>
      <c r="D131" s="17" t="n"/>
      <c r="E131" s="17" t="n"/>
      <c r="F131" s="26" t="n"/>
      <c r="G131" s="26" t="n"/>
      <c r="H131" s="26" t="n"/>
      <c r="I131" s="26" t="n"/>
      <c r="J131" s="26" t="n"/>
      <c r="K131" s="26" t="n"/>
      <c r="L131" s="26" t="n"/>
      <c r="M131" s="26" t="n"/>
      <c r="N131" s="26" t="n"/>
      <c r="O131" s="26" t="n"/>
      <c r="P131" s="26" t="n"/>
      <c r="Q131" s="26" t="n"/>
      <c r="R131" s="26" t="n"/>
      <c r="S131" s="26" t="n"/>
      <c r="T131" s="26" t="n"/>
      <c r="U131" s="26" t="n"/>
      <c r="V131" s="26" t="n"/>
      <c r="W131" s="26" t="n"/>
      <c r="X131" s="26" t="n"/>
      <c r="Y131" s="26" t="n"/>
      <c r="Z131" s="26">
        <f>IF(B131="","",IF(COUNTIF(F131:G131,"Fail")&gt;0,1,0))</f>
        <v/>
      </c>
      <c r="AA131" s="26">
        <f>IF(B131="","",IF(COUNTIF(H131:S131,"Fail")&gt;0,1,0))</f>
        <v/>
      </c>
      <c r="AB131" s="26">
        <f>IF(B131="","",IF(COUNTIF(T131:Y131,"Fail")&gt;0,1,0))</f>
        <v/>
      </c>
      <c r="AC131" s="27">
        <f>IF(B131="","",0.1*Z131+0.8*AA131+0.1*AB131)</f>
        <v/>
      </c>
      <c r="AD131" s="27">
        <f>IF(B131="","",IF(C131="Batch 1",0.3,0.2))</f>
        <v/>
      </c>
      <c r="AE131" s="19">
        <f>IF(B131="","",IF(AC131&lt;=AD131,"Đạt","Không đạt"))</f>
        <v/>
      </c>
      <c r="AF131" s="28" t="n"/>
    </row>
    <row r="132" ht="30" customHeight="1" s="36">
      <c r="A132" s="17" t="n">
        <v>130</v>
      </c>
      <c r="B132" s="18" t="n"/>
      <c r="C132" s="17" t="n"/>
      <c r="D132" s="17" t="n"/>
      <c r="E132" s="17" t="n"/>
      <c r="F132" s="26" t="n"/>
      <c r="G132" s="26" t="n"/>
      <c r="H132" s="26" t="n"/>
      <c r="I132" s="26" t="n"/>
      <c r="J132" s="26" t="n"/>
      <c r="K132" s="26" t="n"/>
      <c r="L132" s="26" t="n"/>
      <c r="M132" s="26" t="n"/>
      <c r="N132" s="26" t="n"/>
      <c r="O132" s="26" t="n"/>
      <c r="P132" s="26" t="n"/>
      <c r="Q132" s="26" t="n"/>
      <c r="R132" s="26" t="n"/>
      <c r="S132" s="26" t="n"/>
      <c r="T132" s="26" t="n"/>
      <c r="U132" s="26" t="n"/>
      <c r="V132" s="26" t="n"/>
      <c r="W132" s="26" t="n"/>
      <c r="X132" s="26" t="n"/>
      <c r="Y132" s="26" t="n"/>
      <c r="Z132" s="26">
        <f>IF(B132="","",IF(COUNTIF(F132:G132,"Fail")&gt;0,1,0))</f>
        <v/>
      </c>
      <c r="AA132" s="26">
        <f>IF(B132="","",IF(COUNTIF(H132:S132,"Fail")&gt;0,1,0))</f>
        <v/>
      </c>
      <c r="AB132" s="26">
        <f>IF(B132="","",IF(COUNTIF(T132:Y132,"Fail")&gt;0,1,0))</f>
        <v/>
      </c>
      <c r="AC132" s="27">
        <f>IF(B132="","",0.1*Z132+0.8*AA132+0.1*AB132)</f>
        <v/>
      </c>
      <c r="AD132" s="27">
        <f>IF(B132="","",IF(C132="Batch 1",0.3,0.2))</f>
        <v/>
      </c>
      <c r="AE132" s="19">
        <f>IF(B132="","",IF(AC132&lt;=AD132,"Đạt","Không đạt"))</f>
        <v/>
      </c>
      <c r="AF132" s="28" t="n"/>
    </row>
    <row r="133" ht="30" customHeight="1" s="36">
      <c r="A133" s="17" t="n">
        <v>131</v>
      </c>
      <c r="B133" s="18" t="n"/>
      <c r="C133" s="17" t="n"/>
      <c r="D133" s="17" t="n"/>
      <c r="E133" s="17" t="n"/>
      <c r="F133" s="26" t="n"/>
      <c r="G133" s="26" t="n"/>
      <c r="H133" s="26" t="n"/>
      <c r="I133" s="26" t="n"/>
      <c r="J133" s="26" t="n"/>
      <c r="K133" s="26" t="n"/>
      <c r="L133" s="26" t="n"/>
      <c r="M133" s="26" t="n"/>
      <c r="N133" s="26" t="n"/>
      <c r="O133" s="26" t="n"/>
      <c r="P133" s="26" t="n"/>
      <c r="Q133" s="26" t="n"/>
      <c r="R133" s="26" t="n"/>
      <c r="S133" s="26" t="n"/>
      <c r="T133" s="26" t="n"/>
      <c r="U133" s="26" t="n"/>
      <c r="V133" s="26" t="n"/>
      <c r="W133" s="26" t="n"/>
      <c r="X133" s="26" t="n"/>
      <c r="Y133" s="26" t="n"/>
      <c r="Z133" s="26">
        <f>IF(B133="","",IF(COUNTIF(F133:G133,"Fail")&gt;0,1,0))</f>
        <v/>
      </c>
      <c r="AA133" s="26">
        <f>IF(B133="","",IF(COUNTIF(H133:S133,"Fail")&gt;0,1,0))</f>
        <v/>
      </c>
      <c r="AB133" s="26">
        <f>IF(B133="","",IF(COUNTIF(T133:Y133,"Fail")&gt;0,1,0))</f>
        <v/>
      </c>
      <c r="AC133" s="27">
        <f>IF(B133="","",0.1*Z133+0.8*AA133+0.1*AB133)</f>
        <v/>
      </c>
      <c r="AD133" s="27">
        <f>IF(B133="","",IF(C133="Batch 1",0.3,0.2))</f>
        <v/>
      </c>
      <c r="AE133" s="19">
        <f>IF(B133="","",IF(AC133&lt;=AD133,"Đạt","Không đạt"))</f>
        <v/>
      </c>
      <c r="AF133" s="28" t="n"/>
    </row>
    <row r="134" ht="30" customHeight="1" s="36">
      <c r="A134" s="17" t="n">
        <v>132</v>
      </c>
      <c r="B134" s="18" t="n"/>
      <c r="C134" s="17" t="n"/>
      <c r="D134" s="17" t="n"/>
      <c r="E134" s="17" t="n"/>
      <c r="F134" s="26" t="n"/>
      <c r="G134" s="26" t="n"/>
      <c r="H134" s="26" t="n"/>
      <c r="I134" s="26" t="n"/>
      <c r="J134" s="26" t="n"/>
      <c r="K134" s="26" t="n"/>
      <c r="L134" s="26" t="n"/>
      <c r="M134" s="26" t="n"/>
      <c r="N134" s="26" t="n"/>
      <c r="O134" s="26" t="n"/>
      <c r="P134" s="26" t="n"/>
      <c r="Q134" s="26" t="n"/>
      <c r="R134" s="26" t="n"/>
      <c r="S134" s="26" t="n"/>
      <c r="T134" s="26" t="n"/>
      <c r="U134" s="26" t="n"/>
      <c r="V134" s="26" t="n"/>
      <c r="W134" s="26" t="n"/>
      <c r="X134" s="26" t="n"/>
      <c r="Y134" s="26" t="n"/>
      <c r="Z134" s="26">
        <f>IF(B134="","",IF(COUNTIF(F134:G134,"Fail")&gt;0,1,0))</f>
        <v/>
      </c>
      <c r="AA134" s="26">
        <f>IF(B134="","",IF(COUNTIF(H134:S134,"Fail")&gt;0,1,0))</f>
        <v/>
      </c>
      <c r="AB134" s="26">
        <f>IF(B134="","",IF(COUNTIF(T134:Y134,"Fail")&gt;0,1,0))</f>
        <v/>
      </c>
      <c r="AC134" s="27">
        <f>IF(B134="","",0.1*Z134+0.8*AA134+0.1*AB134)</f>
        <v/>
      </c>
      <c r="AD134" s="27">
        <f>IF(B134="","",IF(C134="Batch 1",0.3,0.2))</f>
        <v/>
      </c>
      <c r="AE134" s="19">
        <f>IF(B134="","",IF(AC134&lt;=AD134,"Đạt","Không đạt"))</f>
        <v/>
      </c>
      <c r="AF134" s="28" t="n"/>
    </row>
    <row r="135" ht="30" customHeight="1" s="36">
      <c r="A135" s="17" t="n">
        <v>133</v>
      </c>
      <c r="B135" s="18" t="n"/>
      <c r="C135" s="17" t="n"/>
      <c r="D135" s="17" t="n"/>
      <c r="E135" s="17" t="n"/>
      <c r="F135" s="26" t="n"/>
      <c r="G135" s="26" t="n"/>
      <c r="H135" s="26" t="n"/>
      <c r="I135" s="26" t="n"/>
      <c r="J135" s="26" t="n"/>
      <c r="K135" s="26" t="n"/>
      <c r="L135" s="26" t="n"/>
      <c r="M135" s="26" t="n"/>
      <c r="N135" s="26" t="n"/>
      <c r="O135" s="26" t="n"/>
      <c r="P135" s="26" t="n"/>
      <c r="Q135" s="26" t="n"/>
      <c r="R135" s="26" t="n"/>
      <c r="S135" s="26" t="n"/>
      <c r="T135" s="26" t="n"/>
      <c r="U135" s="26" t="n"/>
      <c r="V135" s="26" t="n"/>
      <c r="W135" s="26" t="n"/>
      <c r="X135" s="26" t="n"/>
      <c r="Y135" s="26" t="n"/>
      <c r="Z135" s="26">
        <f>IF(B135="","",IF(COUNTIF(F135:G135,"Fail")&gt;0,1,0))</f>
        <v/>
      </c>
      <c r="AA135" s="26">
        <f>IF(B135="","",IF(COUNTIF(H135:S135,"Fail")&gt;0,1,0))</f>
        <v/>
      </c>
      <c r="AB135" s="26">
        <f>IF(B135="","",IF(COUNTIF(T135:Y135,"Fail")&gt;0,1,0))</f>
        <v/>
      </c>
      <c r="AC135" s="27">
        <f>IF(B135="","",0.1*Z135+0.8*AA135+0.1*AB135)</f>
        <v/>
      </c>
      <c r="AD135" s="27">
        <f>IF(B135="","",IF(C135="Batch 1",0.3,0.2))</f>
        <v/>
      </c>
      <c r="AE135" s="19">
        <f>IF(B135="","",IF(AC135&lt;=AD135,"Đạt","Không đạt"))</f>
        <v/>
      </c>
      <c r="AF135" s="28" t="n"/>
    </row>
    <row r="136" ht="30" customHeight="1" s="36">
      <c r="A136" s="17" t="n">
        <v>134</v>
      </c>
      <c r="B136" s="18" t="n"/>
      <c r="C136" s="17" t="n"/>
      <c r="D136" s="17" t="n"/>
      <c r="E136" s="17" t="n"/>
      <c r="F136" s="26" t="n"/>
      <c r="G136" s="26" t="n"/>
      <c r="H136" s="26" t="n"/>
      <c r="I136" s="26" t="n"/>
      <c r="J136" s="26" t="n"/>
      <c r="K136" s="26" t="n"/>
      <c r="L136" s="26" t="n"/>
      <c r="M136" s="26" t="n"/>
      <c r="N136" s="26" t="n"/>
      <c r="O136" s="26" t="n"/>
      <c r="P136" s="26" t="n"/>
      <c r="Q136" s="26" t="n"/>
      <c r="R136" s="26" t="n"/>
      <c r="S136" s="26" t="n"/>
      <c r="T136" s="26" t="n"/>
      <c r="U136" s="26" t="n"/>
      <c r="V136" s="26" t="n"/>
      <c r="W136" s="26" t="n"/>
      <c r="X136" s="26" t="n"/>
      <c r="Y136" s="26" t="n"/>
      <c r="Z136" s="26">
        <f>IF(B136="","",IF(COUNTIF(F136:G136,"Fail")&gt;0,1,0))</f>
        <v/>
      </c>
      <c r="AA136" s="26">
        <f>IF(B136="","",IF(COUNTIF(H136:S136,"Fail")&gt;0,1,0))</f>
        <v/>
      </c>
      <c r="AB136" s="26">
        <f>IF(B136="","",IF(COUNTIF(T136:Y136,"Fail")&gt;0,1,0))</f>
        <v/>
      </c>
      <c r="AC136" s="27">
        <f>IF(B136="","",0.1*Z136+0.8*AA136+0.1*AB136)</f>
        <v/>
      </c>
      <c r="AD136" s="27">
        <f>IF(B136="","",IF(C136="Batch 1",0.3,0.2))</f>
        <v/>
      </c>
      <c r="AE136" s="19">
        <f>IF(B136="","",IF(AC136&lt;=AD136,"Đạt","Không đạt"))</f>
        <v/>
      </c>
      <c r="AF136" s="28" t="n"/>
    </row>
    <row r="137" ht="30" customHeight="1" s="36">
      <c r="A137" s="17" t="n">
        <v>135</v>
      </c>
      <c r="B137" s="18" t="n"/>
      <c r="C137" s="17" t="n"/>
      <c r="D137" s="17" t="n"/>
      <c r="E137" s="17" t="n"/>
      <c r="F137" s="26" t="n"/>
      <c r="G137" s="26" t="n"/>
      <c r="H137" s="26" t="n"/>
      <c r="I137" s="26" t="n"/>
      <c r="J137" s="26" t="n"/>
      <c r="K137" s="26" t="n"/>
      <c r="L137" s="26" t="n"/>
      <c r="M137" s="26" t="n"/>
      <c r="N137" s="26" t="n"/>
      <c r="O137" s="26" t="n"/>
      <c r="P137" s="26" t="n"/>
      <c r="Q137" s="26" t="n"/>
      <c r="R137" s="26" t="n"/>
      <c r="S137" s="26" t="n"/>
      <c r="T137" s="26" t="n"/>
      <c r="U137" s="26" t="n"/>
      <c r="V137" s="26" t="n"/>
      <c r="W137" s="26" t="n"/>
      <c r="X137" s="26" t="n"/>
      <c r="Y137" s="26" t="n"/>
      <c r="Z137" s="26">
        <f>IF(B137="","",IF(COUNTIF(F137:G137,"Fail")&gt;0,1,0))</f>
        <v/>
      </c>
      <c r="AA137" s="26">
        <f>IF(B137="","",IF(COUNTIF(H137:S137,"Fail")&gt;0,1,0))</f>
        <v/>
      </c>
      <c r="AB137" s="26">
        <f>IF(B137="","",IF(COUNTIF(T137:Y137,"Fail")&gt;0,1,0))</f>
        <v/>
      </c>
      <c r="AC137" s="27">
        <f>IF(B137="","",0.1*Z137+0.8*AA137+0.1*AB137)</f>
        <v/>
      </c>
      <c r="AD137" s="27">
        <f>IF(B137="","",IF(C137="Batch 1",0.3,0.2))</f>
        <v/>
      </c>
      <c r="AE137" s="19">
        <f>IF(B137="","",IF(AC137&lt;=AD137,"Đạt","Không đạt"))</f>
        <v/>
      </c>
      <c r="AF137" s="28" t="n"/>
    </row>
    <row r="138" ht="30" customHeight="1" s="36">
      <c r="A138" s="17" t="n">
        <v>136</v>
      </c>
      <c r="B138" s="18" t="n"/>
      <c r="C138" s="17" t="n"/>
      <c r="D138" s="17" t="n"/>
      <c r="E138" s="17" t="n"/>
      <c r="F138" s="26" t="n"/>
      <c r="G138" s="26" t="n"/>
      <c r="H138" s="26" t="n"/>
      <c r="I138" s="26" t="n"/>
      <c r="J138" s="26" t="n"/>
      <c r="K138" s="26" t="n"/>
      <c r="L138" s="26" t="n"/>
      <c r="M138" s="26" t="n"/>
      <c r="N138" s="26" t="n"/>
      <c r="O138" s="26" t="n"/>
      <c r="P138" s="26" t="n"/>
      <c r="Q138" s="26" t="n"/>
      <c r="R138" s="26" t="n"/>
      <c r="S138" s="26" t="n"/>
      <c r="T138" s="26" t="n"/>
      <c r="U138" s="26" t="n"/>
      <c r="V138" s="26" t="n"/>
      <c r="W138" s="26" t="n"/>
      <c r="X138" s="26" t="n"/>
      <c r="Y138" s="26" t="n"/>
      <c r="Z138" s="26">
        <f>IF(B138="","",IF(COUNTIF(F138:G138,"Fail")&gt;0,1,0))</f>
        <v/>
      </c>
      <c r="AA138" s="26">
        <f>IF(B138="","",IF(COUNTIF(H138:S138,"Fail")&gt;0,1,0))</f>
        <v/>
      </c>
      <c r="AB138" s="26">
        <f>IF(B138="","",IF(COUNTIF(T138:Y138,"Fail")&gt;0,1,0))</f>
        <v/>
      </c>
      <c r="AC138" s="27">
        <f>IF(B138="","",0.1*Z138+0.8*AA138+0.1*AB138)</f>
        <v/>
      </c>
      <c r="AD138" s="27">
        <f>IF(B138="","",IF(C138="Batch 1",0.3,0.2))</f>
        <v/>
      </c>
      <c r="AE138" s="19">
        <f>IF(B138="","",IF(AC138&lt;=AD138,"Đạt","Không đạt"))</f>
        <v/>
      </c>
      <c r="AF138" s="28" t="n"/>
    </row>
    <row r="139" ht="30" customHeight="1" s="36">
      <c r="A139" s="17" t="n">
        <v>137</v>
      </c>
      <c r="B139" s="18" t="n"/>
      <c r="C139" s="17" t="n"/>
      <c r="D139" s="17" t="n"/>
      <c r="E139" s="17" t="n"/>
      <c r="F139" s="26" t="n"/>
      <c r="G139" s="26" t="n"/>
      <c r="H139" s="26" t="n"/>
      <c r="I139" s="26" t="n"/>
      <c r="J139" s="26" t="n"/>
      <c r="K139" s="26" t="n"/>
      <c r="L139" s="26" t="n"/>
      <c r="M139" s="26" t="n"/>
      <c r="N139" s="26" t="n"/>
      <c r="O139" s="26" t="n"/>
      <c r="P139" s="26" t="n"/>
      <c r="Q139" s="26" t="n"/>
      <c r="R139" s="26" t="n"/>
      <c r="S139" s="26" t="n"/>
      <c r="T139" s="26" t="n"/>
      <c r="U139" s="26" t="n"/>
      <c r="V139" s="26" t="n"/>
      <c r="W139" s="26" t="n"/>
      <c r="X139" s="26" t="n"/>
      <c r="Y139" s="26" t="n"/>
      <c r="Z139" s="26">
        <f>IF(B139="","",IF(COUNTIF(F139:G139,"Fail")&gt;0,1,0))</f>
        <v/>
      </c>
      <c r="AA139" s="26">
        <f>IF(B139="","",IF(COUNTIF(H139:S139,"Fail")&gt;0,1,0))</f>
        <v/>
      </c>
      <c r="AB139" s="26">
        <f>IF(B139="","",IF(COUNTIF(T139:Y139,"Fail")&gt;0,1,0))</f>
        <v/>
      </c>
      <c r="AC139" s="27">
        <f>IF(B139="","",0.1*Z139+0.8*AA139+0.1*AB139)</f>
        <v/>
      </c>
      <c r="AD139" s="27">
        <f>IF(B139="","",IF(C139="Batch 1",0.3,0.2))</f>
        <v/>
      </c>
      <c r="AE139" s="19">
        <f>IF(B139="","",IF(AC139&lt;=AD139,"Đạt","Không đạt"))</f>
        <v/>
      </c>
      <c r="AF139" s="28" t="n"/>
    </row>
    <row r="140" ht="30" customHeight="1" s="36">
      <c r="A140" s="17" t="n">
        <v>138</v>
      </c>
      <c r="B140" s="18" t="n"/>
      <c r="C140" s="17" t="n"/>
      <c r="D140" s="17" t="n"/>
      <c r="E140" s="17" t="n"/>
      <c r="F140" s="26" t="n"/>
      <c r="G140" s="26" t="n"/>
      <c r="H140" s="26" t="n"/>
      <c r="I140" s="26" t="n"/>
      <c r="J140" s="26" t="n"/>
      <c r="K140" s="26" t="n"/>
      <c r="L140" s="26" t="n"/>
      <c r="M140" s="26" t="n"/>
      <c r="N140" s="26" t="n"/>
      <c r="O140" s="26" t="n"/>
      <c r="P140" s="26" t="n"/>
      <c r="Q140" s="26" t="n"/>
      <c r="R140" s="26" t="n"/>
      <c r="S140" s="26" t="n"/>
      <c r="T140" s="26" t="n"/>
      <c r="U140" s="26" t="n"/>
      <c r="V140" s="26" t="n"/>
      <c r="W140" s="26" t="n"/>
      <c r="X140" s="26" t="n"/>
      <c r="Y140" s="26" t="n"/>
      <c r="Z140" s="26">
        <f>IF(B140="","",IF(COUNTIF(F140:G140,"Fail")&gt;0,1,0))</f>
        <v/>
      </c>
      <c r="AA140" s="26">
        <f>IF(B140="","",IF(COUNTIF(H140:S140,"Fail")&gt;0,1,0))</f>
        <v/>
      </c>
      <c r="AB140" s="26">
        <f>IF(B140="","",IF(COUNTIF(T140:Y140,"Fail")&gt;0,1,0))</f>
        <v/>
      </c>
      <c r="AC140" s="27">
        <f>IF(B140="","",0.1*Z140+0.8*AA140+0.1*AB140)</f>
        <v/>
      </c>
      <c r="AD140" s="27">
        <f>IF(B140="","",IF(C140="Batch 1",0.3,0.2))</f>
        <v/>
      </c>
      <c r="AE140" s="19">
        <f>IF(B140="","",IF(AC140&lt;=AD140,"Đạt","Không đạt"))</f>
        <v/>
      </c>
      <c r="AF140" s="28" t="n"/>
    </row>
    <row r="141" ht="30" customHeight="1" s="36">
      <c r="A141" s="17" t="n">
        <v>139</v>
      </c>
      <c r="B141" s="18" t="n"/>
      <c r="C141" s="17" t="n"/>
      <c r="D141" s="17" t="n"/>
      <c r="E141" s="17" t="n"/>
      <c r="F141" s="26" t="n"/>
      <c r="G141" s="26" t="n"/>
      <c r="H141" s="26" t="n"/>
      <c r="I141" s="26" t="n"/>
      <c r="J141" s="26" t="n"/>
      <c r="K141" s="26" t="n"/>
      <c r="L141" s="26" t="n"/>
      <c r="M141" s="26" t="n"/>
      <c r="N141" s="26" t="n"/>
      <c r="O141" s="26" t="n"/>
      <c r="P141" s="26" t="n"/>
      <c r="Q141" s="26" t="n"/>
      <c r="R141" s="26" t="n"/>
      <c r="S141" s="26" t="n"/>
      <c r="T141" s="26" t="n"/>
      <c r="U141" s="26" t="n"/>
      <c r="V141" s="26" t="n"/>
      <c r="W141" s="26" t="n"/>
      <c r="X141" s="26" t="n"/>
      <c r="Y141" s="26" t="n"/>
      <c r="Z141" s="26">
        <f>IF(B141="","",IF(COUNTIF(F141:G141,"Fail")&gt;0,1,0))</f>
        <v/>
      </c>
      <c r="AA141" s="26">
        <f>IF(B141="","",IF(COUNTIF(H141:S141,"Fail")&gt;0,1,0))</f>
        <v/>
      </c>
      <c r="AB141" s="26">
        <f>IF(B141="","",IF(COUNTIF(T141:Y141,"Fail")&gt;0,1,0))</f>
        <v/>
      </c>
      <c r="AC141" s="27">
        <f>IF(B141="","",0.1*Z141+0.8*AA141+0.1*AB141)</f>
        <v/>
      </c>
      <c r="AD141" s="27">
        <f>IF(B141="","",IF(C141="Batch 1",0.3,0.2))</f>
        <v/>
      </c>
      <c r="AE141" s="19">
        <f>IF(B141="","",IF(AC141&lt;=AD141,"Đạt","Không đạt"))</f>
        <v/>
      </c>
      <c r="AF141" s="28" t="n"/>
    </row>
    <row r="142" ht="30" customHeight="1" s="36">
      <c r="A142" s="17" t="n">
        <v>140</v>
      </c>
      <c r="B142" s="18" t="n"/>
      <c r="C142" s="17" t="n"/>
      <c r="D142" s="17" t="n"/>
      <c r="E142" s="17" t="n"/>
      <c r="F142" s="26" t="n"/>
      <c r="G142" s="26" t="n"/>
      <c r="H142" s="26" t="n"/>
      <c r="I142" s="26" t="n"/>
      <c r="J142" s="26" t="n"/>
      <c r="K142" s="26" t="n"/>
      <c r="L142" s="26" t="n"/>
      <c r="M142" s="26" t="n"/>
      <c r="N142" s="26" t="n"/>
      <c r="O142" s="26" t="n"/>
      <c r="P142" s="26" t="n"/>
      <c r="Q142" s="26" t="n"/>
      <c r="R142" s="26" t="n"/>
      <c r="S142" s="26" t="n"/>
      <c r="T142" s="26" t="n"/>
      <c r="U142" s="26" t="n"/>
      <c r="V142" s="26" t="n"/>
      <c r="W142" s="26" t="n"/>
      <c r="X142" s="26" t="n"/>
      <c r="Y142" s="26" t="n"/>
      <c r="Z142" s="26">
        <f>IF(B142="","",IF(COUNTIF(F142:G142,"Fail")&gt;0,1,0))</f>
        <v/>
      </c>
      <c r="AA142" s="26">
        <f>IF(B142="","",IF(COUNTIF(H142:S142,"Fail")&gt;0,1,0))</f>
        <v/>
      </c>
      <c r="AB142" s="26">
        <f>IF(B142="","",IF(COUNTIF(T142:Y142,"Fail")&gt;0,1,0))</f>
        <v/>
      </c>
      <c r="AC142" s="27">
        <f>IF(B142="","",0.1*Z142+0.8*AA142+0.1*AB142)</f>
        <v/>
      </c>
      <c r="AD142" s="27">
        <f>IF(B142="","",IF(C142="Batch 1",0.3,0.2))</f>
        <v/>
      </c>
      <c r="AE142" s="19">
        <f>IF(B142="","",IF(AC142&lt;=AD142,"Đạt","Không đạt"))</f>
        <v/>
      </c>
      <c r="AF142" s="28" t="n"/>
    </row>
    <row r="143" ht="30" customHeight="1" s="36">
      <c r="A143" s="17" t="n">
        <v>141</v>
      </c>
      <c r="B143" s="18" t="n"/>
      <c r="C143" s="17" t="n"/>
      <c r="D143" s="17" t="n"/>
      <c r="E143" s="17" t="n"/>
      <c r="F143" s="26" t="n"/>
      <c r="G143" s="26" t="n"/>
      <c r="H143" s="26" t="n"/>
      <c r="I143" s="26" t="n"/>
      <c r="J143" s="26" t="n"/>
      <c r="K143" s="26" t="n"/>
      <c r="L143" s="26" t="n"/>
      <c r="M143" s="26" t="n"/>
      <c r="N143" s="26" t="n"/>
      <c r="O143" s="26" t="n"/>
      <c r="P143" s="26" t="n"/>
      <c r="Q143" s="26" t="n"/>
      <c r="R143" s="26" t="n"/>
      <c r="S143" s="26" t="n"/>
      <c r="T143" s="26" t="n"/>
      <c r="U143" s="26" t="n"/>
      <c r="V143" s="26" t="n"/>
      <c r="W143" s="26" t="n"/>
      <c r="X143" s="26" t="n"/>
      <c r="Y143" s="26" t="n"/>
      <c r="Z143" s="26">
        <f>IF(B143="","",IF(COUNTIF(F143:G143,"Fail")&gt;0,1,0))</f>
        <v/>
      </c>
      <c r="AA143" s="26">
        <f>IF(B143="","",IF(COUNTIF(H143:S143,"Fail")&gt;0,1,0))</f>
        <v/>
      </c>
      <c r="AB143" s="26">
        <f>IF(B143="","",IF(COUNTIF(T143:Y143,"Fail")&gt;0,1,0))</f>
        <v/>
      </c>
      <c r="AC143" s="27">
        <f>IF(B143="","",0.1*Z143+0.8*AA143+0.1*AB143)</f>
        <v/>
      </c>
      <c r="AD143" s="27">
        <f>IF(B143="","",IF(C143="Batch 1",0.3,0.2))</f>
        <v/>
      </c>
      <c r="AE143" s="19">
        <f>IF(B143="","",IF(AC143&lt;=AD143,"Đạt","Không đạt"))</f>
        <v/>
      </c>
      <c r="AF143" s="28" t="n"/>
    </row>
    <row r="144" ht="30" customHeight="1" s="36">
      <c r="A144" s="17" t="n">
        <v>142</v>
      </c>
      <c r="B144" s="18" t="n"/>
      <c r="C144" s="17" t="n"/>
      <c r="D144" s="17" t="n"/>
      <c r="E144" s="17" t="n"/>
      <c r="F144" s="26" t="n"/>
      <c r="G144" s="26" t="n"/>
      <c r="H144" s="26" t="n"/>
      <c r="I144" s="26" t="n"/>
      <c r="J144" s="26" t="n"/>
      <c r="K144" s="26" t="n"/>
      <c r="L144" s="26" t="n"/>
      <c r="M144" s="26" t="n"/>
      <c r="N144" s="26" t="n"/>
      <c r="O144" s="26" t="n"/>
      <c r="P144" s="26" t="n"/>
      <c r="Q144" s="26" t="n"/>
      <c r="R144" s="26" t="n"/>
      <c r="S144" s="26" t="n"/>
      <c r="T144" s="26" t="n"/>
      <c r="U144" s="26" t="n"/>
      <c r="V144" s="26" t="n"/>
      <c r="W144" s="26" t="n"/>
      <c r="X144" s="26" t="n"/>
      <c r="Y144" s="26" t="n"/>
      <c r="Z144" s="26">
        <f>IF(B144="","",IF(COUNTIF(F144:G144,"Fail")&gt;0,1,0))</f>
        <v/>
      </c>
      <c r="AA144" s="26">
        <f>IF(B144="","",IF(COUNTIF(H144:S144,"Fail")&gt;0,1,0))</f>
        <v/>
      </c>
      <c r="AB144" s="26">
        <f>IF(B144="","",IF(COUNTIF(T144:Y144,"Fail")&gt;0,1,0))</f>
        <v/>
      </c>
      <c r="AC144" s="27">
        <f>IF(B144="","",0.1*Z144+0.8*AA144+0.1*AB144)</f>
        <v/>
      </c>
      <c r="AD144" s="27">
        <f>IF(B144="","",IF(C144="Batch 1",0.3,0.2))</f>
        <v/>
      </c>
      <c r="AE144" s="19">
        <f>IF(B144="","",IF(AC144&lt;=AD144,"Đạt","Không đạt"))</f>
        <v/>
      </c>
      <c r="AF144" s="28" t="n"/>
    </row>
    <row r="145" ht="30" customHeight="1" s="36">
      <c r="A145" s="17" t="n">
        <v>143</v>
      </c>
      <c r="B145" s="18" t="n"/>
      <c r="C145" s="17" t="n"/>
      <c r="D145" s="17" t="n"/>
      <c r="E145" s="17" t="n"/>
      <c r="F145" s="26" t="n"/>
      <c r="G145" s="26" t="n"/>
      <c r="H145" s="26" t="n"/>
      <c r="I145" s="26" t="n"/>
      <c r="J145" s="26" t="n"/>
      <c r="K145" s="26" t="n"/>
      <c r="L145" s="26" t="n"/>
      <c r="M145" s="26" t="n"/>
      <c r="N145" s="26" t="n"/>
      <c r="O145" s="26" t="n"/>
      <c r="P145" s="26" t="n"/>
      <c r="Q145" s="26" t="n"/>
      <c r="R145" s="26" t="n"/>
      <c r="S145" s="26" t="n"/>
      <c r="T145" s="26" t="n"/>
      <c r="U145" s="26" t="n"/>
      <c r="V145" s="26" t="n"/>
      <c r="W145" s="26" t="n"/>
      <c r="X145" s="26" t="n"/>
      <c r="Y145" s="26" t="n"/>
      <c r="Z145" s="26">
        <f>IF(B145="","",IF(COUNTIF(F145:G145,"Fail")&gt;0,1,0))</f>
        <v/>
      </c>
      <c r="AA145" s="26">
        <f>IF(B145="","",IF(COUNTIF(H145:S145,"Fail")&gt;0,1,0))</f>
        <v/>
      </c>
      <c r="AB145" s="26">
        <f>IF(B145="","",IF(COUNTIF(T145:Y145,"Fail")&gt;0,1,0))</f>
        <v/>
      </c>
      <c r="AC145" s="27">
        <f>IF(B145="","",0.1*Z145+0.8*AA145+0.1*AB145)</f>
        <v/>
      </c>
      <c r="AD145" s="27">
        <f>IF(B145="","",IF(C145="Batch 1",0.3,0.2))</f>
        <v/>
      </c>
      <c r="AE145" s="19">
        <f>IF(B145="","",IF(AC145&lt;=AD145,"Đạt","Không đạt"))</f>
        <v/>
      </c>
      <c r="AF145" s="28" t="n"/>
    </row>
    <row r="146" ht="30" customHeight="1" s="36">
      <c r="A146" s="17" t="n">
        <v>144</v>
      </c>
      <c r="B146" s="18" t="n"/>
      <c r="C146" s="17" t="n"/>
      <c r="D146" s="17" t="n"/>
      <c r="E146" s="17" t="n"/>
      <c r="F146" s="26" t="n"/>
      <c r="G146" s="26" t="n"/>
      <c r="H146" s="26" t="n"/>
      <c r="I146" s="26" t="n"/>
      <c r="J146" s="26" t="n"/>
      <c r="K146" s="26" t="n"/>
      <c r="L146" s="26" t="n"/>
      <c r="M146" s="26" t="n"/>
      <c r="N146" s="26" t="n"/>
      <c r="O146" s="26" t="n"/>
      <c r="P146" s="26" t="n"/>
      <c r="Q146" s="26" t="n"/>
      <c r="R146" s="26" t="n"/>
      <c r="S146" s="26" t="n"/>
      <c r="T146" s="26" t="n"/>
      <c r="U146" s="26" t="n"/>
      <c r="V146" s="26" t="n"/>
      <c r="W146" s="26" t="n"/>
      <c r="X146" s="26" t="n"/>
      <c r="Y146" s="26" t="n"/>
      <c r="Z146" s="26">
        <f>IF(B146="","",IF(COUNTIF(F146:G146,"Fail")&gt;0,1,0))</f>
        <v/>
      </c>
      <c r="AA146" s="26">
        <f>IF(B146="","",IF(COUNTIF(H146:S146,"Fail")&gt;0,1,0))</f>
        <v/>
      </c>
      <c r="AB146" s="26">
        <f>IF(B146="","",IF(COUNTIF(T146:Y146,"Fail")&gt;0,1,0))</f>
        <v/>
      </c>
      <c r="AC146" s="27">
        <f>IF(B146="","",0.1*Z146+0.8*AA146+0.1*AB146)</f>
        <v/>
      </c>
      <c r="AD146" s="27">
        <f>IF(B146="","",IF(C146="Batch 1",0.3,0.2))</f>
        <v/>
      </c>
      <c r="AE146" s="19">
        <f>IF(B146="","",IF(AC146&lt;=AD146,"Đạt","Không đạt"))</f>
        <v/>
      </c>
      <c r="AF146" s="28" t="n"/>
    </row>
    <row r="147" ht="30" customHeight="1" s="36">
      <c r="A147" s="17" t="n">
        <v>145</v>
      </c>
      <c r="B147" s="18" t="n"/>
      <c r="C147" s="17" t="n"/>
      <c r="D147" s="17" t="n"/>
      <c r="E147" s="17" t="n"/>
      <c r="F147" s="26" t="n"/>
      <c r="G147" s="26" t="n"/>
      <c r="H147" s="26" t="n"/>
      <c r="I147" s="26" t="n"/>
      <c r="J147" s="26" t="n"/>
      <c r="K147" s="26" t="n"/>
      <c r="L147" s="26" t="n"/>
      <c r="M147" s="26" t="n"/>
      <c r="N147" s="26" t="n"/>
      <c r="O147" s="26" t="n"/>
      <c r="P147" s="26" t="n"/>
      <c r="Q147" s="26" t="n"/>
      <c r="R147" s="26" t="n"/>
      <c r="S147" s="26" t="n"/>
      <c r="T147" s="26" t="n"/>
      <c r="U147" s="26" t="n"/>
      <c r="V147" s="26" t="n"/>
      <c r="W147" s="26" t="n"/>
      <c r="X147" s="26" t="n"/>
      <c r="Y147" s="26" t="n"/>
      <c r="Z147" s="26">
        <f>IF(B147="","",IF(COUNTIF(F147:G147,"Fail")&gt;0,1,0))</f>
        <v/>
      </c>
      <c r="AA147" s="26">
        <f>IF(B147="","",IF(COUNTIF(H147:S147,"Fail")&gt;0,1,0))</f>
        <v/>
      </c>
      <c r="AB147" s="26">
        <f>IF(B147="","",IF(COUNTIF(T147:Y147,"Fail")&gt;0,1,0))</f>
        <v/>
      </c>
      <c r="AC147" s="27">
        <f>IF(B147="","",0.1*Z147+0.8*AA147+0.1*AB147)</f>
        <v/>
      </c>
      <c r="AD147" s="27">
        <f>IF(B147="","",IF(C147="Batch 1",0.3,0.2))</f>
        <v/>
      </c>
      <c r="AE147" s="19">
        <f>IF(B147="","",IF(AC147&lt;=AD147,"Đạt","Không đạt"))</f>
        <v/>
      </c>
      <c r="AF147" s="28" t="n"/>
    </row>
    <row r="148" ht="30" customHeight="1" s="36">
      <c r="A148" s="17" t="n">
        <v>146</v>
      </c>
      <c r="B148" s="18" t="n"/>
      <c r="C148" s="17" t="n"/>
      <c r="D148" s="17" t="n"/>
      <c r="E148" s="17" t="n"/>
      <c r="F148" s="26" t="n"/>
      <c r="G148" s="26" t="n"/>
      <c r="H148" s="26" t="n"/>
      <c r="I148" s="26" t="n"/>
      <c r="J148" s="26" t="n"/>
      <c r="K148" s="26" t="n"/>
      <c r="L148" s="26" t="n"/>
      <c r="M148" s="26" t="n"/>
      <c r="N148" s="26" t="n"/>
      <c r="O148" s="26" t="n"/>
      <c r="P148" s="26" t="n"/>
      <c r="Q148" s="26" t="n"/>
      <c r="R148" s="26" t="n"/>
      <c r="S148" s="26" t="n"/>
      <c r="T148" s="26" t="n"/>
      <c r="U148" s="26" t="n"/>
      <c r="V148" s="26" t="n"/>
      <c r="W148" s="26" t="n"/>
      <c r="X148" s="26" t="n"/>
      <c r="Y148" s="26" t="n"/>
      <c r="Z148" s="26">
        <f>IF(B148="","",IF(COUNTIF(F148:G148,"Fail")&gt;0,1,0))</f>
        <v/>
      </c>
      <c r="AA148" s="26">
        <f>IF(B148="","",IF(COUNTIF(H148:S148,"Fail")&gt;0,1,0))</f>
        <v/>
      </c>
      <c r="AB148" s="26">
        <f>IF(B148="","",IF(COUNTIF(T148:Y148,"Fail")&gt;0,1,0))</f>
        <v/>
      </c>
      <c r="AC148" s="27">
        <f>IF(B148="","",0.1*Z148+0.8*AA148+0.1*AB148)</f>
        <v/>
      </c>
      <c r="AD148" s="27">
        <f>IF(B148="","",IF(C148="Batch 1",0.3,0.2))</f>
        <v/>
      </c>
      <c r="AE148" s="19">
        <f>IF(B148="","",IF(AC148&lt;=AD148,"Đạt","Không đạt"))</f>
        <v/>
      </c>
      <c r="AF148" s="28" t="n"/>
    </row>
    <row r="149" ht="30" customHeight="1" s="36">
      <c r="A149" s="17" t="n">
        <v>147</v>
      </c>
      <c r="B149" s="18" t="n"/>
      <c r="C149" s="17" t="n"/>
      <c r="D149" s="17" t="n"/>
      <c r="E149" s="17" t="n"/>
      <c r="F149" s="26" t="n"/>
      <c r="G149" s="26" t="n"/>
      <c r="H149" s="26" t="n"/>
      <c r="I149" s="26" t="n"/>
      <c r="J149" s="26" t="n"/>
      <c r="K149" s="26" t="n"/>
      <c r="L149" s="26" t="n"/>
      <c r="M149" s="26" t="n"/>
      <c r="N149" s="26" t="n"/>
      <c r="O149" s="26" t="n"/>
      <c r="P149" s="26" t="n"/>
      <c r="Q149" s="26" t="n"/>
      <c r="R149" s="26" t="n"/>
      <c r="S149" s="26" t="n"/>
      <c r="T149" s="26" t="n"/>
      <c r="U149" s="26" t="n"/>
      <c r="V149" s="26" t="n"/>
      <c r="W149" s="26" t="n"/>
      <c r="X149" s="26" t="n"/>
      <c r="Y149" s="26" t="n"/>
      <c r="Z149" s="26">
        <f>IF(B149="","",IF(COUNTIF(F149:G149,"Fail")&gt;0,1,0))</f>
        <v/>
      </c>
      <c r="AA149" s="26">
        <f>IF(B149="","",IF(COUNTIF(H149:S149,"Fail")&gt;0,1,0))</f>
        <v/>
      </c>
      <c r="AB149" s="26">
        <f>IF(B149="","",IF(COUNTIF(T149:Y149,"Fail")&gt;0,1,0))</f>
        <v/>
      </c>
      <c r="AC149" s="27">
        <f>IF(B149="","",0.1*Z149+0.8*AA149+0.1*AB149)</f>
        <v/>
      </c>
      <c r="AD149" s="27">
        <f>IF(B149="","",IF(C149="Batch 1",0.3,0.2))</f>
        <v/>
      </c>
      <c r="AE149" s="19">
        <f>IF(B149="","",IF(AC149&lt;=AD149,"Đạt","Không đạt"))</f>
        <v/>
      </c>
      <c r="AF149" s="28" t="n"/>
    </row>
    <row r="150" ht="30" customHeight="1" s="36">
      <c r="A150" s="17" t="n">
        <v>148</v>
      </c>
      <c r="B150" s="18" t="n"/>
      <c r="C150" s="17" t="n"/>
      <c r="D150" s="17" t="n"/>
      <c r="E150" s="17" t="n"/>
      <c r="F150" s="26" t="n"/>
      <c r="G150" s="26" t="n"/>
      <c r="H150" s="26" t="n"/>
      <c r="I150" s="26" t="n"/>
      <c r="J150" s="26" t="n"/>
      <c r="K150" s="26" t="n"/>
      <c r="L150" s="26" t="n"/>
      <c r="M150" s="26" t="n"/>
      <c r="N150" s="26" t="n"/>
      <c r="O150" s="26" t="n"/>
      <c r="P150" s="26" t="n"/>
      <c r="Q150" s="26" t="n"/>
      <c r="R150" s="26" t="n"/>
      <c r="S150" s="26" t="n"/>
      <c r="T150" s="26" t="n"/>
      <c r="U150" s="26" t="n"/>
      <c r="V150" s="26" t="n"/>
      <c r="W150" s="26" t="n"/>
      <c r="X150" s="26" t="n"/>
      <c r="Y150" s="26" t="n"/>
      <c r="Z150" s="26">
        <f>IF(B150="","",IF(COUNTIF(F150:G150,"Fail")&gt;0,1,0))</f>
        <v/>
      </c>
      <c r="AA150" s="26">
        <f>IF(B150="","",IF(COUNTIF(H150:S150,"Fail")&gt;0,1,0))</f>
        <v/>
      </c>
      <c r="AB150" s="26">
        <f>IF(B150="","",IF(COUNTIF(T150:Y150,"Fail")&gt;0,1,0))</f>
        <v/>
      </c>
      <c r="AC150" s="27">
        <f>IF(B150="","",0.1*Z150+0.8*AA150+0.1*AB150)</f>
        <v/>
      </c>
      <c r="AD150" s="27">
        <f>IF(B150="","",IF(C150="Batch 1",0.3,0.2))</f>
        <v/>
      </c>
      <c r="AE150" s="19">
        <f>IF(B150="","",IF(AC150&lt;=AD150,"Đạt","Không đạt"))</f>
        <v/>
      </c>
      <c r="AF150" s="28" t="n"/>
    </row>
    <row r="151" ht="30" customHeight="1" s="36">
      <c r="A151" s="17" t="n">
        <v>149</v>
      </c>
      <c r="B151" s="18" t="n"/>
      <c r="C151" s="17" t="n"/>
      <c r="D151" s="17" t="n"/>
      <c r="E151" s="17" t="n"/>
      <c r="F151" s="26" t="n"/>
      <c r="G151" s="26" t="n"/>
      <c r="H151" s="26" t="n"/>
      <c r="I151" s="26" t="n"/>
      <c r="J151" s="26" t="n"/>
      <c r="K151" s="26" t="n"/>
      <c r="L151" s="26" t="n"/>
      <c r="M151" s="26" t="n"/>
      <c r="N151" s="26" t="n"/>
      <c r="O151" s="26" t="n"/>
      <c r="P151" s="26" t="n"/>
      <c r="Q151" s="26" t="n"/>
      <c r="R151" s="26" t="n"/>
      <c r="S151" s="26" t="n"/>
      <c r="T151" s="26" t="n"/>
      <c r="U151" s="26" t="n"/>
      <c r="V151" s="26" t="n"/>
      <c r="W151" s="26" t="n"/>
      <c r="X151" s="26" t="n"/>
      <c r="Y151" s="26" t="n"/>
      <c r="Z151" s="26">
        <f>IF(B151="","",IF(COUNTIF(F151:G151,"Fail")&gt;0,1,0))</f>
        <v/>
      </c>
      <c r="AA151" s="26">
        <f>IF(B151="","",IF(COUNTIF(H151:S151,"Fail")&gt;0,1,0))</f>
        <v/>
      </c>
      <c r="AB151" s="26">
        <f>IF(B151="","",IF(COUNTIF(T151:Y151,"Fail")&gt;0,1,0))</f>
        <v/>
      </c>
      <c r="AC151" s="27">
        <f>IF(B151="","",0.1*Z151+0.8*AA151+0.1*AB151)</f>
        <v/>
      </c>
      <c r="AD151" s="27">
        <f>IF(B151="","",IF(C151="Batch 1",0.3,0.2))</f>
        <v/>
      </c>
      <c r="AE151" s="19">
        <f>IF(B151="","",IF(AC151&lt;=AD151,"Đạt","Không đạt"))</f>
        <v/>
      </c>
      <c r="AF151" s="28" t="n"/>
    </row>
    <row r="152" ht="30" customHeight="1" s="36">
      <c r="A152" s="17" t="n">
        <v>150</v>
      </c>
      <c r="B152" s="18" t="n"/>
      <c r="C152" s="17" t="n"/>
      <c r="D152" s="17" t="n"/>
      <c r="E152" s="17" t="n"/>
      <c r="F152" s="26" t="n"/>
      <c r="G152" s="26" t="n"/>
      <c r="H152" s="26" t="n"/>
      <c r="I152" s="26" t="n"/>
      <c r="J152" s="26" t="n"/>
      <c r="K152" s="26" t="n"/>
      <c r="L152" s="26" t="n"/>
      <c r="M152" s="26" t="n"/>
      <c r="N152" s="26" t="n"/>
      <c r="O152" s="26" t="n"/>
      <c r="P152" s="26" t="n"/>
      <c r="Q152" s="26" t="n"/>
      <c r="R152" s="26" t="n"/>
      <c r="S152" s="26" t="n"/>
      <c r="T152" s="26" t="n"/>
      <c r="U152" s="26" t="n"/>
      <c r="V152" s="26" t="n"/>
      <c r="W152" s="26" t="n"/>
      <c r="X152" s="26" t="n"/>
      <c r="Y152" s="26" t="n"/>
      <c r="Z152" s="26">
        <f>IF(B152="","",IF(COUNTIF(F152:G152,"Fail")&gt;0,1,0))</f>
        <v/>
      </c>
      <c r="AA152" s="26">
        <f>IF(B152="","",IF(COUNTIF(H152:S152,"Fail")&gt;0,1,0))</f>
        <v/>
      </c>
      <c r="AB152" s="26">
        <f>IF(B152="","",IF(COUNTIF(T152:Y152,"Fail")&gt;0,1,0))</f>
        <v/>
      </c>
      <c r="AC152" s="27">
        <f>IF(B152="","",0.1*Z152+0.8*AA152+0.1*AB152)</f>
        <v/>
      </c>
      <c r="AD152" s="27">
        <f>IF(B152="","",IF(C152="Batch 1",0.3,0.2))</f>
        <v/>
      </c>
      <c r="AE152" s="19">
        <f>IF(B152="","",IF(AC152&lt;=AD152,"Đạt","Không đạt"))</f>
        <v/>
      </c>
      <c r="AF152" s="28" t="n"/>
    </row>
    <row r="153" ht="30" customHeight="1" s="36">
      <c r="A153" s="17" t="n">
        <v>151</v>
      </c>
      <c r="B153" s="18" t="n"/>
      <c r="C153" s="17" t="n"/>
      <c r="D153" s="17" t="n"/>
      <c r="E153" s="17" t="n"/>
      <c r="F153" s="26" t="n"/>
      <c r="G153" s="26" t="n"/>
      <c r="H153" s="26" t="n"/>
      <c r="I153" s="26" t="n"/>
      <c r="J153" s="26" t="n"/>
      <c r="K153" s="26" t="n"/>
      <c r="L153" s="26" t="n"/>
      <c r="M153" s="26" t="n"/>
      <c r="N153" s="26" t="n"/>
      <c r="O153" s="26" t="n"/>
      <c r="P153" s="26" t="n"/>
      <c r="Q153" s="26" t="n"/>
      <c r="R153" s="26" t="n"/>
      <c r="S153" s="26" t="n"/>
      <c r="T153" s="26" t="n"/>
      <c r="U153" s="26" t="n"/>
      <c r="V153" s="26" t="n"/>
      <c r="W153" s="26" t="n"/>
      <c r="X153" s="26" t="n"/>
      <c r="Y153" s="26" t="n"/>
      <c r="Z153" s="26">
        <f>IF(B153="","",IF(COUNTIF(F153:G153,"Fail")&gt;0,1,0))</f>
        <v/>
      </c>
      <c r="AA153" s="26">
        <f>IF(B153="","",IF(COUNTIF(H153:S153,"Fail")&gt;0,1,0))</f>
        <v/>
      </c>
      <c r="AB153" s="26">
        <f>IF(B153="","",IF(COUNTIF(T153:Y153,"Fail")&gt;0,1,0))</f>
        <v/>
      </c>
      <c r="AC153" s="27">
        <f>IF(B153="","",0.1*Z153+0.8*AA153+0.1*AB153)</f>
        <v/>
      </c>
      <c r="AD153" s="27">
        <f>IF(B153="","",IF(C153="Batch 1",0.3,0.2))</f>
        <v/>
      </c>
      <c r="AE153" s="19">
        <f>IF(B153="","",IF(AC153&lt;=AD153,"Đạt","Không đạt"))</f>
        <v/>
      </c>
      <c r="AF153" s="28" t="n"/>
    </row>
    <row r="154" ht="30" customHeight="1" s="36">
      <c r="A154" s="17" t="n">
        <v>152</v>
      </c>
      <c r="B154" s="18" t="n"/>
      <c r="C154" s="17" t="n"/>
      <c r="D154" s="17" t="n"/>
      <c r="E154" s="17" t="n"/>
      <c r="F154" s="26" t="n"/>
      <c r="G154" s="26" t="n"/>
      <c r="H154" s="26" t="n"/>
      <c r="I154" s="26" t="n"/>
      <c r="J154" s="26" t="n"/>
      <c r="K154" s="26" t="n"/>
      <c r="L154" s="26" t="n"/>
      <c r="M154" s="26" t="n"/>
      <c r="N154" s="26" t="n"/>
      <c r="O154" s="26" t="n"/>
      <c r="P154" s="26" t="n"/>
      <c r="Q154" s="26" t="n"/>
      <c r="R154" s="26" t="n"/>
      <c r="S154" s="26" t="n"/>
      <c r="T154" s="26" t="n"/>
      <c r="U154" s="26" t="n"/>
      <c r="V154" s="26" t="n"/>
      <c r="W154" s="26" t="n"/>
      <c r="X154" s="26" t="n"/>
      <c r="Y154" s="26" t="n"/>
      <c r="Z154" s="26">
        <f>IF(B154="","",IF(COUNTIF(F154:G154,"Fail")&gt;0,1,0))</f>
        <v/>
      </c>
      <c r="AA154" s="26">
        <f>IF(B154="","",IF(COUNTIF(H154:S154,"Fail")&gt;0,1,0))</f>
        <v/>
      </c>
      <c r="AB154" s="26">
        <f>IF(B154="","",IF(COUNTIF(T154:Y154,"Fail")&gt;0,1,0))</f>
        <v/>
      </c>
      <c r="AC154" s="27">
        <f>IF(B154="","",0.1*Z154+0.8*AA154+0.1*AB154)</f>
        <v/>
      </c>
      <c r="AD154" s="27">
        <f>IF(B154="","",IF(C154="Batch 1",0.3,0.2))</f>
        <v/>
      </c>
      <c r="AE154" s="19">
        <f>IF(B154="","",IF(AC154&lt;=AD154,"Đạt","Không đạt"))</f>
        <v/>
      </c>
      <c r="AF154" s="28" t="n"/>
    </row>
    <row r="155" ht="30" customHeight="1" s="36">
      <c r="A155" s="17" t="n">
        <v>153</v>
      </c>
      <c r="B155" s="18" t="n"/>
      <c r="C155" s="17" t="n"/>
      <c r="D155" s="17" t="n"/>
      <c r="E155" s="17" t="n"/>
      <c r="F155" s="26" t="n"/>
      <c r="G155" s="26" t="n"/>
      <c r="H155" s="26" t="n"/>
      <c r="I155" s="26" t="n"/>
      <c r="J155" s="26" t="n"/>
      <c r="K155" s="26" t="n"/>
      <c r="L155" s="26" t="n"/>
      <c r="M155" s="26" t="n"/>
      <c r="N155" s="26" t="n"/>
      <c r="O155" s="26" t="n"/>
      <c r="P155" s="26" t="n"/>
      <c r="Q155" s="26" t="n"/>
      <c r="R155" s="26" t="n"/>
      <c r="S155" s="26" t="n"/>
      <c r="T155" s="26" t="n"/>
      <c r="U155" s="26" t="n"/>
      <c r="V155" s="26" t="n"/>
      <c r="W155" s="26" t="n"/>
      <c r="X155" s="26" t="n"/>
      <c r="Y155" s="26" t="n"/>
      <c r="Z155" s="26">
        <f>IF(B155="","",IF(COUNTIF(F155:G155,"Fail")&gt;0,1,0))</f>
        <v/>
      </c>
      <c r="AA155" s="26">
        <f>IF(B155="","",IF(COUNTIF(H155:S155,"Fail")&gt;0,1,0))</f>
        <v/>
      </c>
      <c r="AB155" s="26">
        <f>IF(B155="","",IF(COUNTIF(T155:Y155,"Fail")&gt;0,1,0))</f>
        <v/>
      </c>
      <c r="AC155" s="27">
        <f>IF(B155="","",0.1*Z155+0.8*AA155+0.1*AB155)</f>
        <v/>
      </c>
      <c r="AD155" s="27">
        <f>IF(B155="","",IF(C155="Batch 1",0.3,0.2))</f>
        <v/>
      </c>
      <c r="AE155" s="19">
        <f>IF(B155="","",IF(AC155&lt;=AD155,"Đạt","Không đạt"))</f>
        <v/>
      </c>
      <c r="AF155" s="28" t="n"/>
    </row>
    <row r="156" ht="30" customHeight="1" s="36">
      <c r="A156" s="17" t="n">
        <v>154</v>
      </c>
      <c r="B156" s="18" t="n"/>
      <c r="C156" s="17" t="n"/>
      <c r="D156" s="17" t="n"/>
      <c r="E156" s="17" t="n"/>
      <c r="F156" s="26" t="n"/>
      <c r="G156" s="26" t="n"/>
      <c r="H156" s="26" t="n"/>
      <c r="I156" s="26" t="n"/>
      <c r="J156" s="26" t="n"/>
      <c r="K156" s="26" t="n"/>
      <c r="L156" s="26" t="n"/>
      <c r="M156" s="26" t="n"/>
      <c r="N156" s="26" t="n"/>
      <c r="O156" s="26" t="n"/>
      <c r="P156" s="26" t="n"/>
      <c r="Q156" s="26" t="n"/>
      <c r="R156" s="26" t="n"/>
      <c r="S156" s="26" t="n"/>
      <c r="T156" s="26" t="n"/>
      <c r="U156" s="26" t="n"/>
      <c r="V156" s="26" t="n"/>
      <c r="W156" s="26" t="n"/>
      <c r="X156" s="26" t="n"/>
      <c r="Y156" s="26" t="n"/>
      <c r="Z156" s="26">
        <f>IF(B156="","",IF(COUNTIF(F156:G156,"Fail")&gt;0,1,0))</f>
        <v/>
      </c>
      <c r="AA156" s="26">
        <f>IF(B156="","",IF(COUNTIF(H156:S156,"Fail")&gt;0,1,0))</f>
        <v/>
      </c>
      <c r="AB156" s="26">
        <f>IF(B156="","",IF(COUNTIF(T156:Y156,"Fail")&gt;0,1,0))</f>
        <v/>
      </c>
      <c r="AC156" s="27">
        <f>IF(B156="","",0.1*Z156+0.8*AA156+0.1*AB156)</f>
        <v/>
      </c>
      <c r="AD156" s="27">
        <f>IF(B156="","",IF(C156="Batch 1",0.3,0.2))</f>
        <v/>
      </c>
      <c r="AE156" s="19">
        <f>IF(B156="","",IF(AC156&lt;=AD156,"Đạt","Không đạt"))</f>
        <v/>
      </c>
      <c r="AF156" s="28" t="n"/>
    </row>
    <row r="157" ht="30" customHeight="1" s="36">
      <c r="A157" s="17" t="n">
        <v>155</v>
      </c>
      <c r="B157" s="18" t="n"/>
      <c r="C157" s="17" t="n"/>
      <c r="D157" s="17" t="n"/>
      <c r="E157" s="17" t="n"/>
      <c r="F157" s="26" t="n"/>
      <c r="G157" s="26" t="n"/>
      <c r="H157" s="26" t="n"/>
      <c r="I157" s="26" t="n"/>
      <c r="J157" s="26" t="n"/>
      <c r="K157" s="26" t="n"/>
      <c r="L157" s="26" t="n"/>
      <c r="M157" s="26" t="n"/>
      <c r="N157" s="26" t="n"/>
      <c r="O157" s="26" t="n"/>
      <c r="P157" s="26" t="n"/>
      <c r="Q157" s="26" t="n"/>
      <c r="R157" s="26" t="n"/>
      <c r="S157" s="26" t="n"/>
      <c r="T157" s="26" t="n"/>
      <c r="U157" s="26" t="n"/>
      <c r="V157" s="26" t="n"/>
      <c r="W157" s="26" t="n"/>
      <c r="X157" s="26" t="n"/>
      <c r="Y157" s="26" t="n"/>
      <c r="Z157" s="26">
        <f>IF(B157="","",IF(COUNTIF(F157:G157,"Fail")&gt;0,1,0))</f>
        <v/>
      </c>
      <c r="AA157" s="26">
        <f>IF(B157="","",IF(COUNTIF(H157:S157,"Fail")&gt;0,1,0))</f>
        <v/>
      </c>
      <c r="AB157" s="26">
        <f>IF(B157="","",IF(COUNTIF(T157:Y157,"Fail")&gt;0,1,0))</f>
        <v/>
      </c>
      <c r="AC157" s="27">
        <f>IF(B157="","",0.1*Z157+0.8*AA157+0.1*AB157)</f>
        <v/>
      </c>
      <c r="AD157" s="27">
        <f>IF(B157="","",IF(C157="Batch 1",0.3,0.2))</f>
        <v/>
      </c>
      <c r="AE157" s="19">
        <f>IF(B157="","",IF(AC157&lt;=AD157,"Đạt","Không đạt"))</f>
        <v/>
      </c>
      <c r="AF157" s="28" t="n"/>
    </row>
    <row r="158" ht="30" customHeight="1" s="36">
      <c r="A158" s="17" t="n">
        <v>156</v>
      </c>
      <c r="B158" s="18" t="n"/>
      <c r="C158" s="17" t="n"/>
      <c r="D158" s="17" t="n"/>
      <c r="E158" s="17" t="n"/>
      <c r="F158" s="26" t="n"/>
      <c r="G158" s="26" t="n"/>
      <c r="H158" s="26" t="n"/>
      <c r="I158" s="26" t="n"/>
      <c r="J158" s="26" t="n"/>
      <c r="K158" s="26" t="n"/>
      <c r="L158" s="26" t="n"/>
      <c r="M158" s="26" t="n"/>
      <c r="N158" s="26" t="n"/>
      <c r="O158" s="26" t="n"/>
      <c r="P158" s="26" t="n"/>
      <c r="Q158" s="26" t="n"/>
      <c r="R158" s="26" t="n"/>
      <c r="S158" s="26" t="n"/>
      <c r="T158" s="26" t="n"/>
      <c r="U158" s="26" t="n"/>
      <c r="V158" s="26" t="n"/>
      <c r="W158" s="26" t="n"/>
      <c r="X158" s="26" t="n"/>
      <c r="Y158" s="26" t="n"/>
      <c r="Z158" s="26">
        <f>IF(B158="","",IF(COUNTIF(F158:G158,"Fail")&gt;0,1,0))</f>
        <v/>
      </c>
      <c r="AA158" s="26">
        <f>IF(B158="","",IF(COUNTIF(H158:S158,"Fail")&gt;0,1,0))</f>
        <v/>
      </c>
      <c r="AB158" s="26">
        <f>IF(B158="","",IF(COUNTIF(T158:Y158,"Fail")&gt;0,1,0))</f>
        <v/>
      </c>
      <c r="AC158" s="27">
        <f>IF(B158="","",0.1*Z158+0.8*AA158+0.1*AB158)</f>
        <v/>
      </c>
      <c r="AD158" s="27">
        <f>IF(B158="","",IF(C158="Batch 1",0.3,0.2))</f>
        <v/>
      </c>
      <c r="AE158" s="19">
        <f>IF(B158="","",IF(AC158&lt;=AD158,"Đạt","Không đạt"))</f>
        <v/>
      </c>
      <c r="AF158" s="28" t="n"/>
    </row>
    <row r="159" ht="30" customHeight="1" s="36">
      <c r="A159" s="17" t="n">
        <v>157</v>
      </c>
      <c r="B159" s="18" t="n"/>
      <c r="C159" s="17" t="n"/>
      <c r="D159" s="17" t="n"/>
      <c r="E159" s="17" t="n"/>
      <c r="F159" s="26" t="n"/>
      <c r="G159" s="26" t="n"/>
      <c r="H159" s="26" t="n"/>
      <c r="I159" s="26" t="n"/>
      <c r="J159" s="26" t="n"/>
      <c r="K159" s="26" t="n"/>
      <c r="L159" s="26" t="n"/>
      <c r="M159" s="26" t="n"/>
      <c r="N159" s="26" t="n"/>
      <c r="O159" s="26" t="n"/>
      <c r="P159" s="26" t="n"/>
      <c r="Q159" s="26" t="n"/>
      <c r="R159" s="26" t="n"/>
      <c r="S159" s="26" t="n"/>
      <c r="T159" s="26" t="n"/>
      <c r="U159" s="26" t="n"/>
      <c r="V159" s="26" t="n"/>
      <c r="W159" s="26" t="n"/>
      <c r="X159" s="26" t="n"/>
      <c r="Y159" s="26" t="n"/>
      <c r="Z159" s="26">
        <f>IF(B159="","",IF(COUNTIF(F159:G159,"Fail")&gt;0,1,0))</f>
        <v/>
      </c>
      <c r="AA159" s="26">
        <f>IF(B159="","",IF(COUNTIF(H159:S159,"Fail")&gt;0,1,0))</f>
        <v/>
      </c>
      <c r="AB159" s="26">
        <f>IF(B159="","",IF(COUNTIF(T159:Y159,"Fail")&gt;0,1,0))</f>
        <v/>
      </c>
      <c r="AC159" s="27">
        <f>IF(B159="","",0.1*Z159+0.8*AA159+0.1*AB159)</f>
        <v/>
      </c>
      <c r="AD159" s="27">
        <f>IF(B159="","",IF(C159="Batch 1",0.3,0.2))</f>
        <v/>
      </c>
      <c r="AE159" s="19">
        <f>IF(B159="","",IF(AC159&lt;=AD159,"Đạt","Không đạt"))</f>
        <v/>
      </c>
      <c r="AF159" s="28" t="n"/>
    </row>
    <row r="160" ht="30" customHeight="1" s="36">
      <c r="A160" s="17" t="n">
        <v>158</v>
      </c>
      <c r="B160" s="18" t="n"/>
      <c r="C160" s="17" t="n"/>
      <c r="D160" s="17" t="n"/>
      <c r="E160" s="17" t="n"/>
      <c r="F160" s="26" t="n"/>
      <c r="G160" s="26" t="n"/>
      <c r="H160" s="26" t="n"/>
      <c r="I160" s="26" t="n"/>
      <c r="J160" s="26" t="n"/>
      <c r="K160" s="26" t="n"/>
      <c r="L160" s="26" t="n"/>
      <c r="M160" s="26" t="n"/>
      <c r="N160" s="26" t="n"/>
      <c r="O160" s="26" t="n"/>
      <c r="P160" s="26" t="n"/>
      <c r="Q160" s="26" t="n"/>
      <c r="R160" s="26" t="n"/>
      <c r="S160" s="26" t="n"/>
      <c r="T160" s="26" t="n"/>
      <c r="U160" s="26" t="n"/>
      <c r="V160" s="26" t="n"/>
      <c r="W160" s="26" t="n"/>
      <c r="X160" s="26" t="n"/>
      <c r="Y160" s="26" t="n"/>
      <c r="Z160" s="26">
        <f>IF(B160="","",IF(COUNTIF(F160:G160,"Fail")&gt;0,1,0))</f>
        <v/>
      </c>
      <c r="AA160" s="26">
        <f>IF(B160="","",IF(COUNTIF(H160:S160,"Fail")&gt;0,1,0))</f>
        <v/>
      </c>
      <c r="AB160" s="26">
        <f>IF(B160="","",IF(COUNTIF(T160:Y160,"Fail")&gt;0,1,0))</f>
        <v/>
      </c>
      <c r="AC160" s="27">
        <f>IF(B160="","",0.1*Z160+0.8*AA160+0.1*AB160)</f>
        <v/>
      </c>
      <c r="AD160" s="27">
        <f>IF(B160="","",IF(C160="Batch 1",0.3,0.2))</f>
        <v/>
      </c>
      <c r="AE160" s="19">
        <f>IF(B160="","",IF(AC160&lt;=AD160,"Đạt","Không đạt"))</f>
        <v/>
      </c>
      <c r="AF160" s="28" t="n"/>
    </row>
    <row r="161" ht="30" customHeight="1" s="36">
      <c r="A161" s="17" t="n">
        <v>159</v>
      </c>
      <c r="B161" s="18" t="n"/>
      <c r="C161" s="17" t="n"/>
      <c r="D161" s="17" t="n"/>
      <c r="E161" s="17" t="n"/>
      <c r="F161" s="26" t="n"/>
      <c r="G161" s="26" t="n"/>
      <c r="H161" s="26" t="n"/>
      <c r="I161" s="26" t="n"/>
      <c r="J161" s="26" t="n"/>
      <c r="K161" s="26" t="n"/>
      <c r="L161" s="26" t="n"/>
      <c r="M161" s="26" t="n"/>
      <c r="N161" s="26" t="n"/>
      <c r="O161" s="26" t="n"/>
      <c r="P161" s="26" t="n"/>
      <c r="Q161" s="26" t="n"/>
      <c r="R161" s="26" t="n"/>
      <c r="S161" s="26" t="n"/>
      <c r="T161" s="26" t="n"/>
      <c r="U161" s="26" t="n"/>
      <c r="V161" s="26" t="n"/>
      <c r="W161" s="26" t="n"/>
      <c r="X161" s="26" t="n"/>
      <c r="Y161" s="26" t="n"/>
      <c r="Z161" s="26">
        <f>IF(B161="","",IF(COUNTIF(F161:G161,"Fail")&gt;0,1,0))</f>
        <v/>
      </c>
      <c r="AA161" s="26">
        <f>IF(B161="","",IF(COUNTIF(H161:S161,"Fail")&gt;0,1,0))</f>
        <v/>
      </c>
      <c r="AB161" s="26">
        <f>IF(B161="","",IF(COUNTIF(T161:Y161,"Fail")&gt;0,1,0))</f>
        <v/>
      </c>
      <c r="AC161" s="27">
        <f>IF(B161="","",0.1*Z161+0.8*AA161+0.1*AB161)</f>
        <v/>
      </c>
      <c r="AD161" s="27">
        <f>IF(B161="","",IF(C161="Batch 1",0.3,0.2))</f>
        <v/>
      </c>
      <c r="AE161" s="19">
        <f>IF(B161="","",IF(AC161&lt;=AD161,"Đạt","Không đạt"))</f>
        <v/>
      </c>
      <c r="AF161" s="28" t="n"/>
    </row>
    <row r="162" ht="30" customHeight="1" s="36">
      <c r="A162" s="17" t="n">
        <v>160</v>
      </c>
      <c r="B162" s="18" t="n"/>
      <c r="C162" s="17" t="n"/>
      <c r="D162" s="17" t="n"/>
      <c r="E162" s="17" t="n"/>
      <c r="F162" s="26" t="n"/>
      <c r="G162" s="26" t="n"/>
      <c r="H162" s="26" t="n"/>
      <c r="I162" s="26" t="n"/>
      <c r="J162" s="26" t="n"/>
      <c r="K162" s="26" t="n"/>
      <c r="L162" s="26" t="n"/>
      <c r="M162" s="26" t="n"/>
      <c r="N162" s="26" t="n"/>
      <c r="O162" s="26" t="n"/>
      <c r="P162" s="26" t="n"/>
      <c r="Q162" s="26" t="n"/>
      <c r="R162" s="26" t="n"/>
      <c r="S162" s="26" t="n"/>
      <c r="T162" s="26" t="n"/>
      <c r="U162" s="26" t="n"/>
      <c r="V162" s="26" t="n"/>
      <c r="W162" s="26" t="n"/>
      <c r="X162" s="26" t="n"/>
      <c r="Y162" s="26" t="n"/>
      <c r="Z162" s="26">
        <f>IF(B162="","",IF(COUNTIF(F162:G162,"Fail")&gt;0,1,0))</f>
        <v/>
      </c>
      <c r="AA162" s="26">
        <f>IF(B162="","",IF(COUNTIF(H162:S162,"Fail")&gt;0,1,0))</f>
        <v/>
      </c>
      <c r="AB162" s="26">
        <f>IF(B162="","",IF(COUNTIF(T162:Y162,"Fail")&gt;0,1,0))</f>
        <v/>
      </c>
      <c r="AC162" s="27">
        <f>IF(B162="","",0.1*Z162+0.8*AA162+0.1*AB162)</f>
        <v/>
      </c>
      <c r="AD162" s="27">
        <f>IF(B162="","",IF(C162="Batch 1",0.3,0.2))</f>
        <v/>
      </c>
      <c r="AE162" s="19">
        <f>IF(B162="","",IF(AC162&lt;=AD162,"Đạt","Không đạt"))</f>
        <v/>
      </c>
      <c r="AF162" s="28" t="n"/>
    </row>
    <row r="163" ht="30" customHeight="1" s="36">
      <c r="A163" s="17" t="n">
        <v>161</v>
      </c>
      <c r="B163" s="18" t="n"/>
      <c r="C163" s="17" t="n"/>
      <c r="D163" s="17" t="n"/>
      <c r="E163" s="17" t="n"/>
      <c r="F163" s="26" t="n"/>
      <c r="G163" s="26" t="n"/>
      <c r="H163" s="26" t="n"/>
      <c r="I163" s="26" t="n"/>
      <c r="J163" s="26" t="n"/>
      <c r="K163" s="26" t="n"/>
      <c r="L163" s="26" t="n"/>
      <c r="M163" s="26" t="n"/>
      <c r="N163" s="26" t="n"/>
      <c r="O163" s="26" t="n"/>
      <c r="P163" s="26" t="n"/>
      <c r="Q163" s="26" t="n"/>
      <c r="R163" s="26" t="n"/>
      <c r="S163" s="26" t="n"/>
      <c r="T163" s="26" t="n"/>
      <c r="U163" s="26" t="n"/>
      <c r="V163" s="26" t="n"/>
      <c r="W163" s="26" t="n"/>
      <c r="X163" s="26" t="n"/>
      <c r="Y163" s="26" t="n"/>
      <c r="Z163" s="26">
        <f>IF(B163="","",IF(COUNTIF(F163:G163,"Fail")&gt;0,1,0))</f>
        <v/>
      </c>
      <c r="AA163" s="26">
        <f>IF(B163="","",IF(COUNTIF(H163:S163,"Fail")&gt;0,1,0))</f>
        <v/>
      </c>
      <c r="AB163" s="26">
        <f>IF(B163="","",IF(COUNTIF(T163:Y163,"Fail")&gt;0,1,0))</f>
        <v/>
      </c>
      <c r="AC163" s="27">
        <f>IF(B163="","",0.1*Z163+0.8*AA163+0.1*AB163)</f>
        <v/>
      </c>
      <c r="AD163" s="27">
        <f>IF(B163="","",IF(C163="Batch 1",0.3,0.2))</f>
        <v/>
      </c>
      <c r="AE163" s="19">
        <f>IF(B163="","",IF(AC163&lt;=AD163,"Đạt","Không đạt"))</f>
        <v/>
      </c>
      <c r="AF163" s="28" t="n"/>
    </row>
    <row r="164" ht="30" customHeight="1" s="36">
      <c r="A164" s="17" t="n">
        <v>162</v>
      </c>
      <c r="B164" s="18" t="n"/>
      <c r="C164" s="17" t="n"/>
      <c r="D164" s="17" t="n"/>
      <c r="E164" s="17" t="n"/>
      <c r="F164" s="26" t="n"/>
      <c r="G164" s="26" t="n"/>
      <c r="H164" s="26" t="n"/>
      <c r="I164" s="26" t="n"/>
      <c r="J164" s="26" t="n"/>
      <c r="K164" s="26" t="n"/>
      <c r="L164" s="26" t="n"/>
      <c r="M164" s="26" t="n"/>
      <c r="N164" s="26" t="n"/>
      <c r="O164" s="26" t="n"/>
      <c r="P164" s="26" t="n"/>
      <c r="Q164" s="26" t="n"/>
      <c r="R164" s="26" t="n"/>
      <c r="S164" s="26" t="n"/>
      <c r="T164" s="26" t="n"/>
      <c r="U164" s="26" t="n"/>
      <c r="V164" s="26" t="n"/>
      <c r="W164" s="26" t="n"/>
      <c r="X164" s="26" t="n"/>
      <c r="Y164" s="26" t="n"/>
      <c r="Z164" s="26">
        <f>IF(B164="","",IF(COUNTIF(F164:G164,"Fail")&gt;0,1,0))</f>
        <v/>
      </c>
      <c r="AA164" s="26">
        <f>IF(B164="","",IF(COUNTIF(H164:S164,"Fail")&gt;0,1,0))</f>
        <v/>
      </c>
      <c r="AB164" s="26">
        <f>IF(B164="","",IF(COUNTIF(T164:Y164,"Fail")&gt;0,1,0))</f>
        <v/>
      </c>
      <c r="AC164" s="27">
        <f>IF(B164="","",0.1*Z164+0.8*AA164+0.1*AB164)</f>
        <v/>
      </c>
      <c r="AD164" s="27">
        <f>IF(B164="","",IF(C164="Batch 1",0.3,0.2))</f>
        <v/>
      </c>
      <c r="AE164" s="19">
        <f>IF(B164="","",IF(AC164&lt;=AD164,"Đạt","Không đạt"))</f>
        <v/>
      </c>
      <c r="AF164" s="28" t="n"/>
    </row>
    <row r="165" ht="30" customHeight="1" s="36">
      <c r="A165" s="17" t="n">
        <v>163</v>
      </c>
      <c r="B165" s="18" t="n"/>
      <c r="C165" s="17" t="n"/>
      <c r="D165" s="17" t="n"/>
      <c r="E165" s="17" t="n"/>
      <c r="F165" s="26" t="n"/>
      <c r="G165" s="26" t="n"/>
      <c r="H165" s="26" t="n"/>
      <c r="I165" s="26" t="n"/>
      <c r="J165" s="26" t="n"/>
      <c r="K165" s="26" t="n"/>
      <c r="L165" s="26" t="n"/>
      <c r="M165" s="26" t="n"/>
      <c r="N165" s="26" t="n"/>
      <c r="O165" s="26" t="n"/>
      <c r="P165" s="26" t="n"/>
      <c r="Q165" s="26" t="n"/>
      <c r="R165" s="26" t="n"/>
      <c r="S165" s="26" t="n"/>
      <c r="T165" s="26" t="n"/>
      <c r="U165" s="26" t="n"/>
      <c r="V165" s="26" t="n"/>
      <c r="W165" s="26" t="n"/>
      <c r="X165" s="26" t="n"/>
      <c r="Y165" s="26" t="n"/>
      <c r="Z165" s="26">
        <f>IF(B165="","",IF(COUNTIF(F165:G165,"Fail")&gt;0,1,0))</f>
        <v/>
      </c>
      <c r="AA165" s="26">
        <f>IF(B165="","",IF(COUNTIF(H165:S165,"Fail")&gt;0,1,0))</f>
        <v/>
      </c>
      <c r="AB165" s="26">
        <f>IF(B165="","",IF(COUNTIF(T165:Y165,"Fail")&gt;0,1,0))</f>
        <v/>
      </c>
      <c r="AC165" s="27">
        <f>IF(B165="","",0.1*Z165+0.8*AA165+0.1*AB165)</f>
        <v/>
      </c>
      <c r="AD165" s="27">
        <f>IF(B165="","",IF(C165="Batch 1",0.3,0.2))</f>
        <v/>
      </c>
      <c r="AE165" s="19">
        <f>IF(B165="","",IF(AC165&lt;=AD165,"Đạt","Không đạt"))</f>
        <v/>
      </c>
      <c r="AF165" s="28" t="n"/>
    </row>
    <row r="166" ht="30" customHeight="1" s="36">
      <c r="A166" s="17" t="n">
        <v>164</v>
      </c>
      <c r="B166" s="18" t="n"/>
      <c r="C166" s="17" t="n"/>
      <c r="D166" s="17" t="n"/>
      <c r="E166" s="17" t="n"/>
      <c r="F166" s="26" t="n"/>
      <c r="G166" s="26" t="n"/>
      <c r="H166" s="26" t="n"/>
      <c r="I166" s="26" t="n"/>
      <c r="J166" s="26" t="n"/>
      <c r="K166" s="26" t="n"/>
      <c r="L166" s="26" t="n"/>
      <c r="M166" s="26" t="n"/>
      <c r="N166" s="26" t="n"/>
      <c r="O166" s="26" t="n"/>
      <c r="P166" s="26" t="n"/>
      <c r="Q166" s="26" t="n"/>
      <c r="R166" s="26" t="n"/>
      <c r="S166" s="26" t="n"/>
      <c r="T166" s="26" t="n"/>
      <c r="U166" s="26" t="n"/>
      <c r="V166" s="26" t="n"/>
      <c r="W166" s="26" t="n"/>
      <c r="X166" s="26" t="n"/>
      <c r="Y166" s="26" t="n"/>
      <c r="Z166" s="26">
        <f>IF(B166="","",IF(COUNTIF(F166:G166,"Fail")&gt;0,1,0))</f>
        <v/>
      </c>
      <c r="AA166" s="26">
        <f>IF(B166="","",IF(COUNTIF(H166:S166,"Fail")&gt;0,1,0))</f>
        <v/>
      </c>
      <c r="AB166" s="26">
        <f>IF(B166="","",IF(COUNTIF(T166:Y166,"Fail")&gt;0,1,0))</f>
        <v/>
      </c>
      <c r="AC166" s="27">
        <f>IF(B166="","",0.1*Z166+0.8*AA166+0.1*AB166)</f>
        <v/>
      </c>
      <c r="AD166" s="27">
        <f>IF(B166="","",IF(C166="Batch 1",0.3,0.2))</f>
        <v/>
      </c>
      <c r="AE166" s="19">
        <f>IF(B166="","",IF(AC166&lt;=AD166,"Đạt","Không đạt"))</f>
        <v/>
      </c>
      <c r="AF166" s="28" t="n"/>
    </row>
    <row r="167" ht="30" customHeight="1" s="36">
      <c r="A167" s="17" t="n">
        <v>165</v>
      </c>
      <c r="B167" s="18" t="n"/>
      <c r="C167" s="17" t="n"/>
      <c r="D167" s="17" t="n"/>
      <c r="E167" s="17" t="n"/>
      <c r="F167" s="26" t="n"/>
      <c r="G167" s="26" t="n"/>
      <c r="H167" s="26" t="n"/>
      <c r="I167" s="26" t="n"/>
      <c r="J167" s="26" t="n"/>
      <c r="K167" s="26" t="n"/>
      <c r="L167" s="26" t="n"/>
      <c r="M167" s="26" t="n"/>
      <c r="N167" s="26" t="n"/>
      <c r="O167" s="26" t="n"/>
      <c r="P167" s="26" t="n"/>
      <c r="Q167" s="26" t="n"/>
      <c r="R167" s="26" t="n"/>
      <c r="S167" s="26" t="n"/>
      <c r="T167" s="26" t="n"/>
      <c r="U167" s="26" t="n"/>
      <c r="V167" s="26" t="n"/>
      <c r="W167" s="26" t="n"/>
      <c r="X167" s="26" t="n"/>
      <c r="Y167" s="26" t="n"/>
      <c r="Z167" s="26">
        <f>IF(B167="","",IF(COUNTIF(F167:G167,"Fail")&gt;0,1,0))</f>
        <v/>
      </c>
      <c r="AA167" s="26">
        <f>IF(B167="","",IF(COUNTIF(H167:S167,"Fail")&gt;0,1,0))</f>
        <v/>
      </c>
      <c r="AB167" s="26">
        <f>IF(B167="","",IF(COUNTIF(T167:Y167,"Fail")&gt;0,1,0))</f>
        <v/>
      </c>
      <c r="AC167" s="27">
        <f>IF(B167="","",0.1*Z167+0.8*AA167+0.1*AB167)</f>
        <v/>
      </c>
      <c r="AD167" s="27">
        <f>IF(B167="","",IF(C167="Batch 1",0.3,0.2))</f>
        <v/>
      </c>
      <c r="AE167" s="19">
        <f>IF(B167="","",IF(AC167&lt;=AD167,"Đạt","Không đạt"))</f>
        <v/>
      </c>
      <c r="AF167" s="28" t="n"/>
    </row>
    <row r="168" ht="30" customHeight="1" s="36">
      <c r="A168" s="17" t="n">
        <v>166</v>
      </c>
      <c r="B168" s="18" t="n"/>
      <c r="C168" s="17" t="n"/>
      <c r="D168" s="17" t="n"/>
      <c r="E168" s="17" t="n"/>
      <c r="F168" s="26" t="n"/>
      <c r="G168" s="26" t="n"/>
      <c r="H168" s="26" t="n"/>
      <c r="I168" s="26" t="n"/>
      <c r="J168" s="26" t="n"/>
      <c r="K168" s="26" t="n"/>
      <c r="L168" s="26" t="n"/>
      <c r="M168" s="26" t="n"/>
      <c r="N168" s="26" t="n"/>
      <c r="O168" s="26" t="n"/>
      <c r="P168" s="26" t="n"/>
      <c r="Q168" s="26" t="n"/>
      <c r="R168" s="26" t="n"/>
      <c r="S168" s="26" t="n"/>
      <c r="T168" s="26" t="n"/>
      <c r="U168" s="26" t="n"/>
      <c r="V168" s="26" t="n"/>
      <c r="W168" s="26" t="n"/>
      <c r="X168" s="26" t="n"/>
      <c r="Y168" s="26" t="n"/>
      <c r="Z168" s="26">
        <f>IF(B168="","",IF(COUNTIF(F168:G168,"Fail")&gt;0,1,0))</f>
        <v/>
      </c>
      <c r="AA168" s="26">
        <f>IF(B168="","",IF(COUNTIF(H168:S168,"Fail")&gt;0,1,0))</f>
        <v/>
      </c>
      <c r="AB168" s="26">
        <f>IF(B168="","",IF(COUNTIF(T168:Y168,"Fail")&gt;0,1,0))</f>
        <v/>
      </c>
      <c r="AC168" s="27">
        <f>IF(B168="","",0.1*Z168+0.8*AA168+0.1*AB168)</f>
        <v/>
      </c>
      <c r="AD168" s="27">
        <f>IF(B168="","",IF(C168="Batch 1",0.3,0.2))</f>
        <v/>
      </c>
      <c r="AE168" s="19">
        <f>IF(B168="","",IF(AC168&lt;=AD168,"Đạt","Không đạt"))</f>
        <v/>
      </c>
      <c r="AF168" s="28" t="n"/>
    </row>
    <row r="169" ht="30" customHeight="1" s="36">
      <c r="A169" s="17" t="n">
        <v>167</v>
      </c>
      <c r="B169" s="18" t="n"/>
      <c r="C169" s="17" t="n"/>
      <c r="D169" s="17" t="n"/>
      <c r="E169" s="17" t="n"/>
      <c r="F169" s="26" t="n"/>
      <c r="G169" s="26" t="n"/>
      <c r="H169" s="26" t="n"/>
      <c r="I169" s="26" t="n"/>
      <c r="J169" s="26" t="n"/>
      <c r="K169" s="26" t="n"/>
      <c r="L169" s="26" t="n"/>
      <c r="M169" s="26" t="n"/>
      <c r="N169" s="26" t="n"/>
      <c r="O169" s="26" t="n"/>
      <c r="P169" s="26" t="n"/>
      <c r="Q169" s="26" t="n"/>
      <c r="R169" s="26" t="n"/>
      <c r="S169" s="26" t="n"/>
      <c r="T169" s="26" t="n"/>
      <c r="U169" s="26" t="n"/>
      <c r="V169" s="26" t="n"/>
      <c r="W169" s="26" t="n"/>
      <c r="X169" s="26" t="n"/>
      <c r="Y169" s="26" t="n"/>
      <c r="Z169" s="26">
        <f>IF(B169="","",IF(COUNTIF(F169:G169,"Fail")&gt;0,1,0))</f>
        <v/>
      </c>
      <c r="AA169" s="26">
        <f>IF(B169="","",IF(COUNTIF(H169:S169,"Fail")&gt;0,1,0))</f>
        <v/>
      </c>
      <c r="AB169" s="26">
        <f>IF(B169="","",IF(COUNTIF(T169:Y169,"Fail")&gt;0,1,0))</f>
        <v/>
      </c>
      <c r="AC169" s="27">
        <f>IF(B169="","",0.1*Z169+0.8*AA169+0.1*AB169)</f>
        <v/>
      </c>
      <c r="AD169" s="27">
        <f>IF(B169="","",IF(C169="Batch 1",0.3,0.2))</f>
        <v/>
      </c>
      <c r="AE169" s="19">
        <f>IF(B169="","",IF(AC169&lt;=AD169,"Đạt","Không đạt"))</f>
        <v/>
      </c>
      <c r="AF169" s="28" t="n"/>
    </row>
    <row r="170" ht="30" customHeight="1" s="36">
      <c r="A170" s="17" t="n">
        <v>168</v>
      </c>
      <c r="B170" s="18" t="n"/>
      <c r="C170" s="17" t="n"/>
      <c r="D170" s="17" t="n"/>
      <c r="E170" s="17" t="n"/>
      <c r="F170" s="26" t="n"/>
      <c r="G170" s="26" t="n"/>
      <c r="H170" s="26" t="n"/>
      <c r="I170" s="26" t="n"/>
      <c r="J170" s="26" t="n"/>
      <c r="K170" s="26" t="n"/>
      <c r="L170" s="26" t="n"/>
      <c r="M170" s="26" t="n"/>
      <c r="N170" s="26" t="n"/>
      <c r="O170" s="26" t="n"/>
      <c r="P170" s="26" t="n"/>
      <c r="Q170" s="26" t="n"/>
      <c r="R170" s="26" t="n"/>
      <c r="S170" s="26" t="n"/>
      <c r="T170" s="26" t="n"/>
      <c r="U170" s="26" t="n"/>
      <c r="V170" s="26" t="n"/>
      <c r="W170" s="26" t="n"/>
      <c r="X170" s="26" t="n"/>
      <c r="Y170" s="26" t="n"/>
      <c r="Z170" s="26">
        <f>IF(B170="","",IF(COUNTIF(F170:G170,"Fail")&gt;0,1,0))</f>
        <v/>
      </c>
      <c r="AA170" s="26">
        <f>IF(B170="","",IF(COUNTIF(H170:S170,"Fail")&gt;0,1,0))</f>
        <v/>
      </c>
      <c r="AB170" s="26">
        <f>IF(B170="","",IF(COUNTIF(T170:Y170,"Fail")&gt;0,1,0))</f>
        <v/>
      </c>
      <c r="AC170" s="27">
        <f>IF(B170="","",0.1*Z170+0.8*AA170+0.1*AB170)</f>
        <v/>
      </c>
      <c r="AD170" s="27">
        <f>IF(B170="","",IF(C170="Batch 1",0.3,0.2))</f>
        <v/>
      </c>
      <c r="AE170" s="19">
        <f>IF(B170="","",IF(AC170&lt;=AD170,"Đạt","Không đạt"))</f>
        <v/>
      </c>
      <c r="AF170" s="28" t="n"/>
    </row>
    <row r="171" ht="30" customHeight="1" s="36">
      <c r="A171" s="17" t="n">
        <v>169</v>
      </c>
      <c r="B171" s="18" t="n"/>
      <c r="C171" s="17" t="n"/>
      <c r="D171" s="17" t="n"/>
      <c r="E171" s="17" t="n"/>
      <c r="F171" s="26" t="n"/>
      <c r="G171" s="26" t="n"/>
      <c r="H171" s="26" t="n"/>
      <c r="I171" s="26" t="n"/>
      <c r="J171" s="26" t="n"/>
      <c r="K171" s="26" t="n"/>
      <c r="L171" s="26" t="n"/>
      <c r="M171" s="26" t="n"/>
      <c r="N171" s="26" t="n"/>
      <c r="O171" s="26" t="n"/>
      <c r="P171" s="26" t="n"/>
      <c r="Q171" s="26" t="n"/>
      <c r="R171" s="26" t="n"/>
      <c r="S171" s="26" t="n"/>
      <c r="T171" s="26" t="n"/>
      <c r="U171" s="26" t="n"/>
      <c r="V171" s="26" t="n"/>
      <c r="W171" s="26" t="n"/>
      <c r="X171" s="26" t="n"/>
      <c r="Y171" s="26" t="n"/>
      <c r="Z171" s="26">
        <f>IF(B171="","",IF(COUNTIF(F171:G171,"Fail")&gt;0,1,0))</f>
        <v/>
      </c>
      <c r="AA171" s="26">
        <f>IF(B171="","",IF(COUNTIF(H171:S171,"Fail")&gt;0,1,0))</f>
        <v/>
      </c>
      <c r="AB171" s="26">
        <f>IF(B171="","",IF(COUNTIF(T171:Y171,"Fail")&gt;0,1,0))</f>
        <v/>
      </c>
      <c r="AC171" s="27">
        <f>IF(B171="","",0.1*Z171+0.8*AA171+0.1*AB171)</f>
        <v/>
      </c>
      <c r="AD171" s="27">
        <f>IF(B171="","",IF(C171="Batch 1",0.3,0.2))</f>
        <v/>
      </c>
      <c r="AE171" s="19">
        <f>IF(B171="","",IF(AC171&lt;=AD171,"Đạt","Không đạt"))</f>
        <v/>
      </c>
      <c r="AF171" s="28" t="n"/>
    </row>
    <row r="172" ht="30" customHeight="1" s="36">
      <c r="A172" s="17" t="n">
        <v>170</v>
      </c>
      <c r="B172" s="18" t="n"/>
      <c r="C172" s="17" t="n"/>
      <c r="D172" s="17" t="n"/>
      <c r="E172" s="17" t="n"/>
      <c r="F172" s="26" t="n"/>
      <c r="G172" s="26" t="n"/>
      <c r="H172" s="26" t="n"/>
      <c r="I172" s="26" t="n"/>
      <c r="J172" s="26" t="n"/>
      <c r="K172" s="26" t="n"/>
      <c r="L172" s="26" t="n"/>
      <c r="M172" s="26" t="n"/>
      <c r="N172" s="26" t="n"/>
      <c r="O172" s="26" t="n"/>
      <c r="P172" s="26" t="n"/>
      <c r="Q172" s="26" t="n"/>
      <c r="R172" s="26" t="n"/>
      <c r="S172" s="26" t="n"/>
      <c r="T172" s="26" t="n"/>
      <c r="U172" s="26" t="n"/>
      <c r="V172" s="26" t="n"/>
      <c r="W172" s="26" t="n"/>
      <c r="X172" s="26" t="n"/>
      <c r="Y172" s="26" t="n"/>
      <c r="Z172" s="26">
        <f>IF(B172="","",IF(COUNTIF(F172:G172,"Fail")&gt;0,1,0))</f>
        <v/>
      </c>
      <c r="AA172" s="26">
        <f>IF(B172="","",IF(COUNTIF(H172:S172,"Fail")&gt;0,1,0))</f>
        <v/>
      </c>
      <c r="AB172" s="26">
        <f>IF(B172="","",IF(COUNTIF(T172:Y172,"Fail")&gt;0,1,0))</f>
        <v/>
      </c>
      <c r="AC172" s="27">
        <f>IF(B172="","",0.1*Z172+0.8*AA172+0.1*AB172)</f>
        <v/>
      </c>
      <c r="AD172" s="27">
        <f>IF(B172="","",IF(C172="Batch 1",0.3,0.2))</f>
        <v/>
      </c>
      <c r="AE172" s="19">
        <f>IF(B172="","",IF(AC172&lt;=AD172,"Đạt","Không đạt"))</f>
        <v/>
      </c>
      <c r="AF172" s="28" t="n"/>
    </row>
    <row r="173" ht="30" customHeight="1" s="36">
      <c r="A173" s="17" t="n">
        <v>171</v>
      </c>
      <c r="B173" s="18" t="n"/>
      <c r="C173" s="17" t="n"/>
      <c r="D173" s="17" t="n"/>
      <c r="E173" s="17" t="n"/>
      <c r="F173" s="26" t="n"/>
      <c r="G173" s="26" t="n"/>
      <c r="H173" s="26" t="n"/>
      <c r="I173" s="26" t="n"/>
      <c r="J173" s="26" t="n"/>
      <c r="K173" s="26" t="n"/>
      <c r="L173" s="26" t="n"/>
      <c r="M173" s="26" t="n"/>
      <c r="N173" s="26" t="n"/>
      <c r="O173" s="26" t="n"/>
      <c r="P173" s="26" t="n"/>
      <c r="Q173" s="26" t="n"/>
      <c r="R173" s="26" t="n"/>
      <c r="S173" s="26" t="n"/>
      <c r="T173" s="26" t="n"/>
      <c r="U173" s="26" t="n"/>
      <c r="V173" s="26" t="n"/>
      <c r="W173" s="26" t="n"/>
      <c r="X173" s="26" t="n"/>
      <c r="Y173" s="26" t="n"/>
      <c r="Z173" s="26">
        <f>IF(B173="","",IF(COUNTIF(F173:G173,"Fail")&gt;0,1,0))</f>
        <v/>
      </c>
      <c r="AA173" s="26">
        <f>IF(B173="","",IF(COUNTIF(H173:S173,"Fail")&gt;0,1,0))</f>
        <v/>
      </c>
      <c r="AB173" s="26">
        <f>IF(B173="","",IF(COUNTIF(T173:Y173,"Fail")&gt;0,1,0))</f>
        <v/>
      </c>
      <c r="AC173" s="27">
        <f>IF(B173="","",0.1*Z173+0.8*AA173+0.1*AB173)</f>
        <v/>
      </c>
      <c r="AD173" s="27">
        <f>IF(B173="","",IF(C173="Batch 1",0.3,0.2))</f>
        <v/>
      </c>
      <c r="AE173" s="19">
        <f>IF(B173="","",IF(AC173&lt;=AD173,"Đạt","Không đạt"))</f>
        <v/>
      </c>
      <c r="AF173" s="28" t="n"/>
    </row>
    <row r="174" ht="30" customHeight="1" s="36">
      <c r="A174" s="17" t="n">
        <v>172</v>
      </c>
      <c r="B174" s="18" t="n"/>
      <c r="C174" s="17" t="n"/>
      <c r="D174" s="17" t="n"/>
      <c r="E174" s="17" t="n"/>
      <c r="F174" s="26" t="n"/>
      <c r="G174" s="26" t="n"/>
      <c r="H174" s="26" t="n"/>
      <c r="I174" s="26" t="n"/>
      <c r="J174" s="26" t="n"/>
      <c r="K174" s="26" t="n"/>
      <c r="L174" s="26" t="n"/>
      <c r="M174" s="26" t="n"/>
      <c r="N174" s="26" t="n"/>
      <c r="O174" s="26" t="n"/>
      <c r="P174" s="26" t="n"/>
      <c r="Q174" s="26" t="n"/>
      <c r="R174" s="26" t="n"/>
      <c r="S174" s="26" t="n"/>
      <c r="T174" s="26" t="n"/>
      <c r="U174" s="26" t="n"/>
      <c r="V174" s="26" t="n"/>
      <c r="W174" s="26" t="n"/>
      <c r="X174" s="26" t="n"/>
      <c r="Y174" s="26" t="n"/>
      <c r="Z174" s="26">
        <f>IF(B174="","",IF(COUNTIF(F174:G174,"Fail")&gt;0,1,0))</f>
        <v/>
      </c>
      <c r="AA174" s="26">
        <f>IF(B174="","",IF(COUNTIF(H174:S174,"Fail")&gt;0,1,0))</f>
        <v/>
      </c>
      <c r="AB174" s="26">
        <f>IF(B174="","",IF(COUNTIF(T174:Y174,"Fail")&gt;0,1,0))</f>
        <v/>
      </c>
      <c r="AC174" s="27">
        <f>IF(B174="","",0.1*Z174+0.8*AA174+0.1*AB174)</f>
        <v/>
      </c>
      <c r="AD174" s="27">
        <f>IF(B174="","",IF(C174="Batch 1",0.3,0.2))</f>
        <v/>
      </c>
      <c r="AE174" s="19">
        <f>IF(B174="","",IF(AC174&lt;=AD174,"Đạt","Không đạt"))</f>
        <v/>
      </c>
      <c r="AF174" s="28" t="n"/>
    </row>
    <row r="175" ht="30" customHeight="1" s="36">
      <c r="A175" s="17" t="n">
        <v>173</v>
      </c>
      <c r="B175" s="18" t="n"/>
      <c r="C175" s="17" t="n"/>
      <c r="D175" s="17" t="n"/>
      <c r="E175" s="17" t="n"/>
      <c r="F175" s="26" t="n"/>
      <c r="G175" s="26" t="n"/>
      <c r="H175" s="26" t="n"/>
      <c r="I175" s="26" t="n"/>
      <c r="J175" s="26" t="n"/>
      <c r="K175" s="26" t="n"/>
      <c r="L175" s="26" t="n"/>
      <c r="M175" s="26" t="n"/>
      <c r="N175" s="26" t="n"/>
      <c r="O175" s="26" t="n"/>
      <c r="P175" s="26" t="n"/>
      <c r="Q175" s="26" t="n"/>
      <c r="R175" s="26" t="n"/>
      <c r="S175" s="26" t="n"/>
      <c r="T175" s="26" t="n"/>
      <c r="U175" s="26" t="n"/>
      <c r="V175" s="26" t="n"/>
      <c r="W175" s="26" t="n"/>
      <c r="X175" s="26" t="n"/>
      <c r="Y175" s="26" t="n"/>
      <c r="Z175" s="26">
        <f>IF(B175="","",IF(COUNTIF(F175:G175,"Fail")&gt;0,1,0))</f>
        <v/>
      </c>
      <c r="AA175" s="26">
        <f>IF(B175="","",IF(COUNTIF(H175:S175,"Fail")&gt;0,1,0))</f>
        <v/>
      </c>
      <c r="AB175" s="26">
        <f>IF(B175="","",IF(COUNTIF(T175:Y175,"Fail")&gt;0,1,0))</f>
        <v/>
      </c>
      <c r="AC175" s="27">
        <f>IF(B175="","",0.1*Z175+0.8*AA175+0.1*AB175)</f>
        <v/>
      </c>
      <c r="AD175" s="27">
        <f>IF(B175="","",IF(C175="Batch 1",0.3,0.2))</f>
        <v/>
      </c>
      <c r="AE175" s="19">
        <f>IF(B175="","",IF(AC175&lt;=AD175,"Đạt","Không đạt"))</f>
        <v/>
      </c>
      <c r="AF175" s="28" t="n"/>
    </row>
    <row r="176" ht="30" customHeight="1" s="36">
      <c r="A176" s="17" t="n">
        <v>174</v>
      </c>
      <c r="B176" s="18" t="n"/>
      <c r="C176" s="17" t="n"/>
      <c r="D176" s="17" t="n"/>
      <c r="E176" s="17" t="n"/>
      <c r="F176" s="26" t="n"/>
      <c r="G176" s="26" t="n"/>
      <c r="H176" s="26" t="n"/>
      <c r="I176" s="26" t="n"/>
      <c r="J176" s="26" t="n"/>
      <c r="K176" s="26" t="n"/>
      <c r="L176" s="26" t="n"/>
      <c r="M176" s="26" t="n"/>
      <c r="N176" s="26" t="n"/>
      <c r="O176" s="26" t="n"/>
      <c r="P176" s="26" t="n"/>
      <c r="Q176" s="26" t="n"/>
      <c r="R176" s="26" t="n"/>
      <c r="S176" s="26" t="n"/>
      <c r="T176" s="26" t="n"/>
      <c r="U176" s="26" t="n"/>
      <c r="V176" s="26" t="n"/>
      <c r="W176" s="26" t="n"/>
      <c r="X176" s="26" t="n"/>
      <c r="Y176" s="26" t="n"/>
      <c r="Z176" s="26">
        <f>IF(B176="","",IF(COUNTIF(F176:G176,"Fail")&gt;0,1,0))</f>
        <v/>
      </c>
      <c r="AA176" s="26">
        <f>IF(B176="","",IF(COUNTIF(H176:S176,"Fail")&gt;0,1,0))</f>
        <v/>
      </c>
      <c r="AB176" s="26">
        <f>IF(B176="","",IF(COUNTIF(T176:Y176,"Fail")&gt;0,1,0))</f>
        <v/>
      </c>
      <c r="AC176" s="27">
        <f>IF(B176="","",0.1*Z176+0.8*AA176+0.1*AB176)</f>
        <v/>
      </c>
      <c r="AD176" s="27">
        <f>IF(B176="","",IF(C176="Batch 1",0.3,0.2))</f>
        <v/>
      </c>
      <c r="AE176" s="19">
        <f>IF(B176="","",IF(AC176&lt;=AD176,"Đạt","Không đạt"))</f>
        <v/>
      </c>
      <c r="AF176" s="28" t="n"/>
    </row>
    <row r="177" ht="30" customHeight="1" s="36">
      <c r="A177" s="17" t="n">
        <v>175</v>
      </c>
      <c r="B177" s="18" t="n"/>
      <c r="C177" s="17" t="n"/>
      <c r="D177" s="17" t="n"/>
      <c r="E177" s="17" t="n"/>
      <c r="F177" s="26" t="n"/>
      <c r="G177" s="26" t="n"/>
      <c r="H177" s="26" t="n"/>
      <c r="I177" s="26" t="n"/>
      <c r="J177" s="26" t="n"/>
      <c r="K177" s="26" t="n"/>
      <c r="L177" s="26" t="n"/>
      <c r="M177" s="26" t="n"/>
      <c r="N177" s="26" t="n"/>
      <c r="O177" s="26" t="n"/>
      <c r="P177" s="26" t="n"/>
      <c r="Q177" s="26" t="n"/>
      <c r="R177" s="26" t="n"/>
      <c r="S177" s="26" t="n"/>
      <c r="T177" s="26" t="n"/>
      <c r="U177" s="26" t="n"/>
      <c r="V177" s="26" t="n"/>
      <c r="W177" s="26" t="n"/>
      <c r="X177" s="26" t="n"/>
      <c r="Y177" s="26" t="n"/>
      <c r="Z177" s="26">
        <f>IF(B177="","",IF(COUNTIF(F177:G177,"Fail")&gt;0,1,0))</f>
        <v/>
      </c>
      <c r="AA177" s="26">
        <f>IF(B177="","",IF(COUNTIF(H177:S177,"Fail")&gt;0,1,0))</f>
        <v/>
      </c>
      <c r="AB177" s="26">
        <f>IF(B177="","",IF(COUNTIF(T177:Y177,"Fail")&gt;0,1,0))</f>
        <v/>
      </c>
      <c r="AC177" s="27">
        <f>IF(B177="","",0.1*Z177+0.8*AA177+0.1*AB177)</f>
        <v/>
      </c>
      <c r="AD177" s="27">
        <f>IF(B177="","",IF(C177="Batch 1",0.3,0.2))</f>
        <v/>
      </c>
      <c r="AE177" s="19">
        <f>IF(B177="","",IF(AC177&lt;=AD177,"Đạt","Không đạt"))</f>
        <v/>
      </c>
      <c r="AF177" s="28" t="n"/>
    </row>
    <row r="178" ht="30" customHeight="1" s="36">
      <c r="A178" s="17" t="n">
        <v>176</v>
      </c>
      <c r="B178" s="18" t="n"/>
      <c r="C178" s="17" t="n"/>
      <c r="D178" s="17" t="n"/>
      <c r="E178" s="17" t="n"/>
      <c r="F178" s="26" t="n"/>
      <c r="G178" s="26" t="n"/>
      <c r="H178" s="26" t="n"/>
      <c r="I178" s="26" t="n"/>
      <c r="J178" s="26" t="n"/>
      <c r="K178" s="26" t="n"/>
      <c r="L178" s="26" t="n"/>
      <c r="M178" s="26" t="n"/>
      <c r="N178" s="26" t="n"/>
      <c r="O178" s="26" t="n"/>
      <c r="P178" s="26" t="n"/>
      <c r="Q178" s="26" t="n"/>
      <c r="R178" s="26" t="n"/>
      <c r="S178" s="26" t="n"/>
      <c r="T178" s="26" t="n"/>
      <c r="U178" s="26" t="n"/>
      <c r="V178" s="26" t="n"/>
      <c r="W178" s="26" t="n"/>
      <c r="X178" s="26" t="n"/>
      <c r="Y178" s="26" t="n"/>
      <c r="Z178" s="26">
        <f>IF(B178="","",IF(COUNTIF(F178:G178,"Fail")&gt;0,1,0))</f>
        <v/>
      </c>
      <c r="AA178" s="26">
        <f>IF(B178="","",IF(COUNTIF(H178:S178,"Fail")&gt;0,1,0))</f>
        <v/>
      </c>
      <c r="AB178" s="26">
        <f>IF(B178="","",IF(COUNTIF(T178:Y178,"Fail")&gt;0,1,0))</f>
        <v/>
      </c>
      <c r="AC178" s="27">
        <f>IF(B178="","",0.1*Z178+0.8*AA178+0.1*AB178)</f>
        <v/>
      </c>
      <c r="AD178" s="27">
        <f>IF(B178="","",IF(C178="Batch 1",0.3,0.2))</f>
        <v/>
      </c>
      <c r="AE178" s="19">
        <f>IF(B178="","",IF(AC178&lt;=AD178,"Đạt","Không đạt"))</f>
        <v/>
      </c>
      <c r="AF178" s="28" t="n"/>
    </row>
    <row r="179" ht="30" customHeight="1" s="36">
      <c r="A179" s="17" t="n">
        <v>177</v>
      </c>
      <c r="B179" s="18" t="n"/>
      <c r="C179" s="17" t="n"/>
      <c r="D179" s="17" t="n"/>
      <c r="E179" s="17" t="n"/>
      <c r="F179" s="26" t="n"/>
      <c r="G179" s="26" t="n"/>
      <c r="H179" s="26" t="n"/>
      <c r="I179" s="26" t="n"/>
      <c r="J179" s="26" t="n"/>
      <c r="K179" s="26" t="n"/>
      <c r="L179" s="26" t="n"/>
      <c r="M179" s="26" t="n"/>
      <c r="N179" s="26" t="n"/>
      <c r="O179" s="26" t="n"/>
      <c r="P179" s="26" t="n"/>
      <c r="Q179" s="26" t="n"/>
      <c r="R179" s="26" t="n"/>
      <c r="S179" s="26" t="n"/>
      <c r="T179" s="26" t="n"/>
      <c r="U179" s="26" t="n"/>
      <c r="V179" s="26" t="n"/>
      <c r="W179" s="26" t="n"/>
      <c r="X179" s="26" t="n"/>
      <c r="Y179" s="26" t="n"/>
      <c r="Z179" s="26">
        <f>IF(B179="","",IF(COUNTIF(F179:G179,"Fail")&gt;0,1,0))</f>
        <v/>
      </c>
      <c r="AA179" s="26">
        <f>IF(B179="","",IF(COUNTIF(H179:S179,"Fail")&gt;0,1,0))</f>
        <v/>
      </c>
      <c r="AB179" s="26">
        <f>IF(B179="","",IF(COUNTIF(T179:Y179,"Fail")&gt;0,1,0))</f>
        <v/>
      </c>
      <c r="AC179" s="27">
        <f>IF(B179="","",0.1*Z179+0.8*AA179+0.1*AB179)</f>
        <v/>
      </c>
      <c r="AD179" s="27">
        <f>IF(B179="","",IF(C179="Batch 1",0.3,0.2))</f>
        <v/>
      </c>
      <c r="AE179" s="19">
        <f>IF(B179="","",IF(AC179&lt;=AD179,"Đạt","Không đạt"))</f>
        <v/>
      </c>
      <c r="AF179" s="28" t="n"/>
    </row>
    <row r="180" ht="30" customHeight="1" s="36">
      <c r="A180" s="17" t="n">
        <v>178</v>
      </c>
      <c r="B180" s="18" t="n"/>
      <c r="C180" s="17" t="n"/>
      <c r="D180" s="17" t="n"/>
      <c r="E180" s="17" t="n"/>
      <c r="F180" s="26" t="n"/>
      <c r="G180" s="26" t="n"/>
      <c r="H180" s="26" t="n"/>
      <c r="I180" s="26" t="n"/>
      <c r="J180" s="26" t="n"/>
      <c r="K180" s="26" t="n"/>
      <c r="L180" s="26" t="n"/>
      <c r="M180" s="26" t="n"/>
      <c r="N180" s="26" t="n"/>
      <c r="O180" s="26" t="n"/>
      <c r="P180" s="26" t="n"/>
      <c r="Q180" s="26" t="n"/>
      <c r="R180" s="26" t="n"/>
      <c r="S180" s="26" t="n"/>
      <c r="T180" s="26" t="n"/>
      <c r="U180" s="26" t="n"/>
      <c r="V180" s="26" t="n"/>
      <c r="W180" s="26" t="n"/>
      <c r="X180" s="26" t="n"/>
      <c r="Y180" s="26" t="n"/>
      <c r="Z180" s="26">
        <f>IF(B180="","",IF(COUNTIF(F180:G180,"Fail")&gt;0,1,0))</f>
        <v/>
      </c>
      <c r="AA180" s="26">
        <f>IF(B180="","",IF(COUNTIF(H180:S180,"Fail")&gt;0,1,0))</f>
        <v/>
      </c>
      <c r="AB180" s="26">
        <f>IF(B180="","",IF(COUNTIF(T180:Y180,"Fail")&gt;0,1,0))</f>
        <v/>
      </c>
      <c r="AC180" s="27">
        <f>IF(B180="","",0.1*Z180+0.8*AA180+0.1*AB180)</f>
        <v/>
      </c>
      <c r="AD180" s="27">
        <f>IF(B180="","",IF(C180="Batch 1",0.3,0.2))</f>
        <v/>
      </c>
      <c r="AE180" s="19">
        <f>IF(B180="","",IF(AC180&lt;=AD180,"Đạt","Không đạt"))</f>
        <v/>
      </c>
      <c r="AF180" s="28" t="n"/>
    </row>
    <row r="181" ht="30" customHeight="1" s="36">
      <c r="A181" s="17" t="n">
        <v>179</v>
      </c>
      <c r="B181" s="18" t="n"/>
      <c r="C181" s="17" t="n"/>
      <c r="D181" s="17" t="n"/>
      <c r="E181" s="17" t="n"/>
      <c r="F181" s="26" t="n"/>
      <c r="G181" s="26" t="n"/>
      <c r="H181" s="26" t="n"/>
      <c r="I181" s="26" t="n"/>
      <c r="J181" s="26" t="n"/>
      <c r="K181" s="26" t="n"/>
      <c r="L181" s="26" t="n"/>
      <c r="M181" s="26" t="n"/>
      <c r="N181" s="26" t="n"/>
      <c r="O181" s="26" t="n"/>
      <c r="P181" s="26" t="n"/>
      <c r="Q181" s="26" t="n"/>
      <c r="R181" s="26" t="n"/>
      <c r="S181" s="26" t="n"/>
      <c r="T181" s="26" t="n"/>
      <c r="U181" s="26" t="n"/>
      <c r="V181" s="26" t="n"/>
      <c r="W181" s="26" t="n"/>
      <c r="X181" s="26" t="n"/>
      <c r="Y181" s="26" t="n"/>
      <c r="Z181" s="26">
        <f>IF(B181="","",IF(COUNTIF(F181:G181,"Fail")&gt;0,1,0))</f>
        <v/>
      </c>
      <c r="AA181" s="26">
        <f>IF(B181="","",IF(COUNTIF(H181:S181,"Fail")&gt;0,1,0))</f>
        <v/>
      </c>
      <c r="AB181" s="26">
        <f>IF(B181="","",IF(COUNTIF(T181:Y181,"Fail")&gt;0,1,0))</f>
        <v/>
      </c>
      <c r="AC181" s="27">
        <f>IF(B181="","",0.1*Z181+0.8*AA181+0.1*AB181)</f>
        <v/>
      </c>
      <c r="AD181" s="27">
        <f>IF(B181="","",IF(C181="Batch 1",0.3,0.2))</f>
        <v/>
      </c>
      <c r="AE181" s="19">
        <f>IF(B181="","",IF(AC181&lt;=AD181,"Đạt","Không đạt"))</f>
        <v/>
      </c>
      <c r="AF181" s="28" t="n"/>
    </row>
    <row r="182" ht="30" customHeight="1" s="36">
      <c r="A182" s="17" t="n">
        <v>180</v>
      </c>
      <c r="B182" s="18" t="n"/>
      <c r="C182" s="17" t="n"/>
      <c r="D182" s="17" t="n"/>
      <c r="E182" s="17" t="n"/>
      <c r="F182" s="26" t="n"/>
      <c r="G182" s="26" t="n"/>
      <c r="H182" s="26" t="n"/>
      <c r="I182" s="26" t="n"/>
      <c r="J182" s="26" t="n"/>
      <c r="K182" s="26" t="n"/>
      <c r="L182" s="26" t="n"/>
      <c r="M182" s="26" t="n"/>
      <c r="N182" s="26" t="n"/>
      <c r="O182" s="26" t="n"/>
      <c r="P182" s="26" t="n"/>
      <c r="Q182" s="26" t="n"/>
      <c r="R182" s="26" t="n"/>
      <c r="S182" s="26" t="n"/>
      <c r="T182" s="26" t="n"/>
      <c r="U182" s="26" t="n"/>
      <c r="V182" s="26" t="n"/>
      <c r="W182" s="26" t="n"/>
      <c r="X182" s="26" t="n"/>
      <c r="Y182" s="26" t="n"/>
      <c r="Z182" s="26">
        <f>IF(B182="","",IF(COUNTIF(F182:G182,"Fail")&gt;0,1,0))</f>
        <v/>
      </c>
      <c r="AA182" s="26">
        <f>IF(B182="","",IF(COUNTIF(H182:S182,"Fail")&gt;0,1,0))</f>
        <v/>
      </c>
      <c r="AB182" s="26">
        <f>IF(B182="","",IF(COUNTIF(T182:Y182,"Fail")&gt;0,1,0))</f>
        <v/>
      </c>
      <c r="AC182" s="27">
        <f>IF(B182="","",0.1*Z182+0.8*AA182+0.1*AB182)</f>
        <v/>
      </c>
      <c r="AD182" s="27">
        <f>IF(B182="","",IF(C182="Batch 1",0.3,0.2))</f>
        <v/>
      </c>
      <c r="AE182" s="19">
        <f>IF(B182="","",IF(AC182&lt;=AD182,"Đạt","Không đạt"))</f>
        <v/>
      </c>
      <c r="AF182" s="28" t="n"/>
    </row>
    <row r="183" ht="30" customHeight="1" s="36">
      <c r="A183" s="17" t="n">
        <v>181</v>
      </c>
      <c r="B183" s="18" t="n"/>
      <c r="C183" s="17" t="n"/>
      <c r="D183" s="17" t="n"/>
      <c r="E183" s="17" t="n"/>
      <c r="F183" s="26" t="n"/>
      <c r="G183" s="26" t="n"/>
      <c r="H183" s="26" t="n"/>
      <c r="I183" s="26" t="n"/>
      <c r="J183" s="26" t="n"/>
      <c r="K183" s="26" t="n"/>
      <c r="L183" s="26" t="n"/>
      <c r="M183" s="26" t="n"/>
      <c r="N183" s="26" t="n"/>
      <c r="O183" s="26" t="n"/>
      <c r="P183" s="26" t="n"/>
      <c r="Q183" s="26" t="n"/>
      <c r="R183" s="26" t="n"/>
      <c r="S183" s="26" t="n"/>
      <c r="T183" s="26" t="n"/>
      <c r="U183" s="26" t="n"/>
      <c r="V183" s="26" t="n"/>
      <c r="W183" s="26" t="n"/>
      <c r="X183" s="26" t="n"/>
      <c r="Y183" s="26" t="n"/>
      <c r="Z183" s="26">
        <f>IF(B183="","",IF(COUNTIF(F183:G183,"Fail")&gt;0,1,0))</f>
        <v/>
      </c>
      <c r="AA183" s="26">
        <f>IF(B183="","",IF(COUNTIF(H183:S183,"Fail")&gt;0,1,0))</f>
        <v/>
      </c>
      <c r="AB183" s="26">
        <f>IF(B183="","",IF(COUNTIF(T183:Y183,"Fail")&gt;0,1,0))</f>
        <v/>
      </c>
      <c r="AC183" s="27">
        <f>IF(B183="","",0.1*Z183+0.8*AA183+0.1*AB183)</f>
        <v/>
      </c>
      <c r="AD183" s="27">
        <f>IF(B183="","",IF(C183="Batch 1",0.3,0.2))</f>
        <v/>
      </c>
      <c r="AE183" s="19">
        <f>IF(B183="","",IF(AC183&lt;=AD183,"Đạt","Không đạt"))</f>
        <v/>
      </c>
      <c r="AF183" s="28" t="n"/>
    </row>
    <row r="184" ht="30" customHeight="1" s="36">
      <c r="A184" s="17" t="n">
        <v>182</v>
      </c>
      <c r="B184" s="18" t="n"/>
      <c r="C184" s="17" t="n"/>
      <c r="D184" s="17" t="n"/>
      <c r="E184" s="17" t="n"/>
      <c r="F184" s="26" t="n"/>
      <c r="G184" s="26" t="n"/>
      <c r="H184" s="26" t="n"/>
      <c r="I184" s="26" t="n"/>
      <c r="J184" s="26" t="n"/>
      <c r="K184" s="26" t="n"/>
      <c r="L184" s="26" t="n"/>
      <c r="M184" s="26" t="n"/>
      <c r="N184" s="26" t="n"/>
      <c r="O184" s="26" t="n"/>
      <c r="P184" s="26" t="n"/>
      <c r="Q184" s="26" t="n"/>
      <c r="R184" s="26" t="n"/>
      <c r="S184" s="26" t="n"/>
      <c r="T184" s="26" t="n"/>
      <c r="U184" s="26" t="n"/>
      <c r="V184" s="26" t="n"/>
      <c r="W184" s="26" t="n"/>
      <c r="X184" s="26" t="n"/>
      <c r="Y184" s="26" t="n"/>
      <c r="Z184" s="26">
        <f>IF(B184="","",IF(COUNTIF(F184:G184,"Fail")&gt;0,1,0))</f>
        <v/>
      </c>
      <c r="AA184" s="26">
        <f>IF(B184="","",IF(COUNTIF(H184:S184,"Fail")&gt;0,1,0))</f>
        <v/>
      </c>
      <c r="AB184" s="26">
        <f>IF(B184="","",IF(COUNTIF(T184:Y184,"Fail")&gt;0,1,0))</f>
        <v/>
      </c>
      <c r="AC184" s="27">
        <f>IF(B184="","",0.1*Z184+0.8*AA184+0.1*AB184)</f>
        <v/>
      </c>
      <c r="AD184" s="27">
        <f>IF(B184="","",IF(C184="Batch 1",0.3,0.2))</f>
        <v/>
      </c>
      <c r="AE184" s="19">
        <f>IF(B184="","",IF(AC184&lt;=AD184,"Đạt","Không đạt"))</f>
        <v/>
      </c>
      <c r="AF184" s="28" t="n"/>
    </row>
    <row r="185" ht="30" customHeight="1" s="36">
      <c r="A185" s="17" t="n">
        <v>183</v>
      </c>
      <c r="B185" s="18" t="n"/>
      <c r="C185" s="17" t="n"/>
      <c r="D185" s="17" t="n"/>
      <c r="E185" s="17" t="n"/>
      <c r="F185" s="26" t="n"/>
      <c r="G185" s="26" t="n"/>
      <c r="H185" s="26" t="n"/>
      <c r="I185" s="26" t="n"/>
      <c r="J185" s="26" t="n"/>
      <c r="K185" s="26" t="n"/>
      <c r="L185" s="26" t="n"/>
      <c r="M185" s="26" t="n"/>
      <c r="N185" s="26" t="n"/>
      <c r="O185" s="26" t="n"/>
      <c r="P185" s="26" t="n"/>
      <c r="Q185" s="26" t="n"/>
      <c r="R185" s="26" t="n"/>
      <c r="S185" s="26" t="n"/>
      <c r="T185" s="26" t="n"/>
      <c r="U185" s="26" t="n"/>
      <c r="V185" s="26" t="n"/>
      <c r="W185" s="26" t="n"/>
      <c r="X185" s="26" t="n"/>
      <c r="Y185" s="26" t="n"/>
      <c r="Z185" s="26">
        <f>IF(B185="","",IF(COUNTIF(F185:G185,"Fail")&gt;0,1,0))</f>
        <v/>
      </c>
      <c r="AA185" s="26">
        <f>IF(B185="","",IF(COUNTIF(H185:S185,"Fail")&gt;0,1,0))</f>
        <v/>
      </c>
      <c r="AB185" s="26">
        <f>IF(B185="","",IF(COUNTIF(T185:Y185,"Fail")&gt;0,1,0))</f>
        <v/>
      </c>
      <c r="AC185" s="27">
        <f>IF(B185="","",0.1*Z185+0.8*AA185+0.1*AB185)</f>
        <v/>
      </c>
      <c r="AD185" s="27">
        <f>IF(B185="","",IF(C185="Batch 1",0.3,0.2))</f>
        <v/>
      </c>
      <c r="AE185" s="19">
        <f>IF(B185="","",IF(AC185&lt;=AD185,"Đạt","Không đạt"))</f>
        <v/>
      </c>
      <c r="AF185" s="28" t="n"/>
    </row>
    <row r="186" ht="30" customHeight="1" s="36">
      <c r="A186" s="17" t="n">
        <v>184</v>
      </c>
      <c r="B186" s="18" t="n"/>
      <c r="C186" s="17" t="n"/>
      <c r="D186" s="17" t="n"/>
      <c r="E186" s="17" t="n"/>
      <c r="F186" s="26" t="n"/>
      <c r="G186" s="26" t="n"/>
      <c r="H186" s="26" t="n"/>
      <c r="I186" s="26" t="n"/>
      <c r="J186" s="26" t="n"/>
      <c r="K186" s="26" t="n"/>
      <c r="L186" s="26" t="n"/>
      <c r="M186" s="26" t="n"/>
      <c r="N186" s="26" t="n"/>
      <c r="O186" s="26" t="n"/>
      <c r="P186" s="26" t="n"/>
      <c r="Q186" s="26" t="n"/>
      <c r="R186" s="26" t="n"/>
      <c r="S186" s="26" t="n"/>
      <c r="T186" s="26" t="n"/>
      <c r="U186" s="26" t="n"/>
      <c r="V186" s="26" t="n"/>
      <c r="W186" s="26" t="n"/>
      <c r="X186" s="26" t="n"/>
      <c r="Y186" s="26" t="n"/>
      <c r="Z186" s="26">
        <f>IF(B186="","",IF(COUNTIF(F186:G186,"Fail")&gt;0,1,0))</f>
        <v/>
      </c>
      <c r="AA186" s="26">
        <f>IF(B186="","",IF(COUNTIF(H186:S186,"Fail")&gt;0,1,0))</f>
        <v/>
      </c>
      <c r="AB186" s="26">
        <f>IF(B186="","",IF(COUNTIF(T186:Y186,"Fail")&gt;0,1,0))</f>
        <v/>
      </c>
      <c r="AC186" s="27">
        <f>IF(B186="","",0.1*Z186+0.8*AA186+0.1*AB186)</f>
        <v/>
      </c>
      <c r="AD186" s="27">
        <f>IF(B186="","",IF(C186="Batch 1",0.3,0.2))</f>
        <v/>
      </c>
      <c r="AE186" s="19">
        <f>IF(B186="","",IF(AC186&lt;=AD186,"Đạt","Không đạt"))</f>
        <v/>
      </c>
      <c r="AF186" s="28" t="n"/>
    </row>
    <row r="187" ht="30" customHeight="1" s="36">
      <c r="A187" s="17" t="n">
        <v>185</v>
      </c>
      <c r="B187" s="18" t="n"/>
      <c r="C187" s="17" t="n"/>
      <c r="D187" s="17" t="n"/>
      <c r="E187" s="17" t="n"/>
      <c r="F187" s="26" t="n"/>
      <c r="G187" s="26" t="n"/>
      <c r="H187" s="26" t="n"/>
      <c r="I187" s="26" t="n"/>
      <c r="J187" s="26" t="n"/>
      <c r="K187" s="26" t="n"/>
      <c r="L187" s="26" t="n"/>
      <c r="M187" s="26" t="n"/>
      <c r="N187" s="26" t="n"/>
      <c r="O187" s="26" t="n"/>
      <c r="P187" s="26" t="n"/>
      <c r="Q187" s="26" t="n"/>
      <c r="R187" s="26" t="n"/>
      <c r="S187" s="26" t="n"/>
      <c r="T187" s="26" t="n"/>
      <c r="U187" s="26" t="n"/>
      <c r="V187" s="26" t="n"/>
      <c r="W187" s="26" t="n"/>
      <c r="X187" s="26" t="n"/>
      <c r="Y187" s="26" t="n"/>
      <c r="Z187" s="26">
        <f>IF(B187="","",IF(COUNTIF(F187:G187,"Fail")&gt;0,1,0))</f>
        <v/>
      </c>
      <c r="AA187" s="26">
        <f>IF(B187="","",IF(COUNTIF(H187:S187,"Fail")&gt;0,1,0))</f>
        <v/>
      </c>
      <c r="AB187" s="26">
        <f>IF(B187="","",IF(COUNTIF(T187:Y187,"Fail")&gt;0,1,0))</f>
        <v/>
      </c>
      <c r="AC187" s="27">
        <f>IF(B187="","",0.1*Z187+0.8*AA187+0.1*AB187)</f>
        <v/>
      </c>
      <c r="AD187" s="27">
        <f>IF(B187="","",IF(C187="Batch 1",0.3,0.2))</f>
        <v/>
      </c>
      <c r="AE187" s="19">
        <f>IF(B187="","",IF(AC187&lt;=AD187,"Đạt","Không đạt"))</f>
        <v/>
      </c>
      <c r="AF187" s="28" t="n"/>
    </row>
    <row r="188" ht="30" customHeight="1" s="36">
      <c r="A188" s="17" t="n">
        <v>186</v>
      </c>
      <c r="B188" s="18" t="n"/>
      <c r="C188" s="17" t="n"/>
      <c r="D188" s="17" t="n"/>
      <c r="E188" s="17" t="n"/>
      <c r="F188" s="26" t="n"/>
      <c r="G188" s="26" t="n"/>
      <c r="H188" s="26" t="n"/>
      <c r="I188" s="26" t="n"/>
      <c r="J188" s="26" t="n"/>
      <c r="K188" s="26" t="n"/>
      <c r="L188" s="26" t="n"/>
      <c r="M188" s="26" t="n"/>
      <c r="N188" s="26" t="n"/>
      <c r="O188" s="26" t="n"/>
      <c r="P188" s="26" t="n"/>
      <c r="Q188" s="26" t="n"/>
      <c r="R188" s="26" t="n"/>
      <c r="S188" s="26" t="n"/>
      <c r="T188" s="26" t="n"/>
      <c r="U188" s="26" t="n"/>
      <c r="V188" s="26" t="n"/>
      <c r="W188" s="26" t="n"/>
      <c r="X188" s="26" t="n"/>
      <c r="Y188" s="26" t="n"/>
      <c r="Z188" s="26">
        <f>IF(B188="","",IF(COUNTIF(F188:G188,"Fail")&gt;0,1,0))</f>
        <v/>
      </c>
      <c r="AA188" s="26">
        <f>IF(B188="","",IF(COUNTIF(H188:S188,"Fail")&gt;0,1,0))</f>
        <v/>
      </c>
      <c r="AB188" s="26">
        <f>IF(B188="","",IF(COUNTIF(T188:Y188,"Fail")&gt;0,1,0))</f>
        <v/>
      </c>
      <c r="AC188" s="27">
        <f>IF(B188="","",0.1*Z188+0.8*AA188+0.1*AB188)</f>
        <v/>
      </c>
      <c r="AD188" s="27">
        <f>IF(B188="","",IF(C188="Batch 1",0.3,0.2))</f>
        <v/>
      </c>
      <c r="AE188" s="19">
        <f>IF(B188="","",IF(AC188&lt;=AD188,"Đạt","Không đạt"))</f>
        <v/>
      </c>
      <c r="AF188" s="28" t="n"/>
    </row>
    <row r="189" ht="30" customHeight="1" s="36">
      <c r="A189" s="17" t="n">
        <v>187</v>
      </c>
      <c r="B189" s="18" t="n"/>
      <c r="C189" s="17" t="n"/>
      <c r="D189" s="17" t="n"/>
      <c r="E189" s="17" t="n"/>
      <c r="F189" s="26" t="n"/>
      <c r="G189" s="26" t="n"/>
      <c r="H189" s="26" t="n"/>
      <c r="I189" s="26" t="n"/>
      <c r="J189" s="26" t="n"/>
      <c r="K189" s="26" t="n"/>
      <c r="L189" s="26" t="n"/>
      <c r="M189" s="26" t="n"/>
      <c r="N189" s="26" t="n"/>
      <c r="O189" s="26" t="n"/>
      <c r="P189" s="26" t="n"/>
      <c r="Q189" s="26" t="n"/>
      <c r="R189" s="26" t="n"/>
      <c r="S189" s="26" t="n"/>
      <c r="T189" s="26" t="n"/>
      <c r="U189" s="26" t="n"/>
      <c r="V189" s="26" t="n"/>
      <c r="W189" s="26" t="n"/>
      <c r="X189" s="26" t="n"/>
      <c r="Y189" s="26" t="n"/>
      <c r="Z189" s="26">
        <f>IF(B189="","",IF(COUNTIF(F189:G189,"Fail")&gt;0,1,0))</f>
        <v/>
      </c>
      <c r="AA189" s="26">
        <f>IF(B189="","",IF(COUNTIF(H189:S189,"Fail")&gt;0,1,0))</f>
        <v/>
      </c>
      <c r="AB189" s="26">
        <f>IF(B189="","",IF(COUNTIF(T189:Y189,"Fail")&gt;0,1,0))</f>
        <v/>
      </c>
      <c r="AC189" s="27">
        <f>IF(B189="","",0.1*Z189+0.8*AA189+0.1*AB189)</f>
        <v/>
      </c>
      <c r="AD189" s="27">
        <f>IF(B189="","",IF(C189="Batch 1",0.3,0.2))</f>
        <v/>
      </c>
      <c r="AE189" s="19">
        <f>IF(B189="","",IF(AC189&lt;=AD189,"Đạt","Không đạt"))</f>
        <v/>
      </c>
      <c r="AF189" s="28" t="n"/>
    </row>
    <row r="190" ht="30" customHeight="1" s="36">
      <c r="A190" s="17" t="n">
        <v>188</v>
      </c>
      <c r="B190" s="18" t="n"/>
      <c r="C190" s="17" t="n"/>
      <c r="D190" s="17" t="n"/>
      <c r="E190" s="17" t="n"/>
      <c r="F190" s="26" t="n"/>
      <c r="G190" s="26" t="n"/>
      <c r="H190" s="26" t="n"/>
      <c r="I190" s="26" t="n"/>
      <c r="J190" s="26" t="n"/>
      <c r="K190" s="26" t="n"/>
      <c r="L190" s="26" t="n"/>
      <c r="M190" s="26" t="n"/>
      <c r="N190" s="26" t="n"/>
      <c r="O190" s="26" t="n"/>
      <c r="P190" s="26" t="n"/>
      <c r="Q190" s="26" t="n"/>
      <c r="R190" s="26" t="n"/>
      <c r="S190" s="26" t="n"/>
      <c r="T190" s="26" t="n"/>
      <c r="U190" s="26" t="n"/>
      <c r="V190" s="26" t="n"/>
      <c r="W190" s="26" t="n"/>
      <c r="X190" s="26" t="n"/>
      <c r="Y190" s="26" t="n"/>
      <c r="Z190" s="26">
        <f>IF(B190="","",IF(COUNTIF(F190:G190,"Fail")&gt;0,1,0))</f>
        <v/>
      </c>
      <c r="AA190" s="26">
        <f>IF(B190="","",IF(COUNTIF(H190:S190,"Fail")&gt;0,1,0))</f>
        <v/>
      </c>
      <c r="AB190" s="26">
        <f>IF(B190="","",IF(COUNTIF(T190:Y190,"Fail")&gt;0,1,0))</f>
        <v/>
      </c>
      <c r="AC190" s="27">
        <f>IF(B190="","",0.1*Z190+0.8*AA190+0.1*AB190)</f>
        <v/>
      </c>
      <c r="AD190" s="27">
        <f>IF(B190="","",IF(C190="Batch 1",0.3,0.2))</f>
        <v/>
      </c>
      <c r="AE190" s="19">
        <f>IF(B190="","",IF(AC190&lt;=AD190,"Đạt","Không đạt"))</f>
        <v/>
      </c>
      <c r="AF190" s="28" t="n"/>
    </row>
    <row r="191" ht="30" customHeight="1" s="36">
      <c r="A191" s="17" t="n">
        <v>189</v>
      </c>
      <c r="B191" s="18" t="n"/>
      <c r="C191" s="17" t="n"/>
      <c r="D191" s="17" t="n"/>
      <c r="E191" s="17" t="n"/>
      <c r="F191" s="26" t="n"/>
      <c r="G191" s="26" t="n"/>
      <c r="H191" s="26" t="n"/>
      <c r="I191" s="26" t="n"/>
      <c r="J191" s="26" t="n"/>
      <c r="K191" s="26" t="n"/>
      <c r="L191" s="26" t="n"/>
      <c r="M191" s="26" t="n"/>
      <c r="N191" s="26" t="n"/>
      <c r="O191" s="26" t="n"/>
      <c r="P191" s="26" t="n"/>
      <c r="Q191" s="26" t="n"/>
      <c r="R191" s="26" t="n"/>
      <c r="S191" s="26" t="n"/>
      <c r="T191" s="26" t="n"/>
      <c r="U191" s="26" t="n"/>
      <c r="V191" s="26" t="n"/>
      <c r="W191" s="26" t="n"/>
      <c r="X191" s="26" t="n"/>
      <c r="Y191" s="26" t="n"/>
      <c r="Z191" s="26">
        <f>IF(B191="","",IF(COUNTIF(F191:G191,"Fail")&gt;0,1,0))</f>
        <v/>
      </c>
      <c r="AA191" s="26">
        <f>IF(B191="","",IF(COUNTIF(H191:S191,"Fail")&gt;0,1,0))</f>
        <v/>
      </c>
      <c r="AB191" s="26">
        <f>IF(B191="","",IF(COUNTIF(T191:Y191,"Fail")&gt;0,1,0))</f>
        <v/>
      </c>
      <c r="AC191" s="27">
        <f>IF(B191="","",0.1*Z191+0.8*AA191+0.1*AB191)</f>
        <v/>
      </c>
      <c r="AD191" s="27">
        <f>IF(B191="","",IF(C191="Batch 1",0.3,0.2))</f>
        <v/>
      </c>
      <c r="AE191" s="19">
        <f>IF(B191="","",IF(AC191&lt;=AD191,"Đạt","Không đạt"))</f>
        <v/>
      </c>
      <c r="AF191" s="28" t="n"/>
    </row>
    <row r="192" ht="30" customHeight="1" s="36">
      <c r="A192" s="17" t="n">
        <v>190</v>
      </c>
      <c r="B192" s="18" t="n"/>
      <c r="C192" s="17" t="n"/>
      <c r="D192" s="17" t="n"/>
      <c r="E192" s="17" t="n"/>
      <c r="F192" s="26" t="n"/>
      <c r="G192" s="26" t="n"/>
      <c r="H192" s="26" t="n"/>
      <c r="I192" s="26" t="n"/>
      <c r="J192" s="26" t="n"/>
      <c r="K192" s="26" t="n"/>
      <c r="L192" s="26" t="n"/>
      <c r="M192" s="26" t="n"/>
      <c r="N192" s="26" t="n"/>
      <c r="O192" s="26" t="n"/>
      <c r="P192" s="26" t="n"/>
      <c r="Q192" s="26" t="n"/>
      <c r="R192" s="26" t="n"/>
      <c r="S192" s="26" t="n"/>
      <c r="T192" s="26" t="n"/>
      <c r="U192" s="26" t="n"/>
      <c r="V192" s="26" t="n"/>
      <c r="W192" s="26" t="n"/>
      <c r="X192" s="26" t="n"/>
      <c r="Y192" s="26" t="n"/>
      <c r="Z192" s="26">
        <f>IF(B192="","",IF(COUNTIF(F192:G192,"Fail")&gt;0,1,0))</f>
        <v/>
      </c>
      <c r="AA192" s="26">
        <f>IF(B192="","",IF(COUNTIF(H192:S192,"Fail")&gt;0,1,0))</f>
        <v/>
      </c>
      <c r="AB192" s="26">
        <f>IF(B192="","",IF(COUNTIF(T192:Y192,"Fail")&gt;0,1,0))</f>
        <v/>
      </c>
      <c r="AC192" s="27">
        <f>IF(B192="","",0.1*Z192+0.8*AA192+0.1*AB192)</f>
        <v/>
      </c>
      <c r="AD192" s="27">
        <f>IF(B192="","",IF(C192="Batch 1",0.3,0.2))</f>
        <v/>
      </c>
      <c r="AE192" s="19">
        <f>IF(B192="","",IF(AC192&lt;=AD192,"Đạt","Không đạt"))</f>
        <v/>
      </c>
      <c r="AF192" s="28" t="n"/>
    </row>
    <row r="193" ht="30" customHeight="1" s="36">
      <c r="A193" s="17" t="n">
        <v>191</v>
      </c>
      <c r="B193" s="18" t="n"/>
      <c r="C193" s="17" t="n"/>
      <c r="D193" s="17" t="n"/>
      <c r="E193" s="17" t="n"/>
      <c r="F193" s="26" t="n"/>
      <c r="G193" s="26" t="n"/>
      <c r="H193" s="26" t="n"/>
      <c r="I193" s="26" t="n"/>
      <c r="J193" s="26" t="n"/>
      <c r="K193" s="26" t="n"/>
      <c r="L193" s="26" t="n"/>
      <c r="M193" s="26" t="n"/>
      <c r="N193" s="26" t="n"/>
      <c r="O193" s="26" t="n"/>
      <c r="P193" s="26" t="n"/>
      <c r="Q193" s="26" t="n"/>
      <c r="R193" s="26" t="n"/>
      <c r="S193" s="26" t="n"/>
      <c r="T193" s="26" t="n"/>
      <c r="U193" s="26" t="n"/>
      <c r="V193" s="26" t="n"/>
      <c r="W193" s="26" t="n"/>
      <c r="X193" s="26" t="n"/>
      <c r="Y193" s="26" t="n"/>
      <c r="Z193" s="26">
        <f>IF(B193="","",IF(COUNTIF(F193:G193,"Fail")&gt;0,1,0))</f>
        <v/>
      </c>
      <c r="AA193" s="26">
        <f>IF(B193="","",IF(COUNTIF(H193:S193,"Fail")&gt;0,1,0))</f>
        <v/>
      </c>
      <c r="AB193" s="26">
        <f>IF(B193="","",IF(COUNTIF(T193:Y193,"Fail")&gt;0,1,0))</f>
        <v/>
      </c>
      <c r="AC193" s="27">
        <f>IF(B193="","",0.1*Z193+0.8*AA193+0.1*AB193)</f>
        <v/>
      </c>
      <c r="AD193" s="27">
        <f>IF(B193="","",IF(C193="Batch 1",0.3,0.2))</f>
        <v/>
      </c>
      <c r="AE193" s="19">
        <f>IF(B193="","",IF(AC193&lt;=AD193,"Đạt","Không đạt"))</f>
        <v/>
      </c>
      <c r="AF193" s="28" t="n"/>
    </row>
    <row r="194" ht="30" customHeight="1" s="36">
      <c r="A194" s="17" t="n">
        <v>192</v>
      </c>
      <c r="B194" s="18" t="n"/>
      <c r="C194" s="17" t="n"/>
      <c r="D194" s="17" t="n"/>
      <c r="E194" s="17" t="n"/>
      <c r="F194" s="26" t="n"/>
      <c r="G194" s="26" t="n"/>
      <c r="H194" s="26" t="n"/>
      <c r="I194" s="26" t="n"/>
      <c r="J194" s="26" t="n"/>
      <c r="K194" s="26" t="n"/>
      <c r="L194" s="26" t="n"/>
      <c r="M194" s="26" t="n"/>
      <c r="N194" s="26" t="n"/>
      <c r="O194" s="26" t="n"/>
      <c r="P194" s="26" t="n"/>
      <c r="Q194" s="26" t="n"/>
      <c r="R194" s="26" t="n"/>
      <c r="S194" s="26" t="n"/>
      <c r="T194" s="26" t="n"/>
      <c r="U194" s="26" t="n"/>
      <c r="V194" s="26" t="n"/>
      <c r="W194" s="26" t="n"/>
      <c r="X194" s="26" t="n"/>
      <c r="Y194" s="26" t="n"/>
      <c r="Z194" s="26">
        <f>IF(B194="","",IF(COUNTIF(F194:G194,"Fail")&gt;0,1,0))</f>
        <v/>
      </c>
      <c r="AA194" s="26">
        <f>IF(B194="","",IF(COUNTIF(H194:S194,"Fail")&gt;0,1,0))</f>
        <v/>
      </c>
      <c r="AB194" s="26">
        <f>IF(B194="","",IF(COUNTIF(T194:Y194,"Fail")&gt;0,1,0))</f>
        <v/>
      </c>
      <c r="AC194" s="27">
        <f>IF(B194="","",0.1*Z194+0.8*AA194+0.1*AB194)</f>
        <v/>
      </c>
      <c r="AD194" s="27">
        <f>IF(B194="","",IF(C194="Batch 1",0.3,0.2))</f>
        <v/>
      </c>
      <c r="AE194" s="19">
        <f>IF(B194="","",IF(AC194&lt;=AD194,"Đạt","Không đạt"))</f>
        <v/>
      </c>
      <c r="AF194" s="28" t="n"/>
    </row>
    <row r="195" ht="30" customHeight="1" s="36">
      <c r="A195" s="17" t="n">
        <v>193</v>
      </c>
      <c r="B195" s="18" t="n"/>
      <c r="C195" s="17" t="n"/>
      <c r="D195" s="17" t="n"/>
      <c r="E195" s="17" t="n"/>
      <c r="F195" s="26" t="n"/>
      <c r="G195" s="26" t="n"/>
      <c r="H195" s="26" t="n"/>
      <c r="I195" s="26" t="n"/>
      <c r="J195" s="26" t="n"/>
      <c r="K195" s="26" t="n"/>
      <c r="L195" s="26" t="n"/>
      <c r="M195" s="26" t="n"/>
      <c r="N195" s="26" t="n"/>
      <c r="O195" s="26" t="n"/>
      <c r="P195" s="26" t="n"/>
      <c r="Q195" s="26" t="n"/>
      <c r="R195" s="26" t="n"/>
      <c r="S195" s="26" t="n"/>
      <c r="T195" s="26" t="n"/>
      <c r="U195" s="26" t="n"/>
      <c r="V195" s="26" t="n"/>
      <c r="W195" s="26" t="n"/>
      <c r="X195" s="26" t="n"/>
      <c r="Y195" s="26" t="n"/>
      <c r="Z195" s="26">
        <f>IF(B195="","",IF(COUNTIF(F195:G195,"Fail")&gt;0,1,0))</f>
        <v/>
      </c>
      <c r="AA195" s="26">
        <f>IF(B195="","",IF(COUNTIF(H195:S195,"Fail")&gt;0,1,0))</f>
        <v/>
      </c>
      <c r="AB195" s="26">
        <f>IF(B195="","",IF(COUNTIF(T195:Y195,"Fail")&gt;0,1,0))</f>
        <v/>
      </c>
      <c r="AC195" s="27">
        <f>IF(B195="","",0.1*Z195+0.8*AA195+0.1*AB195)</f>
        <v/>
      </c>
      <c r="AD195" s="27">
        <f>IF(B195="","",IF(C195="Batch 1",0.3,0.2))</f>
        <v/>
      </c>
      <c r="AE195" s="19">
        <f>IF(B195="","",IF(AC195&lt;=AD195,"Đạt","Không đạt"))</f>
        <v/>
      </c>
      <c r="AF195" s="28" t="n"/>
    </row>
    <row r="196" ht="30" customHeight="1" s="36">
      <c r="A196" s="17" t="n">
        <v>194</v>
      </c>
      <c r="B196" s="18" t="n"/>
      <c r="C196" s="17" t="n"/>
      <c r="D196" s="17" t="n"/>
      <c r="E196" s="17" t="n"/>
      <c r="F196" s="26" t="n"/>
      <c r="G196" s="26" t="n"/>
      <c r="H196" s="26" t="n"/>
      <c r="I196" s="26" t="n"/>
      <c r="J196" s="26" t="n"/>
      <c r="K196" s="26" t="n"/>
      <c r="L196" s="26" t="n"/>
      <c r="M196" s="26" t="n"/>
      <c r="N196" s="26" t="n"/>
      <c r="O196" s="26" t="n"/>
      <c r="P196" s="26" t="n"/>
      <c r="Q196" s="26" t="n"/>
      <c r="R196" s="26" t="n"/>
      <c r="S196" s="26" t="n"/>
      <c r="T196" s="26" t="n"/>
      <c r="U196" s="26" t="n"/>
      <c r="V196" s="26" t="n"/>
      <c r="W196" s="26" t="n"/>
      <c r="X196" s="26" t="n"/>
      <c r="Y196" s="26" t="n"/>
      <c r="Z196" s="26">
        <f>IF(B196="","",IF(COUNTIF(F196:G196,"Fail")&gt;0,1,0))</f>
        <v/>
      </c>
      <c r="AA196" s="26">
        <f>IF(B196="","",IF(COUNTIF(H196:S196,"Fail")&gt;0,1,0))</f>
        <v/>
      </c>
      <c r="AB196" s="26">
        <f>IF(B196="","",IF(COUNTIF(T196:Y196,"Fail")&gt;0,1,0))</f>
        <v/>
      </c>
      <c r="AC196" s="27">
        <f>IF(B196="","",0.1*Z196+0.8*AA196+0.1*AB196)</f>
        <v/>
      </c>
      <c r="AD196" s="27">
        <f>IF(B196="","",IF(C196="Batch 1",0.3,0.2))</f>
        <v/>
      </c>
      <c r="AE196" s="19">
        <f>IF(B196="","",IF(AC196&lt;=AD196,"Đạt","Không đạt"))</f>
        <v/>
      </c>
      <c r="AF196" s="28" t="n"/>
    </row>
    <row r="197" ht="30" customHeight="1" s="36">
      <c r="A197" s="17" t="n">
        <v>195</v>
      </c>
      <c r="B197" s="18" t="n"/>
      <c r="C197" s="17" t="n"/>
      <c r="D197" s="17" t="n"/>
      <c r="E197" s="17" t="n"/>
      <c r="F197" s="26" t="n"/>
      <c r="G197" s="26" t="n"/>
      <c r="H197" s="26" t="n"/>
      <c r="I197" s="26" t="n"/>
      <c r="J197" s="26" t="n"/>
      <c r="K197" s="26" t="n"/>
      <c r="L197" s="26" t="n"/>
      <c r="M197" s="26" t="n"/>
      <c r="N197" s="26" t="n"/>
      <c r="O197" s="26" t="n"/>
      <c r="P197" s="26" t="n"/>
      <c r="Q197" s="26" t="n"/>
      <c r="R197" s="26" t="n"/>
      <c r="S197" s="26" t="n"/>
      <c r="T197" s="26" t="n"/>
      <c r="U197" s="26" t="n"/>
      <c r="V197" s="26" t="n"/>
      <c r="W197" s="26" t="n"/>
      <c r="X197" s="26" t="n"/>
      <c r="Y197" s="26" t="n"/>
      <c r="Z197" s="26">
        <f>IF(B197="","",IF(COUNTIF(F197:G197,"Fail")&gt;0,1,0))</f>
        <v/>
      </c>
      <c r="AA197" s="26">
        <f>IF(B197="","",IF(COUNTIF(H197:S197,"Fail")&gt;0,1,0))</f>
        <v/>
      </c>
      <c r="AB197" s="26">
        <f>IF(B197="","",IF(COUNTIF(T197:Y197,"Fail")&gt;0,1,0))</f>
        <v/>
      </c>
      <c r="AC197" s="27">
        <f>IF(B197="","",0.1*Z197+0.8*AA197+0.1*AB197)</f>
        <v/>
      </c>
      <c r="AD197" s="27">
        <f>IF(B197="","",IF(C197="Batch 1",0.3,0.2))</f>
        <v/>
      </c>
      <c r="AE197" s="19">
        <f>IF(B197="","",IF(AC197&lt;=AD197,"Đạt","Không đạt"))</f>
        <v/>
      </c>
      <c r="AF197" s="28" t="n"/>
    </row>
    <row r="198" ht="30" customHeight="1" s="36">
      <c r="A198" s="17" t="n">
        <v>196</v>
      </c>
      <c r="B198" s="18" t="n"/>
      <c r="C198" s="17" t="n"/>
      <c r="D198" s="17" t="n"/>
      <c r="E198" s="17" t="n"/>
      <c r="F198" s="26" t="n"/>
      <c r="G198" s="26" t="n"/>
      <c r="H198" s="26" t="n"/>
      <c r="I198" s="26" t="n"/>
      <c r="J198" s="26" t="n"/>
      <c r="K198" s="26" t="n"/>
      <c r="L198" s="26" t="n"/>
      <c r="M198" s="26" t="n"/>
      <c r="N198" s="26" t="n"/>
      <c r="O198" s="26" t="n"/>
      <c r="P198" s="26" t="n"/>
      <c r="Q198" s="26" t="n"/>
      <c r="R198" s="26" t="n"/>
      <c r="S198" s="26" t="n"/>
      <c r="T198" s="26" t="n"/>
      <c r="U198" s="26" t="n"/>
      <c r="V198" s="26" t="n"/>
      <c r="W198" s="26" t="n"/>
      <c r="X198" s="26" t="n"/>
      <c r="Y198" s="26" t="n"/>
      <c r="Z198" s="26">
        <f>IF(B198="","",IF(COUNTIF(F198:G198,"Fail")&gt;0,1,0))</f>
        <v/>
      </c>
      <c r="AA198" s="26">
        <f>IF(B198="","",IF(COUNTIF(H198:S198,"Fail")&gt;0,1,0))</f>
        <v/>
      </c>
      <c r="AB198" s="26">
        <f>IF(B198="","",IF(COUNTIF(T198:Y198,"Fail")&gt;0,1,0))</f>
        <v/>
      </c>
      <c r="AC198" s="27">
        <f>IF(B198="","",0.1*Z198+0.8*AA198+0.1*AB198)</f>
        <v/>
      </c>
      <c r="AD198" s="27">
        <f>IF(B198="","",IF(C198="Batch 1",0.3,0.2))</f>
        <v/>
      </c>
      <c r="AE198" s="19">
        <f>IF(B198="","",IF(AC198&lt;=AD198,"Đạt","Không đạt"))</f>
        <v/>
      </c>
      <c r="AF198" s="28" t="n"/>
    </row>
    <row r="199" ht="30" customHeight="1" s="36">
      <c r="A199" s="17" t="n">
        <v>197</v>
      </c>
      <c r="B199" s="18" t="n"/>
      <c r="C199" s="17" t="n"/>
      <c r="D199" s="17" t="n"/>
      <c r="E199" s="17" t="n"/>
      <c r="F199" s="26" t="n"/>
      <c r="G199" s="26" t="n"/>
      <c r="H199" s="26" t="n"/>
      <c r="I199" s="26" t="n"/>
      <c r="J199" s="26" t="n"/>
      <c r="K199" s="26" t="n"/>
      <c r="L199" s="26" t="n"/>
      <c r="M199" s="26" t="n"/>
      <c r="N199" s="26" t="n"/>
      <c r="O199" s="26" t="n"/>
      <c r="P199" s="26" t="n"/>
      <c r="Q199" s="26" t="n"/>
      <c r="R199" s="26" t="n"/>
      <c r="S199" s="26" t="n"/>
      <c r="T199" s="26" t="n"/>
      <c r="U199" s="26" t="n"/>
      <c r="V199" s="26" t="n"/>
      <c r="W199" s="26" t="n"/>
      <c r="X199" s="26" t="n"/>
      <c r="Y199" s="26" t="n"/>
      <c r="Z199" s="26">
        <f>IF(B199="","",IF(COUNTIF(F199:G199,"Fail")&gt;0,1,0))</f>
        <v/>
      </c>
      <c r="AA199" s="26">
        <f>IF(B199="","",IF(COUNTIF(H199:S199,"Fail")&gt;0,1,0))</f>
        <v/>
      </c>
      <c r="AB199" s="26">
        <f>IF(B199="","",IF(COUNTIF(T199:Y199,"Fail")&gt;0,1,0))</f>
        <v/>
      </c>
      <c r="AC199" s="27">
        <f>IF(B199="","",0.1*Z199+0.8*AA199+0.1*AB199)</f>
        <v/>
      </c>
      <c r="AD199" s="27">
        <f>IF(B199="","",IF(C199="Batch 1",0.3,0.2))</f>
        <v/>
      </c>
      <c r="AE199" s="19">
        <f>IF(B199="","",IF(AC199&lt;=AD199,"Đạt","Không đạt"))</f>
        <v/>
      </c>
      <c r="AF199" s="28" t="n"/>
    </row>
    <row r="200" ht="30" customHeight="1" s="36">
      <c r="A200" s="17" t="n">
        <v>198</v>
      </c>
      <c r="B200" s="18" t="n"/>
      <c r="C200" s="17" t="n"/>
      <c r="D200" s="17" t="n"/>
      <c r="E200" s="17" t="n"/>
      <c r="F200" s="26" t="n"/>
      <c r="G200" s="26" t="n"/>
      <c r="H200" s="26" t="n"/>
      <c r="I200" s="26" t="n"/>
      <c r="J200" s="26" t="n"/>
      <c r="K200" s="26" t="n"/>
      <c r="L200" s="26" t="n"/>
      <c r="M200" s="26" t="n"/>
      <c r="N200" s="26" t="n"/>
      <c r="O200" s="26" t="n"/>
      <c r="P200" s="26" t="n"/>
      <c r="Q200" s="26" t="n"/>
      <c r="R200" s="26" t="n"/>
      <c r="S200" s="26" t="n"/>
      <c r="T200" s="26" t="n"/>
      <c r="U200" s="26" t="n"/>
      <c r="V200" s="26" t="n"/>
      <c r="W200" s="26" t="n"/>
      <c r="X200" s="26" t="n"/>
      <c r="Y200" s="26" t="n"/>
      <c r="Z200" s="26">
        <f>IF(B200="","",IF(COUNTIF(F200:G200,"Fail")&gt;0,1,0))</f>
        <v/>
      </c>
      <c r="AA200" s="26">
        <f>IF(B200="","",IF(COUNTIF(H200:S200,"Fail")&gt;0,1,0))</f>
        <v/>
      </c>
      <c r="AB200" s="26">
        <f>IF(B200="","",IF(COUNTIF(T200:Y200,"Fail")&gt;0,1,0))</f>
        <v/>
      </c>
      <c r="AC200" s="27">
        <f>IF(B200="","",0.1*Z200+0.8*AA200+0.1*AB200)</f>
        <v/>
      </c>
      <c r="AD200" s="27">
        <f>IF(B200="","",IF(C200="Batch 1",0.3,0.2))</f>
        <v/>
      </c>
      <c r="AE200" s="19">
        <f>IF(B200="","",IF(AC200&lt;=AD200,"Đạt","Không đạt"))</f>
        <v/>
      </c>
      <c r="AF200" s="28" t="n"/>
    </row>
  </sheetData>
  <mergeCells count="9">
    <mergeCell ref="T1:Y1"/>
    <mergeCell ref="H1:S1"/>
    <mergeCell ref="C1:C2"/>
    <mergeCell ref="B1:B2"/>
    <mergeCell ref="D1:D2"/>
    <mergeCell ref="E1:E2"/>
    <mergeCell ref="Z1:AF1"/>
    <mergeCell ref="F1:G1"/>
    <mergeCell ref="A1:A2"/>
  </mergeCells>
  <conditionalFormatting sqref="F3:Y200">
    <cfRule type="cellIs" priority="2" operator="equal" dxfId="12">
      <formula>"WARN"</formula>
    </cfRule>
    <cfRule type="cellIs" priority="3" operator="equal" dxfId="7">
      <formula>"Fail"</formula>
    </cfRule>
    <cfRule type="cellIs" priority="4" operator="equal" dxfId="8">
      <formula>"Pass"</formula>
    </cfRule>
    <cfRule type="cellIs" priority="5" operator="equal" dxfId="9">
      <formula>"N/A"</formula>
    </cfRule>
  </conditionalFormatting>
  <conditionalFormatting sqref="AE3:AE200">
    <cfRule type="cellIs" priority="6" operator="equal" dxfId="10">
      <formula>"Không đạt"</formula>
    </cfRule>
    <cfRule type="cellIs" priority="7" operator="equal" dxfId="11">
      <formula>"Đạt"</formula>
    </cfRule>
  </conditionalFormatting>
  <conditionalFormatting sqref="F2:Y200">
    <cfRule type="cellIs" priority="1" operator="equal" dxfId="12">
      <formula>"WARN"</formula>
    </cfRule>
  </conditionalFormatting>
  <dataValidations count="2">
    <dataValidation sqref="F3:Y200" showDropDown="0" showInputMessage="0" showErrorMessage="0" allowBlank="1" type="list">
      <formula1>"Pass,Fail,N/A,WARN"</formula1>
    </dataValidation>
    <dataValidation sqref="C3:C200" showDropDown="0" showInputMessage="0" showErrorMessage="0" allowBlank="1" type="list">
      <formula1>"Batch 1,Batch 2,Batch 3"</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2:I9"/>
  <sheetViews>
    <sheetView showGridLines="0" zoomScaleNormal="100" workbookViewId="0">
      <selection activeCell="F20" sqref="F20"/>
    </sheetView>
  </sheetViews>
  <sheetFormatPr baseColWidth="8" defaultColWidth="8.7265625" defaultRowHeight="14.5"/>
  <cols>
    <col width="12" customWidth="1" style="36" min="2" max="2"/>
    <col width="12.54296875" bestFit="1" customWidth="1" style="36" min="3" max="3"/>
    <col width="12" customWidth="1" style="36" min="4" max="4"/>
    <col width="10" customWidth="1" style="36" min="5" max="5"/>
    <col width="12" customWidth="1" style="36" min="6" max="8"/>
    <col width="20" bestFit="1" customWidth="1" style="36" min="9" max="9"/>
  </cols>
  <sheetData>
    <row r="2" ht="18" customHeight="1" s="36">
      <c r="B2" s="37" t="inlineStr">
        <is>
          <t>TỔNG HỢP KẾT QUẢ REVIEW CODE THEO BATCH – ZONE C OCB</t>
        </is>
      </c>
    </row>
    <row r="4" ht="31.5" customHeight="1" s="36">
      <c r="B4" s="3" t="inlineStr">
        <is>
          <t>Batch</t>
        </is>
      </c>
      <c r="C4" s="3" t="inlineStr">
        <is>
          <t>Ngưỡng lỗi
cho phép</t>
        </is>
      </c>
      <c r="D4" s="3" t="inlineStr">
        <is>
          <t>Số bảng
đã review</t>
        </is>
      </c>
      <c r="E4" s="3" t="inlineStr">
        <is>
          <t>Số bảng
Đạt</t>
        </is>
      </c>
      <c r="F4" s="3" t="inlineStr">
        <is>
          <t>Số bảng
Không đạt</t>
        </is>
      </c>
      <c r="G4" s="3" t="inlineStr">
        <is>
          <t>Tỷ lệ lỗi
bình quân</t>
        </is>
      </c>
      <c r="H4" s="3" t="inlineStr">
        <is>
          <t>Tỷ lệ bảng
Không đạt</t>
        </is>
      </c>
      <c r="I4" s="3" t="inlineStr">
        <is>
          <t>Kết luận Batch</t>
        </is>
      </c>
    </row>
    <row r="5" ht="21.75" customHeight="1" s="36">
      <c r="B5" s="17" t="inlineStr">
        <is>
          <t>Batch 1</t>
        </is>
      </c>
      <c r="C5" s="20" t="n">
        <v>0.3</v>
      </c>
      <c r="D5" s="17">
        <f>COUNTIF('Review theo bảng'!$C$3:$C$200,B5)</f>
        <v/>
      </c>
      <c r="E5" s="17">
        <f>COUNTIFS('Review theo bảng'!$C$3:$C$200,B5,'Review theo bảng'!$AE$3:$AE$200,"Đạt")</f>
        <v/>
      </c>
      <c r="F5" s="17">
        <f>COUNTIFS('Review theo bảng'!$C$3:$C$200,B5,'Review theo bảng'!$AE$3:$AE$200,"Không đạt")</f>
        <v/>
      </c>
      <c r="G5" s="21">
        <f>IFERROR(AVERAGEIF('Review theo bảng'!$C$3:$C$200,B5,'Review theo bảng'!$AC$3:$AC$200),0)</f>
        <v/>
      </c>
      <c r="H5" s="21">
        <f>IFERROR(F5/D5,0)</f>
        <v/>
      </c>
      <c r="I5" s="22">
        <f>IF(D5=0,"Chưa có dữ liệu",IF(H5&lt;=C5,"Đạt yêu cầu","Không đạt yêu cầu"))</f>
        <v/>
      </c>
    </row>
    <row r="6" ht="21.75" customHeight="1" s="36">
      <c r="B6" s="17" t="inlineStr">
        <is>
          <t>Batch 2</t>
        </is>
      </c>
      <c r="C6" s="20" t="n">
        <v>0.2</v>
      </c>
      <c r="D6" s="17">
        <f>COUNTIF('Review theo bảng'!$C$3:$C$200,B6)</f>
        <v/>
      </c>
      <c r="E6" s="17">
        <f>COUNTIFS('Review theo bảng'!$C$3:$C$200,B6,'Review theo bảng'!$AE$3:$AE$200,"Đạt")</f>
        <v/>
      </c>
      <c r="F6" s="17">
        <f>COUNTIFS('Review theo bảng'!$C$3:$C$200,B6,'Review theo bảng'!$AE$3:$AE$200,"Không đạt")</f>
        <v/>
      </c>
      <c r="G6" s="21">
        <f>IFERROR(AVERAGEIF('Review theo bảng'!$C$3:$C$200,B6,'Review theo bảng'!$AC$3:$AC$200),0)</f>
        <v/>
      </c>
      <c r="H6" s="21">
        <f>IFERROR(F6/D6,0)</f>
        <v/>
      </c>
      <c r="I6" s="22">
        <f>IF(D6=0,"Chưa có dữ liệu",IF(H6&lt;=C6,"Đạt yêu cầu","Không đạt yêu cầu"))</f>
        <v/>
      </c>
    </row>
    <row r="7" ht="21.75" customHeight="1" s="36">
      <c r="B7" s="17" t="inlineStr">
        <is>
          <t>Batch 3</t>
        </is>
      </c>
      <c r="C7" s="20" t="n">
        <v>0.2</v>
      </c>
      <c r="D7" s="17">
        <f>COUNTIF('Review theo bảng'!$C$3:$C$200,B7)</f>
        <v/>
      </c>
      <c r="E7" s="17">
        <f>COUNTIFS('Review theo bảng'!$C$3:$C$200,B7,'Review theo bảng'!$AE$3:$AE$200,"Đạt")</f>
        <v/>
      </c>
      <c r="F7" s="17">
        <f>COUNTIFS('Review theo bảng'!$C$3:$C$200,B7,'Review theo bảng'!$AE$3:$AE$200,"Không đạt")</f>
        <v/>
      </c>
      <c r="G7" s="21">
        <f>IFERROR(AVERAGEIF('Review theo bảng'!$C$3:$C$200,B7,'Review theo bảng'!$AC$3:$AC$200),0)</f>
        <v/>
      </c>
      <c r="H7" s="21">
        <f>IFERROR(F7/D7,0)</f>
        <v/>
      </c>
      <c r="I7" s="22">
        <f>IF(D7=0,"Chưa có dữ liệu",IF(H7&lt;=C7,"Đạt yêu cầu","Không đạt yêu cầu"))</f>
        <v/>
      </c>
    </row>
    <row r="9" ht="30" customHeight="1" s="36">
      <c r="B9" s="35" t="inlineStr">
        <is>
          <t>Ghi chú: Tỷ lệ lỗi bình quân và kết luận lấy tự động từ sheet "Review theo bảng" (cột AE và AG). Ngưỡng lỗi theo thống nhất với OCB: Batch 1 tối đa 30%, Batch 2 và Batch 3 tối đa 20% (sheet "Quality check").</t>
        </is>
      </c>
    </row>
  </sheetData>
  <mergeCells count="2">
    <mergeCell ref="B9:I9"/>
    <mergeCell ref="B2:H2"/>
  </mergeCells>
  <conditionalFormatting sqref="I5:I7">
    <cfRule type="cellIs" priority="2" operator="equal" dxfId="1">
      <formula>"Không đạt yêu cầu"</formula>
    </cfRule>
    <cfRule type="cellIs" priority="3" operator="equal" dxfId="0">
      <formula>"Đạt yêu cầu"</formula>
    </cfRule>
  </conditionalFormatting>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J1473"/>
  <sheetViews>
    <sheetView workbookViewId="0">
      <pane ySplit="1" topLeftCell="A2" activePane="bottomLeft" state="frozen"/>
      <selection pane="bottomLeft" activeCell="A1" sqref="A1"/>
    </sheetView>
  </sheetViews>
  <sheetFormatPr baseColWidth="8" defaultRowHeight="15"/>
  <cols>
    <col width="34" customWidth="1" style="36" min="1" max="1"/>
    <col width="17" customWidth="1" style="36" min="2" max="2"/>
    <col width="7" customWidth="1" style="36" min="3" max="3"/>
    <col width="24" customWidth="1" style="36" min="4" max="4"/>
    <col width="44" customWidth="1" style="36" min="5" max="5"/>
    <col width="12" customWidth="1" style="36" min="6" max="6"/>
    <col width="13" customWidth="1" style="36" min="7" max="7"/>
    <col width="82" customWidth="1" style="36" min="8" max="8"/>
    <col width="88" customWidth="1" style="36" min="9" max="9"/>
    <col width="38" customWidth="1" style="36" min="10" max="10"/>
  </cols>
  <sheetData>
    <row r="1">
      <c r="A1" s="47" t="inlineStr">
        <is>
          <t>Object Gold</t>
        </is>
      </c>
      <c r="B1" s="47" t="inlineStr">
        <is>
          <t>Profile</t>
        </is>
      </c>
      <c r="C1" s="47" t="inlineStr">
        <is>
          <t>Mã</t>
        </is>
      </c>
      <c r="D1" s="47" t="inlineStr">
        <is>
          <t>Nhóm</t>
        </is>
      </c>
      <c r="E1" s="47" t="inlineStr">
        <is>
          <t>Tiêu chí</t>
        </is>
      </c>
      <c r="F1" s="47" t="inlineStr">
        <is>
          <t>Kết quả máy</t>
        </is>
      </c>
      <c r="G1" s="47" t="inlineStr">
        <is>
          <t>Ghi vào Excel</t>
        </is>
      </c>
      <c r="H1" s="47" t="inlineStr">
        <is>
          <t>Bằng chứng / số dòng</t>
        </is>
      </c>
      <c r="I1" s="47" t="inlineStr">
        <is>
          <t>Cách sửa</t>
        </is>
      </c>
      <c r="J1" s="47" t="inlineStr">
        <is>
          <t>File</t>
        </is>
      </c>
    </row>
    <row r="2">
      <c r="A2" s="48" t="inlineStr">
        <is>
          <t>TCKH.V_BRANCH_LIST</t>
        </is>
      </c>
      <c r="B2" s="48" t="inlineStr">
        <is>
          <t>GOLD_DERIVED</t>
        </is>
      </c>
      <c r="C2" s="48" t="inlineStr">
        <is>
          <t>1.1</t>
        </is>
      </c>
      <c r="D2" s="48" t="inlineStr">
        <is>
          <t>Nhom 1 - Mapping</t>
        </is>
      </c>
      <c r="E2" s="48" t="inlineStr">
        <is>
          <t>Đầy đủ mapping từ Silver/manual sang Gold</t>
        </is>
      </c>
      <c r="F2" s="49" t="inlineStr">
        <is>
          <t>PASS</t>
        </is>
      </c>
      <c r="G2" s="48" t="inlineStr">
        <is>
          <t>Pass</t>
        </is>
      </c>
      <c r="H2" s="50" t="inlineStr">
        <is>
          <t>workbook 067. OCB_GOLD_TCKH_AR_DIM_HOP.xlsx: thiết kế 5 field, SQL có 5 cột</t>
        </is>
      </c>
      <c r="I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 s="48" t="inlineStr">
        <is>
          <t>002. OCB_GOLD_TCKH_V_BRANCH_LIST_HOP.xlsx [SCRIPT: V_BRANCH_LIST]</t>
        </is>
      </c>
    </row>
    <row r="3">
      <c r="A3" s="48" t="inlineStr">
        <is>
          <t>TCKH.V_BRANCH_LIST</t>
        </is>
      </c>
      <c r="B3" s="48" t="inlineStr">
        <is>
          <t>GOLD_DERIVED</t>
        </is>
      </c>
      <c r="C3" s="48" t="inlineStr">
        <is>
          <t>1.2</t>
        </is>
      </c>
      <c r="D3" s="48" t="inlineStr">
        <is>
          <t>Nhom 1 - Mapping</t>
        </is>
      </c>
      <c r="E3" s="48" t="inlineStr">
        <is>
          <t>Danh sách bảng/view Gold khớp tài liệu thiết kế đã duyệt</t>
        </is>
      </c>
      <c r="F3" s="49" t="inlineStr">
        <is>
          <t>PASS</t>
        </is>
      </c>
      <c r="G3" s="48" t="inlineStr">
        <is>
          <t>Pass</t>
        </is>
      </c>
      <c r="H3" s="50" t="inlineStr">
        <is>
          <t>V_BRANCH_LIST có workbook thiết kế: 067. OCB_GOLD_TCKH_AR_DIM_HOP.xlsx</t>
        </is>
      </c>
      <c r="I3" s="50" t="inlineStr">
        <is>
          <t>Đảm bảo object có workbook thiết kế tương ứng trong thư mục --mapping-dir. Muốn đối chiếu với danh sách đã duyệt thì chạy thêm tham số --gold-list "&lt;file danh sách Gold&gt;.xlsx".</t>
        </is>
      </c>
      <c r="J3" s="48" t="inlineStr">
        <is>
          <t>002. OCB_GOLD_TCKH_V_BRANCH_LIST_HOP.xlsx [SCRIPT: V_BRANCH_LIST]</t>
        </is>
      </c>
    </row>
    <row r="4">
      <c r="A4" s="48" t="inlineStr">
        <is>
          <t>TCKH.V_BRANCH_LIST</t>
        </is>
      </c>
      <c r="B4" s="48" t="inlineStr">
        <is>
          <t>GOLD_DERIVED</t>
        </is>
      </c>
      <c r="C4" s="48" t="inlineStr">
        <is>
          <t>2.1</t>
        </is>
      </c>
      <c r="D4" s="48" t="inlineStr">
        <is>
          <t>Nhom 2 - Logic</t>
        </is>
      </c>
      <c r="E4" s="48" t="inlineStr">
        <is>
          <t>Chỉ lấy bản ghi active, loại bản ghi đã xóa (qua sts_hub)</t>
        </is>
      </c>
      <c r="F4" s="48" t="inlineStr">
        <is>
          <t>N-A</t>
        </is>
      </c>
      <c r="G4" s="48" t="inlineStr">
        <is>
          <t>Pass</t>
        </is>
      </c>
      <c r="H4" s="50" t="inlineStr">
        <is>
          <t>khong ap dung cho profile GOLD_DERIVED</t>
        </is>
      </c>
      <c r="I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 s="48" t="inlineStr">
        <is>
          <t>002. OCB_GOLD_TCKH_V_BRANCH_LIST_HOP.xlsx [SCRIPT: V_BRANCH_LIST]</t>
        </is>
      </c>
    </row>
    <row r="5">
      <c r="A5" s="48" t="inlineStr">
        <is>
          <t>TCKH.V_BRANCH_LIST</t>
        </is>
      </c>
      <c r="B5" s="48" t="inlineStr">
        <is>
          <t>GOLD_DERIVED</t>
        </is>
      </c>
      <c r="C5" s="48" t="inlineStr">
        <is>
          <t>2.2</t>
        </is>
      </c>
      <c r="D5" s="48" t="inlineStr">
        <is>
          <t>Nhom 2 - Logic</t>
        </is>
      </c>
      <c r="E5" s="48" t="inlineStr">
        <is>
          <t>Thống nhất MỘT pattern duy nhất xác định bản ghi active mới nhất</t>
        </is>
      </c>
      <c r="F5" s="48" t="inlineStr">
        <is>
          <t>N-A</t>
        </is>
      </c>
      <c r="G5" s="48" t="inlineStr">
        <is>
          <t>Pass</t>
        </is>
      </c>
      <c r="H5" s="50" t="inlineStr">
        <is>
          <t>khong ap dung cho profile GOLD_DERIVED</t>
        </is>
      </c>
      <c r="I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 s="48" t="inlineStr">
        <is>
          <t>002. OCB_GOLD_TCKH_V_BRANCH_LIST_HOP.xlsx [SCRIPT: V_BRANCH_LIST]</t>
        </is>
      </c>
    </row>
    <row r="6">
      <c r="A6" s="48" t="inlineStr">
        <is>
          <t>TCKH.V_BRANCH_LIST</t>
        </is>
      </c>
      <c r="B6" s="48" t="inlineStr">
        <is>
          <t>GOLD_DERIVED</t>
        </is>
      </c>
      <c r="C6" s="48" t="inlineStr">
        <is>
          <t>2.3</t>
        </is>
      </c>
      <c r="D6" s="48" t="inlineStr">
        <is>
          <t>Nhom 2 - Logic</t>
        </is>
      </c>
      <c r="E6" s="48" t="inlineStr">
        <is>
          <t>Điều kiện lọc trạng thái đặt SAU khi xác định bản ghi mới nhất</t>
        </is>
      </c>
      <c r="F6" s="49" t="inlineStr">
        <is>
          <t>PASS</t>
        </is>
      </c>
      <c r="G6" s="48" t="inlineStr">
        <is>
          <t>Pass</t>
        </is>
      </c>
      <c r="H6" s="50" t="inlineStr">
        <is>
          <t>không có điều kiện trạng thái nào lồng trong JOIN ON</t>
        </is>
      </c>
      <c r="I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 s="48" t="inlineStr">
        <is>
          <t>002. OCB_GOLD_TCKH_V_BRANCH_LIST_HOP.xlsx [SCRIPT: V_BRANCH_LIST]</t>
        </is>
      </c>
    </row>
    <row r="7">
      <c r="A7" s="48" t="inlineStr">
        <is>
          <t>TCKH.V_BRANCH_LIST</t>
        </is>
      </c>
      <c r="B7" s="48" t="inlineStr">
        <is>
          <t>GOLD_DERIVED</t>
        </is>
      </c>
      <c r="C7" s="48" t="inlineStr">
        <is>
          <t>2.4</t>
        </is>
      </c>
      <c r="D7" s="48" t="inlineStr">
        <is>
          <t>Nhom 2 - Logic</t>
        </is>
      </c>
      <c r="E7" s="48" t="inlineStr">
        <is>
          <t>source_event_date áp dụng đúng dạng theo loại bảng</t>
        </is>
      </c>
      <c r="F7" s="48" t="inlineStr">
        <is>
          <t>N-A</t>
        </is>
      </c>
      <c r="G7" s="48" t="inlineStr">
        <is>
          <t>Pass</t>
        </is>
      </c>
      <c r="H7" s="50" t="inlineStr">
        <is>
          <t>khong ap dung cho profile GOLD_DERIVED</t>
        </is>
      </c>
      <c r="I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 s="48" t="inlineStr">
        <is>
          <t>002. OCB_GOLD_TCKH_V_BRANCH_LIST_HOP.xlsx [SCRIPT: V_BRANCH_LIST]</t>
        </is>
      </c>
    </row>
    <row r="8">
      <c r="A8" s="48" t="inlineStr">
        <is>
          <t>TCKH.V_BRANCH_LIST</t>
        </is>
      </c>
      <c r="B8" s="48" t="inlineStr">
        <is>
          <t>GOLD_DERIVED</t>
        </is>
      </c>
      <c r="C8" s="48" t="inlineStr">
        <is>
          <t>2.5</t>
        </is>
      </c>
      <c r="D8" s="48" t="inlineStr">
        <is>
          <t>Nhom 2 - Logic</t>
        </is>
      </c>
      <c r="E8" s="48" t="inlineStr">
        <is>
          <t>Không lặp lại lỗi logic cũ đã được DA Data Vault fix</t>
        </is>
      </c>
      <c r="F8" s="49" t="inlineStr">
        <is>
          <t>PASS</t>
        </is>
      </c>
      <c r="G8" s="48" t="inlineStr">
        <is>
          <t>Pass</t>
        </is>
      </c>
      <c r="H8" s="50" t="inlineStr">
        <is>
          <t>không trùng lỗi nào trong Issue log của DA Data Vault</t>
        </is>
      </c>
      <c r="I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 s="48" t="inlineStr">
        <is>
          <t>002. OCB_GOLD_TCKH_V_BRANCH_LIST_HOP.xlsx [SCRIPT: V_BRANCH_LIST]</t>
        </is>
      </c>
    </row>
    <row r="9">
      <c r="A9" s="48" t="inlineStr">
        <is>
          <t>TCKH.V_BRANCH_LIST</t>
        </is>
      </c>
      <c r="B9" s="48" t="inlineStr">
        <is>
          <t>GOLD_DERIVED</t>
        </is>
      </c>
      <c r="C9" s="48" t="inlineStr">
        <is>
          <t>2.6</t>
        </is>
      </c>
      <c r="D9" s="48" t="inlineStr">
        <is>
          <t>Nhom 2 - Logic</t>
        </is>
      </c>
      <c r="E9" s="48" t="inlineStr">
        <is>
          <t>SCD Type 2 cho bảng DIM áp dụng đúng kỹ thuật đã thống nhất</t>
        </is>
      </c>
      <c r="F9" s="48" t="inlineStr">
        <is>
          <t>N-A</t>
        </is>
      </c>
      <c r="G9" s="48" t="inlineStr">
        <is>
          <t>Pass</t>
        </is>
      </c>
      <c r="H9" s="50" t="inlineStr">
        <is>
          <t>object không phải bảng DIM nên không áp dụng SCD Type 2</t>
        </is>
      </c>
      <c r="I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 s="48" t="inlineStr">
        <is>
          <t>002. OCB_GOLD_TCKH_V_BRANCH_LIST_HOP.xlsx [SCRIPT: V_BRANCH_LIST]</t>
        </is>
      </c>
    </row>
    <row r="10">
      <c r="A10" s="48" t="inlineStr">
        <is>
          <t>TCKH.V_BRANCH_LIST</t>
        </is>
      </c>
      <c r="B10" s="48" t="inlineStr">
        <is>
          <t>GOLD_DERIVED</t>
        </is>
      </c>
      <c r="C10" s="48" t="inlineStr">
        <is>
          <t>2.7</t>
        </is>
      </c>
      <c r="D10" s="48" t="inlineStr">
        <is>
          <t>Nhom 2 - Logic</t>
        </is>
      </c>
      <c r="E10" s="48" t="inlineStr">
        <is>
          <t>CASE WHEN cover đủ nhánh như job on-prem</t>
        </is>
      </c>
      <c r="F10" s="48" t="inlineStr">
        <is>
          <t>N-A</t>
        </is>
      </c>
      <c r="G10" s="48" t="inlineStr">
        <is>
          <t>Pass</t>
        </is>
      </c>
      <c r="H10" s="50" t="inlineStr">
        <is>
          <t>script không có CASE WHEN nào</t>
        </is>
      </c>
      <c r="I10" s="50" t="inlineStr">
        <is>
          <t>Mở job on-prem tương ứng (DataStage DSX hoặc SQL cũ), đối chiếu từng nhánh WHEN và cả nhánh ELSE. CASE không có ELSE sẽ trả NULL âm thầm — xác nhận đó là ý muốn hay thiếu nhánh.</t>
        </is>
      </c>
      <c r="J10" s="48" t="inlineStr">
        <is>
          <t>002. OCB_GOLD_TCKH_V_BRANCH_LIST_HOP.xlsx [SCRIPT: V_BRANCH_LIST]</t>
        </is>
      </c>
    </row>
    <row r="11">
      <c r="A11" s="48" t="inlineStr">
        <is>
          <t>TCKH.V_BRANCH_LIST</t>
        </is>
      </c>
      <c r="B11" s="48" t="inlineStr">
        <is>
          <t>GOLD_DERIVED</t>
        </is>
      </c>
      <c r="C11" s="48" t="inlineStr">
        <is>
          <t>2.8</t>
        </is>
      </c>
      <c r="D11" s="48" t="inlineStr">
        <is>
          <t>Nhom 2 - Logic</t>
        </is>
      </c>
      <c r="E11" s="48" t="inlineStr">
        <is>
          <t>Cột SUM/COUNT được COALESCE/NVL hợp lý</t>
        </is>
      </c>
      <c r="F11" s="49" t="inlineStr">
        <is>
          <t>PASS</t>
        </is>
      </c>
      <c r="G11" s="48" t="inlineStr">
        <is>
          <t>Pass</t>
        </is>
      </c>
      <c r="H11" s="50" t="inlineStr">
        <is>
          <t>mọi SUM/COUNT đều đã coalesce (trực tiếp hoặc ở lớp ngoài)</t>
        </is>
      </c>
      <c r="I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 s="48" t="inlineStr">
        <is>
          <t>002. OCB_GOLD_TCKH_V_BRANCH_LIST_HOP.xlsx [SCRIPT: V_BRANCH_LIST]</t>
        </is>
      </c>
    </row>
    <row r="12">
      <c r="A12" s="48" t="inlineStr">
        <is>
          <t>TCKH.V_BRANCH_LIST</t>
        </is>
      </c>
      <c r="B12" s="48" t="inlineStr">
        <is>
          <t>GOLD_DERIVED</t>
        </is>
      </c>
      <c r="C12" s="48" t="inlineStr">
        <is>
          <t>2.9</t>
        </is>
      </c>
      <c r="D12" s="48" t="inlineStr">
        <is>
          <t>Nhom 2 - Logic</t>
        </is>
      </c>
      <c r="E12" s="48" t="inlineStr">
        <is>
          <t>Subquery / custom function / điều kiện LIKE đúng ý nghĩa nghiệp vụ</t>
        </is>
      </c>
      <c r="F12" s="48" t="inlineStr">
        <is>
          <t>N-A</t>
        </is>
      </c>
      <c r="G12" s="48" t="inlineStr">
        <is>
          <t>Pass</t>
        </is>
      </c>
      <c r="H12" s="50" t="inlineStr">
        <is>
          <t>script không có điều kiện LIKE hay scalar subquery nào</t>
        </is>
      </c>
      <c r="I12" s="50" t="inlineStr">
        <is>
          <t>Đọc lại từng điều kiện LIKE và từng subquery, đối chiếu ý nghĩa nghiệp vụ với on-prem — đúng cú pháp không đủ. Chú ý pattern LIKE có ký tự % ở đầu/cuối và phân biệt chữ hoa/thường.</t>
        </is>
      </c>
      <c r="J12" s="48" t="inlineStr">
        <is>
          <t>002. OCB_GOLD_TCKH_V_BRANCH_LIST_HOP.xlsx [SCRIPT: V_BRANCH_LIST]</t>
        </is>
      </c>
    </row>
    <row r="13">
      <c r="A13" s="48" t="inlineStr">
        <is>
          <t>TCKH.V_BRANCH_LIST</t>
        </is>
      </c>
      <c r="B13" s="48" t="inlineStr">
        <is>
          <t>GOLD_DERIVED</t>
        </is>
      </c>
      <c r="C13" s="48" t="inlineStr">
        <is>
          <t>2.10</t>
        </is>
      </c>
      <c r="D13" s="48" t="inlineStr">
        <is>
          <t>Nhom 2 - Logic</t>
        </is>
      </c>
      <c r="E13" s="48" t="inlineStr">
        <is>
          <t>Aggregation kèm filter date range chính xác</t>
        </is>
      </c>
      <c r="F13" s="49" t="inlineStr">
        <is>
          <t>PASS</t>
        </is>
      </c>
      <c r="G13" s="48" t="inlineStr">
        <is>
          <t>Pass</t>
        </is>
      </c>
      <c r="H13" s="50" t="inlineStr">
        <is>
          <t>mọi khối tổng hợp đều có điều kiện theo kỳ dữ liệu</t>
        </is>
      </c>
      <c r="I13" s="50" t="inlineStr">
        <is>
          <t>Mỗi khối SUM/COUNT/AVG phải có điều kiện lọc theo kỳ dữ liệu (CDR_DT_ID, DATA_DATE, :DATADT…). Nếu điều kiện nằm ở CTE nguồn thì ghi rõ trong comment để người review không phải truy ngược.</t>
        </is>
      </c>
      <c r="J13" s="48" t="inlineStr">
        <is>
          <t>002. OCB_GOLD_TCKH_V_BRANCH_LIST_HOP.xlsx [SCRIPT: V_BRANCH_LIST]</t>
        </is>
      </c>
    </row>
    <row r="14">
      <c r="A14" s="48" t="inlineStr">
        <is>
          <t>TCKH.V_BRANCH_LIST</t>
        </is>
      </c>
      <c r="B14" s="48" t="inlineStr">
        <is>
          <t>GOLD_DERIVED</t>
        </is>
      </c>
      <c r="C14" s="48" t="inlineStr">
        <is>
          <t>2.11</t>
        </is>
      </c>
      <c r="D14" s="48" t="inlineStr">
        <is>
          <t>Nhom 2 - Logic</t>
        </is>
      </c>
      <c r="E14" s="48" t="inlineStr">
        <is>
          <t>Join dùng key hợp lý, không lạm dụng UNION ALL + EXISTS/NOT EXISTS</t>
        </is>
      </c>
      <c r="F14" s="49" t="inlineStr">
        <is>
          <t>PASS</t>
        </is>
      </c>
      <c r="G14" s="48" t="inlineStr">
        <is>
          <t>Pass</t>
        </is>
      </c>
      <c r="H14" s="50" t="inlineStr">
        <is>
          <t>join đều theo điều kiện bằng, không lạm dụng UNION ALL + EXISTS</t>
        </is>
      </c>
      <c r="I14" s="50" t="inlineStr">
        <is>
          <t>Ưu tiên LEFT JOIN theo business key hoặc hashkey. Xem lại các chỗ dùng UNION ALL kết hợp EXISTS/NOT EXISTS — thường thay được bằng một LEFT JOIN. Join không có điều kiện bằng (=) dễ tạo tích Descartes.</t>
        </is>
      </c>
      <c r="J14" s="48" t="inlineStr">
        <is>
          <t>002. OCB_GOLD_TCKH_V_BRANCH_LIST_HOP.xlsx [SCRIPT: V_BRANCH_LIST]</t>
        </is>
      </c>
    </row>
    <row r="15">
      <c r="A15" s="48" t="inlineStr">
        <is>
          <t>TCKH.V_BRANCH_LIST</t>
        </is>
      </c>
      <c r="B15" s="48" t="inlineStr">
        <is>
          <t>GOLD_DERIVED</t>
        </is>
      </c>
      <c r="C15" s="48" t="inlineStr">
        <is>
          <t>2.12</t>
        </is>
      </c>
      <c r="D15" s="48" t="inlineStr">
        <is>
          <t>Nhom 2 - Logic</t>
        </is>
      </c>
      <c r="E15" s="48" t="inlineStr">
        <is>
          <t>Build Gold từ CTE snapshot Silver, không build nhiều tầng chồng chéo</t>
        </is>
      </c>
      <c r="F15" s="49" t="inlineStr">
        <is>
          <t>PASS</t>
        </is>
      </c>
      <c r="G15" s="48" t="inlineStr">
        <is>
          <t>Pass</t>
        </is>
      </c>
      <c r="H15" s="50" t="inlineStr">
        <is>
          <t>mỗi bảng nguồn chỉ đọc trong 1 khối SELECT</t>
        </is>
      </c>
      <c r="I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 s="48" t="inlineStr">
        <is>
          <t>002. OCB_GOLD_TCKH_V_BRANCH_LIST_HOP.xlsx [SCRIPT: V_BRANCH_LIST]</t>
        </is>
      </c>
    </row>
    <row r="16">
      <c r="A16" s="48" t="inlineStr">
        <is>
          <t>TCKH.V_BRANCH_LIST</t>
        </is>
      </c>
      <c r="B16" s="48" t="inlineStr">
        <is>
          <t>GOLD_DERIVED</t>
        </is>
      </c>
      <c r="C16" s="48" t="inlineStr">
        <is>
          <t>3.1</t>
        </is>
      </c>
      <c r="D16" s="48" t="inlineStr">
        <is>
          <t>Nhom 3 - Optimization</t>
        </is>
      </c>
      <c r="E16" s="48" t="inlineStr">
        <is>
          <t>Không SELECT *</t>
        </is>
      </c>
      <c r="F16" s="49" t="inlineStr">
        <is>
          <t>PASS</t>
        </is>
      </c>
      <c r="G16" s="48" t="inlineStr">
        <is>
          <t>Pass</t>
        </is>
      </c>
      <c r="H16" s="50" t="inlineStr">
        <is>
          <t>không dùng SELECT * ở đâu</t>
        </is>
      </c>
      <c r="I16" s="50" t="inlineStr">
        <is>
          <t>Liệt kê tường minh các cột cần dùng, kể cả trong CTE trung gian. SELECT * làm tăng IO/memory và vỡ script khi bảng nguồn thêm cột.</t>
        </is>
      </c>
      <c r="J16" s="48" t="inlineStr">
        <is>
          <t>002. OCB_GOLD_TCKH_V_BRANCH_LIST_HOP.xlsx [SCRIPT: V_BRANCH_LIST]</t>
        </is>
      </c>
    </row>
    <row r="17">
      <c r="A17" s="48" t="inlineStr">
        <is>
          <t>TCKH.V_BRANCH_LIST</t>
        </is>
      </c>
      <c r="B17" s="48" t="inlineStr">
        <is>
          <t>GOLD_DERIVED</t>
        </is>
      </c>
      <c r="C17" s="48" t="inlineStr">
        <is>
          <t>3.2</t>
        </is>
      </c>
      <c r="D17" s="48" t="inlineStr">
        <is>
          <t>Nhom 3 - Optimization</t>
        </is>
      </c>
      <c r="E17" s="48" t="inlineStr">
        <is>
          <t>CTE không bị scan lại nhiều lần</t>
        </is>
      </c>
      <c r="F17" s="49" t="inlineStr">
        <is>
          <t>PASS</t>
        </is>
      </c>
      <c r="G17" s="48" t="inlineStr">
        <is>
          <t>Pass</t>
        </is>
      </c>
      <c r="H17" s="50" t="inlineStr">
        <is>
          <t>không có CTE nào bị gọi lại</t>
        </is>
      </c>
      <c r="I17" s="50" t="inlineStr">
        <is>
          <t>Với CTE nặng (đọc nhiều bảng Silver) bị tham chiếu từ 2 chỗ trở lên: gom lại còn một lần dùng, hoặc vật chất hóa (CACHE / bảng tạm). CTE nhẹ chỉ chứa tham số thì bỏ qua được — tự tick Pass.</t>
        </is>
      </c>
      <c r="J17" s="48" t="inlineStr">
        <is>
          <t>002. OCB_GOLD_TCKH_V_BRANCH_LIST_HOP.xlsx [SCRIPT: V_BRANCH_LIST]</t>
        </is>
      </c>
    </row>
    <row r="18">
      <c r="A18" s="48" t="inlineStr">
        <is>
          <t>TCKH.V_BRANCH_LIST</t>
        </is>
      </c>
      <c r="B18" s="48" t="inlineStr">
        <is>
          <t>GOLD_DERIVED</t>
        </is>
      </c>
      <c r="C18" s="48" t="inlineStr">
        <is>
          <t>3.3</t>
        </is>
      </c>
      <c r="D18" s="48" t="inlineStr">
        <is>
          <t>Nhom 3 - Optimization</t>
        </is>
      </c>
      <c r="E18" s="48" t="inlineStr">
        <is>
          <t>Filter trước khi join, tận dụng partition pruning</t>
        </is>
      </c>
      <c r="F18" s="49" t="inlineStr">
        <is>
          <t>PASS</t>
        </is>
      </c>
      <c r="G18" s="48" t="inlineStr">
        <is>
          <t>Pass</t>
        </is>
      </c>
      <c r="H18" s="50" t="inlineStr">
        <is>
          <t>các bảng join đều được filter trước</t>
        </is>
      </c>
      <c r="I18" s="50" t="inlineStr">
        <is>
          <t>Đưa điều kiện lọc (ngày dữ liệu, trạng thái) vào subquery của từng bảng TRƯỚC khi join, để tận dụng partition pruning. Bảng dim nhỏ không partition thì không cần — tự tick Pass.</t>
        </is>
      </c>
      <c r="J18" s="48" t="inlineStr">
        <is>
          <t>002. OCB_GOLD_TCKH_V_BRANCH_LIST_HOP.xlsx [SCRIPT: V_BRANCH_LIST]</t>
        </is>
      </c>
    </row>
    <row r="19">
      <c r="A19" s="48" t="inlineStr">
        <is>
          <t>TCKH.V_BRANCH_LIST</t>
        </is>
      </c>
      <c r="B19" s="48" t="inlineStr">
        <is>
          <t>GOLD_DERIVED</t>
        </is>
      </c>
      <c r="C19" s="48" t="inlineStr">
        <is>
          <t>3.4</t>
        </is>
      </c>
      <c r="D19" s="48" t="inlineStr">
        <is>
          <t>Nhom 3 - Optimization</t>
        </is>
      </c>
      <c r="E19" s="48" t="inlineStr">
        <is>
          <t>Sử dụng CACHE cho query lặp lại trong cùng luồng</t>
        </is>
      </c>
      <c r="F19" s="48" t="inlineStr">
        <is>
          <t>N-A</t>
        </is>
      </c>
      <c r="G19" s="48" t="inlineStr">
        <is>
          <t>Pass</t>
        </is>
      </c>
      <c r="H19" s="50" t="inlineStr">
        <is>
          <t>không có kết quả nào được dùng lại nhiều lần nên chưa cần CACHE</t>
        </is>
      </c>
      <c r="I19" s="50" t="inlineStr">
        <is>
          <t>Nếu một kết quả nặng được dùng lại nhiều bước trong cùng luồng, thêm CACHE TABLE / CACHE SELECT. Kết quả nhỏ thì cache còn chậm hơn — tự tick Pass.</t>
        </is>
      </c>
      <c r="J19" s="48" t="inlineStr">
        <is>
          <t>002. OCB_GOLD_TCKH_V_BRANCH_LIST_HOP.xlsx [SCRIPT: V_BRANCH_LIST]</t>
        </is>
      </c>
    </row>
    <row r="20">
      <c r="A20" s="48" t="inlineStr">
        <is>
          <t>TCKH.V_BRANCH_LIST</t>
        </is>
      </c>
      <c r="B20" s="48" t="inlineStr">
        <is>
          <t>GOLD_DERIVED</t>
        </is>
      </c>
      <c r="C20" s="48" t="inlineStr">
        <is>
          <t>3.5</t>
        </is>
      </c>
      <c r="D20" s="48" t="inlineStr">
        <is>
          <t>Nhom 3 - Optimization</t>
        </is>
      </c>
      <c r="E20" s="48" t="inlineStr">
        <is>
          <t>Ưu tiên MAX_BY + QUALIFY thay ROW_NUMBER() + WHERE rn = 1</t>
        </is>
      </c>
      <c r="F20" s="48" t="inlineStr">
        <is>
          <t>N-A</t>
        </is>
      </c>
      <c r="G20" s="48" t="inlineStr">
        <is>
          <t>Pass</t>
        </is>
      </c>
      <c r="H20" s="50" t="inlineStr">
        <is>
          <t>script không dùng ROW_NUMBER</t>
        </is>
      </c>
      <c r="I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 s="48" t="inlineStr">
        <is>
          <t>002. OCB_GOLD_TCKH_V_BRANCH_LIST_HOP.xlsx [SCRIPT: V_BRANCH_LIST]</t>
        </is>
      </c>
    </row>
    <row r="21">
      <c r="A21" s="48" t="inlineStr">
        <is>
          <t>TCKH.V_BRANCH_LIST</t>
        </is>
      </c>
      <c r="B21" s="48" t="inlineStr">
        <is>
          <t>GOLD_DERIVED</t>
        </is>
      </c>
      <c r="C21" s="48" t="inlineStr">
        <is>
          <t>3.6</t>
        </is>
      </c>
      <c r="D21" s="48" t="inlineStr">
        <is>
          <t>Nhom 3 - Optimization</t>
        </is>
      </c>
      <c r="E21" s="48" t="inlineStr">
        <is>
          <t>Không lạm dụng window function; có comment khi dùng</t>
        </is>
      </c>
      <c r="F21" s="48" t="inlineStr">
        <is>
          <t>N-A</t>
        </is>
      </c>
      <c r="G21" s="48" t="inlineStr">
        <is>
          <t>Pass</t>
        </is>
      </c>
      <c r="H21" s="50" t="inlineStr">
        <is>
          <t>script không dùng window function</t>
        </is>
      </c>
      <c r="I21" s="50" t="inlineStr">
        <is>
          <t>Mỗi window function cần một comment ngay trên khối CTE chứa nó, nói rõ vì sao không dùng được max_by/QUALIFY đơn giản hơn.</t>
        </is>
      </c>
      <c r="J21" s="48" t="inlineStr">
        <is>
          <t>002. OCB_GOLD_TCKH_V_BRANCH_LIST_HOP.xlsx [SCRIPT: V_BRANCH_LIST]</t>
        </is>
      </c>
    </row>
    <row r="22">
      <c r="A22" s="48" t="inlineStr">
        <is>
          <t>TCKH.V_BRANCH_LIST</t>
        </is>
      </c>
      <c r="B22" s="48" t="inlineStr">
        <is>
          <t>GOLD_DERIVED</t>
        </is>
      </c>
      <c r="C22" s="48" t="inlineStr">
        <is>
          <t>X.1</t>
        </is>
      </c>
      <c r="D22" s="48" t="inlineStr">
        <is>
          <t>Nhom X - Bo sung Raffles</t>
        </is>
      </c>
      <c r="E22" s="48" t="inlineStr">
        <is>
          <t>[Bổ sung] Link phải rút về current trước khi join (chống fan-out)</t>
        </is>
      </c>
      <c r="F22" s="48" t="inlineStr">
        <is>
          <t>N-A</t>
        </is>
      </c>
      <c r="G22" s="48" t="inlineStr">
        <is>
          <t>Pass</t>
        </is>
      </c>
      <c r="H22" s="50" t="inlineStr">
        <is>
          <t>khong ap dung cho profile GOLD_DERIVED</t>
        </is>
      </c>
      <c r="I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 s="48" t="inlineStr">
        <is>
          <t>002. OCB_GOLD_TCKH_V_BRANCH_LIST_HOP.xlsx [SCRIPT: V_BRANCH_LIST]</t>
        </is>
      </c>
    </row>
    <row r="23">
      <c r="A23" s="48" t="inlineStr">
        <is>
          <t>TCKH.V_BRANCH_LIST</t>
        </is>
      </c>
      <c r="B23" s="48" t="inlineStr">
        <is>
          <t>GOLD_DERIVED</t>
        </is>
      </c>
      <c r="C23" s="48" t="inlineStr">
        <is>
          <t>X.6</t>
        </is>
      </c>
      <c r="D23" s="48" t="inlineStr">
        <is>
          <t>Nhom X - Bo sung Raffles</t>
        </is>
      </c>
      <c r="E23" s="48" t="inlineStr">
        <is>
          <t>[Bổ sung] Satellite phải LEFT JOIN, không INNER JOIN</t>
        </is>
      </c>
      <c r="F23" s="48" t="inlineStr">
        <is>
          <t>N-A</t>
        </is>
      </c>
      <c r="G23" s="48" t="inlineStr">
        <is>
          <t>Pass</t>
        </is>
      </c>
      <c r="H23" s="50" t="inlineStr">
        <is>
          <t>khong ap dung cho profile GOLD_DERIVED</t>
        </is>
      </c>
      <c r="I23" s="50" t="inlineStr">
        <is>
          <t>Technical Document III.4.2.2 nguyên tắc 1: làm giàu thuộc tính luôn dùng LEFT JOIN. INNER JOIN satellite sẽ loại mất bản ghi Hub đang còn hiệu lực nhưng chưa có dòng satellite.</t>
        </is>
      </c>
      <c r="J23" s="48" t="inlineStr">
        <is>
          <t>002. OCB_GOLD_TCKH_V_BRANCH_LIST_HOP.xlsx [SCRIPT: V_BRANCH_LIST]</t>
        </is>
      </c>
    </row>
    <row r="24">
      <c r="A24" s="48" t="inlineStr">
        <is>
          <t>TCKH.V_BRANCH_LIST</t>
        </is>
      </c>
      <c r="B24" s="48" t="inlineStr">
        <is>
          <t>GOLD_DERIVED</t>
        </is>
      </c>
      <c r="C24" s="48" t="inlineStr">
        <is>
          <t>X.7</t>
        </is>
      </c>
      <c r="D24" s="48" t="inlineStr">
        <is>
          <t>Nhom X - Bo sung Raffles</t>
        </is>
      </c>
      <c r="E24" s="48" t="inlineStr">
        <is>
          <t>[Bổ sung] Không hard-code catalog, dùng biến môi trường</t>
        </is>
      </c>
      <c r="F24" s="49" t="inlineStr">
        <is>
          <t>PASS</t>
        </is>
      </c>
      <c r="G24" s="48" t="inlineStr">
        <is>
          <t>Pass</t>
        </is>
      </c>
      <c r="H24" s="50" t="inlineStr">
        <is>
          <t>dùng biến môi trường cho catalog</t>
        </is>
      </c>
      <c r="I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 s="48" t="inlineStr">
        <is>
          <t>002. OCB_GOLD_TCKH_V_BRANCH_LIST_HOP.xlsx [SCRIPT: V_BRANCH_LIST]</t>
        </is>
      </c>
    </row>
    <row r="25">
      <c r="A25" s="48" t="inlineStr">
        <is>
          <t>TCKH.V_CDR_AMT</t>
        </is>
      </c>
      <c r="B25" s="48" t="inlineStr">
        <is>
          <t>GOLD_DERIVED</t>
        </is>
      </c>
      <c r="C25" s="48" t="inlineStr">
        <is>
          <t>1.1</t>
        </is>
      </c>
      <c r="D25" s="48" t="inlineStr">
        <is>
          <t>Nhom 1 - Mapping</t>
        </is>
      </c>
      <c r="E25" s="48" t="inlineStr">
        <is>
          <t>Đầy đủ mapping từ Silver/manual sang Gold</t>
        </is>
      </c>
      <c r="F25" s="49" t="inlineStr">
        <is>
          <t>PASS</t>
        </is>
      </c>
      <c r="G25" s="48" t="inlineStr">
        <is>
          <t>Pass</t>
        </is>
      </c>
      <c r="H25" s="50" t="inlineStr">
        <is>
          <t>workbook 003. OCB_GOLD_TCKH_V_CDR_AMT_QUANG.xlsx: thiết kế 6 field, SQL có 6 cột</t>
        </is>
      </c>
      <c r="I25"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5" s="48" t="inlineStr">
        <is>
          <t>003. OCB_GOLD_TCKH_V_CDR_AMT_QUANG.xlsx [Script SQL: V_CDR_AMT]</t>
        </is>
      </c>
    </row>
    <row r="26">
      <c r="A26" s="48" t="inlineStr">
        <is>
          <t>TCKH.V_CDR_AMT</t>
        </is>
      </c>
      <c r="B26" s="48" t="inlineStr">
        <is>
          <t>GOLD_DERIVED</t>
        </is>
      </c>
      <c r="C26" s="48" t="inlineStr">
        <is>
          <t>1.2</t>
        </is>
      </c>
      <c r="D26" s="48" t="inlineStr">
        <is>
          <t>Nhom 1 - Mapping</t>
        </is>
      </c>
      <c r="E26" s="48" t="inlineStr">
        <is>
          <t>Danh sách bảng/view Gold khớp tài liệu thiết kế đã duyệt</t>
        </is>
      </c>
      <c r="F26" s="49" t="inlineStr">
        <is>
          <t>PASS</t>
        </is>
      </c>
      <c r="G26" s="48" t="inlineStr">
        <is>
          <t>Pass</t>
        </is>
      </c>
      <c r="H26" s="50" t="inlineStr">
        <is>
          <t>V_CDR_AMT có workbook thiết kế: 003. OCB_GOLD_TCKH_V_CDR_AMT_QUANG.xlsx</t>
        </is>
      </c>
      <c r="I26" s="50" t="inlineStr">
        <is>
          <t>Đảm bảo object có workbook thiết kế tương ứng trong thư mục --mapping-dir. Muốn đối chiếu với danh sách đã duyệt thì chạy thêm tham số --gold-list "&lt;file danh sách Gold&gt;.xlsx".</t>
        </is>
      </c>
      <c r="J26" s="48" t="inlineStr">
        <is>
          <t>003. OCB_GOLD_TCKH_V_CDR_AMT_QUANG.xlsx [Script SQL: V_CDR_AMT]</t>
        </is>
      </c>
    </row>
    <row r="27">
      <c r="A27" s="48" t="inlineStr">
        <is>
          <t>TCKH.V_CDR_AMT</t>
        </is>
      </c>
      <c r="B27" s="48" t="inlineStr">
        <is>
          <t>GOLD_DERIVED</t>
        </is>
      </c>
      <c r="C27" s="48" t="inlineStr">
        <is>
          <t>2.1</t>
        </is>
      </c>
      <c r="D27" s="48" t="inlineStr">
        <is>
          <t>Nhom 2 - Logic</t>
        </is>
      </c>
      <c r="E27" s="48" t="inlineStr">
        <is>
          <t>Chỉ lấy bản ghi active, loại bản ghi đã xóa (qua sts_hub)</t>
        </is>
      </c>
      <c r="F27" s="48" t="inlineStr">
        <is>
          <t>N-A</t>
        </is>
      </c>
      <c r="G27" s="48" t="inlineStr">
        <is>
          <t>Pass</t>
        </is>
      </c>
      <c r="H27" s="50" t="inlineStr">
        <is>
          <t>khong ap dung cho profile GOLD_DERIVED</t>
        </is>
      </c>
      <c r="I27"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7" s="48" t="inlineStr">
        <is>
          <t>003. OCB_GOLD_TCKH_V_CDR_AMT_QUANG.xlsx [Script SQL: V_CDR_AMT]</t>
        </is>
      </c>
    </row>
    <row r="28">
      <c r="A28" s="48" t="inlineStr">
        <is>
          <t>TCKH.V_CDR_AMT</t>
        </is>
      </c>
      <c r="B28" s="48" t="inlineStr">
        <is>
          <t>GOLD_DERIVED</t>
        </is>
      </c>
      <c r="C28" s="48" t="inlineStr">
        <is>
          <t>2.2</t>
        </is>
      </c>
      <c r="D28" s="48" t="inlineStr">
        <is>
          <t>Nhom 2 - Logic</t>
        </is>
      </c>
      <c r="E28" s="48" t="inlineStr">
        <is>
          <t>Thống nhất MỘT pattern duy nhất xác định bản ghi active mới nhất</t>
        </is>
      </c>
      <c r="F28" s="48" t="inlineStr">
        <is>
          <t>N-A</t>
        </is>
      </c>
      <c r="G28" s="48" t="inlineStr">
        <is>
          <t>Pass</t>
        </is>
      </c>
      <c r="H28" s="50" t="inlineStr">
        <is>
          <t>khong ap dung cho profile GOLD_DERIVED</t>
        </is>
      </c>
      <c r="I28"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8" s="48" t="inlineStr">
        <is>
          <t>003. OCB_GOLD_TCKH_V_CDR_AMT_QUANG.xlsx [Script SQL: V_CDR_AMT]</t>
        </is>
      </c>
    </row>
    <row r="29">
      <c r="A29" s="48" t="inlineStr">
        <is>
          <t>TCKH.V_CDR_AMT</t>
        </is>
      </c>
      <c r="B29" s="48" t="inlineStr">
        <is>
          <t>GOLD_DERIVED</t>
        </is>
      </c>
      <c r="C29" s="48" t="inlineStr">
        <is>
          <t>2.3</t>
        </is>
      </c>
      <c r="D29" s="48" t="inlineStr">
        <is>
          <t>Nhom 2 - Logic</t>
        </is>
      </c>
      <c r="E29" s="48" t="inlineStr">
        <is>
          <t>Điều kiện lọc trạng thái đặt SAU khi xác định bản ghi mới nhất</t>
        </is>
      </c>
      <c r="F29" s="49" t="inlineStr">
        <is>
          <t>PASS</t>
        </is>
      </c>
      <c r="G29" s="48" t="inlineStr">
        <is>
          <t>Pass</t>
        </is>
      </c>
      <c r="H29" s="50" t="inlineStr">
        <is>
          <t>không có điều kiện trạng thái nào lồng trong JOIN ON</t>
        </is>
      </c>
      <c r="I29"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9" s="48" t="inlineStr">
        <is>
          <t>003. OCB_GOLD_TCKH_V_CDR_AMT_QUANG.xlsx [Script SQL: V_CDR_AMT]</t>
        </is>
      </c>
    </row>
    <row r="30">
      <c r="A30" s="48" t="inlineStr">
        <is>
          <t>TCKH.V_CDR_AMT</t>
        </is>
      </c>
      <c r="B30" s="48" t="inlineStr">
        <is>
          <t>GOLD_DERIVED</t>
        </is>
      </c>
      <c r="C30" s="48" t="inlineStr">
        <is>
          <t>2.4</t>
        </is>
      </c>
      <c r="D30" s="48" t="inlineStr">
        <is>
          <t>Nhom 2 - Logic</t>
        </is>
      </c>
      <c r="E30" s="48" t="inlineStr">
        <is>
          <t>source_event_date áp dụng đúng dạng theo loại bảng</t>
        </is>
      </c>
      <c r="F30" s="48" t="inlineStr">
        <is>
          <t>N-A</t>
        </is>
      </c>
      <c r="G30" s="48" t="inlineStr">
        <is>
          <t>Pass</t>
        </is>
      </c>
      <c r="H30" s="50" t="inlineStr">
        <is>
          <t>khong ap dung cho profile GOLD_DERIVED</t>
        </is>
      </c>
      <c r="I30"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0" s="48" t="inlineStr">
        <is>
          <t>003. OCB_GOLD_TCKH_V_CDR_AMT_QUANG.xlsx [Script SQL: V_CDR_AMT]</t>
        </is>
      </c>
    </row>
    <row r="31">
      <c r="A31" s="48" t="inlineStr">
        <is>
          <t>TCKH.V_CDR_AMT</t>
        </is>
      </c>
      <c r="B31" s="48" t="inlineStr">
        <is>
          <t>GOLD_DERIVED</t>
        </is>
      </c>
      <c r="C31" s="48" t="inlineStr">
        <is>
          <t>2.5</t>
        </is>
      </c>
      <c r="D31" s="48" t="inlineStr">
        <is>
          <t>Nhom 2 - Logic</t>
        </is>
      </c>
      <c r="E31" s="48" t="inlineStr">
        <is>
          <t>Không lặp lại lỗi logic cũ đã được DA Data Vault fix</t>
        </is>
      </c>
      <c r="F31" s="49" t="inlineStr">
        <is>
          <t>PASS</t>
        </is>
      </c>
      <c r="G31" s="48" t="inlineStr">
        <is>
          <t>Pass</t>
        </is>
      </c>
      <c r="H31" s="50" t="inlineStr">
        <is>
          <t>không trùng lỗi nào trong Issue log của DA Data Vault</t>
        </is>
      </c>
      <c r="I31"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1" s="48" t="inlineStr">
        <is>
          <t>003. OCB_GOLD_TCKH_V_CDR_AMT_QUANG.xlsx [Script SQL: V_CDR_AMT]</t>
        </is>
      </c>
    </row>
    <row r="32">
      <c r="A32" s="48" t="inlineStr">
        <is>
          <t>TCKH.V_CDR_AMT</t>
        </is>
      </c>
      <c r="B32" s="48" t="inlineStr">
        <is>
          <t>GOLD_DERIVED</t>
        </is>
      </c>
      <c r="C32" s="48" t="inlineStr">
        <is>
          <t>2.6</t>
        </is>
      </c>
      <c r="D32" s="48" t="inlineStr">
        <is>
          <t>Nhom 2 - Logic</t>
        </is>
      </c>
      <c r="E32" s="48" t="inlineStr">
        <is>
          <t>SCD Type 2 cho bảng DIM áp dụng đúng kỹ thuật đã thống nhất</t>
        </is>
      </c>
      <c r="F32" s="48" t="inlineStr">
        <is>
          <t>N-A</t>
        </is>
      </c>
      <c r="G32" s="48" t="inlineStr">
        <is>
          <t>Pass</t>
        </is>
      </c>
      <c r="H32" s="50" t="inlineStr">
        <is>
          <t>object không phải bảng DIM nên không áp dụng SCD Type 2</t>
        </is>
      </c>
      <c r="I32"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2" s="48" t="inlineStr">
        <is>
          <t>003. OCB_GOLD_TCKH_V_CDR_AMT_QUANG.xlsx [Script SQL: V_CDR_AMT]</t>
        </is>
      </c>
    </row>
    <row r="33">
      <c r="A33" s="48" t="inlineStr">
        <is>
          <t>TCKH.V_CDR_AMT</t>
        </is>
      </c>
      <c r="B33" s="48" t="inlineStr">
        <is>
          <t>GOLD_DERIVED</t>
        </is>
      </c>
      <c r="C33" s="48" t="inlineStr">
        <is>
          <t>2.7</t>
        </is>
      </c>
      <c r="D33" s="48" t="inlineStr">
        <is>
          <t>Nhom 2 - Logic</t>
        </is>
      </c>
      <c r="E33" s="48" t="inlineStr">
        <is>
          <t>CASE WHEN cover đủ nhánh như job on-prem</t>
        </is>
      </c>
      <c r="F33" s="49" t="inlineStr">
        <is>
          <t>PASS</t>
        </is>
      </c>
      <c r="G33" s="48" t="inlineStr">
        <is>
          <t>Pass</t>
        </is>
      </c>
      <c r="H33" s="50" t="inlineStr">
        <is>
          <t>cả 4 CASE đều có nhánh ELSE</t>
        </is>
      </c>
      <c r="I33" s="50" t="inlineStr">
        <is>
          <t>Mở job on-prem tương ứng (DataStage DSX hoặc SQL cũ), đối chiếu từng nhánh WHEN và cả nhánh ELSE. CASE không có ELSE sẽ trả NULL âm thầm — xác nhận đó là ý muốn hay thiếu nhánh.</t>
        </is>
      </c>
      <c r="J33" s="48" t="inlineStr">
        <is>
          <t>003. OCB_GOLD_TCKH_V_CDR_AMT_QUANG.xlsx [Script SQL: V_CDR_AMT]</t>
        </is>
      </c>
    </row>
    <row r="34">
      <c r="A34" s="48" t="inlineStr">
        <is>
          <t>TCKH.V_CDR_AMT</t>
        </is>
      </c>
      <c r="B34" s="48" t="inlineStr">
        <is>
          <t>GOLD_DERIVED</t>
        </is>
      </c>
      <c r="C34" s="48" t="inlineStr">
        <is>
          <t>2.8</t>
        </is>
      </c>
      <c r="D34" s="48" t="inlineStr">
        <is>
          <t>Nhom 2 - Logic</t>
        </is>
      </c>
      <c r="E34" s="48" t="inlineStr">
        <is>
          <t>Cột SUM/COUNT được COALESCE/NVL hợp lý</t>
        </is>
      </c>
      <c r="F34" s="51" t="inlineStr">
        <is>
          <t>WARN</t>
        </is>
      </c>
      <c r="G34" s="48" t="inlineStr">
        <is>
          <t>WARN</t>
        </is>
      </c>
      <c r="H34" s="50" t="inlineStr">
        <is>
          <t>4 biểu thức tổng hợp chưa coalesce: CDR_AMT_DEC = SUM(A.AMT_DEC); CDR_AMT_EQ_DEC = SUM(A.AMT_EQ_DEC); CDR_AMT_EQ_INCR = SUM(A.AMT_EQ_INCR); CDR_AMT_INCR = SUM(A.AMT_INCR); khi đối soát với hệ thống cũ phải bọc NVL/ISNULL CẢ HAI phía để không lệch khi trừ (Checklist RVN-OCB #11)</t>
        </is>
      </c>
      <c r="I34"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4" s="48" t="inlineStr">
        <is>
          <t>003. OCB_GOLD_TCKH_V_CDR_AMT_QUANG.xlsx [Script SQL: V_CDR_AMT]</t>
        </is>
      </c>
    </row>
    <row r="35">
      <c r="A35" s="48" t="inlineStr">
        <is>
          <t>TCKH.V_CDR_AMT</t>
        </is>
      </c>
      <c r="B35" s="48" t="inlineStr">
        <is>
          <t>GOLD_DERIVED</t>
        </is>
      </c>
      <c r="C35" s="48" t="inlineStr">
        <is>
          <t>2.9</t>
        </is>
      </c>
      <c r="D35" s="48" t="inlineStr">
        <is>
          <t>Nhom 2 - Logic</t>
        </is>
      </c>
      <c r="E35" s="48" t="inlineStr">
        <is>
          <t>Subquery / custom function / điều kiện LIKE đúng ý nghĩa nghiệp vụ</t>
        </is>
      </c>
      <c r="F35" s="48" t="inlineStr">
        <is>
          <t>N-A</t>
        </is>
      </c>
      <c r="G35" s="48" t="inlineStr">
        <is>
          <t>Pass</t>
        </is>
      </c>
      <c r="H35" s="50" t="inlineStr">
        <is>
          <t>script không có điều kiện LIKE hay scalar subquery nào</t>
        </is>
      </c>
      <c r="I35" s="50" t="inlineStr">
        <is>
          <t>Đọc lại từng điều kiện LIKE và từng subquery, đối chiếu ý nghĩa nghiệp vụ với on-prem — đúng cú pháp không đủ. Chú ý pattern LIKE có ký tự % ở đầu/cuối và phân biệt chữ hoa/thường.</t>
        </is>
      </c>
      <c r="J35" s="48" t="inlineStr">
        <is>
          <t>003. OCB_GOLD_TCKH_V_CDR_AMT_QUANG.xlsx [Script SQL: V_CDR_AMT]</t>
        </is>
      </c>
    </row>
    <row r="36">
      <c r="A36" s="48" t="inlineStr">
        <is>
          <t>TCKH.V_CDR_AMT</t>
        </is>
      </c>
      <c r="B36" s="48" t="inlineStr">
        <is>
          <t>GOLD_DERIVED</t>
        </is>
      </c>
      <c r="C36" s="48" t="inlineStr">
        <is>
          <t>2.10</t>
        </is>
      </c>
      <c r="D36" s="48" t="inlineStr">
        <is>
          <t>Nhom 2 - Logic</t>
        </is>
      </c>
      <c r="E36" s="48" t="inlineStr">
        <is>
          <t>Aggregation kèm filter date range chính xác</t>
        </is>
      </c>
      <c r="F36" s="51" t="inlineStr">
        <is>
          <t>WARN</t>
        </is>
      </c>
      <c r="G36" s="48" t="inlineStr">
        <is>
          <t>WARN</t>
        </is>
      </c>
      <c r="H36" s="50" t="inlineStr">
        <is>
          <t>1 khối tổng hợp không thấy filter theo ngày/tham số: SELECT tu V_ENTRY_STMT_QUYMO</t>
        </is>
      </c>
      <c r="I36" s="50" t="inlineStr">
        <is>
          <t>Mỗi khối SUM/COUNT/AVG phải có điều kiện lọc theo kỳ dữ liệu (CDR_DT_ID, DATA_DATE, :DATADT…). Nếu điều kiện nằm ở CTE nguồn thì ghi rõ trong comment để người review không phải truy ngược.</t>
        </is>
      </c>
      <c r="J36" s="48" t="inlineStr">
        <is>
          <t>003. OCB_GOLD_TCKH_V_CDR_AMT_QUANG.xlsx [Script SQL: V_CDR_AMT]</t>
        </is>
      </c>
    </row>
    <row r="37">
      <c r="A37" s="48" t="inlineStr">
        <is>
          <t>TCKH.V_CDR_AMT</t>
        </is>
      </c>
      <c r="B37" s="48" t="inlineStr">
        <is>
          <t>GOLD_DERIVED</t>
        </is>
      </c>
      <c r="C37" s="48" t="inlineStr">
        <is>
          <t>2.11</t>
        </is>
      </c>
      <c r="D37" s="48" t="inlineStr">
        <is>
          <t>Nhom 2 - Logic</t>
        </is>
      </c>
      <c r="E37" s="48" t="inlineStr">
        <is>
          <t>Join dùng key hợp lý, không lạm dụng UNION ALL + EXISTS/NOT EXISTS</t>
        </is>
      </c>
      <c r="F37" s="49" t="inlineStr">
        <is>
          <t>PASS</t>
        </is>
      </c>
      <c r="G37" s="48" t="inlineStr">
        <is>
          <t>Pass</t>
        </is>
      </c>
      <c r="H37" s="50" t="inlineStr">
        <is>
          <t>join đều theo điều kiện bằng, không lạm dụng UNION ALL + EXISTS</t>
        </is>
      </c>
      <c r="I37" s="50" t="inlineStr">
        <is>
          <t>Ưu tiên LEFT JOIN theo business key hoặc hashkey. Xem lại các chỗ dùng UNION ALL kết hợp EXISTS/NOT EXISTS — thường thay được bằng một LEFT JOIN. Join không có điều kiện bằng (=) dễ tạo tích Descartes.</t>
        </is>
      </c>
      <c r="J37" s="48" t="inlineStr">
        <is>
          <t>003. OCB_GOLD_TCKH_V_CDR_AMT_QUANG.xlsx [Script SQL: V_CDR_AMT]</t>
        </is>
      </c>
    </row>
    <row r="38">
      <c r="A38" s="48" t="inlineStr">
        <is>
          <t>TCKH.V_CDR_AMT</t>
        </is>
      </c>
      <c r="B38" s="48" t="inlineStr">
        <is>
          <t>GOLD_DERIVED</t>
        </is>
      </c>
      <c r="C38" s="48" t="inlineStr">
        <is>
          <t>2.12</t>
        </is>
      </c>
      <c r="D38" s="48" t="inlineStr">
        <is>
          <t>Nhom 2 - Logic</t>
        </is>
      </c>
      <c r="E38" s="48" t="inlineStr">
        <is>
          <t>Build Gold từ CTE snapshot Silver, không build nhiều tầng chồng chéo</t>
        </is>
      </c>
      <c r="F38" s="49" t="inlineStr">
        <is>
          <t>PASS</t>
        </is>
      </c>
      <c r="G38" s="48" t="inlineStr">
        <is>
          <t>Pass</t>
        </is>
      </c>
      <c r="H38" s="50" t="inlineStr">
        <is>
          <t>mỗi bảng nguồn chỉ đọc trong 1 khối SELECT</t>
        </is>
      </c>
      <c r="I38"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8" s="48" t="inlineStr">
        <is>
          <t>003. OCB_GOLD_TCKH_V_CDR_AMT_QUANG.xlsx [Script SQL: V_CDR_AMT]</t>
        </is>
      </c>
    </row>
    <row r="39">
      <c r="A39" s="48" t="inlineStr">
        <is>
          <t>TCKH.V_CDR_AMT</t>
        </is>
      </c>
      <c r="B39" s="48" t="inlineStr">
        <is>
          <t>GOLD_DERIVED</t>
        </is>
      </c>
      <c r="C39" s="48" t="inlineStr">
        <is>
          <t>3.1</t>
        </is>
      </c>
      <c r="D39" s="48" t="inlineStr">
        <is>
          <t>Nhom 3 - Optimization</t>
        </is>
      </c>
      <c r="E39" s="48" t="inlineStr">
        <is>
          <t>Không SELECT *</t>
        </is>
      </c>
      <c r="F39" s="49" t="inlineStr">
        <is>
          <t>PASS</t>
        </is>
      </c>
      <c r="G39" s="48" t="inlineStr">
        <is>
          <t>Pass</t>
        </is>
      </c>
      <c r="H39" s="50" t="inlineStr">
        <is>
          <t>không dùng SELECT * ở đâu</t>
        </is>
      </c>
      <c r="I39" s="50" t="inlineStr">
        <is>
          <t>Liệt kê tường minh các cột cần dùng, kể cả trong CTE trung gian. SELECT * làm tăng IO/memory và vỡ script khi bảng nguồn thêm cột.</t>
        </is>
      </c>
      <c r="J39" s="48" t="inlineStr">
        <is>
          <t>003. OCB_GOLD_TCKH_V_CDR_AMT_QUANG.xlsx [Script SQL: V_CDR_AMT]</t>
        </is>
      </c>
    </row>
    <row r="40">
      <c r="A40" s="48" t="inlineStr">
        <is>
          <t>TCKH.V_CDR_AMT</t>
        </is>
      </c>
      <c r="B40" s="48" t="inlineStr">
        <is>
          <t>GOLD_DERIVED</t>
        </is>
      </c>
      <c r="C40" s="48" t="inlineStr">
        <is>
          <t>3.2</t>
        </is>
      </c>
      <c r="D40" s="48" t="inlineStr">
        <is>
          <t>Nhom 3 - Optimization</t>
        </is>
      </c>
      <c r="E40" s="48" t="inlineStr">
        <is>
          <t>CTE không bị scan lại nhiều lần</t>
        </is>
      </c>
      <c r="F40" s="49" t="inlineStr">
        <is>
          <t>PASS</t>
        </is>
      </c>
      <c r="G40" s="48" t="inlineStr">
        <is>
          <t>Pass</t>
        </is>
      </c>
      <c r="H40" s="50" t="inlineStr">
        <is>
          <t>không có CTE nào bị gọi lại</t>
        </is>
      </c>
      <c r="I40" s="50" t="inlineStr">
        <is>
          <t>Với CTE nặng (đọc nhiều bảng Silver) bị tham chiếu từ 2 chỗ trở lên: gom lại còn một lần dùng, hoặc vật chất hóa (CACHE / bảng tạm). CTE nhẹ chỉ chứa tham số thì bỏ qua được — tự tick Pass.</t>
        </is>
      </c>
      <c r="J40" s="48" t="inlineStr">
        <is>
          <t>003. OCB_GOLD_TCKH_V_CDR_AMT_QUANG.xlsx [Script SQL: V_CDR_AMT]</t>
        </is>
      </c>
    </row>
    <row r="41">
      <c r="A41" s="48" t="inlineStr">
        <is>
          <t>TCKH.V_CDR_AMT</t>
        </is>
      </c>
      <c r="B41" s="48" t="inlineStr">
        <is>
          <t>GOLD_DERIVED</t>
        </is>
      </c>
      <c r="C41" s="48" t="inlineStr">
        <is>
          <t>3.3</t>
        </is>
      </c>
      <c r="D41" s="48" t="inlineStr">
        <is>
          <t>Nhom 3 - Optimization</t>
        </is>
      </c>
      <c r="E41" s="48" t="inlineStr">
        <is>
          <t>Filter trước khi join, tận dụng partition pruning</t>
        </is>
      </c>
      <c r="F41" s="49" t="inlineStr">
        <is>
          <t>PASS</t>
        </is>
      </c>
      <c r="G41" s="48" t="inlineStr">
        <is>
          <t>Pass</t>
        </is>
      </c>
      <c r="H41" s="50" t="inlineStr">
        <is>
          <t>các bảng join đều được filter trước</t>
        </is>
      </c>
      <c r="I41" s="50" t="inlineStr">
        <is>
          <t>Đưa điều kiện lọc (ngày dữ liệu, trạng thái) vào subquery của từng bảng TRƯỚC khi join, để tận dụng partition pruning. Bảng dim nhỏ không partition thì không cần — tự tick Pass.</t>
        </is>
      </c>
      <c r="J41" s="48" t="inlineStr">
        <is>
          <t>003. OCB_GOLD_TCKH_V_CDR_AMT_QUANG.xlsx [Script SQL: V_CDR_AMT]</t>
        </is>
      </c>
    </row>
    <row r="42">
      <c r="A42" s="48" t="inlineStr">
        <is>
          <t>TCKH.V_CDR_AMT</t>
        </is>
      </c>
      <c r="B42" s="48" t="inlineStr">
        <is>
          <t>GOLD_DERIVED</t>
        </is>
      </c>
      <c r="C42" s="48" t="inlineStr">
        <is>
          <t>3.4</t>
        </is>
      </c>
      <c r="D42" s="48" t="inlineStr">
        <is>
          <t>Nhom 3 - Optimization</t>
        </is>
      </c>
      <c r="E42" s="48" t="inlineStr">
        <is>
          <t>Sử dụng CACHE cho query lặp lại trong cùng luồng</t>
        </is>
      </c>
      <c r="F42" s="48" t="inlineStr">
        <is>
          <t>N-A</t>
        </is>
      </c>
      <c r="G42" s="48" t="inlineStr">
        <is>
          <t>Pass</t>
        </is>
      </c>
      <c r="H42" s="50" t="inlineStr">
        <is>
          <t>không có kết quả nào được dùng lại nhiều lần nên chưa cần CACHE</t>
        </is>
      </c>
      <c r="I42" s="50" t="inlineStr">
        <is>
          <t>Nếu một kết quả nặng được dùng lại nhiều bước trong cùng luồng, thêm CACHE TABLE / CACHE SELECT. Kết quả nhỏ thì cache còn chậm hơn — tự tick Pass.</t>
        </is>
      </c>
      <c r="J42" s="48" t="inlineStr">
        <is>
          <t>003. OCB_GOLD_TCKH_V_CDR_AMT_QUANG.xlsx [Script SQL: V_CDR_AMT]</t>
        </is>
      </c>
    </row>
    <row r="43">
      <c r="A43" s="48" t="inlineStr">
        <is>
          <t>TCKH.V_CDR_AMT</t>
        </is>
      </c>
      <c r="B43" s="48" t="inlineStr">
        <is>
          <t>GOLD_DERIVED</t>
        </is>
      </c>
      <c r="C43" s="48" t="inlineStr">
        <is>
          <t>3.5</t>
        </is>
      </c>
      <c r="D43" s="48" t="inlineStr">
        <is>
          <t>Nhom 3 - Optimization</t>
        </is>
      </c>
      <c r="E43" s="48" t="inlineStr">
        <is>
          <t>Ưu tiên MAX_BY + QUALIFY thay ROW_NUMBER() + WHERE rn = 1</t>
        </is>
      </c>
      <c r="F43" s="48" t="inlineStr">
        <is>
          <t>N-A</t>
        </is>
      </c>
      <c r="G43" s="48" t="inlineStr">
        <is>
          <t>Pass</t>
        </is>
      </c>
      <c r="H43" s="50" t="inlineStr">
        <is>
          <t>script không dùng ROW_NUMBER</t>
        </is>
      </c>
      <c r="I43"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3" s="48" t="inlineStr">
        <is>
          <t>003. OCB_GOLD_TCKH_V_CDR_AMT_QUANG.xlsx [Script SQL: V_CDR_AMT]</t>
        </is>
      </c>
    </row>
    <row r="44">
      <c r="A44" s="48" t="inlineStr">
        <is>
          <t>TCKH.V_CDR_AMT</t>
        </is>
      </c>
      <c r="B44" s="48" t="inlineStr">
        <is>
          <t>GOLD_DERIVED</t>
        </is>
      </c>
      <c r="C44" s="48" t="inlineStr">
        <is>
          <t>3.6</t>
        </is>
      </c>
      <c r="D44" s="48" t="inlineStr">
        <is>
          <t>Nhom 3 - Optimization</t>
        </is>
      </c>
      <c r="E44" s="48" t="inlineStr">
        <is>
          <t>Không lạm dụng window function; có comment khi dùng</t>
        </is>
      </c>
      <c r="F44" s="48" t="inlineStr">
        <is>
          <t>N-A</t>
        </is>
      </c>
      <c r="G44" s="48" t="inlineStr">
        <is>
          <t>Pass</t>
        </is>
      </c>
      <c r="H44" s="50" t="inlineStr">
        <is>
          <t>script không dùng window function</t>
        </is>
      </c>
      <c r="I44" s="50" t="inlineStr">
        <is>
          <t>Mỗi window function cần một comment ngay trên khối CTE chứa nó, nói rõ vì sao không dùng được max_by/QUALIFY đơn giản hơn.</t>
        </is>
      </c>
      <c r="J44" s="48" t="inlineStr">
        <is>
          <t>003. OCB_GOLD_TCKH_V_CDR_AMT_QUANG.xlsx [Script SQL: V_CDR_AMT]</t>
        </is>
      </c>
    </row>
    <row r="45">
      <c r="A45" s="48" t="inlineStr">
        <is>
          <t>TCKH.V_CDR_AMT</t>
        </is>
      </c>
      <c r="B45" s="48" t="inlineStr">
        <is>
          <t>GOLD_DERIVED</t>
        </is>
      </c>
      <c r="C45" s="48" t="inlineStr">
        <is>
          <t>X.1</t>
        </is>
      </c>
      <c r="D45" s="48" t="inlineStr">
        <is>
          <t>Nhom X - Bo sung Raffles</t>
        </is>
      </c>
      <c r="E45" s="48" t="inlineStr">
        <is>
          <t>[Bổ sung] Link phải rút về current trước khi join (chống fan-out)</t>
        </is>
      </c>
      <c r="F45" s="48" t="inlineStr">
        <is>
          <t>N-A</t>
        </is>
      </c>
      <c r="G45" s="48" t="inlineStr">
        <is>
          <t>Pass</t>
        </is>
      </c>
      <c r="H45" s="50" t="inlineStr">
        <is>
          <t>khong ap dung cho profile GOLD_DERIVED</t>
        </is>
      </c>
      <c r="I45"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5" s="48" t="inlineStr">
        <is>
          <t>003. OCB_GOLD_TCKH_V_CDR_AMT_QUANG.xlsx [Script SQL: V_CDR_AMT]</t>
        </is>
      </c>
    </row>
    <row r="46">
      <c r="A46" s="48" t="inlineStr">
        <is>
          <t>TCKH.V_CDR_AMT</t>
        </is>
      </c>
      <c r="B46" s="48" t="inlineStr">
        <is>
          <t>GOLD_DERIVED</t>
        </is>
      </c>
      <c r="C46" s="48" t="inlineStr">
        <is>
          <t>X.6</t>
        </is>
      </c>
      <c r="D46" s="48" t="inlineStr">
        <is>
          <t>Nhom X - Bo sung Raffles</t>
        </is>
      </c>
      <c r="E46" s="48" t="inlineStr">
        <is>
          <t>[Bổ sung] Satellite phải LEFT JOIN, không INNER JOIN</t>
        </is>
      </c>
      <c r="F46" s="48" t="inlineStr">
        <is>
          <t>N-A</t>
        </is>
      </c>
      <c r="G46" s="48" t="inlineStr">
        <is>
          <t>Pass</t>
        </is>
      </c>
      <c r="H46" s="50" t="inlineStr">
        <is>
          <t>khong ap dung cho profile GOLD_DERIVED</t>
        </is>
      </c>
      <c r="I46" s="50" t="inlineStr">
        <is>
          <t>Technical Document III.4.2.2 nguyên tắc 1: làm giàu thuộc tính luôn dùng LEFT JOIN. INNER JOIN satellite sẽ loại mất bản ghi Hub đang còn hiệu lực nhưng chưa có dòng satellite.</t>
        </is>
      </c>
      <c r="J46" s="48" t="inlineStr">
        <is>
          <t>003. OCB_GOLD_TCKH_V_CDR_AMT_QUANG.xlsx [Script SQL: V_CDR_AMT]</t>
        </is>
      </c>
    </row>
    <row r="47">
      <c r="A47" s="48" t="inlineStr">
        <is>
          <t>TCKH.V_CDR_AMT</t>
        </is>
      </c>
      <c r="B47" s="48" t="inlineStr">
        <is>
          <t>GOLD_DERIVED</t>
        </is>
      </c>
      <c r="C47" s="48" t="inlineStr">
        <is>
          <t>X.7</t>
        </is>
      </c>
      <c r="D47" s="48" t="inlineStr">
        <is>
          <t>Nhom X - Bo sung Raffles</t>
        </is>
      </c>
      <c r="E47" s="48" t="inlineStr">
        <is>
          <t>[Bổ sung] Không hard-code catalog, dùng biến môi trường</t>
        </is>
      </c>
      <c r="F47" s="49" t="inlineStr">
        <is>
          <t>PASS</t>
        </is>
      </c>
      <c r="G47" s="48" t="inlineStr">
        <is>
          <t>Pass</t>
        </is>
      </c>
      <c r="H47" s="50" t="inlineStr">
        <is>
          <t>dùng biến môi trường cho catalog</t>
        </is>
      </c>
      <c r="I47"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7" s="48" t="inlineStr">
        <is>
          <t>003. OCB_GOLD_TCKH_V_CDR_AMT_QUANG.xlsx [Script SQL: V_CDR_AMT]</t>
        </is>
      </c>
    </row>
    <row r="48">
      <c r="A48" s="48" t="inlineStr">
        <is>
          <t>TCKH.V_CDTK_DAILY</t>
        </is>
      </c>
      <c r="B48" s="48" t="inlineStr">
        <is>
          <t>GOLD_DERIVED</t>
        </is>
      </c>
      <c r="C48" s="48" t="inlineStr">
        <is>
          <t>1.1</t>
        </is>
      </c>
      <c r="D48" s="48" t="inlineStr">
        <is>
          <t>Nhom 1 - Mapping</t>
        </is>
      </c>
      <c r="E48" s="48" t="inlineStr">
        <is>
          <t>Đầy đủ mapping từ Silver/manual sang Gold</t>
        </is>
      </c>
      <c r="F48" s="49" t="inlineStr">
        <is>
          <t>PASS</t>
        </is>
      </c>
      <c r="G48" s="48" t="inlineStr">
        <is>
          <t>Pass</t>
        </is>
      </c>
      <c r="H48" s="50" t="inlineStr">
        <is>
          <t>workbook 004. OCB_GOLD_TCKH_V_CDTK_DAILY_QUANG.xlsx: thiết kế 17 field, SQL có 17 cột</t>
        </is>
      </c>
      <c r="I48"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8" s="48" t="inlineStr">
        <is>
          <t>004. OCB_GOLD_TCKH_V_CDTK_DAILY_QUANG.xlsx [Script SQL: V_CDTK_DAILY]</t>
        </is>
      </c>
    </row>
    <row r="49">
      <c r="A49" s="48" t="inlineStr">
        <is>
          <t>TCKH.V_CDTK_DAILY</t>
        </is>
      </c>
      <c r="B49" s="48" t="inlineStr">
        <is>
          <t>GOLD_DERIVED</t>
        </is>
      </c>
      <c r="C49" s="48" t="inlineStr">
        <is>
          <t>1.2</t>
        </is>
      </c>
      <c r="D49" s="48" t="inlineStr">
        <is>
          <t>Nhom 1 - Mapping</t>
        </is>
      </c>
      <c r="E49" s="48" t="inlineStr">
        <is>
          <t>Danh sách bảng/view Gold khớp tài liệu thiết kế đã duyệt</t>
        </is>
      </c>
      <c r="F49" s="49" t="inlineStr">
        <is>
          <t>PASS</t>
        </is>
      </c>
      <c r="G49" s="48" t="inlineStr">
        <is>
          <t>Pass</t>
        </is>
      </c>
      <c r="H49" s="50" t="inlineStr">
        <is>
          <t>V_CDTK_DAILY có workbook thiết kế: 004. OCB_GOLD_TCKH_V_CDTK_DAILY_QUANG.xlsx</t>
        </is>
      </c>
      <c r="I49" s="50" t="inlineStr">
        <is>
          <t>Đảm bảo object có workbook thiết kế tương ứng trong thư mục --mapping-dir. Muốn đối chiếu với danh sách đã duyệt thì chạy thêm tham số --gold-list "&lt;file danh sách Gold&gt;.xlsx".</t>
        </is>
      </c>
      <c r="J49" s="48" t="inlineStr">
        <is>
          <t>004. OCB_GOLD_TCKH_V_CDTK_DAILY_QUANG.xlsx [Script SQL: V_CDTK_DAILY]</t>
        </is>
      </c>
    </row>
    <row r="50">
      <c r="A50" s="48" t="inlineStr">
        <is>
          <t>TCKH.V_CDTK_DAILY</t>
        </is>
      </c>
      <c r="B50" s="48" t="inlineStr">
        <is>
          <t>GOLD_DERIVED</t>
        </is>
      </c>
      <c r="C50" s="48" t="inlineStr">
        <is>
          <t>2.1</t>
        </is>
      </c>
      <c r="D50" s="48" t="inlineStr">
        <is>
          <t>Nhom 2 - Logic</t>
        </is>
      </c>
      <c r="E50" s="48" t="inlineStr">
        <is>
          <t>Chỉ lấy bản ghi active, loại bản ghi đã xóa (qua sts_hub)</t>
        </is>
      </c>
      <c r="F50" s="48" t="inlineStr">
        <is>
          <t>N-A</t>
        </is>
      </c>
      <c r="G50" s="48" t="inlineStr">
        <is>
          <t>Pass</t>
        </is>
      </c>
      <c r="H50" s="50" t="inlineStr">
        <is>
          <t>khong ap dung cho profile GOLD_DERIVED</t>
        </is>
      </c>
      <c r="I50"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0" s="48" t="inlineStr">
        <is>
          <t>004. OCB_GOLD_TCKH_V_CDTK_DAILY_QUANG.xlsx [Script SQL: V_CDTK_DAILY]</t>
        </is>
      </c>
    </row>
    <row r="51">
      <c r="A51" s="48" t="inlineStr">
        <is>
          <t>TCKH.V_CDTK_DAILY</t>
        </is>
      </c>
      <c r="B51" s="48" t="inlineStr">
        <is>
          <t>GOLD_DERIVED</t>
        </is>
      </c>
      <c r="C51" s="48" t="inlineStr">
        <is>
          <t>2.2</t>
        </is>
      </c>
      <c r="D51" s="48" t="inlineStr">
        <is>
          <t>Nhom 2 - Logic</t>
        </is>
      </c>
      <c r="E51" s="48" t="inlineStr">
        <is>
          <t>Thống nhất MỘT pattern duy nhất xác định bản ghi active mới nhất</t>
        </is>
      </c>
      <c r="F51" s="48" t="inlineStr">
        <is>
          <t>N-A</t>
        </is>
      </c>
      <c r="G51" s="48" t="inlineStr">
        <is>
          <t>Pass</t>
        </is>
      </c>
      <c r="H51" s="50" t="inlineStr">
        <is>
          <t>khong ap dung cho profile GOLD_DERIVED</t>
        </is>
      </c>
      <c r="I51"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1" s="48" t="inlineStr">
        <is>
          <t>004. OCB_GOLD_TCKH_V_CDTK_DAILY_QUANG.xlsx [Script SQL: V_CDTK_DAILY]</t>
        </is>
      </c>
    </row>
    <row r="52">
      <c r="A52" s="48" t="inlineStr">
        <is>
          <t>TCKH.V_CDTK_DAILY</t>
        </is>
      </c>
      <c r="B52" s="48" t="inlineStr">
        <is>
          <t>GOLD_DERIVED</t>
        </is>
      </c>
      <c r="C52" s="48" t="inlineStr">
        <is>
          <t>2.3</t>
        </is>
      </c>
      <c r="D52" s="48" t="inlineStr">
        <is>
          <t>Nhom 2 - Logic</t>
        </is>
      </c>
      <c r="E52" s="48" t="inlineStr">
        <is>
          <t>Điều kiện lọc trạng thái đặt SAU khi xác định bản ghi mới nhất</t>
        </is>
      </c>
      <c r="F52" s="49" t="inlineStr">
        <is>
          <t>PASS</t>
        </is>
      </c>
      <c r="G52" s="48" t="inlineStr">
        <is>
          <t>Pass</t>
        </is>
      </c>
      <c r="H52" s="50" t="inlineStr">
        <is>
          <t>không có điều kiện trạng thái nào lồng trong JOIN ON</t>
        </is>
      </c>
      <c r="I52"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2" s="48" t="inlineStr">
        <is>
          <t>004. OCB_GOLD_TCKH_V_CDTK_DAILY_QUANG.xlsx [Script SQL: V_CDTK_DAILY]</t>
        </is>
      </c>
    </row>
    <row r="53">
      <c r="A53" s="48" t="inlineStr">
        <is>
          <t>TCKH.V_CDTK_DAILY</t>
        </is>
      </c>
      <c r="B53" s="48" t="inlineStr">
        <is>
          <t>GOLD_DERIVED</t>
        </is>
      </c>
      <c r="C53" s="48" t="inlineStr">
        <is>
          <t>2.4</t>
        </is>
      </c>
      <c r="D53" s="48" t="inlineStr">
        <is>
          <t>Nhom 2 - Logic</t>
        </is>
      </c>
      <c r="E53" s="48" t="inlineStr">
        <is>
          <t>source_event_date áp dụng đúng dạng theo loại bảng</t>
        </is>
      </c>
      <c r="F53" s="48" t="inlineStr">
        <is>
          <t>N-A</t>
        </is>
      </c>
      <c r="G53" s="48" t="inlineStr">
        <is>
          <t>Pass</t>
        </is>
      </c>
      <c r="H53" s="50" t="inlineStr">
        <is>
          <t>khong ap dung cho profile GOLD_DERIVED</t>
        </is>
      </c>
      <c r="I53"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3" s="48" t="inlineStr">
        <is>
          <t>004. OCB_GOLD_TCKH_V_CDTK_DAILY_QUANG.xlsx [Script SQL: V_CDTK_DAILY]</t>
        </is>
      </c>
    </row>
    <row r="54">
      <c r="A54" s="48" t="inlineStr">
        <is>
          <t>TCKH.V_CDTK_DAILY</t>
        </is>
      </c>
      <c r="B54" s="48" t="inlineStr">
        <is>
          <t>GOLD_DERIVED</t>
        </is>
      </c>
      <c r="C54" s="48" t="inlineStr">
        <is>
          <t>2.5</t>
        </is>
      </c>
      <c r="D54" s="48" t="inlineStr">
        <is>
          <t>Nhom 2 - Logic</t>
        </is>
      </c>
      <c r="E54" s="48" t="inlineStr">
        <is>
          <t>Không lặp lại lỗi logic cũ đã được DA Data Vault fix</t>
        </is>
      </c>
      <c r="F54" s="49" t="inlineStr">
        <is>
          <t>PASS</t>
        </is>
      </c>
      <c r="G54" s="48" t="inlineStr">
        <is>
          <t>Pass</t>
        </is>
      </c>
      <c r="H54" s="50" t="inlineStr">
        <is>
          <t>không trùng lỗi nào trong Issue log của DA Data Vault</t>
        </is>
      </c>
      <c r="I54"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4" s="48" t="inlineStr">
        <is>
          <t>004. OCB_GOLD_TCKH_V_CDTK_DAILY_QUANG.xlsx [Script SQL: V_CDTK_DAILY]</t>
        </is>
      </c>
    </row>
    <row r="55">
      <c r="A55" s="48" t="inlineStr">
        <is>
          <t>TCKH.V_CDTK_DAILY</t>
        </is>
      </c>
      <c r="B55" s="48" t="inlineStr">
        <is>
          <t>GOLD_DERIVED</t>
        </is>
      </c>
      <c r="C55" s="48" t="inlineStr">
        <is>
          <t>2.6</t>
        </is>
      </c>
      <c r="D55" s="48" t="inlineStr">
        <is>
          <t>Nhom 2 - Logic</t>
        </is>
      </c>
      <c r="E55" s="48" t="inlineStr">
        <is>
          <t>SCD Type 2 cho bảng DIM áp dụng đúng kỹ thuật đã thống nhất</t>
        </is>
      </c>
      <c r="F55" s="48" t="inlineStr">
        <is>
          <t>N-A</t>
        </is>
      </c>
      <c r="G55" s="48" t="inlineStr">
        <is>
          <t>Pass</t>
        </is>
      </c>
      <c r="H55" s="50" t="inlineStr">
        <is>
          <t>object không phải bảng DIM nên không áp dụng SCD Type 2</t>
        </is>
      </c>
      <c r="I55"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5" s="48" t="inlineStr">
        <is>
          <t>004. OCB_GOLD_TCKH_V_CDTK_DAILY_QUANG.xlsx [Script SQL: V_CDTK_DAILY]</t>
        </is>
      </c>
    </row>
    <row r="56">
      <c r="A56" s="48" t="inlineStr">
        <is>
          <t>TCKH.V_CDTK_DAILY</t>
        </is>
      </c>
      <c r="B56" s="48" t="inlineStr">
        <is>
          <t>GOLD_DERIVED</t>
        </is>
      </c>
      <c r="C56" s="48" t="inlineStr">
        <is>
          <t>2.7</t>
        </is>
      </c>
      <c r="D56" s="48" t="inlineStr">
        <is>
          <t>Nhom 2 - Logic</t>
        </is>
      </c>
      <c r="E56" s="48" t="inlineStr">
        <is>
          <t>CASE WHEN cover đủ nhánh như job on-prem</t>
        </is>
      </c>
      <c r="F56" s="48" t="inlineStr">
        <is>
          <t>N-A</t>
        </is>
      </c>
      <c r="G56" s="48" t="inlineStr">
        <is>
          <t>Pass</t>
        </is>
      </c>
      <c r="H56" s="50" t="inlineStr">
        <is>
          <t>script không có CASE WHEN nào</t>
        </is>
      </c>
      <c r="I56" s="50" t="inlineStr">
        <is>
          <t>Mở job on-prem tương ứng (DataStage DSX hoặc SQL cũ), đối chiếu từng nhánh WHEN và cả nhánh ELSE. CASE không có ELSE sẽ trả NULL âm thầm — xác nhận đó là ý muốn hay thiếu nhánh.</t>
        </is>
      </c>
      <c r="J56" s="48" t="inlineStr">
        <is>
          <t>004. OCB_GOLD_TCKH_V_CDTK_DAILY_QUANG.xlsx [Script SQL: V_CDTK_DAILY]</t>
        </is>
      </c>
    </row>
    <row r="57">
      <c r="A57" s="48" t="inlineStr">
        <is>
          <t>TCKH.V_CDTK_DAILY</t>
        </is>
      </c>
      <c r="B57" s="48" t="inlineStr">
        <is>
          <t>GOLD_DERIVED</t>
        </is>
      </c>
      <c r="C57" s="48" t="inlineStr">
        <is>
          <t>2.8</t>
        </is>
      </c>
      <c r="D57" s="48" t="inlineStr">
        <is>
          <t>Nhom 2 - Logic</t>
        </is>
      </c>
      <c r="E57" s="48" t="inlineStr">
        <is>
          <t>Cột SUM/COUNT được COALESCE/NVL hợp lý</t>
        </is>
      </c>
      <c r="F57" s="49" t="inlineStr">
        <is>
          <t>PASS</t>
        </is>
      </c>
      <c r="G57" s="48" t="inlineStr">
        <is>
          <t>Pass</t>
        </is>
      </c>
      <c r="H57" s="50" t="inlineStr">
        <is>
          <t>mọi SUM/COUNT đều đã coalesce (trực tiếp hoặc ở lớp ngoài)</t>
        </is>
      </c>
      <c r="I57"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7" s="48" t="inlineStr">
        <is>
          <t>004. OCB_GOLD_TCKH_V_CDTK_DAILY_QUANG.xlsx [Script SQL: V_CDTK_DAILY]</t>
        </is>
      </c>
    </row>
    <row r="58">
      <c r="A58" s="48" t="inlineStr">
        <is>
          <t>TCKH.V_CDTK_DAILY</t>
        </is>
      </c>
      <c r="B58" s="48" t="inlineStr">
        <is>
          <t>GOLD_DERIVED</t>
        </is>
      </c>
      <c r="C58" s="48" t="inlineStr">
        <is>
          <t>2.9</t>
        </is>
      </c>
      <c r="D58" s="48" t="inlineStr">
        <is>
          <t>Nhom 2 - Logic</t>
        </is>
      </c>
      <c r="E58" s="48" t="inlineStr">
        <is>
          <t>Subquery / custom function / điều kiện LIKE đúng ý nghĩa nghiệp vụ</t>
        </is>
      </c>
      <c r="F58" s="48" t="inlineStr">
        <is>
          <t>N-A</t>
        </is>
      </c>
      <c r="G58" s="48" t="inlineStr">
        <is>
          <t>Pass</t>
        </is>
      </c>
      <c r="H58" s="50" t="inlineStr">
        <is>
          <t>script không có điều kiện LIKE hay scalar subquery nào</t>
        </is>
      </c>
      <c r="I58" s="50" t="inlineStr">
        <is>
          <t>Đọc lại từng điều kiện LIKE và từng subquery, đối chiếu ý nghĩa nghiệp vụ với on-prem — đúng cú pháp không đủ. Chú ý pattern LIKE có ký tự % ở đầu/cuối và phân biệt chữ hoa/thường.</t>
        </is>
      </c>
      <c r="J58" s="48" t="inlineStr">
        <is>
          <t>004. OCB_GOLD_TCKH_V_CDTK_DAILY_QUANG.xlsx [Script SQL: V_CDTK_DAILY]</t>
        </is>
      </c>
    </row>
    <row r="59">
      <c r="A59" s="48" t="inlineStr">
        <is>
          <t>TCKH.V_CDTK_DAILY</t>
        </is>
      </c>
      <c r="B59" s="48" t="inlineStr">
        <is>
          <t>GOLD_DERIVED</t>
        </is>
      </c>
      <c r="C59" s="48" t="inlineStr">
        <is>
          <t>2.10</t>
        </is>
      </c>
      <c r="D59" s="48" t="inlineStr">
        <is>
          <t>Nhom 2 - Logic</t>
        </is>
      </c>
      <c r="E59" s="48" t="inlineStr">
        <is>
          <t>Aggregation kèm filter date range chính xác</t>
        </is>
      </c>
      <c r="F59" s="49" t="inlineStr">
        <is>
          <t>PASS</t>
        </is>
      </c>
      <c r="G59" s="48" t="inlineStr">
        <is>
          <t>Pass</t>
        </is>
      </c>
      <c r="H59" s="50" t="inlineStr">
        <is>
          <t>mọi khối tổng hợp đều có điều kiện theo kỳ dữ liệu</t>
        </is>
      </c>
      <c r="I59" s="50" t="inlineStr">
        <is>
          <t>Mỗi khối SUM/COUNT/AVG phải có điều kiện lọc theo kỳ dữ liệu (CDR_DT_ID, DATA_DATE, :DATADT…). Nếu điều kiện nằm ở CTE nguồn thì ghi rõ trong comment để người review không phải truy ngược.</t>
        </is>
      </c>
      <c r="J59" s="48" t="inlineStr">
        <is>
          <t>004. OCB_GOLD_TCKH_V_CDTK_DAILY_QUANG.xlsx [Script SQL: V_CDTK_DAILY]</t>
        </is>
      </c>
    </row>
    <row r="60">
      <c r="A60" s="48" t="inlineStr">
        <is>
          <t>TCKH.V_CDTK_DAILY</t>
        </is>
      </c>
      <c r="B60" s="48" t="inlineStr">
        <is>
          <t>GOLD_DERIVED</t>
        </is>
      </c>
      <c r="C60" s="48" t="inlineStr">
        <is>
          <t>2.11</t>
        </is>
      </c>
      <c r="D60" s="48" t="inlineStr">
        <is>
          <t>Nhom 2 - Logic</t>
        </is>
      </c>
      <c r="E60" s="48" t="inlineStr">
        <is>
          <t>Join dùng key hợp lý, không lạm dụng UNION ALL + EXISTS/NOT EXISTS</t>
        </is>
      </c>
      <c r="F60" s="49" t="inlineStr">
        <is>
          <t>PASS</t>
        </is>
      </c>
      <c r="G60" s="48" t="inlineStr">
        <is>
          <t>Pass</t>
        </is>
      </c>
      <c r="H60" s="50" t="inlineStr">
        <is>
          <t>join đều theo điều kiện bằng, không lạm dụng UNION ALL + EXISTS</t>
        </is>
      </c>
      <c r="I60" s="50" t="inlineStr">
        <is>
          <t>Ưu tiên LEFT JOIN theo business key hoặc hashkey. Xem lại các chỗ dùng UNION ALL kết hợp EXISTS/NOT EXISTS — thường thay được bằng một LEFT JOIN. Join không có điều kiện bằng (=) dễ tạo tích Descartes.</t>
        </is>
      </c>
      <c r="J60" s="48" t="inlineStr">
        <is>
          <t>004. OCB_GOLD_TCKH_V_CDTK_DAILY_QUANG.xlsx [Script SQL: V_CDTK_DAILY]</t>
        </is>
      </c>
    </row>
    <row r="61">
      <c r="A61" s="48" t="inlineStr">
        <is>
          <t>TCKH.V_CDTK_DAILY</t>
        </is>
      </c>
      <c r="B61" s="48" t="inlineStr">
        <is>
          <t>GOLD_DERIVED</t>
        </is>
      </c>
      <c r="C61" s="48" t="inlineStr">
        <is>
          <t>2.12</t>
        </is>
      </c>
      <c r="D61" s="48" t="inlineStr">
        <is>
          <t>Nhom 2 - Logic</t>
        </is>
      </c>
      <c r="E61" s="48" t="inlineStr">
        <is>
          <t>Build Gold từ CTE snapshot Silver, không build nhiều tầng chồng chéo</t>
        </is>
      </c>
      <c r="F61" s="49" t="inlineStr">
        <is>
          <t>PASS</t>
        </is>
      </c>
      <c r="G61" s="48" t="inlineStr">
        <is>
          <t>Pass</t>
        </is>
      </c>
      <c r="H61" s="50" t="inlineStr">
        <is>
          <t>mỗi bảng nguồn chỉ đọc trong 1 khối SELECT</t>
        </is>
      </c>
      <c r="I61"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1" s="48" t="inlineStr">
        <is>
          <t>004. OCB_GOLD_TCKH_V_CDTK_DAILY_QUANG.xlsx [Script SQL: V_CDTK_DAILY]</t>
        </is>
      </c>
    </row>
    <row r="62">
      <c r="A62" s="48" t="inlineStr">
        <is>
          <t>TCKH.V_CDTK_DAILY</t>
        </is>
      </c>
      <c r="B62" s="48" t="inlineStr">
        <is>
          <t>GOLD_DERIVED</t>
        </is>
      </c>
      <c r="C62" s="48" t="inlineStr">
        <is>
          <t>3.1</t>
        </is>
      </c>
      <c r="D62" s="48" t="inlineStr">
        <is>
          <t>Nhom 3 - Optimization</t>
        </is>
      </c>
      <c r="E62" s="48" t="inlineStr">
        <is>
          <t>Không SELECT *</t>
        </is>
      </c>
      <c r="F62" s="49" t="inlineStr">
        <is>
          <t>PASS</t>
        </is>
      </c>
      <c r="G62" s="48" t="inlineStr">
        <is>
          <t>Pass</t>
        </is>
      </c>
      <c r="H62" s="50" t="inlineStr">
        <is>
          <t>không dùng SELECT * ở đâu</t>
        </is>
      </c>
      <c r="I62" s="50" t="inlineStr">
        <is>
          <t>Liệt kê tường minh các cột cần dùng, kể cả trong CTE trung gian. SELECT * làm tăng IO/memory và vỡ script khi bảng nguồn thêm cột.</t>
        </is>
      </c>
      <c r="J62" s="48" t="inlineStr">
        <is>
          <t>004. OCB_GOLD_TCKH_V_CDTK_DAILY_QUANG.xlsx [Script SQL: V_CDTK_DAILY]</t>
        </is>
      </c>
    </row>
    <row r="63">
      <c r="A63" s="48" t="inlineStr">
        <is>
          <t>TCKH.V_CDTK_DAILY</t>
        </is>
      </c>
      <c r="B63" s="48" t="inlineStr">
        <is>
          <t>GOLD_DERIVED</t>
        </is>
      </c>
      <c r="C63" s="48" t="inlineStr">
        <is>
          <t>3.2</t>
        </is>
      </c>
      <c r="D63" s="48" t="inlineStr">
        <is>
          <t>Nhom 3 - Optimization</t>
        </is>
      </c>
      <c r="E63" s="48" t="inlineStr">
        <is>
          <t>CTE không bị scan lại nhiều lần</t>
        </is>
      </c>
      <c r="F63" s="49" t="inlineStr">
        <is>
          <t>PASS</t>
        </is>
      </c>
      <c r="G63" s="48" t="inlineStr">
        <is>
          <t>Pass</t>
        </is>
      </c>
      <c r="H63" s="50" t="inlineStr">
        <is>
          <t>không có CTE nào bị gọi lại</t>
        </is>
      </c>
      <c r="I63" s="50" t="inlineStr">
        <is>
          <t>Với CTE nặng (đọc nhiều bảng Silver) bị tham chiếu từ 2 chỗ trở lên: gom lại còn một lần dùng, hoặc vật chất hóa (CACHE / bảng tạm). CTE nhẹ chỉ chứa tham số thì bỏ qua được — tự tick Pass.</t>
        </is>
      </c>
      <c r="J63" s="48" t="inlineStr">
        <is>
          <t>004. OCB_GOLD_TCKH_V_CDTK_DAILY_QUANG.xlsx [Script SQL: V_CDTK_DAILY]</t>
        </is>
      </c>
    </row>
    <row r="64">
      <c r="A64" s="48" t="inlineStr">
        <is>
          <t>TCKH.V_CDTK_DAILY</t>
        </is>
      </c>
      <c r="B64" s="48" t="inlineStr">
        <is>
          <t>GOLD_DERIVED</t>
        </is>
      </c>
      <c r="C64" s="48" t="inlineStr">
        <is>
          <t>3.3</t>
        </is>
      </c>
      <c r="D64" s="48" t="inlineStr">
        <is>
          <t>Nhom 3 - Optimization</t>
        </is>
      </c>
      <c r="E64" s="48" t="inlineStr">
        <is>
          <t>Filter trước khi join, tận dụng partition pruning</t>
        </is>
      </c>
      <c r="F64" s="49" t="inlineStr">
        <is>
          <t>PASS</t>
        </is>
      </c>
      <c r="G64" s="48" t="inlineStr">
        <is>
          <t>Pass</t>
        </is>
      </c>
      <c r="H64" s="50" t="inlineStr">
        <is>
          <t>các bảng join đều được filter trước</t>
        </is>
      </c>
      <c r="I64" s="50" t="inlineStr">
        <is>
          <t>Đưa điều kiện lọc (ngày dữ liệu, trạng thái) vào subquery của từng bảng TRƯỚC khi join, để tận dụng partition pruning. Bảng dim nhỏ không partition thì không cần — tự tick Pass.</t>
        </is>
      </c>
      <c r="J64" s="48" t="inlineStr">
        <is>
          <t>004. OCB_GOLD_TCKH_V_CDTK_DAILY_QUANG.xlsx [Script SQL: V_CDTK_DAILY]</t>
        </is>
      </c>
    </row>
    <row r="65">
      <c r="A65" s="48" t="inlineStr">
        <is>
          <t>TCKH.V_CDTK_DAILY</t>
        </is>
      </c>
      <c r="B65" s="48" t="inlineStr">
        <is>
          <t>GOLD_DERIVED</t>
        </is>
      </c>
      <c r="C65" s="48" t="inlineStr">
        <is>
          <t>3.4</t>
        </is>
      </c>
      <c r="D65" s="48" t="inlineStr">
        <is>
          <t>Nhom 3 - Optimization</t>
        </is>
      </c>
      <c r="E65" s="48" t="inlineStr">
        <is>
          <t>Sử dụng CACHE cho query lặp lại trong cùng luồng</t>
        </is>
      </c>
      <c r="F65" s="48" t="inlineStr">
        <is>
          <t>N-A</t>
        </is>
      </c>
      <c r="G65" s="48" t="inlineStr">
        <is>
          <t>Pass</t>
        </is>
      </c>
      <c r="H65" s="50" t="inlineStr">
        <is>
          <t>không có kết quả nào được dùng lại nhiều lần nên chưa cần CACHE</t>
        </is>
      </c>
      <c r="I65" s="50" t="inlineStr">
        <is>
          <t>Nếu một kết quả nặng được dùng lại nhiều bước trong cùng luồng, thêm CACHE TABLE / CACHE SELECT. Kết quả nhỏ thì cache còn chậm hơn — tự tick Pass.</t>
        </is>
      </c>
      <c r="J65" s="48" t="inlineStr">
        <is>
          <t>004. OCB_GOLD_TCKH_V_CDTK_DAILY_QUANG.xlsx [Script SQL: V_CDTK_DAILY]</t>
        </is>
      </c>
    </row>
    <row r="66">
      <c r="A66" s="48" t="inlineStr">
        <is>
          <t>TCKH.V_CDTK_DAILY</t>
        </is>
      </c>
      <c r="B66" s="48" t="inlineStr">
        <is>
          <t>GOLD_DERIVED</t>
        </is>
      </c>
      <c r="C66" s="48" t="inlineStr">
        <is>
          <t>3.5</t>
        </is>
      </c>
      <c r="D66" s="48" t="inlineStr">
        <is>
          <t>Nhom 3 - Optimization</t>
        </is>
      </c>
      <c r="E66" s="48" t="inlineStr">
        <is>
          <t>Ưu tiên MAX_BY + QUALIFY thay ROW_NUMBER() + WHERE rn = 1</t>
        </is>
      </c>
      <c r="F66" s="48" t="inlineStr">
        <is>
          <t>N-A</t>
        </is>
      </c>
      <c r="G66" s="48" t="inlineStr">
        <is>
          <t>Pass</t>
        </is>
      </c>
      <c r="H66" s="50" t="inlineStr">
        <is>
          <t>script không dùng ROW_NUMBER</t>
        </is>
      </c>
      <c r="I66"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6" s="48" t="inlineStr">
        <is>
          <t>004. OCB_GOLD_TCKH_V_CDTK_DAILY_QUANG.xlsx [Script SQL: V_CDTK_DAILY]</t>
        </is>
      </c>
    </row>
    <row r="67">
      <c r="A67" s="48" t="inlineStr">
        <is>
          <t>TCKH.V_CDTK_DAILY</t>
        </is>
      </c>
      <c r="B67" s="48" t="inlineStr">
        <is>
          <t>GOLD_DERIVED</t>
        </is>
      </c>
      <c r="C67" s="48" t="inlineStr">
        <is>
          <t>3.6</t>
        </is>
      </c>
      <c r="D67" s="48" t="inlineStr">
        <is>
          <t>Nhom 3 - Optimization</t>
        </is>
      </c>
      <c r="E67" s="48" t="inlineStr">
        <is>
          <t>Không lạm dụng window function; có comment khi dùng</t>
        </is>
      </c>
      <c r="F67" s="48" t="inlineStr">
        <is>
          <t>N-A</t>
        </is>
      </c>
      <c r="G67" s="48" t="inlineStr">
        <is>
          <t>Pass</t>
        </is>
      </c>
      <c r="H67" s="50" t="inlineStr">
        <is>
          <t>script không dùng window function</t>
        </is>
      </c>
      <c r="I67" s="50" t="inlineStr">
        <is>
          <t>Mỗi window function cần một comment ngay trên khối CTE chứa nó, nói rõ vì sao không dùng được max_by/QUALIFY đơn giản hơn.</t>
        </is>
      </c>
      <c r="J67" s="48" t="inlineStr">
        <is>
          <t>004. OCB_GOLD_TCKH_V_CDTK_DAILY_QUANG.xlsx [Script SQL: V_CDTK_DAILY]</t>
        </is>
      </c>
    </row>
    <row r="68">
      <c r="A68" s="48" t="inlineStr">
        <is>
          <t>TCKH.V_CDTK_DAILY</t>
        </is>
      </c>
      <c r="B68" s="48" t="inlineStr">
        <is>
          <t>GOLD_DERIVED</t>
        </is>
      </c>
      <c r="C68" s="48" t="inlineStr">
        <is>
          <t>X.1</t>
        </is>
      </c>
      <c r="D68" s="48" t="inlineStr">
        <is>
          <t>Nhom X - Bo sung Raffles</t>
        </is>
      </c>
      <c r="E68" s="48" t="inlineStr">
        <is>
          <t>[Bổ sung] Link phải rút về current trước khi join (chống fan-out)</t>
        </is>
      </c>
      <c r="F68" s="48" t="inlineStr">
        <is>
          <t>N-A</t>
        </is>
      </c>
      <c r="G68" s="48" t="inlineStr">
        <is>
          <t>Pass</t>
        </is>
      </c>
      <c r="H68" s="50" t="inlineStr">
        <is>
          <t>khong ap dung cho profile GOLD_DERIVED</t>
        </is>
      </c>
      <c r="I68"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8" s="48" t="inlineStr">
        <is>
          <t>004. OCB_GOLD_TCKH_V_CDTK_DAILY_QUANG.xlsx [Script SQL: V_CDTK_DAILY]</t>
        </is>
      </c>
    </row>
    <row r="69">
      <c r="A69" s="48" t="inlineStr">
        <is>
          <t>TCKH.V_CDTK_DAILY</t>
        </is>
      </c>
      <c r="B69" s="48" t="inlineStr">
        <is>
          <t>GOLD_DERIVED</t>
        </is>
      </c>
      <c r="C69" s="48" t="inlineStr">
        <is>
          <t>X.6</t>
        </is>
      </c>
      <c r="D69" s="48" t="inlineStr">
        <is>
          <t>Nhom X - Bo sung Raffles</t>
        </is>
      </c>
      <c r="E69" s="48" t="inlineStr">
        <is>
          <t>[Bổ sung] Satellite phải LEFT JOIN, không INNER JOIN</t>
        </is>
      </c>
      <c r="F69" s="48" t="inlineStr">
        <is>
          <t>N-A</t>
        </is>
      </c>
      <c r="G69" s="48" t="inlineStr">
        <is>
          <t>Pass</t>
        </is>
      </c>
      <c r="H69" s="50" t="inlineStr">
        <is>
          <t>khong ap dung cho profile GOLD_DERIVED</t>
        </is>
      </c>
      <c r="I69" s="50" t="inlineStr">
        <is>
          <t>Technical Document III.4.2.2 nguyên tắc 1: làm giàu thuộc tính luôn dùng LEFT JOIN. INNER JOIN satellite sẽ loại mất bản ghi Hub đang còn hiệu lực nhưng chưa có dòng satellite.</t>
        </is>
      </c>
      <c r="J69" s="48" t="inlineStr">
        <is>
          <t>004. OCB_GOLD_TCKH_V_CDTK_DAILY_QUANG.xlsx [Script SQL: V_CDTK_DAILY]</t>
        </is>
      </c>
    </row>
    <row r="70">
      <c r="A70" s="48" t="inlineStr">
        <is>
          <t>TCKH.V_CDTK_DAILY</t>
        </is>
      </c>
      <c r="B70" s="48" t="inlineStr">
        <is>
          <t>GOLD_DERIVED</t>
        </is>
      </c>
      <c r="C70" s="48" t="inlineStr">
        <is>
          <t>X.7</t>
        </is>
      </c>
      <c r="D70" s="48" t="inlineStr">
        <is>
          <t>Nhom X - Bo sung Raffles</t>
        </is>
      </c>
      <c r="E70" s="48" t="inlineStr">
        <is>
          <t>[Bổ sung] Không hard-code catalog, dùng biến môi trường</t>
        </is>
      </c>
      <c r="F70" s="49" t="inlineStr">
        <is>
          <t>PASS</t>
        </is>
      </c>
      <c r="G70" s="48" t="inlineStr">
        <is>
          <t>Pass</t>
        </is>
      </c>
      <c r="H70" s="50" t="inlineStr">
        <is>
          <t>dùng biến môi trường cho catalog</t>
        </is>
      </c>
      <c r="I70"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0" s="48" t="inlineStr">
        <is>
          <t>004. OCB_GOLD_TCKH_V_CDTK_DAILY_QUANG.xlsx [Script SQL: V_CDTK_DAILY]</t>
        </is>
      </c>
    </row>
    <row r="71">
      <c r="A71" s="48" t="inlineStr">
        <is>
          <t>TCKH.V_CREDIT_LIMIT</t>
        </is>
      </c>
      <c r="B71" s="48" t="inlineStr">
        <is>
          <t>SILVER_CONSUMER</t>
        </is>
      </c>
      <c r="C71" s="48" t="inlineStr">
        <is>
          <t>1.1</t>
        </is>
      </c>
      <c r="D71" s="48" t="inlineStr">
        <is>
          <t>Nhom 1 - Mapping</t>
        </is>
      </c>
      <c r="E71" s="48" t="inlineStr">
        <is>
          <t>Đầy đủ mapping từ Silver/manual sang Gold</t>
        </is>
      </c>
      <c r="F71" s="49" t="inlineStr">
        <is>
          <t>PASS</t>
        </is>
      </c>
      <c r="G71" s="48" t="inlineStr">
        <is>
          <t>Pass</t>
        </is>
      </c>
      <c r="H71" s="50" t="inlineStr">
        <is>
          <t>workbook 005. OCB_GOLD_TCKH_V_CREDIT_LIMIT_BAOANH.xlsx: thiết kế 3 field, SQL có 3 cột</t>
        </is>
      </c>
      <c r="I71"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1" s="48" t="inlineStr">
        <is>
          <t>005. OCB_GOLD_TCKH_V_CREDIT_LIMIT_BAOANH.xlsx [Script: V_CREDIT_LIMIT]</t>
        </is>
      </c>
    </row>
    <row r="72">
      <c r="A72" s="48" t="inlineStr">
        <is>
          <t>TCKH.V_CREDIT_LIMIT</t>
        </is>
      </c>
      <c r="B72" s="48" t="inlineStr">
        <is>
          <t>SILVER_CONSUMER</t>
        </is>
      </c>
      <c r="C72" s="48" t="inlineStr">
        <is>
          <t>1.2</t>
        </is>
      </c>
      <c r="D72" s="48" t="inlineStr">
        <is>
          <t>Nhom 1 - Mapping</t>
        </is>
      </c>
      <c r="E72" s="48" t="inlineStr">
        <is>
          <t>Danh sách bảng/view Gold khớp tài liệu thiết kế đã duyệt</t>
        </is>
      </c>
      <c r="F72" s="49" t="inlineStr">
        <is>
          <t>PASS</t>
        </is>
      </c>
      <c r="G72" s="48" t="inlineStr">
        <is>
          <t>Pass</t>
        </is>
      </c>
      <c r="H72" s="50" t="inlineStr">
        <is>
          <t>V_CREDIT_LIMIT có workbook thiết kế: 005. OCB_GOLD_TCKH_V_CREDIT_LIMIT_BAOANH.xlsx</t>
        </is>
      </c>
      <c r="I72" s="50" t="inlineStr">
        <is>
          <t>Đảm bảo object có workbook thiết kế tương ứng trong thư mục --mapping-dir. Muốn đối chiếu với danh sách đã duyệt thì chạy thêm tham số --gold-list "&lt;file danh sách Gold&gt;.xlsx".</t>
        </is>
      </c>
      <c r="J72" s="48" t="inlineStr">
        <is>
          <t>005. OCB_GOLD_TCKH_V_CREDIT_LIMIT_BAOANH.xlsx [Script: V_CREDIT_LIMIT]</t>
        </is>
      </c>
    </row>
    <row r="73">
      <c r="A73" s="48" t="inlineStr">
        <is>
          <t>TCKH.V_CREDIT_LIMIT</t>
        </is>
      </c>
      <c r="B73" s="48" t="inlineStr">
        <is>
          <t>SILVER_CONSUMER</t>
        </is>
      </c>
      <c r="C73" s="48" t="inlineStr">
        <is>
          <t>2.1</t>
        </is>
      </c>
      <c r="D73" s="48" t="inlineStr">
        <is>
          <t>Nhom 2 - Logic</t>
        </is>
      </c>
      <c r="E73" s="48" t="inlineStr">
        <is>
          <t>Chỉ lấy bản ghi active, loại bản ghi đã xóa (qua sts_hub)</t>
        </is>
      </c>
      <c r="F73" s="49" t="inlineStr">
        <is>
          <t>PASS</t>
        </is>
      </c>
      <c r="G73" s="48" t="inlineStr">
        <is>
          <t>Pass</t>
        </is>
      </c>
      <c r="H73" s="50" t="inlineStr">
        <is>
          <t>1 sts_hub_* đọc đúng format</t>
        </is>
      </c>
      <c r="I73"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3" s="48" t="inlineStr">
        <is>
          <t>005. OCB_GOLD_TCKH_V_CREDIT_LIMIT_BAOANH.xlsx [Script: V_CREDIT_LIMIT]</t>
        </is>
      </c>
    </row>
    <row r="74">
      <c r="A74" s="48" t="inlineStr">
        <is>
          <t>TCKH.V_CREDIT_LIMIT</t>
        </is>
      </c>
      <c r="B74" s="48" t="inlineStr">
        <is>
          <t>SILVER_CONSUMER</t>
        </is>
      </c>
      <c r="C74" s="48" t="inlineStr">
        <is>
          <t>2.2</t>
        </is>
      </c>
      <c r="D74" s="48" t="inlineStr">
        <is>
          <t>Nhom 2 - Logic</t>
        </is>
      </c>
      <c r="E74" s="48" t="inlineStr">
        <is>
          <t>Thống nhất MỘT pattern duy nhất xác định bản ghi active mới nhất</t>
        </is>
      </c>
      <c r="F74" s="49" t="inlineStr">
        <is>
          <t>PASS</t>
        </is>
      </c>
      <c r="G74" s="48" t="inlineStr">
        <is>
          <t>Pass</t>
        </is>
      </c>
      <c r="H74" s="50" t="inlineStr">
        <is>
          <t>file này dùng: ['MAX_BY']; toàn batch dùng: ['MAX_BY']</t>
        </is>
      </c>
      <c r="I74"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4" s="48" t="inlineStr">
        <is>
          <t>005. OCB_GOLD_TCKH_V_CREDIT_LIMIT_BAOANH.xlsx [Script: V_CREDIT_LIMIT]</t>
        </is>
      </c>
    </row>
    <row r="75">
      <c r="A75" s="48" t="inlineStr">
        <is>
          <t>TCKH.V_CREDIT_LIMIT</t>
        </is>
      </c>
      <c r="B75" s="48" t="inlineStr">
        <is>
          <t>SILVER_CONSUMER</t>
        </is>
      </c>
      <c r="C75" s="48" t="inlineStr">
        <is>
          <t>2.3</t>
        </is>
      </c>
      <c r="D75" s="48" t="inlineStr">
        <is>
          <t>Nhom 2 - Logic</t>
        </is>
      </c>
      <c r="E75" s="48" t="inlineStr">
        <is>
          <t>Điều kiện lọc trạng thái đặt SAU khi xác định bản ghi mới nhất</t>
        </is>
      </c>
      <c r="F75" s="49" t="inlineStr">
        <is>
          <t>PASS</t>
        </is>
      </c>
      <c r="G75" s="48" t="inlineStr">
        <is>
          <t>Pass</t>
        </is>
      </c>
      <c r="H75" s="50" t="inlineStr">
        <is>
          <t>không có điều kiện trạng thái nào lồng trong JOIN ON</t>
        </is>
      </c>
      <c r="I75"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5" s="48" t="inlineStr">
        <is>
          <t>005. OCB_GOLD_TCKH_V_CREDIT_LIMIT_BAOANH.xlsx [Script: V_CREDIT_LIMIT]</t>
        </is>
      </c>
    </row>
    <row r="76">
      <c r="A76" s="48" t="inlineStr">
        <is>
          <t>TCKH.V_CREDIT_LIMIT</t>
        </is>
      </c>
      <c r="B76" s="48" t="inlineStr">
        <is>
          <t>SILVER_CONSUMER</t>
        </is>
      </c>
      <c r="C76" s="48" t="inlineStr">
        <is>
          <t>2.4</t>
        </is>
      </c>
      <c r="D76" s="48" t="inlineStr">
        <is>
          <t>Nhom 2 - Logic</t>
        </is>
      </c>
      <c r="E76" s="48" t="inlineStr">
        <is>
          <t>source_event_date áp dụng đúng dạng theo loại bảng</t>
        </is>
      </c>
      <c r="F76" s="49" t="inlineStr">
        <is>
          <t>PASS</t>
        </is>
      </c>
      <c r="G76" s="48" t="inlineStr">
        <is>
          <t>Pass</t>
        </is>
      </c>
      <c r="H76" s="50" t="inlineStr">
        <is>
          <t>1 satellite đều đúng dạng điều kiện source_event_date</t>
        </is>
      </c>
      <c r="I76"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6" s="48" t="inlineStr">
        <is>
          <t>005. OCB_GOLD_TCKH_V_CREDIT_LIMIT_BAOANH.xlsx [Script: V_CREDIT_LIMIT]</t>
        </is>
      </c>
    </row>
    <row r="77">
      <c r="A77" s="48" t="inlineStr">
        <is>
          <t>TCKH.V_CREDIT_LIMIT</t>
        </is>
      </c>
      <c r="B77" s="48" t="inlineStr">
        <is>
          <t>SILVER_CONSUMER</t>
        </is>
      </c>
      <c r="C77" s="48" t="inlineStr">
        <is>
          <t>2.5</t>
        </is>
      </c>
      <c r="D77" s="48" t="inlineStr">
        <is>
          <t>Nhom 2 - Logic</t>
        </is>
      </c>
      <c r="E77" s="48" t="inlineStr">
        <is>
          <t>Không lặp lại lỗi logic cũ đã được DA Data Vault fix</t>
        </is>
      </c>
      <c r="F77" s="49" t="inlineStr">
        <is>
          <t>PASS</t>
        </is>
      </c>
      <c r="G77" s="48" t="inlineStr">
        <is>
          <t>Pass</t>
        </is>
      </c>
      <c r="H77" s="50" t="inlineStr">
        <is>
          <t>không trùng lỗi nào trong Issue log của DA Data Vault</t>
        </is>
      </c>
      <c r="I77"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7" s="48" t="inlineStr">
        <is>
          <t>005. OCB_GOLD_TCKH_V_CREDIT_LIMIT_BAOANH.xlsx [Script: V_CREDIT_LIMIT]</t>
        </is>
      </c>
    </row>
    <row r="78">
      <c r="A78" s="48" t="inlineStr">
        <is>
          <t>TCKH.V_CREDIT_LIMIT</t>
        </is>
      </c>
      <c r="B78" s="48" t="inlineStr">
        <is>
          <t>SILVER_CONSUMER</t>
        </is>
      </c>
      <c r="C78" s="48" t="inlineStr">
        <is>
          <t>2.6</t>
        </is>
      </c>
      <c r="D78" s="48" t="inlineStr">
        <is>
          <t>Nhom 2 - Logic</t>
        </is>
      </c>
      <c r="E78" s="48" t="inlineStr">
        <is>
          <t>SCD Type 2 cho bảng DIM áp dụng đúng kỹ thuật đã thống nhất</t>
        </is>
      </c>
      <c r="F78" s="48" t="inlineStr">
        <is>
          <t>N-A</t>
        </is>
      </c>
      <c r="G78" s="48" t="inlineStr">
        <is>
          <t>Pass</t>
        </is>
      </c>
      <c r="H78" s="50" t="inlineStr">
        <is>
          <t>object không phải bảng DIM nên không áp dụng SCD Type 2</t>
        </is>
      </c>
      <c r="I78"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8" s="48" t="inlineStr">
        <is>
          <t>005. OCB_GOLD_TCKH_V_CREDIT_LIMIT_BAOANH.xlsx [Script: V_CREDIT_LIMIT]</t>
        </is>
      </c>
    </row>
    <row r="79">
      <c r="A79" s="48" t="inlineStr">
        <is>
          <t>TCKH.V_CREDIT_LIMIT</t>
        </is>
      </c>
      <c r="B79" s="48" t="inlineStr">
        <is>
          <t>SILVER_CONSUMER</t>
        </is>
      </c>
      <c r="C79" s="48" t="inlineStr">
        <is>
          <t>2.7</t>
        </is>
      </c>
      <c r="D79" s="48" t="inlineStr">
        <is>
          <t>Nhom 2 - Logic</t>
        </is>
      </c>
      <c r="E79" s="48" t="inlineStr">
        <is>
          <t>CASE WHEN cover đủ nhánh như job on-prem</t>
        </is>
      </c>
      <c r="F79" s="48" t="inlineStr">
        <is>
          <t>N-A</t>
        </is>
      </c>
      <c r="G79" s="48" t="inlineStr">
        <is>
          <t>Pass</t>
        </is>
      </c>
      <c r="H79" s="50" t="inlineStr">
        <is>
          <t>script không có CASE WHEN nào</t>
        </is>
      </c>
      <c r="I79" s="50" t="inlineStr">
        <is>
          <t>Mở job on-prem tương ứng (DataStage DSX hoặc SQL cũ), đối chiếu từng nhánh WHEN và cả nhánh ELSE. CASE không có ELSE sẽ trả NULL âm thầm — xác nhận đó là ý muốn hay thiếu nhánh.</t>
        </is>
      </c>
      <c r="J79" s="48" t="inlineStr">
        <is>
          <t>005. OCB_GOLD_TCKH_V_CREDIT_LIMIT_BAOANH.xlsx [Script: V_CREDIT_LIMIT]</t>
        </is>
      </c>
    </row>
    <row r="80">
      <c r="A80" s="48" t="inlineStr">
        <is>
          <t>TCKH.V_CREDIT_LIMIT</t>
        </is>
      </c>
      <c r="B80" s="48" t="inlineStr">
        <is>
          <t>SILVER_CONSUMER</t>
        </is>
      </c>
      <c r="C80" s="48" t="inlineStr">
        <is>
          <t>2.8</t>
        </is>
      </c>
      <c r="D80" s="48" t="inlineStr">
        <is>
          <t>Nhom 2 - Logic</t>
        </is>
      </c>
      <c r="E80" s="48" t="inlineStr">
        <is>
          <t>Cột SUM/COUNT được COALESCE/NVL hợp lý</t>
        </is>
      </c>
      <c r="F80" s="49" t="inlineStr">
        <is>
          <t>PASS</t>
        </is>
      </c>
      <c r="G80" s="48" t="inlineStr">
        <is>
          <t>Pass</t>
        </is>
      </c>
      <c r="H80" s="50" t="inlineStr">
        <is>
          <t>mọi SUM/COUNT đều đã coalesce (trực tiếp hoặc ở lớp ngoài)</t>
        </is>
      </c>
      <c r="I80"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0" s="48" t="inlineStr">
        <is>
          <t>005. OCB_GOLD_TCKH_V_CREDIT_LIMIT_BAOANH.xlsx [Script: V_CREDIT_LIMIT]</t>
        </is>
      </c>
    </row>
    <row r="81">
      <c r="A81" s="48" t="inlineStr">
        <is>
          <t>TCKH.V_CREDIT_LIMIT</t>
        </is>
      </c>
      <c r="B81" s="48" t="inlineStr">
        <is>
          <t>SILVER_CONSUMER</t>
        </is>
      </c>
      <c r="C81" s="48" t="inlineStr">
        <is>
          <t>2.9</t>
        </is>
      </c>
      <c r="D81" s="48" t="inlineStr">
        <is>
          <t>Nhom 2 - Logic</t>
        </is>
      </c>
      <c r="E81" s="48" t="inlineStr">
        <is>
          <t>Subquery / custom function / điều kiện LIKE đúng ý nghĩa nghiệp vụ</t>
        </is>
      </c>
      <c r="F81" s="48" t="inlineStr">
        <is>
          <t>N-A</t>
        </is>
      </c>
      <c r="G81" s="48" t="inlineStr">
        <is>
          <t>Pass</t>
        </is>
      </c>
      <c r="H81" s="50" t="inlineStr">
        <is>
          <t>script không có điều kiện LIKE hay scalar subquery nào</t>
        </is>
      </c>
      <c r="I81" s="50" t="inlineStr">
        <is>
          <t>Đọc lại từng điều kiện LIKE và từng subquery, đối chiếu ý nghĩa nghiệp vụ với on-prem — đúng cú pháp không đủ. Chú ý pattern LIKE có ký tự % ở đầu/cuối và phân biệt chữ hoa/thường.</t>
        </is>
      </c>
      <c r="J81" s="48" t="inlineStr">
        <is>
          <t>005. OCB_GOLD_TCKH_V_CREDIT_LIMIT_BAOANH.xlsx [Script: V_CREDIT_LIMIT]</t>
        </is>
      </c>
    </row>
    <row r="82">
      <c r="A82" s="48" t="inlineStr">
        <is>
          <t>TCKH.V_CREDIT_LIMIT</t>
        </is>
      </c>
      <c r="B82" s="48" t="inlineStr">
        <is>
          <t>SILVER_CONSUMER</t>
        </is>
      </c>
      <c r="C82" s="48" t="inlineStr">
        <is>
          <t>2.10</t>
        </is>
      </c>
      <c r="D82" s="48" t="inlineStr">
        <is>
          <t>Nhom 2 - Logic</t>
        </is>
      </c>
      <c r="E82" s="48" t="inlineStr">
        <is>
          <t>Aggregation kèm filter date range chính xác</t>
        </is>
      </c>
      <c r="F82" s="49" t="inlineStr">
        <is>
          <t>PASS</t>
        </is>
      </c>
      <c r="G82" s="48" t="inlineStr">
        <is>
          <t>Pass</t>
        </is>
      </c>
      <c r="H82" s="50" t="inlineStr">
        <is>
          <t>mọi khối tổng hợp đều có điều kiện theo kỳ dữ liệu</t>
        </is>
      </c>
      <c r="I82" s="50" t="inlineStr">
        <is>
          <t>Mỗi khối SUM/COUNT/AVG phải có điều kiện lọc theo kỳ dữ liệu (CDR_DT_ID, DATA_DATE, :DATADT…). Nếu điều kiện nằm ở CTE nguồn thì ghi rõ trong comment để người review không phải truy ngược.</t>
        </is>
      </c>
      <c r="J82" s="48" t="inlineStr">
        <is>
          <t>005. OCB_GOLD_TCKH_V_CREDIT_LIMIT_BAOANH.xlsx [Script: V_CREDIT_LIMIT]</t>
        </is>
      </c>
    </row>
    <row r="83">
      <c r="A83" s="48" t="inlineStr">
        <is>
          <t>TCKH.V_CREDIT_LIMIT</t>
        </is>
      </c>
      <c r="B83" s="48" t="inlineStr">
        <is>
          <t>SILVER_CONSUMER</t>
        </is>
      </c>
      <c r="C83" s="48" t="inlineStr">
        <is>
          <t>2.11</t>
        </is>
      </c>
      <c r="D83" s="48" t="inlineStr">
        <is>
          <t>Nhom 2 - Logic</t>
        </is>
      </c>
      <c r="E83" s="48" t="inlineStr">
        <is>
          <t>Join dùng key hợp lý, không lạm dụng UNION ALL + EXISTS/NOT EXISTS</t>
        </is>
      </c>
      <c r="F83" s="51" t="inlineStr">
        <is>
          <t>WARN</t>
        </is>
      </c>
      <c r="G83" s="48" t="inlineStr">
        <is>
          <t>WARN</t>
        </is>
      </c>
      <c r="H83" s="50" t="inlineStr">
        <is>
          <t>join không có điều kiện bằng (=): ['h']</t>
        </is>
      </c>
      <c r="I83" s="50" t="inlineStr">
        <is>
          <t>Ưu tiên LEFT JOIN theo business key hoặc hashkey. Xem lại các chỗ dùng UNION ALL kết hợp EXISTS/NOT EXISTS — thường thay được bằng một LEFT JOIN. Join không có điều kiện bằng (=) dễ tạo tích Descartes.</t>
        </is>
      </c>
      <c r="J83" s="48" t="inlineStr">
        <is>
          <t>005. OCB_GOLD_TCKH_V_CREDIT_LIMIT_BAOANH.xlsx [Script: V_CREDIT_LIMIT]</t>
        </is>
      </c>
    </row>
    <row r="84">
      <c r="A84" s="48" t="inlineStr">
        <is>
          <t>TCKH.V_CREDIT_LIMIT</t>
        </is>
      </c>
      <c r="B84" s="48" t="inlineStr">
        <is>
          <t>SILVER_CONSUMER</t>
        </is>
      </c>
      <c r="C84" s="48" t="inlineStr">
        <is>
          <t>2.12</t>
        </is>
      </c>
      <c r="D84" s="48" t="inlineStr">
        <is>
          <t>Nhom 2 - Logic</t>
        </is>
      </c>
      <c r="E84" s="48" t="inlineStr">
        <is>
          <t>Build Gold từ CTE snapshot Silver, không build nhiều tầng chồng chéo</t>
        </is>
      </c>
      <c r="F84" s="49" t="inlineStr">
        <is>
          <t>PASS</t>
        </is>
      </c>
      <c r="G84" s="48" t="inlineStr">
        <is>
          <t>Pass</t>
        </is>
      </c>
      <c r="H84" s="50" t="inlineStr">
        <is>
          <t>mỗi bảng nguồn chỉ đọc trong 1 khối SELECT</t>
        </is>
      </c>
      <c r="I84"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4" s="48" t="inlineStr">
        <is>
          <t>005. OCB_GOLD_TCKH_V_CREDIT_LIMIT_BAOANH.xlsx [Script: V_CREDIT_LIMIT]</t>
        </is>
      </c>
    </row>
    <row r="85">
      <c r="A85" s="48" t="inlineStr">
        <is>
          <t>TCKH.V_CREDIT_LIMIT</t>
        </is>
      </c>
      <c r="B85" s="48" t="inlineStr">
        <is>
          <t>SILVER_CONSUMER</t>
        </is>
      </c>
      <c r="C85" s="48" t="inlineStr">
        <is>
          <t>3.1</t>
        </is>
      </c>
      <c r="D85" s="48" t="inlineStr">
        <is>
          <t>Nhom 3 - Optimization</t>
        </is>
      </c>
      <c r="E85" s="48" t="inlineStr">
        <is>
          <t>Không SELECT *</t>
        </is>
      </c>
      <c r="F85" s="49" t="inlineStr">
        <is>
          <t>PASS</t>
        </is>
      </c>
      <c r="G85" s="48" t="inlineStr">
        <is>
          <t>Pass</t>
        </is>
      </c>
      <c r="H85" s="50" t="inlineStr">
        <is>
          <t>không dùng SELECT * ở đâu</t>
        </is>
      </c>
      <c r="I85" s="50" t="inlineStr">
        <is>
          <t>Liệt kê tường minh các cột cần dùng, kể cả trong CTE trung gian. SELECT * làm tăng IO/memory và vỡ script khi bảng nguồn thêm cột.</t>
        </is>
      </c>
      <c r="J85" s="48" t="inlineStr">
        <is>
          <t>005. OCB_GOLD_TCKH_V_CREDIT_LIMIT_BAOANH.xlsx [Script: V_CREDIT_LIMIT]</t>
        </is>
      </c>
    </row>
    <row r="86">
      <c r="A86" s="48" t="inlineStr">
        <is>
          <t>TCKH.V_CREDIT_LIMIT</t>
        </is>
      </c>
      <c r="B86" s="48" t="inlineStr">
        <is>
          <t>SILVER_CONSUMER</t>
        </is>
      </c>
      <c r="C86" s="48" t="inlineStr">
        <is>
          <t>3.2</t>
        </is>
      </c>
      <c r="D86" s="48" t="inlineStr">
        <is>
          <t>Nhom 3 - Optimization</t>
        </is>
      </c>
      <c r="E86" s="48" t="inlineStr">
        <is>
          <t>CTE không bị scan lại nhiều lần</t>
        </is>
      </c>
      <c r="F86" s="51" t="inlineStr">
        <is>
          <t>WARN</t>
        </is>
      </c>
      <c r="G86" s="48" t="inlineStr">
        <is>
          <t>WARN</t>
        </is>
      </c>
      <c r="H86" s="50" t="inlineStr">
        <is>
          <t>CTE bị tham chiếu lại nhiều lần: hub_by_date x2</t>
        </is>
      </c>
      <c r="I86" s="50" t="inlineStr">
        <is>
          <t>Với CTE nặng (đọc nhiều bảng Silver) bị tham chiếu từ 2 chỗ trở lên: gom lại còn một lần dùng, hoặc vật chất hóa (CACHE / bảng tạm). CTE nhẹ chỉ chứa tham số thì bỏ qua được — tự tick Pass.</t>
        </is>
      </c>
      <c r="J86" s="48" t="inlineStr">
        <is>
          <t>005. OCB_GOLD_TCKH_V_CREDIT_LIMIT_BAOANH.xlsx [Script: V_CREDIT_LIMIT]</t>
        </is>
      </c>
    </row>
    <row r="87">
      <c r="A87" s="48" t="inlineStr">
        <is>
          <t>TCKH.V_CREDIT_LIMIT</t>
        </is>
      </c>
      <c r="B87" s="48" t="inlineStr">
        <is>
          <t>SILVER_CONSUMER</t>
        </is>
      </c>
      <c r="C87" s="48" t="inlineStr">
        <is>
          <t>3.3</t>
        </is>
      </c>
      <c r="D87" s="48" t="inlineStr">
        <is>
          <t>Nhom 3 - Optimization</t>
        </is>
      </c>
      <c r="E87" s="48" t="inlineStr">
        <is>
          <t>Filter trước khi join, tận dụng partition pruning</t>
        </is>
      </c>
      <c r="F87" s="51" t="inlineStr">
        <is>
          <t>WARN</t>
        </is>
      </c>
      <c r="G87" s="48" t="inlineStr">
        <is>
          <t>WARN</t>
        </is>
      </c>
      <c r="H87" s="50" t="inlineStr">
        <is>
          <t>3 bảng join trực tiếp mà không có filter riêng: hub_limit (h), sat_limit_information (s), sts_hub_limit (sts)</t>
        </is>
      </c>
      <c r="I87" s="50" t="inlineStr">
        <is>
          <t>Đưa điều kiện lọc (ngày dữ liệu, trạng thái) vào subquery của từng bảng TRƯỚC khi join, để tận dụng partition pruning. Bảng dim nhỏ không partition thì không cần — tự tick Pass.</t>
        </is>
      </c>
      <c r="J87" s="48" t="inlineStr">
        <is>
          <t>005. OCB_GOLD_TCKH_V_CREDIT_LIMIT_BAOANH.xlsx [Script: V_CREDIT_LIMIT]</t>
        </is>
      </c>
    </row>
    <row r="88">
      <c r="A88" s="48" t="inlineStr">
        <is>
          <t>TCKH.V_CREDIT_LIMIT</t>
        </is>
      </c>
      <c r="B88" s="48" t="inlineStr">
        <is>
          <t>SILVER_CONSUMER</t>
        </is>
      </c>
      <c r="C88" s="48" t="inlineStr">
        <is>
          <t>3.4</t>
        </is>
      </c>
      <c r="D88" s="48" t="inlineStr">
        <is>
          <t>Nhom 3 - Optimization</t>
        </is>
      </c>
      <c r="E88" s="48" t="inlineStr">
        <is>
          <t>Sử dụng CACHE cho query lặp lại trong cùng luồng</t>
        </is>
      </c>
      <c r="F88" s="51" t="inlineStr">
        <is>
          <t>WARN</t>
        </is>
      </c>
      <c r="G88" s="48" t="inlineStr">
        <is>
          <t>WARN</t>
        </is>
      </c>
      <c r="H88" s="50" t="inlineStr">
        <is>
          <t>1 CTE nặng dùng lại &gt;= 2 lần mà không có CACHE: hub_by_date</t>
        </is>
      </c>
      <c r="I88" s="50" t="inlineStr">
        <is>
          <t>Nếu một kết quả nặng được dùng lại nhiều bước trong cùng luồng, thêm CACHE TABLE / CACHE SELECT. Kết quả nhỏ thì cache còn chậm hơn — tự tick Pass.</t>
        </is>
      </c>
      <c r="J88" s="48" t="inlineStr">
        <is>
          <t>005. OCB_GOLD_TCKH_V_CREDIT_LIMIT_BAOANH.xlsx [Script: V_CREDIT_LIMIT]</t>
        </is>
      </c>
    </row>
    <row r="89">
      <c r="A89" s="48" t="inlineStr">
        <is>
          <t>TCKH.V_CREDIT_LIMIT</t>
        </is>
      </c>
      <c r="B89" s="48" t="inlineStr">
        <is>
          <t>SILVER_CONSUMER</t>
        </is>
      </c>
      <c r="C89" s="48" t="inlineStr">
        <is>
          <t>3.5</t>
        </is>
      </c>
      <c r="D89" s="48" t="inlineStr">
        <is>
          <t>Nhom 3 - Optimization</t>
        </is>
      </c>
      <c r="E89" s="48" t="inlineStr">
        <is>
          <t>Ưu tiên MAX_BY + QUALIFY thay ROW_NUMBER() + WHERE rn = 1</t>
        </is>
      </c>
      <c r="F89" s="48" t="inlineStr">
        <is>
          <t>N-A</t>
        </is>
      </c>
      <c r="G89" s="48" t="inlineStr">
        <is>
          <t>Pass</t>
        </is>
      </c>
      <c r="H89" s="50" t="inlineStr">
        <is>
          <t>script không dùng ROW_NUMBER</t>
        </is>
      </c>
      <c r="I89"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9" s="48" t="inlineStr">
        <is>
          <t>005. OCB_GOLD_TCKH_V_CREDIT_LIMIT_BAOANH.xlsx [Script: V_CREDIT_LIMIT]</t>
        </is>
      </c>
    </row>
    <row r="90">
      <c r="A90" s="48" t="inlineStr">
        <is>
          <t>TCKH.V_CREDIT_LIMIT</t>
        </is>
      </c>
      <c r="B90" s="48" t="inlineStr">
        <is>
          <t>SILVER_CONSUMER</t>
        </is>
      </c>
      <c r="C90" s="48" t="inlineStr">
        <is>
          <t>3.6</t>
        </is>
      </c>
      <c r="D90" s="48" t="inlineStr">
        <is>
          <t>Nhom 3 - Optimization</t>
        </is>
      </c>
      <c r="E90" s="48" t="inlineStr">
        <is>
          <t>Không lạm dụng window function; có comment khi dùng</t>
        </is>
      </c>
      <c r="F90" s="48" t="inlineStr">
        <is>
          <t>N-A</t>
        </is>
      </c>
      <c r="G90" s="48" t="inlineStr">
        <is>
          <t>Pass</t>
        </is>
      </c>
      <c r="H90" s="50" t="inlineStr">
        <is>
          <t>script không dùng window function</t>
        </is>
      </c>
      <c r="I90" s="50" t="inlineStr">
        <is>
          <t>Mỗi window function cần một comment ngay trên khối CTE chứa nó, nói rõ vì sao không dùng được max_by/QUALIFY đơn giản hơn.</t>
        </is>
      </c>
      <c r="J90" s="48" t="inlineStr">
        <is>
          <t>005. OCB_GOLD_TCKH_V_CREDIT_LIMIT_BAOANH.xlsx [Script: V_CREDIT_LIMIT]</t>
        </is>
      </c>
    </row>
    <row r="91">
      <c r="A91" s="48" t="inlineStr">
        <is>
          <t>TCKH.V_CREDIT_LIMIT</t>
        </is>
      </c>
      <c r="B91" s="48" t="inlineStr">
        <is>
          <t>SILVER_CONSUMER</t>
        </is>
      </c>
      <c r="C91" s="48" t="inlineStr">
        <is>
          <t>X.1</t>
        </is>
      </c>
      <c r="D91" s="48" t="inlineStr">
        <is>
          <t>Nhom X - Bo sung Raffles</t>
        </is>
      </c>
      <c r="E91" s="48" t="inlineStr">
        <is>
          <t>[Bổ sung] Link phải rút về current trước khi join (chống fan-out)</t>
        </is>
      </c>
      <c r="F91" s="49" t="inlineStr">
        <is>
          <t>PASS</t>
        </is>
      </c>
      <c r="G91" s="48" t="inlineStr">
        <is>
          <t>Pass</t>
        </is>
      </c>
      <c r="H91" s="50" t="inlineStr">
        <is>
          <t>các bảng link_* đều được rút về current trước khi join</t>
        </is>
      </c>
      <c r="I91"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1" s="48" t="inlineStr">
        <is>
          <t>005. OCB_GOLD_TCKH_V_CREDIT_LIMIT_BAOANH.xlsx [Script: V_CREDIT_LIMIT]</t>
        </is>
      </c>
    </row>
    <row r="92">
      <c r="A92" s="48" t="inlineStr">
        <is>
          <t>TCKH.V_CREDIT_LIMIT</t>
        </is>
      </c>
      <c r="B92" s="48" t="inlineStr">
        <is>
          <t>SILVER_CONSUMER</t>
        </is>
      </c>
      <c r="C92" s="48" t="inlineStr">
        <is>
          <t>X.6</t>
        </is>
      </c>
      <c r="D92" s="48" t="inlineStr">
        <is>
          <t>Nhom X - Bo sung Raffles</t>
        </is>
      </c>
      <c r="E92" s="48" t="inlineStr">
        <is>
          <t>[Bổ sung] Satellite phải LEFT JOIN, không INNER JOIN</t>
        </is>
      </c>
      <c r="F92" s="49" t="inlineStr">
        <is>
          <t>PASS</t>
        </is>
      </c>
      <c r="G92" s="48" t="inlineStr">
        <is>
          <t>Pass</t>
        </is>
      </c>
      <c r="H92" s="50" t="inlineStr">
        <is>
          <t>các satellite đều LEFT JOIN</t>
        </is>
      </c>
      <c r="I92" s="50" t="inlineStr">
        <is>
          <t>Technical Document III.4.2.2 nguyên tắc 1: làm giàu thuộc tính luôn dùng LEFT JOIN. INNER JOIN satellite sẽ loại mất bản ghi Hub đang còn hiệu lực nhưng chưa có dòng satellite.</t>
        </is>
      </c>
      <c r="J92" s="48" t="inlineStr">
        <is>
          <t>005. OCB_GOLD_TCKH_V_CREDIT_LIMIT_BAOANH.xlsx [Script: V_CREDIT_LIMIT]</t>
        </is>
      </c>
    </row>
    <row r="93">
      <c r="A93" s="48" t="inlineStr">
        <is>
          <t>TCKH.V_CREDIT_LIMIT</t>
        </is>
      </c>
      <c r="B93" s="48" t="inlineStr">
        <is>
          <t>SILVER_CONSUMER</t>
        </is>
      </c>
      <c r="C93" s="48" t="inlineStr">
        <is>
          <t>X.7</t>
        </is>
      </c>
      <c r="D93" s="48" t="inlineStr">
        <is>
          <t>Nhom X - Bo sung Raffles</t>
        </is>
      </c>
      <c r="E93" s="48" t="inlineStr">
        <is>
          <t>[Bổ sung] Không hard-code catalog, dùng biến môi trường</t>
        </is>
      </c>
      <c r="F93" s="49" t="inlineStr">
        <is>
          <t>PASS</t>
        </is>
      </c>
      <c r="G93" s="48" t="inlineStr">
        <is>
          <t>Pass</t>
        </is>
      </c>
      <c r="H93" s="50" t="inlineStr">
        <is>
          <t>dùng biến môi trường cho catalog</t>
        </is>
      </c>
      <c r="I93"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3" s="48" t="inlineStr">
        <is>
          <t>005. OCB_GOLD_TCKH_V_CREDIT_LIMIT_BAOANH.xlsx [Script: V_CREDIT_LIMIT]</t>
        </is>
      </c>
    </row>
    <row r="94">
      <c r="A94" s="48" t="inlineStr">
        <is>
          <t>TCKH.V_CUSTOMER_SEGMENT_CMB</t>
        </is>
      </c>
      <c r="B94" s="48" t="inlineStr">
        <is>
          <t>GOLD_DERIVED</t>
        </is>
      </c>
      <c r="C94" s="48" t="inlineStr">
        <is>
          <t>1.1</t>
        </is>
      </c>
      <c r="D94" s="48" t="inlineStr">
        <is>
          <t>Nhom 1 - Mapping</t>
        </is>
      </c>
      <c r="E94" s="48" t="inlineStr">
        <is>
          <t>Đầy đủ mapping từ Silver/manual sang Gold</t>
        </is>
      </c>
      <c r="F94" s="49" t="inlineStr">
        <is>
          <t>PASS</t>
        </is>
      </c>
      <c r="G94" s="48" t="inlineStr">
        <is>
          <t>Pass</t>
        </is>
      </c>
      <c r="H94" s="50" t="inlineStr">
        <is>
          <t>workbook 006. OCB_GOLD_TCKH_V_CUSTOMER_SEGMENT_CMB_PHAT.xlsx: thiết kế 3 field, SQL có 3 cột</t>
        </is>
      </c>
      <c r="I94"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4" s="48" t="inlineStr">
        <is>
          <t>006. OCB_GOLD_TCKH_V_CUSTOMER_SEGMENT_CMB_PHAT.xlsx [Script: V_CUSTOMER_SEGMENT_CMB]</t>
        </is>
      </c>
    </row>
    <row r="95">
      <c r="A95" s="48" t="inlineStr">
        <is>
          <t>TCKH.V_CUSTOMER_SEGMENT_CMB</t>
        </is>
      </c>
      <c r="B95" s="48" t="inlineStr">
        <is>
          <t>GOLD_DERIVED</t>
        </is>
      </c>
      <c r="C95" s="48" t="inlineStr">
        <is>
          <t>1.2</t>
        </is>
      </c>
      <c r="D95" s="48" t="inlineStr">
        <is>
          <t>Nhom 1 - Mapping</t>
        </is>
      </c>
      <c r="E95" s="48" t="inlineStr">
        <is>
          <t>Danh sách bảng/view Gold khớp tài liệu thiết kế đã duyệt</t>
        </is>
      </c>
      <c r="F95" s="49" t="inlineStr">
        <is>
          <t>PASS</t>
        </is>
      </c>
      <c r="G95" s="48" t="inlineStr">
        <is>
          <t>Pass</t>
        </is>
      </c>
      <c r="H95" s="50" t="inlineStr">
        <is>
          <t>V_CUSTOMER_SEGMENT_CMB có workbook thiết kế: 006. OCB_GOLD_TCKH_V_CUSTOMER_SEGMENT_CMB_PHAT.xlsx</t>
        </is>
      </c>
      <c r="I95" s="50" t="inlineStr">
        <is>
          <t>Đảm bảo object có workbook thiết kế tương ứng trong thư mục --mapping-dir. Muốn đối chiếu với danh sách đã duyệt thì chạy thêm tham số --gold-list "&lt;file danh sách Gold&gt;.xlsx".</t>
        </is>
      </c>
      <c r="J95" s="48" t="inlineStr">
        <is>
          <t>006. OCB_GOLD_TCKH_V_CUSTOMER_SEGMENT_CMB_PHAT.xlsx [Script: V_CUSTOMER_SEGMENT_CMB]</t>
        </is>
      </c>
    </row>
    <row r="96">
      <c r="A96" s="48" t="inlineStr">
        <is>
          <t>TCKH.V_CUSTOMER_SEGMENT_CMB</t>
        </is>
      </c>
      <c r="B96" s="48" t="inlineStr">
        <is>
          <t>GOLD_DERIVED</t>
        </is>
      </c>
      <c r="C96" s="48" t="inlineStr">
        <is>
          <t>2.1</t>
        </is>
      </c>
      <c r="D96" s="48" t="inlineStr">
        <is>
          <t>Nhom 2 - Logic</t>
        </is>
      </c>
      <c r="E96" s="48" t="inlineStr">
        <is>
          <t>Chỉ lấy bản ghi active, loại bản ghi đã xóa (qua sts_hub)</t>
        </is>
      </c>
      <c r="F96" s="48" t="inlineStr">
        <is>
          <t>N-A</t>
        </is>
      </c>
      <c r="G96" s="48" t="inlineStr">
        <is>
          <t>Pass</t>
        </is>
      </c>
      <c r="H96" s="50" t="inlineStr">
        <is>
          <t>khong ap dung cho profile GOLD_DERIVED</t>
        </is>
      </c>
      <c r="I96"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6" s="48" t="inlineStr">
        <is>
          <t>006. OCB_GOLD_TCKH_V_CUSTOMER_SEGMENT_CMB_PHAT.xlsx [Script: V_CUSTOMER_SEGMENT_CMB]</t>
        </is>
      </c>
    </row>
    <row r="97">
      <c r="A97" s="48" t="inlineStr">
        <is>
          <t>TCKH.V_CUSTOMER_SEGMENT_CMB</t>
        </is>
      </c>
      <c r="B97" s="48" t="inlineStr">
        <is>
          <t>GOLD_DERIVED</t>
        </is>
      </c>
      <c r="C97" s="48" t="inlineStr">
        <is>
          <t>2.2</t>
        </is>
      </c>
      <c r="D97" s="48" t="inlineStr">
        <is>
          <t>Nhom 2 - Logic</t>
        </is>
      </c>
      <c r="E97" s="48" t="inlineStr">
        <is>
          <t>Thống nhất MỘT pattern duy nhất xác định bản ghi active mới nhất</t>
        </is>
      </c>
      <c r="F97" s="48" t="inlineStr">
        <is>
          <t>N-A</t>
        </is>
      </c>
      <c r="G97" s="48" t="inlineStr">
        <is>
          <t>Pass</t>
        </is>
      </c>
      <c r="H97" s="50" t="inlineStr">
        <is>
          <t>khong ap dung cho profile GOLD_DERIVED</t>
        </is>
      </c>
      <c r="I97"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7" s="48" t="inlineStr">
        <is>
          <t>006. OCB_GOLD_TCKH_V_CUSTOMER_SEGMENT_CMB_PHAT.xlsx [Script: V_CUSTOMER_SEGMENT_CMB]</t>
        </is>
      </c>
    </row>
    <row r="98">
      <c r="A98" s="48" t="inlineStr">
        <is>
          <t>TCKH.V_CUSTOMER_SEGMENT_CMB</t>
        </is>
      </c>
      <c r="B98" s="48" t="inlineStr">
        <is>
          <t>GOLD_DERIVED</t>
        </is>
      </c>
      <c r="C98" s="48" t="inlineStr">
        <is>
          <t>2.3</t>
        </is>
      </c>
      <c r="D98" s="48" t="inlineStr">
        <is>
          <t>Nhom 2 - Logic</t>
        </is>
      </c>
      <c r="E98" s="48" t="inlineStr">
        <is>
          <t>Điều kiện lọc trạng thái đặt SAU khi xác định bản ghi mới nhất</t>
        </is>
      </c>
      <c r="F98" s="49" t="inlineStr">
        <is>
          <t>PASS</t>
        </is>
      </c>
      <c r="G98" s="48" t="inlineStr">
        <is>
          <t>Pass</t>
        </is>
      </c>
      <c r="H98" s="50" t="inlineStr">
        <is>
          <t>không có điều kiện trạng thái nào lồng trong JOIN ON</t>
        </is>
      </c>
      <c r="I98"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8" s="48" t="inlineStr">
        <is>
          <t>006. OCB_GOLD_TCKH_V_CUSTOMER_SEGMENT_CMB_PHAT.xlsx [Script: V_CUSTOMER_SEGMENT_CMB]</t>
        </is>
      </c>
    </row>
    <row r="99">
      <c r="A99" s="48" t="inlineStr">
        <is>
          <t>TCKH.V_CUSTOMER_SEGMENT_CMB</t>
        </is>
      </c>
      <c r="B99" s="48" t="inlineStr">
        <is>
          <t>GOLD_DERIVED</t>
        </is>
      </c>
      <c r="C99" s="48" t="inlineStr">
        <is>
          <t>2.4</t>
        </is>
      </c>
      <c r="D99" s="48" t="inlineStr">
        <is>
          <t>Nhom 2 - Logic</t>
        </is>
      </c>
      <c r="E99" s="48" t="inlineStr">
        <is>
          <t>source_event_date áp dụng đúng dạng theo loại bảng</t>
        </is>
      </c>
      <c r="F99" s="48" t="inlineStr">
        <is>
          <t>N-A</t>
        </is>
      </c>
      <c r="G99" s="48" t="inlineStr">
        <is>
          <t>Pass</t>
        </is>
      </c>
      <c r="H99" s="50" t="inlineStr">
        <is>
          <t>khong ap dung cho profile GOLD_DERIVED</t>
        </is>
      </c>
      <c r="I99"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9" s="48" t="inlineStr">
        <is>
          <t>006. OCB_GOLD_TCKH_V_CUSTOMER_SEGMENT_CMB_PHAT.xlsx [Script: V_CUSTOMER_SEGMENT_CMB]</t>
        </is>
      </c>
    </row>
    <row r="100">
      <c r="A100" s="48" t="inlineStr">
        <is>
          <t>TCKH.V_CUSTOMER_SEGMENT_CMB</t>
        </is>
      </c>
      <c r="B100" s="48" t="inlineStr">
        <is>
          <t>GOLD_DERIVED</t>
        </is>
      </c>
      <c r="C100" s="48" t="inlineStr">
        <is>
          <t>2.5</t>
        </is>
      </c>
      <c r="D100" s="48" t="inlineStr">
        <is>
          <t>Nhom 2 - Logic</t>
        </is>
      </c>
      <c r="E100" s="48" t="inlineStr">
        <is>
          <t>Không lặp lại lỗi logic cũ đã được DA Data Vault fix</t>
        </is>
      </c>
      <c r="F100" s="49" t="inlineStr">
        <is>
          <t>PASS</t>
        </is>
      </c>
      <c r="G100" s="48" t="inlineStr">
        <is>
          <t>Pass</t>
        </is>
      </c>
      <c r="H100" s="50" t="inlineStr">
        <is>
          <t>không trùng lỗi nào trong Issue log của DA Data Vault</t>
        </is>
      </c>
      <c r="I100"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0" s="48" t="inlineStr">
        <is>
          <t>006. OCB_GOLD_TCKH_V_CUSTOMER_SEGMENT_CMB_PHAT.xlsx [Script: V_CUSTOMER_SEGMENT_CMB]</t>
        </is>
      </c>
    </row>
    <row r="101">
      <c r="A101" s="48" t="inlineStr">
        <is>
          <t>TCKH.V_CUSTOMER_SEGMENT_CMB</t>
        </is>
      </c>
      <c r="B101" s="48" t="inlineStr">
        <is>
          <t>GOLD_DERIVED</t>
        </is>
      </c>
      <c r="C101" s="48" t="inlineStr">
        <is>
          <t>2.6</t>
        </is>
      </c>
      <c r="D101" s="48" t="inlineStr">
        <is>
          <t>Nhom 2 - Logic</t>
        </is>
      </c>
      <c r="E101" s="48" t="inlineStr">
        <is>
          <t>SCD Type 2 cho bảng DIM áp dụng đúng kỹ thuật đã thống nhất</t>
        </is>
      </c>
      <c r="F101" s="48" t="inlineStr">
        <is>
          <t>N-A</t>
        </is>
      </c>
      <c r="G101" s="48" t="inlineStr">
        <is>
          <t>Pass</t>
        </is>
      </c>
      <c r="H101" s="50" t="inlineStr">
        <is>
          <t>object không phải bảng DIM nên không áp dụng SCD Type 2</t>
        </is>
      </c>
      <c r="I101"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1" s="48" t="inlineStr">
        <is>
          <t>006. OCB_GOLD_TCKH_V_CUSTOMER_SEGMENT_CMB_PHAT.xlsx [Script: V_CUSTOMER_SEGMENT_CMB]</t>
        </is>
      </c>
    </row>
    <row r="102">
      <c r="A102" s="48" t="inlineStr">
        <is>
          <t>TCKH.V_CUSTOMER_SEGMENT_CMB</t>
        </is>
      </c>
      <c r="B102" s="48" t="inlineStr">
        <is>
          <t>GOLD_DERIVED</t>
        </is>
      </c>
      <c r="C102" s="48" t="inlineStr">
        <is>
          <t>2.7</t>
        </is>
      </c>
      <c r="D102" s="48" t="inlineStr">
        <is>
          <t>Nhom 2 - Logic</t>
        </is>
      </c>
      <c r="E102" s="48" t="inlineStr">
        <is>
          <t>CASE WHEN cover đủ nhánh như job on-prem</t>
        </is>
      </c>
      <c r="F102" s="49" t="inlineStr">
        <is>
          <t>PASS</t>
        </is>
      </c>
      <c r="G102" s="48" t="inlineStr">
        <is>
          <t>Pass</t>
        </is>
      </c>
      <c r="H102" s="50" t="inlineStr">
        <is>
          <t>cả 1 CASE đều có nhánh ELSE</t>
        </is>
      </c>
      <c r="I102" s="50" t="inlineStr">
        <is>
          <t>Mở job on-prem tương ứng (DataStage DSX hoặc SQL cũ), đối chiếu từng nhánh WHEN và cả nhánh ELSE. CASE không có ELSE sẽ trả NULL âm thầm — xác nhận đó là ý muốn hay thiếu nhánh.</t>
        </is>
      </c>
      <c r="J102" s="48" t="inlineStr">
        <is>
          <t>006. OCB_GOLD_TCKH_V_CUSTOMER_SEGMENT_CMB_PHAT.xlsx [Script: V_CUSTOMER_SEGMENT_CMB]</t>
        </is>
      </c>
    </row>
    <row r="103">
      <c r="A103" s="48" t="inlineStr">
        <is>
          <t>TCKH.V_CUSTOMER_SEGMENT_CMB</t>
        </is>
      </c>
      <c r="B103" s="48" t="inlineStr">
        <is>
          <t>GOLD_DERIVED</t>
        </is>
      </c>
      <c r="C103" s="48" t="inlineStr">
        <is>
          <t>2.8</t>
        </is>
      </c>
      <c r="D103" s="48" t="inlineStr">
        <is>
          <t>Nhom 2 - Logic</t>
        </is>
      </c>
      <c r="E103" s="48" t="inlineStr">
        <is>
          <t>Cột SUM/COUNT được COALESCE/NVL hợp lý</t>
        </is>
      </c>
      <c r="F103" s="49" t="inlineStr">
        <is>
          <t>PASS</t>
        </is>
      </c>
      <c r="G103" s="48" t="inlineStr">
        <is>
          <t>Pass</t>
        </is>
      </c>
      <c r="H103" s="50" t="inlineStr">
        <is>
          <t>mọi SUM/COUNT đều đã coalesce (trực tiếp hoặc ở lớp ngoài)</t>
        </is>
      </c>
      <c r="I103"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3" s="48" t="inlineStr">
        <is>
          <t>006. OCB_GOLD_TCKH_V_CUSTOMER_SEGMENT_CMB_PHAT.xlsx [Script: V_CUSTOMER_SEGMENT_CMB]</t>
        </is>
      </c>
    </row>
    <row r="104">
      <c r="A104" s="48" t="inlineStr">
        <is>
          <t>TCKH.V_CUSTOMER_SEGMENT_CMB</t>
        </is>
      </c>
      <c r="B104" s="48" t="inlineStr">
        <is>
          <t>GOLD_DERIVED</t>
        </is>
      </c>
      <c r="C104" s="48" t="inlineStr">
        <is>
          <t>2.9</t>
        </is>
      </c>
      <c r="D104" s="48" t="inlineStr">
        <is>
          <t>Nhom 2 - Logic</t>
        </is>
      </c>
      <c r="E104" s="48" t="inlineStr">
        <is>
          <t>Subquery / custom function / điều kiện LIKE đúng ý nghĩa nghiệp vụ</t>
        </is>
      </c>
      <c r="F104" s="48" t="inlineStr">
        <is>
          <t>N-A</t>
        </is>
      </c>
      <c r="G104" s="48" t="inlineStr">
        <is>
          <t>Pass</t>
        </is>
      </c>
      <c r="H104" s="50" t="inlineStr">
        <is>
          <t>script không có điều kiện LIKE hay scalar subquery nào</t>
        </is>
      </c>
      <c r="I104" s="50" t="inlineStr">
        <is>
          <t>Đọc lại từng điều kiện LIKE và từng subquery, đối chiếu ý nghĩa nghiệp vụ với on-prem — đúng cú pháp không đủ. Chú ý pattern LIKE có ký tự % ở đầu/cuối và phân biệt chữ hoa/thường.</t>
        </is>
      </c>
      <c r="J104" s="48" t="inlineStr">
        <is>
          <t>006. OCB_GOLD_TCKH_V_CUSTOMER_SEGMENT_CMB_PHAT.xlsx [Script: V_CUSTOMER_SEGMENT_CMB]</t>
        </is>
      </c>
    </row>
    <row r="105">
      <c r="A105" s="48" t="inlineStr">
        <is>
          <t>TCKH.V_CUSTOMER_SEGMENT_CMB</t>
        </is>
      </c>
      <c r="B105" s="48" t="inlineStr">
        <is>
          <t>GOLD_DERIVED</t>
        </is>
      </c>
      <c r="C105" s="48" t="inlineStr">
        <is>
          <t>2.10</t>
        </is>
      </c>
      <c r="D105" s="48" t="inlineStr">
        <is>
          <t>Nhom 2 - Logic</t>
        </is>
      </c>
      <c r="E105" s="48" t="inlineStr">
        <is>
          <t>Aggregation kèm filter date range chính xác</t>
        </is>
      </c>
      <c r="F105" s="49" t="inlineStr">
        <is>
          <t>PASS</t>
        </is>
      </c>
      <c r="G105" s="48" t="inlineStr">
        <is>
          <t>Pass</t>
        </is>
      </c>
      <c r="H105" s="50" t="inlineStr">
        <is>
          <t>mọi khối tổng hợp đều có điều kiện theo kỳ dữ liệu</t>
        </is>
      </c>
      <c r="I105" s="50" t="inlineStr">
        <is>
          <t>Mỗi khối SUM/COUNT/AVG phải có điều kiện lọc theo kỳ dữ liệu (CDR_DT_ID, DATA_DATE, :DATADT…). Nếu điều kiện nằm ở CTE nguồn thì ghi rõ trong comment để người review không phải truy ngược.</t>
        </is>
      </c>
      <c r="J105" s="48" t="inlineStr">
        <is>
          <t>006. OCB_GOLD_TCKH_V_CUSTOMER_SEGMENT_CMB_PHAT.xlsx [Script: V_CUSTOMER_SEGMENT_CMB]</t>
        </is>
      </c>
    </row>
    <row r="106">
      <c r="A106" s="48" t="inlineStr">
        <is>
          <t>TCKH.V_CUSTOMER_SEGMENT_CMB</t>
        </is>
      </c>
      <c r="B106" s="48" t="inlineStr">
        <is>
          <t>GOLD_DERIVED</t>
        </is>
      </c>
      <c r="C106" s="48" t="inlineStr">
        <is>
          <t>2.11</t>
        </is>
      </c>
      <c r="D106" s="48" t="inlineStr">
        <is>
          <t>Nhom 2 - Logic</t>
        </is>
      </c>
      <c r="E106" s="48" t="inlineStr">
        <is>
          <t>Join dùng key hợp lý, không lạm dụng UNION ALL + EXISTS/NOT EXISTS</t>
        </is>
      </c>
      <c r="F106" s="49" t="inlineStr">
        <is>
          <t>PASS</t>
        </is>
      </c>
      <c r="G106" s="48" t="inlineStr">
        <is>
          <t>Pass</t>
        </is>
      </c>
      <c r="H106" s="50" t="inlineStr">
        <is>
          <t>join đều theo điều kiện bằng, không lạm dụng UNION ALL + EXISTS</t>
        </is>
      </c>
      <c r="I106" s="50" t="inlineStr">
        <is>
          <t>Ưu tiên LEFT JOIN theo business key hoặc hashkey. Xem lại các chỗ dùng UNION ALL kết hợp EXISTS/NOT EXISTS — thường thay được bằng một LEFT JOIN. Join không có điều kiện bằng (=) dễ tạo tích Descartes.</t>
        </is>
      </c>
      <c r="J106" s="48" t="inlineStr">
        <is>
          <t>006. OCB_GOLD_TCKH_V_CUSTOMER_SEGMENT_CMB_PHAT.xlsx [Script: V_CUSTOMER_SEGMENT_CMB]</t>
        </is>
      </c>
    </row>
    <row r="107">
      <c r="A107" s="48" t="inlineStr">
        <is>
          <t>TCKH.V_CUSTOMER_SEGMENT_CMB</t>
        </is>
      </c>
      <c r="B107" s="48" t="inlineStr">
        <is>
          <t>GOLD_DERIVED</t>
        </is>
      </c>
      <c r="C107" s="48" t="inlineStr">
        <is>
          <t>2.12</t>
        </is>
      </c>
      <c r="D107" s="48" t="inlineStr">
        <is>
          <t>Nhom 2 - Logic</t>
        </is>
      </c>
      <c r="E107" s="48" t="inlineStr">
        <is>
          <t>Build Gold từ CTE snapshot Silver, không build nhiều tầng chồng chéo</t>
        </is>
      </c>
      <c r="F107" s="51" t="inlineStr">
        <is>
          <t>WARN</t>
        </is>
      </c>
      <c r="G107" s="48" t="inlineStr">
        <is>
          <t>WARN</t>
        </is>
      </c>
      <c r="H107" s="50" t="inlineStr">
        <is>
          <t>bảng bị đọc lại ở nhiều khối SELECT, xét gom thành 1 CTE: CUSTOMER_SEGMENT_CMB ở 2 khối</t>
        </is>
      </c>
      <c r="I107"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7" s="48" t="inlineStr">
        <is>
          <t>006. OCB_GOLD_TCKH_V_CUSTOMER_SEGMENT_CMB_PHAT.xlsx [Script: V_CUSTOMER_SEGMENT_CMB]</t>
        </is>
      </c>
    </row>
    <row r="108">
      <c r="A108" s="48" t="inlineStr">
        <is>
          <t>TCKH.V_CUSTOMER_SEGMENT_CMB</t>
        </is>
      </c>
      <c r="B108" s="48" t="inlineStr">
        <is>
          <t>GOLD_DERIVED</t>
        </is>
      </c>
      <c r="C108" s="48" t="inlineStr">
        <is>
          <t>3.1</t>
        </is>
      </c>
      <c r="D108" s="48" t="inlineStr">
        <is>
          <t>Nhom 3 - Optimization</t>
        </is>
      </c>
      <c r="E108" s="48" t="inlineStr">
        <is>
          <t>Không SELECT *</t>
        </is>
      </c>
      <c r="F108" s="49" t="inlineStr">
        <is>
          <t>PASS</t>
        </is>
      </c>
      <c r="G108" s="48" t="inlineStr">
        <is>
          <t>Pass</t>
        </is>
      </c>
      <c r="H108" s="50" t="inlineStr">
        <is>
          <t>không dùng SELECT * ở đâu</t>
        </is>
      </c>
      <c r="I108" s="50" t="inlineStr">
        <is>
          <t>Liệt kê tường minh các cột cần dùng, kể cả trong CTE trung gian. SELECT * làm tăng IO/memory và vỡ script khi bảng nguồn thêm cột.</t>
        </is>
      </c>
      <c r="J108" s="48" t="inlineStr">
        <is>
          <t>006. OCB_GOLD_TCKH_V_CUSTOMER_SEGMENT_CMB_PHAT.xlsx [Script: V_CUSTOMER_SEGMENT_CMB]</t>
        </is>
      </c>
    </row>
    <row r="109">
      <c r="A109" s="48" t="inlineStr">
        <is>
          <t>TCKH.V_CUSTOMER_SEGMENT_CMB</t>
        </is>
      </c>
      <c r="B109" s="48" t="inlineStr">
        <is>
          <t>GOLD_DERIVED</t>
        </is>
      </c>
      <c r="C109" s="48" t="inlineStr">
        <is>
          <t>3.2</t>
        </is>
      </c>
      <c r="D109" s="48" t="inlineStr">
        <is>
          <t>Nhom 3 - Optimization</t>
        </is>
      </c>
      <c r="E109" s="48" t="inlineStr">
        <is>
          <t>CTE không bị scan lại nhiều lần</t>
        </is>
      </c>
      <c r="F109" s="49" t="inlineStr">
        <is>
          <t>PASS</t>
        </is>
      </c>
      <c r="G109" s="48" t="inlineStr">
        <is>
          <t>Pass</t>
        </is>
      </c>
      <c r="H109" s="50" t="inlineStr">
        <is>
          <t>không có CTE nào bị gọi lại</t>
        </is>
      </c>
      <c r="I109" s="50" t="inlineStr">
        <is>
          <t>Với CTE nặng (đọc nhiều bảng Silver) bị tham chiếu từ 2 chỗ trở lên: gom lại còn một lần dùng, hoặc vật chất hóa (CACHE / bảng tạm). CTE nhẹ chỉ chứa tham số thì bỏ qua được — tự tick Pass.</t>
        </is>
      </c>
      <c r="J109" s="48" t="inlineStr">
        <is>
          <t>006. OCB_GOLD_TCKH_V_CUSTOMER_SEGMENT_CMB_PHAT.xlsx [Script: V_CUSTOMER_SEGMENT_CMB]</t>
        </is>
      </c>
    </row>
    <row r="110">
      <c r="A110" s="48" t="inlineStr">
        <is>
          <t>TCKH.V_CUSTOMER_SEGMENT_CMB</t>
        </is>
      </c>
      <c r="B110" s="48" t="inlineStr">
        <is>
          <t>GOLD_DERIVED</t>
        </is>
      </c>
      <c r="C110" s="48" t="inlineStr">
        <is>
          <t>3.3</t>
        </is>
      </c>
      <c r="D110" s="48" t="inlineStr">
        <is>
          <t>Nhom 3 - Optimization</t>
        </is>
      </c>
      <c r="E110" s="48" t="inlineStr">
        <is>
          <t>Filter trước khi join, tận dụng partition pruning</t>
        </is>
      </c>
      <c r="F110" s="49" t="inlineStr">
        <is>
          <t>PASS</t>
        </is>
      </c>
      <c r="G110" s="48" t="inlineStr">
        <is>
          <t>Pass</t>
        </is>
      </c>
      <c r="H110" s="50" t="inlineStr">
        <is>
          <t>các bảng join đều được filter trước</t>
        </is>
      </c>
      <c r="I110" s="50" t="inlineStr">
        <is>
          <t>Đưa điều kiện lọc (ngày dữ liệu, trạng thái) vào subquery của từng bảng TRƯỚC khi join, để tận dụng partition pruning. Bảng dim nhỏ không partition thì không cần — tự tick Pass.</t>
        </is>
      </c>
      <c r="J110" s="48" t="inlineStr">
        <is>
          <t>006. OCB_GOLD_TCKH_V_CUSTOMER_SEGMENT_CMB_PHAT.xlsx [Script: V_CUSTOMER_SEGMENT_CMB]</t>
        </is>
      </c>
    </row>
    <row r="111">
      <c r="A111" s="48" t="inlineStr">
        <is>
          <t>TCKH.V_CUSTOMER_SEGMENT_CMB</t>
        </is>
      </c>
      <c r="B111" s="48" t="inlineStr">
        <is>
          <t>GOLD_DERIVED</t>
        </is>
      </c>
      <c r="C111" s="48" t="inlineStr">
        <is>
          <t>3.4</t>
        </is>
      </c>
      <c r="D111" s="48" t="inlineStr">
        <is>
          <t>Nhom 3 - Optimization</t>
        </is>
      </c>
      <c r="E111" s="48" t="inlineStr">
        <is>
          <t>Sử dụng CACHE cho query lặp lại trong cùng luồng</t>
        </is>
      </c>
      <c r="F111" s="48" t="inlineStr">
        <is>
          <t>N-A</t>
        </is>
      </c>
      <c r="G111" s="48" t="inlineStr">
        <is>
          <t>Pass</t>
        </is>
      </c>
      <c r="H111" s="50" t="inlineStr">
        <is>
          <t>không có kết quả nào được dùng lại nhiều lần nên chưa cần CACHE</t>
        </is>
      </c>
      <c r="I111" s="50" t="inlineStr">
        <is>
          <t>Nếu một kết quả nặng được dùng lại nhiều bước trong cùng luồng, thêm CACHE TABLE / CACHE SELECT. Kết quả nhỏ thì cache còn chậm hơn — tự tick Pass.</t>
        </is>
      </c>
      <c r="J111" s="48" t="inlineStr">
        <is>
          <t>006. OCB_GOLD_TCKH_V_CUSTOMER_SEGMENT_CMB_PHAT.xlsx [Script: V_CUSTOMER_SEGMENT_CMB]</t>
        </is>
      </c>
    </row>
    <row r="112">
      <c r="A112" s="48" t="inlineStr">
        <is>
          <t>TCKH.V_CUSTOMER_SEGMENT_CMB</t>
        </is>
      </c>
      <c r="B112" s="48" t="inlineStr">
        <is>
          <t>GOLD_DERIVED</t>
        </is>
      </c>
      <c r="C112" s="48" t="inlineStr">
        <is>
          <t>3.5</t>
        </is>
      </c>
      <c r="D112" s="48" t="inlineStr">
        <is>
          <t>Nhom 3 - Optimization</t>
        </is>
      </c>
      <c r="E112" s="48" t="inlineStr">
        <is>
          <t>Ưu tiên MAX_BY + QUALIFY thay ROW_NUMBER() + WHERE rn = 1</t>
        </is>
      </c>
      <c r="F112" s="48" t="inlineStr">
        <is>
          <t>N-A</t>
        </is>
      </c>
      <c r="G112" s="48" t="inlineStr">
        <is>
          <t>Pass</t>
        </is>
      </c>
      <c r="H112" s="50" t="inlineStr">
        <is>
          <t>script không dùng ROW_NUMBER</t>
        </is>
      </c>
      <c r="I112"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2" s="48" t="inlineStr">
        <is>
          <t>006. OCB_GOLD_TCKH_V_CUSTOMER_SEGMENT_CMB_PHAT.xlsx [Script: V_CUSTOMER_SEGMENT_CMB]</t>
        </is>
      </c>
    </row>
    <row r="113">
      <c r="A113" s="48" t="inlineStr">
        <is>
          <t>TCKH.V_CUSTOMER_SEGMENT_CMB</t>
        </is>
      </c>
      <c r="B113" s="48" t="inlineStr">
        <is>
          <t>GOLD_DERIVED</t>
        </is>
      </c>
      <c r="C113" s="48" t="inlineStr">
        <is>
          <t>3.6</t>
        </is>
      </c>
      <c r="D113" s="48" t="inlineStr">
        <is>
          <t>Nhom 3 - Optimization</t>
        </is>
      </c>
      <c r="E113" s="48" t="inlineStr">
        <is>
          <t>Không lạm dụng window function; có comment khi dùng</t>
        </is>
      </c>
      <c r="F113" s="48" t="inlineStr">
        <is>
          <t>N-A</t>
        </is>
      </c>
      <c r="G113" s="48" t="inlineStr">
        <is>
          <t>Pass</t>
        </is>
      </c>
      <c r="H113" s="50" t="inlineStr">
        <is>
          <t>script không dùng window function</t>
        </is>
      </c>
      <c r="I113" s="50" t="inlineStr">
        <is>
          <t>Mỗi window function cần một comment ngay trên khối CTE chứa nó, nói rõ vì sao không dùng được max_by/QUALIFY đơn giản hơn.</t>
        </is>
      </c>
      <c r="J113" s="48" t="inlineStr">
        <is>
          <t>006. OCB_GOLD_TCKH_V_CUSTOMER_SEGMENT_CMB_PHAT.xlsx [Script: V_CUSTOMER_SEGMENT_CMB]</t>
        </is>
      </c>
    </row>
    <row r="114">
      <c r="A114" s="48" t="inlineStr">
        <is>
          <t>TCKH.V_CUSTOMER_SEGMENT_CMB</t>
        </is>
      </c>
      <c r="B114" s="48" t="inlineStr">
        <is>
          <t>GOLD_DERIVED</t>
        </is>
      </c>
      <c r="C114" s="48" t="inlineStr">
        <is>
          <t>X.1</t>
        </is>
      </c>
      <c r="D114" s="48" t="inlineStr">
        <is>
          <t>Nhom X - Bo sung Raffles</t>
        </is>
      </c>
      <c r="E114" s="48" t="inlineStr">
        <is>
          <t>[Bổ sung] Link phải rút về current trước khi join (chống fan-out)</t>
        </is>
      </c>
      <c r="F114" s="48" t="inlineStr">
        <is>
          <t>N-A</t>
        </is>
      </c>
      <c r="G114" s="48" t="inlineStr">
        <is>
          <t>Pass</t>
        </is>
      </c>
      <c r="H114" s="50" t="inlineStr">
        <is>
          <t>khong ap dung cho profile GOLD_DERIVED</t>
        </is>
      </c>
      <c r="I114"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4" s="48" t="inlineStr">
        <is>
          <t>006. OCB_GOLD_TCKH_V_CUSTOMER_SEGMENT_CMB_PHAT.xlsx [Script: V_CUSTOMER_SEGMENT_CMB]</t>
        </is>
      </c>
    </row>
    <row r="115">
      <c r="A115" s="48" t="inlineStr">
        <is>
          <t>TCKH.V_CUSTOMER_SEGMENT_CMB</t>
        </is>
      </c>
      <c r="B115" s="48" t="inlineStr">
        <is>
          <t>GOLD_DERIVED</t>
        </is>
      </c>
      <c r="C115" s="48" t="inlineStr">
        <is>
          <t>X.6</t>
        </is>
      </c>
      <c r="D115" s="48" t="inlineStr">
        <is>
          <t>Nhom X - Bo sung Raffles</t>
        </is>
      </c>
      <c r="E115" s="48" t="inlineStr">
        <is>
          <t>[Bổ sung] Satellite phải LEFT JOIN, không INNER JOIN</t>
        </is>
      </c>
      <c r="F115" s="48" t="inlineStr">
        <is>
          <t>N-A</t>
        </is>
      </c>
      <c r="G115" s="48" t="inlineStr">
        <is>
          <t>Pass</t>
        </is>
      </c>
      <c r="H115" s="50" t="inlineStr">
        <is>
          <t>khong ap dung cho profile GOLD_DERIVED</t>
        </is>
      </c>
      <c r="I115" s="50" t="inlineStr">
        <is>
          <t>Technical Document III.4.2.2 nguyên tắc 1: làm giàu thuộc tính luôn dùng LEFT JOIN. INNER JOIN satellite sẽ loại mất bản ghi Hub đang còn hiệu lực nhưng chưa có dòng satellite.</t>
        </is>
      </c>
      <c r="J115" s="48" t="inlineStr">
        <is>
          <t>006. OCB_GOLD_TCKH_V_CUSTOMER_SEGMENT_CMB_PHAT.xlsx [Script: V_CUSTOMER_SEGMENT_CMB]</t>
        </is>
      </c>
    </row>
    <row r="116">
      <c r="A116" s="48" t="inlineStr">
        <is>
          <t>TCKH.V_CUSTOMER_SEGMENT_CMB</t>
        </is>
      </c>
      <c r="B116" s="48" t="inlineStr">
        <is>
          <t>GOLD_DERIVED</t>
        </is>
      </c>
      <c r="C116" s="48" t="inlineStr">
        <is>
          <t>X.7</t>
        </is>
      </c>
      <c r="D116" s="48" t="inlineStr">
        <is>
          <t>Nhom X - Bo sung Raffles</t>
        </is>
      </c>
      <c r="E116" s="48" t="inlineStr">
        <is>
          <t>[Bổ sung] Không hard-code catalog, dùng biến môi trường</t>
        </is>
      </c>
      <c r="F116" s="49" t="inlineStr">
        <is>
          <t>PASS</t>
        </is>
      </c>
      <c r="G116" s="48" t="inlineStr">
        <is>
          <t>Pass</t>
        </is>
      </c>
      <c r="H116" s="50" t="inlineStr">
        <is>
          <t>dùng biến môi trường cho catalog</t>
        </is>
      </c>
      <c r="I116"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6" s="48" t="inlineStr">
        <is>
          <t>006. OCB_GOLD_TCKH_V_CUSTOMER_SEGMENT_CMB_PHAT.xlsx [Script: V_CUSTOMER_SEGMENT_CMB]</t>
        </is>
      </c>
    </row>
    <row r="117">
      <c r="A117" s="48" t="inlineStr">
        <is>
          <t>TCKH.V_CUSTOMER_SEGMENT_RB</t>
        </is>
      </c>
      <c r="B117" s="48" t="inlineStr">
        <is>
          <t>GOLD_DERIVED</t>
        </is>
      </c>
      <c r="C117" s="48" t="inlineStr">
        <is>
          <t>1.1</t>
        </is>
      </c>
      <c r="D117" s="48" t="inlineStr">
        <is>
          <t>Nhom 1 - Mapping</t>
        </is>
      </c>
      <c r="E117" s="48" t="inlineStr">
        <is>
          <t>Đầy đủ mapping từ Silver/manual sang Gold</t>
        </is>
      </c>
      <c r="F117" s="49" t="inlineStr">
        <is>
          <t>PASS</t>
        </is>
      </c>
      <c r="G117" s="48" t="inlineStr">
        <is>
          <t>Pass</t>
        </is>
      </c>
      <c r="H117" s="50" t="inlineStr">
        <is>
          <t>workbook 007. OCB_GOLD_TCKH_V_CUSTOMER_SEGMENT_RB_PHAT.xlsx: thiết kế 4 field, SQL có 4 cột</t>
        </is>
      </c>
      <c r="I11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7" s="48" t="inlineStr">
        <is>
          <t>007. OCB_GOLD_TCKH_V_CUSTOMER_SEGMENT_RB_PHAT.xlsx [Script: V_CUSTOMER_SEGMENT_RB]</t>
        </is>
      </c>
    </row>
    <row r="118">
      <c r="A118" s="48" t="inlineStr">
        <is>
          <t>TCKH.V_CUSTOMER_SEGMENT_RB</t>
        </is>
      </c>
      <c r="B118" s="48" t="inlineStr">
        <is>
          <t>GOLD_DERIVED</t>
        </is>
      </c>
      <c r="C118" s="48" t="inlineStr">
        <is>
          <t>1.2</t>
        </is>
      </c>
      <c r="D118" s="48" t="inlineStr">
        <is>
          <t>Nhom 1 - Mapping</t>
        </is>
      </c>
      <c r="E118" s="48" t="inlineStr">
        <is>
          <t>Danh sách bảng/view Gold khớp tài liệu thiết kế đã duyệt</t>
        </is>
      </c>
      <c r="F118" s="49" t="inlineStr">
        <is>
          <t>PASS</t>
        </is>
      </c>
      <c r="G118" s="48" t="inlineStr">
        <is>
          <t>Pass</t>
        </is>
      </c>
      <c r="H118" s="50" t="inlineStr">
        <is>
          <t>V_CUSTOMER_SEGMENT_RB có workbook thiết kế: 007. OCB_GOLD_TCKH_V_CUSTOMER_SEGMENT_RB_PHAT.xlsx</t>
        </is>
      </c>
      <c r="I118" s="50" t="inlineStr">
        <is>
          <t>Đảm bảo object có workbook thiết kế tương ứng trong thư mục --mapping-dir. Muốn đối chiếu với danh sách đã duyệt thì chạy thêm tham số --gold-list "&lt;file danh sách Gold&gt;.xlsx".</t>
        </is>
      </c>
      <c r="J118" s="48" t="inlineStr">
        <is>
          <t>007. OCB_GOLD_TCKH_V_CUSTOMER_SEGMENT_RB_PHAT.xlsx [Script: V_CUSTOMER_SEGMENT_RB]</t>
        </is>
      </c>
    </row>
    <row r="119">
      <c r="A119" s="48" t="inlineStr">
        <is>
          <t>TCKH.V_CUSTOMER_SEGMENT_RB</t>
        </is>
      </c>
      <c r="B119" s="48" t="inlineStr">
        <is>
          <t>GOLD_DERIVED</t>
        </is>
      </c>
      <c r="C119" s="48" t="inlineStr">
        <is>
          <t>2.1</t>
        </is>
      </c>
      <c r="D119" s="48" t="inlineStr">
        <is>
          <t>Nhom 2 - Logic</t>
        </is>
      </c>
      <c r="E119" s="48" t="inlineStr">
        <is>
          <t>Chỉ lấy bản ghi active, loại bản ghi đã xóa (qua sts_hub)</t>
        </is>
      </c>
      <c r="F119" s="48" t="inlineStr">
        <is>
          <t>N-A</t>
        </is>
      </c>
      <c r="G119" s="48" t="inlineStr">
        <is>
          <t>Pass</t>
        </is>
      </c>
      <c r="H119" s="50" t="inlineStr">
        <is>
          <t>khong ap dung cho profile GOLD_DERIVED</t>
        </is>
      </c>
      <c r="I11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9" s="48" t="inlineStr">
        <is>
          <t>007. OCB_GOLD_TCKH_V_CUSTOMER_SEGMENT_RB_PHAT.xlsx [Script: V_CUSTOMER_SEGMENT_RB]</t>
        </is>
      </c>
    </row>
    <row r="120">
      <c r="A120" s="48" t="inlineStr">
        <is>
          <t>TCKH.V_CUSTOMER_SEGMENT_RB</t>
        </is>
      </c>
      <c r="B120" s="48" t="inlineStr">
        <is>
          <t>GOLD_DERIVED</t>
        </is>
      </c>
      <c r="C120" s="48" t="inlineStr">
        <is>
          <t>2.2</t>
        </is>
      </c>
      <c r="D120" s="48" t="inlineStr">
        <is>
          <t>Nhom 2 - Logic</t>
        </is>
      </c>
      <c r="E120" s="48" t="inlineStr">
        <is>
          <t>Thống nhất MỘT pattern duy nhất xác định bản ghi active mới nhất</t>
        </is>
      </c>
      <c r="F120" s="48" t="inlineStr">
        <is>
          <t>N-A</t>
        </is>
      </c>
      <c r="G120" s="48" t="inlineStr">
        <is>
          <t>Pass</t>
        </is>
      </c>
      <c r="H120" s="50" t="inlineStr">
        <is>
          <t>khong ap dung cho profile GOLD_DERIVED</t>
        </is>
      </c>
      <c r="I12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0" s="48" t="inlineStr">
        <is>
          <t>007. OCB_GOLD_TCKH_V_CUSTOMER_SEGMENT_RB_PHAT.xlsx [Script: V_CUSTOMER_SEGMENT_RB]</t>
        </is>
      </c>
    </row>
    <row r="121">
      <c r="A121" s="48" t="inlineStr">
        <is>
          <t>TCKH.V_CUSTOMER_SEGMENT_RB</t>
        </is>
      </c>
      <c r="B121" s="48" t="inlineStr">
        <is>
          <t>GOLD_DERIVED</t>
        </is>
      </c>
      <c r="C121" s="48" t="inlineStr">
        <is>
          <t>2.3</t>
        </is>
      </c>
      <c r="D121" s="48" t="inlineStr">
        <is>
          <t>Nhom 2 - Logic</t>
        </is>
      </c>
      <c r="E121" s="48" t="inlineStr">
        <is>
          <t>Điều kiện lọc trạng thái đặt SAU khi xác định bản ghi mới nhất</t>
        </is>
      </c>
      <c r="F121" s="49" t="inlineStr">
        <is>
          <t>PASS</t>
        </is>
      </c>
      <c r="G121" s="48" t="inlineStr">
        <is>
          <t>Pass</t>
        </is>
      </c>
      <c r="H121" s="50" t="inlineStr">
        <is>
          <t>không có điều kiện trạng thái nào lồng trong JOIN ON</t>
        </is>
      </c>
      <c r="I12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1" s="48" t="inlineStr">
        <is>
          <t>007. OCB_GOLD_TCKH_V_CUSTOMER_SEGMENT_RB_PHAT.xlsx [Script: V_CUSTOMER_SEGMENT_RB]</t>
        </is>
      </c>
    </row>
    <row r="122">
      <c r="A122" s="48" t="inlineStr">
        <is>
          <t>TCKH.V_CUSTOMER_SEGMENT_RB</t>
        </is>
      </c>
      <c r="B122" s="48" t="inlineStr">
        <is>
          <t>GOLD_DERIVED</t>
        </is>
      </c>
      <c r="C122" s="48" t="inlineStr">
        <is>
          <t>2.4</t>
        </is>
      </c>
      <c r="D122" s="48" t="inlineStr">
        <is>
          <t>Nhom 2 - Logic</t>
        </is>
      </c>
      <c r="E122" s="48" t="inlineStr">
        <is>
          <t>source_event_date áp dụng đúng dạng theo loại bảng</t>
        </is>
      </c>
      <c r="F122" s="48" t="inlineStr">
        <is>
          <t>N-A</t>
        </is>
      </c>
      <c r="G122" s="48" t="inlineStr">
        <is>
          <t>Pass</t>
        </is>
      </c>
      <c r="H122" s="50" t="inlineStr">
        <is>
          <t>khong ap dung cho profile GOLD_DERIVED</t>
        </is>
      </c>
      <c r="I12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2" s="48" t="inlineStr">
        <is>
          <t>007. OCB_GOLD_TCKH_V_CUSTOMER_SEGMENT_RB_PHAT.xlsx [Script: V_CUSTOMER_SEGMENT_RB]</t>
        </is>
      </c>
    </row>
    <row r="123">
      <c r="A123" s="48" t="inlineStr">
        <is>
          <t>TCKH.V_CUSTOMER_SEGMENT_RB</t>
        </is>
      </c>
      <c r="B123" s="48" t="inlineStr">
        <is>
          <t>GOLD_DERIVED</t>
        </is>
      </c>
      <c r="C123" s="48" t="inlineStr">
        <is>
          <t>2.5</t>
        </is>
      </c>
      <c r="D123" s="48" t="inlineStr">
        <is>
          <t>Nhom 2 - Logic</t>
        </is>
      </c>
      <c r="E123" s="48" t="inlineStr">
        <is>
          <t>Không lặp lại lỗi logic cũ đã được DA Data Vault fix</t>
        </is>
      </c>
      <c r="F123" s="49" t="inlineStr">
        <is>
          <t>PASS</t>
        </is>
      </c>
      <c r="G123" s="48" t="inlineStr">
        <is>
          <t>Pass</t>
        </is>
      </c>
      <c r="H123" s="50" t="inlineStr">
        <is>
          <t>không trùng lỗi nào trong Issue log của DA Data Vault</t>
        </is>
      </c>
      <c r="I12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3" s="48" t="inlineStr">
        <is>
          <t>007. OCB_GOLD_TCKH_V_CUSTOMER_SEGMENT_RB_PHAT.xlsx [Script: V_CUSTOMER_SEGMENT_RB]</t>
        </is>
      </c>
    </row>
    <row r="124">
      <c r="A124" s="48" t="inlineStr">
        <is>
          <t>TCKH.V_CUSTOMER_SEGMENT_RB</t>
        </is>
      </c>
      <c r="B124" s="48" t="inlineStr">
        <is>
          <t>GOLD_DERIVED</t>
        </is>
      </c>
      <c r="C124" s="48" t="inlineStr">
        <is>
          <t>2.6</t>
        </is>
      </c>
      <c r="D124" s="48" t="inlineStr">
        <is>
          <t>Nhom 2 - Logic</t>
        </is>
      </c>
      <c r="E124" s="48" t="inlineStr">
        <is>
          <t>SCD Type 2 cho bảng DIM áp dụng đúng kỹ thuật đã thống nhất</t>
        </is>
      </c>
      <c r="F124" s="48" t="inlineStr">
        <is>
          <t>N-A</t>
        </is>
      </c>
      <c r="G124" s="48" t="inlineStr">
        <is>
          <t>Pass</t>
        </is>
      </c>
      <c r="H124" s="50" t="inlineStr">
        <is>
          <t>object không phải bảng DIM nên không áp dụng SCD Type 2</t>
        </is>
      </c>
      <c r="I12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4" s="48" t="inlineStr">
        <is>
          <t>007. OCB_GOLD_TCKH_V_CUSTOMER_SEGMENT_RB_PHAT.xlsx [Script: V_CUSTOMER_SEGMENT_RB]</t>
        </is>
      </c>
    </row>
    <row r="125">
      <c r="A125" s="48" t="inlineStr">
        <is>
          <t>TCKH.V_CUSTOMER_SEGMENT_RB</t>
        </is>
      </c>
      <c r="B125" s="48" t="inlineStr">
        <is>
          <t>GOLD_DERIVED</t>
        </is>
      </c>
      <c r="C125" s="48" t="inlineStr">
        <is>
          <t>2.7</t>
        </is>
      </c>
      <c r="D125" s="48" t="inlineStr">
        <is>
          <t>Nhom 2 - Logic</t>
        </is>
      </c>
      <c r="E125" s="48" t="inlineStr">
        <is>
          <t>CASE WHEN cover đủ nhánh như job on-prem</t>
        </is>
      </c>
      <c r="F125" s="49" t="inlineStr">
        <is>
          <t>PASS</t>
        </is>
      </c>
      <c r="G125" s="48" t="inlineStr">
        <is>
          <t>Pass</t>
        </is>
      </c>
      <c r="H125" s="50" t="inlineStr">
        <is>
          <t>cả 2 CASE đều có nhánh ELSE</t>
        </is>
      </c>
      <c r="I125" s="50" t="inlineStr">
        <is>
          <t>Mở job on-prem tương ứng (DataStage DSX hoặc SQL cũ), đối chiếu từng nhánh WHEN và cả nhánh ELSE. CASE không có ELSE sẽ trả NULL âm thầm — xác nhận đó là ý muốn hay thiếu nhánh.</t>
        </is>
      </c>
      <c r="J125" s="48" t="inlineStr">
        <is>
          <t>007. OCB_GOLD_TCKH_V_CUSTOMER_SEGMENT_RB_PHAT.xlsx [Script: V_CUSTOMER_SEGMENT_RB]</t>
        </is>
      </c>
    </row>
    <row r="126">
      <c r="A126" s="48" t="inlineStr">
        <is>
          <t>TCKH.V_CUSTOMER_SEGMENT_RB</t>
        </is>
      </c>
      <c r="B126" s="48" t="inlineStr">
        <is>
          <t>GOLD_DERIVED</t>
        </is>
      </c>
      <c r="C126" s="48" t="inlineStr">
        <is>
          <t>2.8</t>
        </is>
      </c>
      <c r="D126" s="48" t="inlineStr">
        <is>
          <t>Nhom 2 - Logic</t>
        </is>
      </c>
      <c r="E126" s="48" t="inlineStr">
        <is>
          <t>Cột SUM/COUNT được COALESCE/NVL hợp lý</t>
        </is>
      </c>
      <c r="F126" s="49" t="inlineStr">
        <is>
          <t>PASS</t>
        </is>
      </c>
      <c r="G126" s="48" t="inlineStr">
        <is>
          <t>Pass</t>
        </is>
      </c>
      <c r="H126" s="50" t="inlineStr">
        <is>
          <t>mọi SUM/COUNT đều đã coalesce (trực tiếp hoặc ở lớp ngoài)</t>
        </is>
      </c>
      <c r="I12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6" s="48" t="inlineStr">
        <is>
          <t>007. OCB_GOLD_TCKH_V_CUSTOMER_SEGMENT_RB_PHAT.xlsx [Script: V_CUSTOMER_SEGMENT_RB]</t>
        </is>
      </c>
    </row>
    <row r="127">
      <c r="A127" s="48" t="inlineStr">
        <is>
          <t>TCKH.V_CUSTOMER_SEGMENT_RB</t>
        </is>
      </c>
      <c r="B127" s="48" t="inlineStr">
        <is>
          <t>GOLD_DERIVED</t>
        </is>
      </c>
      <c r="C127" s="48" t="inlineStr">
        <is>
          <t>2.9</t>
        </is>
      </c>
      <c r="D127" s="48" t="inlineStr">
        <is>
          <t>Nhom 2 - Logic</t>
        </is>
      </c>
      <c r="E127" s="48" t="inlineStr">
        <is>
          <t>Subquery / custom function / điều kiện LIKE đúng ý nghĩa nghiệp vụ</t>
        </is>
      </c>
      <c r="F127" s="48" t="inlineStr">
        <is>
          <t>N-A</t>
        </is>
      </c>
      <c r="G127" s="48" t="inlineStr">
        <is>
          <t>Pass</t>
        </is>
      </c>
      <c r="H127" s="50" t="inlineStr">
        <is>
          <t>script không có điều kiện LIKE hay scalar subquery nào</t>
        </is>
      </c>
      <c r="I127" s="50" t="inlineStr">
        <is>
          <t>Đọc lại từng điều kiện LIKE và từng subquery, đối chiếu ý nghĩa nghiệp vụ với on-prem — đúng cú pháp không đủ. Chú ý pattern LIKE có ký tự % ở đầu/cuối và phân biệt chữ hoa/thường.</t>
        </is>
      </c>
      <c r="J127" s="48" t="inlineStr">
        <is>
          <t>007. OCB_GOLD_TCKH_V_CUSTOMER_SEGMENT_RB_PHAT.xlsx [Script: V_CUSTOMER_SEGMENT_RB]</t>
        </is>
      </c>
    </row>
    <row r="128">
      <c r="A128" s="48" t="inlineStr">
        <is>
          <t>TCKH.V_CUSTOMER_SEGMENT_RB</t>
        </is>
      </c>
      <c r="B128" s="48" t="inlineStr">
        <is>
          <t>GOLD_DERIVED</t>
        </is>
      </c>
      <c r="C128" s="48" t="inlineStr">
        <is>
          <t>2.10</t>
        </is>
      </c>
      <c r="D128" s="48" t="inlineStr">
        <is>
          <t>Nhom 2 - Logic</t>
        </is>
      </c>
      <c r="E128" s="48" t="inlineStr">
        <is>
          <t>Aggregation kèm filter date range chính xác</t>
        </is>
      </c>
      <c r="F128" s="49" t="inlineStr">
        <is>
          <t>PASS</t>
        </is>
      </c>
      <c r="G128" s="48" t="inlineStr">
        <is>
          <t>Pass</t>
        </is>
      </c>
      <c r="H128" s="50" t="inlineStr">
        <is>
          <t>mọi khối tổng hợp đều có điều kiện theo kỳ dữ liệu</t>
        </is>
      </c>
      <c r="I128" s="50" t="inlineStr">
        <is>
          <t>Mỗi khối SUM/COUNT/AVG phải có điều kiện lọc theo kỳ dữ liệu (CDR_DT_ID, DATA_DATE, :DATADT…). Nếu điều kiện nằm ở CTE nguồn thì ghi rõ trong comment để người review không phải truy ngược.</t>
        </is>
      </c>
      <c r="J128" s="48" t="inlineStr">
        <is>
          <t>007. OCB_GOLD_TCKH_V_CUSTOMER_SEGMENT_RB_PHAT.xlsx [Script: V_CUSTOMER_SEGMENT_RB]</t>
        </is>
      </c>
    </row>
    <row r="129">
      <c r="A129" s="48" t="inlineStr">
        <is>
          <t>TCKH.V_CUSTOMER_SEGMENT_RB</t>
        </is>
      </c>
      <c r="B129" s="48" t="inlineStr">
        <is>
          <t>GOLD_DERIVED</t>
        </is>
      </c>
      <c r="C129" s="48" t="inlineStr">
        <is>
          <t>2.11</t>
        </is>
      </c>
      <c r="D129" s="48" t="inlineStr">
        <is>
          <t>Nhom 2 - Logic</t>
        </is>
      </c>
      <c r="E129" s="48" t="inlineStr">
        <is>
          <t>Join dùng key hợp lý, không lạm dụng UNION ALL + EXISTS/NOT EXISTS</t>
        </is>
      </c>
      <c r="F129" s="49" t="inlineStr">
        <is>
          <t>PASS</t>
        </is>
      </c>
      <c r="G129" s="48" t="inlineStr">
        <is>
          <t>Pass</t>
        </is>
      </c>
      <c r="H129" s="50" t="inlineStr">
        <is>
          <t>join đều theo điều kiện bằng, không lạm dụng UNION ALL + EXISTS</t>
        </is>
      </c>
      <c r="I129" s="50" t="inlineStr">
        <is>
          <t>Ưu tiên LEFT JOIN theo business key hoặc hashkey. Xem lại các chỗ dùng UNION ALL kết hợp EXISTS/NOT EXISTS — thường thay được bằng một LEFT JOIN. Join không có điều kiện bằng (=) dễ tạo tích Descartes.</t>
        </is>
      </c>
      <c r="J129" s="48" t="inlineStr">
        <is>
          <t>007. OCB_GOLD_TCKH_V_CUSTOMER_SEGMENT_RB_PHAT.xlsx [Script: V_CUSTOMER_SEGMENT_RB]</t>
        </is>
      </c>
    </row>
    <row r="130">
      <c r="A130" s="48" t="inlineStr">
        <is>
          <t>TCKH.V_CUSTOMER_SEGMENT_RB</t>
        </is>
      </c>
      <c r="B130" s="48" t="inlineStr">
        <is>
          <t>GOLD_DERIVED</t>
        </is>
      </c>
      <c r="C130" s="48" t="inlineStr">
        <is>
          <t>2.12</t>
        </is>
      </c>
      <c r="D130" s="48" t="inlineStr">
        <is>
          <t>Nhom 2 - Logic</t>
        </is>
      </c>
      <c r="E130" s="48" t="inlineStr">
        <is>
          <t>Build Gold từ CTE snapshot Silver, không build nhiều tầng chồng chéo</t>
        </is>
      </c>
      <c r="F130" s="51" t="inlineStr">
        <is>
          <t>WARN</t>
        </is>
      </c>
      <c r="G130" s="48" t="inlineStr">
        <is>
          <t>WARN</t>
        </is>
      </c>
      <c r="H130" s="50" t="inlineStr">
        <is>
          <t>bảng bị đọc lại ở nhiều khối SELECT, xét gom thành 1 CTE: CUSTOMER_SEGMENT_RAW ở 2 khối</t>
        </is>
      </c>
      <c r="I13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0" s="48" t="inlineStr">
        <is>
          <t>007. OCB_GOLD_TCKH_V_CUSTOMER_SEGMENT_RB_PHAT.xlsx [Script: V_CUSTOMER_SEGMENT_RB]</t>
        </is>
      </c>
    </row>
    <row r="131">
      <c r="A131" s="48" t="inlineStr">
        <is>
          <t>TCKH.V_CUSTOMER_SEGMENT_RB</t>
        </is>
      </c>
      <c r="B131" s="48" t="inlineStr">
        <is>
          <t>GOLD_DERIVED</t>
        </is>
      </c>
      <c r="C131" s="48" t="inlineStr">
        <is>
          <t>3.1</t>
        </is>
      </c>
      <c r="D131" s="48" t="inlineStr">
        <is>
          <t>Nhom 3 - Optimization</t>
        </is>
      </c>
      <c r="E131" s="48" t="inlineStr">
        <is>
          <t>Không SELECT *</t>
        </is>
      </c>
      <c r="F131" s="49" t="inlineStr">
        <is>
          <t>PASS</t>
        </is>
      </c>
      <c r="G131" s="48" t="inlineStr">
        <is>
          <t>Pass</t>
        </is>
      </c>
      <c r="H131" s="50" t="inlineStr">
        <is>
          <t>không dùng SELECT * ở đâu</t>
        </is>
      </c>
      <c r="I131" s="50" t="inlineStr">
        <is>
          <t>Liệt kê tường minh các cột cần dùng, kể cả trong CTE trung gian. SELECT * làm tăng IO/memory và vỡ script khi bảng nguồn thêm cột.</t>
        </is>
      </c>
      <c r="J131" s="48" t="inlineStr">
        <is>
          <t>007. OCB_GOLD_TCKH_V_CUSTOMER_SEGMENT_RB_PHAT.xlsx [Script: V_CUSTOMER_SEGMENT_RB]</t>
        </is>
      </c>
    </row>
    <row r="132">
      <c r="A132" s="48" t="inlineStr">
        <is>
          <t>TCKH.V_CUSTOMER_SEGMENT_RB</t>
        </is>
      </c>
      <c r="B132" s="48" t="inlineStr">
        <is>
          <t>GOLD_DERIVED</t>
        </is>
      </c>
      <c r="C132" s="48" t="inlineStr">
        <is>
          <t>3.2</t>
        </is>
      </c>
      <c r="D132" s="48" t="inlineStr">
        <is>
          <t>Nhom 3 - Optimization</t>
        </is>
      </c>
      <c r="E132" s="48" t="inlineStr">
        <is>
          <t>CTE không bị scan lại nhiều lần</t>
        </is>
      </c>
      <c r="F132" s="49" t="inlineStr">
        <is>
          <t>PASS</t>
        </is>
      </c>
      <c r="G132" s="48" t="inlineStr">
        <is>
          <t>Pass</t>
        </is>
      </c>
      <c r="H132" s="50" t="inlineStr">
        <is>
          <t>không có CTE nào bị gọi lại</t>
        </is>
      </c>
      <c r="I132" s="50" t="inlineStr">
        <is>
          <t>Với CTE nặng (đọc nhiều bảng Silver) bị tham chiếu từ 2 chỗ trở lên: gom lại còn một lần dùng, hoặc vật chất hóa (CACHE / bảng tạm). CTE nhẹ chỉ chứa tham số thì bỏ qua được — tự tick Pass.</t>
        </is>
      </c>
      <c r="J132" s="48" t="inlineStr">
        <is>
          <t>007. OCB_GOLD_TCKH_V_CUSTOMER_SEGMENT_RB_PHAT.xlsx [Script: V_CUSTOMER_SEGMENT_RB]</t>
        </is>
      </c>
    </row>
    <row r="133">
      <c r="A133" s="48" t="inlineStr">
        <is>
          <t>TCKH.V_CUSTOMER_SEGMENT_RB</t>
        </is>
      </c>
      <c r="B133" s="48" t="inlineStr">
        <is>
          <t>GOLD_DERIVED</t>
        </is>
      </c>
      <c r="C133" s="48" t="inlineStr">
        <is>
          <t>3.3</t>
        </is>
      </c>
      <c r="D133" s="48" t="inlineStr">
        <is>
          <t>Nhom 3 - Optimization</t>
        </is>
      </c>
      <c r="E133" s="48" t="inlineStr">
        <is>
          <t>Filter trước khi join, tận dụng partition pruning</t>
        </is>
      </c>
      <c r="F133" s="49" t="inlineStr">
        <is>
          <t>PASS</t>
        </is>
      </c>
      <c r="G133" s="48" t="inlineStr">
        <is>
          <t>Pass</t>
        </is>
      </c>
      <c r="H133" s="50" t="inlineStr">
        <is>
          <t>các bảng join đều được filter trước</t>
        </is>
      </c>
      <c r="I133" s="50" t="inlineStr">
        <is>
          <t>Đưa điều kiện lọc (ngày dữ liệu, trạng thái) vào subquery của từng bảng TRƯỚC khi join, để tận dụng partition pruning. Bảng dim nhỏ không partition thì không cần — tự tick Pass.</t>
        </is>
      </c>
      <c r="J133" s="48" t="inlineStr">
        <is>
          <t>007. OCB_GOLD_TCKH_V_CUSTOMER_SEGMENT_RB_PHAT.xlsx [Script: V_CUSTOMER_SEGMENT_RB]</t>
        </is>
      </c>
    </row>
    <row r="134">
      <c r="A134" s="48" t="inlineStr">
        <is>
          <t>TCKH.V_CUSTOMER_SEGMENT_RB</t>
        </is>
      </c>
      <c r="B134" s="48" t="inlineStr">
        <is>
          <t>GOLD_DERIVED</t>
        </is>
      </c>
      <c r="C134" s="48" t="inlineStr">
        <is>
          <t>3.4</t>
        </is>
      </c>
      <c r="D134" s="48" t="inlineStr">
        <is>
          <t>Nhom 3 - Optimization</t>
        </is>
      </c>
      <c r="E134" s="48" t="inlineStr">
        <is>
          <t>Sử dụng CACHE cho query lặp lại trong cùng luồng</t>
        </is>
      </c>
      <c r="F134" s="48" t="inlineStr">
        <is>
          <t>N-A</t>
        </is>
      </c>
      <c r="G134" s="48" t="inlineStr">
        <is>
          <t>Pass</t>
        </is>
      </c>
      <c r="H134" s="50" t="inlineStr">
        <is>
          <t>không có kết quả nào được dùng lại nhiều lần nên chưa cần CACHE</t>
        </is>
      </c>
      <c r="I134" s="50" t="inlineStr">
        <is>
          <t>Nếu một kết quả nặng được dùng lại nhiều bước trong cùng luồng, thêm CACHE TABLE / CACHE SELECT. Kết quả nhỏ thì cache còn chậm hơn — tự tick Pass.</t>
        </is>
      </c>
      <c r="J134" s="48" t="inlineStr">
        <is>
          <t>007. OCB_GOLD_TCKH_V_CUSTOMER_SEGMENT_RB_PHAT.xlsx [Script: V_CUSTOMER_SEGMENT_RB]</t>
        </is>
      </c>
    </row>
    <row r="135">
      <c r="A135" s="48" t="inlineStr">
        <is>
          <t>TCKH.V_CUSTOMER_SEGMENT_RB</t>
        </is>
      </c>
      <c r="B135" s="48" t="inlineStr">
        <is>
          <t>GOLD_DERIVED</t>
        </is>
      </c>
      <c r="C135" s="48" t="inlineStr">
        <is>
          <t>3.5</t>
        </is>
      </c>
      <c r="D135" s="48" t="inlineStr">
        <is>
          <t>Nhom 3 - Optimization</t>
        </is>
      </c>
      <c r="E135" s="48" t="inlineStr">
        <is>
          <t>Ưu tiên MAX_BY + QUALIFY thay ROW_NUMBER() + WHERE rn = 1</t>
        </is>
      </c>
      <c r="F135" s="48" t="inlineStr">
        <is>
          <t>N-A</t>
        </is>
      </c>
      <c r="G135" s="48" t="inlineStr">
        <is>
          <t>Pass</t>
        </is>
      </c>
      <c r="H135" s="50" t="inlineStr">
        <is>
          <t>script không dùng ROW_NUMBER</t>
        </is>
      </c>
      <c r="I13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5" s="48" t="inlineStr">
        <is>
          <t>007. OCB_GOLD_TCKH_V_CUSTOMER_SEGMENT_RB_PHAT.xlsx [Script: V_CUSTOMER_SEGMENT_RB]</t>
        </is>
      </c>
    </row>
    <row r="136">
      <c r="A136" s="48" t="inlineStr">
        <is>
          <t>TCKH.V_CUSTOMER_SEGMENT_RB</t>
        </is>
      </c>
      <c r="B136" s="48" t="inlineStr">
        <is>
          <t>GOLD_DERIVED</t>
        </is>
      </c>
      <c r="C136" s="48" t="inlineStr">
        <is>
          <t>3.6</t>
        </is>
      </c>
      <c r="D136" s="48" t="inlineStr">
        <is>
          <t>Nhom 3 - Optimization</t>
        </is>
      </c>
      <c r="E136" s="48" t="inlineStr">
        <is>
          <t>Không lạm dụng window function; có comment khi dùng</t>
        </is>
      </c>
      <c r="F136" s="48" t="inlineStr">
        <is>
          <t>N-A</t>
        </is>
      </c>
      <c r="G136" s="48" t="inlineStr">
        <is>
          <t>Pass</t>
        </is>
      </c>
      <c r="H136" s="50" t="inlineStr">
        <is>
          <t>script không dùng window function</t>
        </is>
      </c>
      <c r="I136" s="50" t="inlineStr">
        <is>
          <t>Mỗi window function cần một comment ngay trên khối CTE chứa nó, nói rõ vì sao không dùng được max_by/QUALIFY đơn giản hơn.</t>
        </is>
      </c>
      <c r="J136" s="48" t="inlineStr">
        <is>
          <t>007. OCB_GOLD_TCKH_V_CUSTOMER_SEGMENT_RB_PHAT.xlsx [Script: V_CUSTOMER_SEGMENT_RB]</t>
        </is>
      </c>
    </row>
    <row r="137">
      <c r="A137" s="48" t="inlineStr">
        <is>
          <t>TCKH.V_CUSTOMER_SEGMENT_RB</t>
        </is>
      </c>
      <c r="B137" s="48" t="inlineStr">
        <is>
          <t>GOLD_DERIVED</t>
        </is>
      </c>
      <c r="C137" s="48" t="inlineStr">
        <is>
          <t>X.1</t>
        </is>
      </c>
      <c r="D137" s="48" t="inlineStr">
        <is>
          <t>Nhom X - Bo sung Raffles</t>
        </is>
      </c>
      <c r="E137" s="48" t="inlineStr">
        <is>
          <t>[Bổ sung] Link phải rút về current trước khi join (chống fan-out)</t>
        </is>
      </c>
      <c r="F137" s="48" t="inlineStr">
        <is>
          <t>N-A</t>
        </is>
      </c>
      <c r="G137" s="48" t="inlineStr">
        <is>
          <t>Pass</t>
        </is>
      </c>
      <c r="H137" s="50" t="inlineStr">
        <is>
          <t>khong ap dung cho profile GOLD_DERIVED</t>
        </is>
      </c>
      <c r="I13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7" s="48" t="inlineStr">
        <is>
          <t>007. OCB_GOLD_TCKH_V_CUSTOMER_SEGMENT_RB_PHAT.xlsx [Script: V_CUSTOMER_SEGMENT_RB]</t>
        </is>
      </c>
    </row>
    <row r="138">
      <c r="A138" s="48" t="inlineStr">
        <is>
          <t>TCKH.V_CUSTOMER_SEGMENT_RB</t>
        </is>
      </c>
      <c r="B138" s="48" t="inlineStr">
        <is>
          <t>GOLD_DERIVED</t>
        </is>
      </c>
      <c r="C138" s="48" t="inlineStr">
        <is>
          <t>X.6</t>
        </is>
      </c>
      <c r="D138" s="48" t="inlineStr">
        <is>
          <t>Nhom X - Bo sung Raffles</t>
        </is>
      </c>
      <c r="E138" s="48" t="inlineStr">
        <is>
          <t>[Bổ sung] Satellite phải LEFT JOIN, không INNER JOIN</t>
        </is>
      </c>
      <c r="F138" s="48" t="inlineStr">
        <is>
          <t>N-A</t>
        </is>
      </c>
      <c r="G138" s="48" t="inlineStr">
        <is>
          <t>Pass</t>
        </is>
      </c>
      <c r="H138" s="50" t="inlineStr">
        <is>
          <t>khong ap dung cho profile GOLD_DERIVED</t>
        </is>
      </c>
      <c r="I138" s="50" t="inlineStr">
        <is>
          <t>Technical Document III.4.2.2 nguyên tắc 1: làm giàu thuộc tính luôn dùng LEFT JOIN. INNER JOIN satellite sẽ loại mất bản ghi Hub đang còn hiệu lực nhưng chưa có dòng satellite.</t>
        </is>
      </c>
      <c r="J138" s="48" t="inlineStr">
        <is>
          <t>007. OCB_GOLD_TCKH_V_CUSTOMER_SEGMENT_RB_PHAT.xlsx [Script: V_CUSTOMER_SEGMENT_RB]</t>
        </is>
      </c>
    </row>
    <row r="139">
      <c r="A139" s="48" t="inlineStr">
        <is>
          <t>TCKH.V_CUSTOMER_SEGMENT_RB</t>
        </is>
      </c>
      <c r="B139" s="48" t="inlineStr">
        <is>
          <t>GOLD_DERIVED</t>
        </is>
      </c>
      <c r="C139" s="48" t="inlineStr">
        <is>
          <t>X.7</t>
        </is>
      </c>
      <c r="D139" s="48" t="inlineStr">
        <is>
          <t>Nhom X - Bo sung Raffles</t>
        </is>
      </c>
      <c r="E139" s="48" t="inlineStr">
        <is>
          <t>[Bổ sung] Không hard-code catalog, dùng biến môi trường</t>
        </is>
      </c>
      <c r="F139" s="49" t="inlineStr">
        <is>
          <t>PASS</t>
        </is>
      </c>
      <c r="G139" s="48" t="inlineStr">
        <is>
          <t>Pass</t>
        </is>
      </c>
      <c r="H139" s="50" t="inlineStr">
        <is>
          <t>dùng biến môi trường cho catalog</t>
        </is>
      </c>
      <c r="I13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9" s="48" t="inlineStr">
        <is>
          <t>007. OCB_GOLD_TCKH_V_CUSTOMER_SEGMENT_RB_PHAT.xlsx [Script: V_CUSTOMER_SEGMENT_RB]</t>
        </is>
      </c>
    </row>
    <row r="140">
      <c r="A140" s="48" t="inlineStr">
        <is>
          <t>TCKH.V_CUST_STATUS</t>
        </is>
      </c>
      <c r="B140" s="48" t="inlineStr">
        <is>
          <t>GOLD_DERIVED</t>
        </is>
      </c>
      <c r="C140" s="48" t="inlineStr">
        <is>
          <t>1.1</t>
        </is>
      </c>
      <c r="D140" s="48" t="inlineStr">
        <is>
          <t>Nhom 1 - Mapping</t>
        </is>
      </c>
      <c r="E140" s="48" t="inlineStr">
        <is>
          <t>Đầy đủ mapping từ Silver/manual sang Gold</t>
        </is>
      </c>
      <c r="F140" s="49" t="inlineStr">
        <is>
          <t>PASS</t>
        </is>
      </c>
      <c r="G140" s="48" t="inlineStr">
        <is>
          <t>Pass</t>
        </is>
      </c>
      <c r="H140" s="50" t="inlineStr">
        <is>
          <t>workbook 008. OCB_GOLD_TCKH_V_CUST_STATUS_BAOANH.xlsx: thiết kế 6 field, SQL có 6 cột</t>
        </is>
      </c>
      <c r="I140"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0" s="48" t="inlineStr">
        <is>
          <t>008. OCB_GOLD_TCKH_V_CUST_STATUS_BAOANH.xlsx [Script: V_CUST_STATUS]</t>
        </is>
      </c>
    </row>
    <row r="141">
      <c r="A141" s="48" t="inlineStr">
        <is>
          <t>TCKH.V_CUST_STATUS</t>
        </is>
      </c>
      <c r="B141" s="48" t="inlineStr">
        <is>
          <t>GOLD_DERIVED</t>
        </is>
      </c>
      <c r="C141" s="48" t="inlineStr">
        <is>
          <t>1.2</t>
        </is>
      </c>
      <c r="D141" s="48" t="inlineStr">
        <is>
          <t>Nhom 1 - Mapping</t>
        </is>
      </c>
      <c r="E141" s="48" t="inlineStr">
        <is>
          <t>Danh sách bảng/view Gold khớp tài liệu thiết kế đã duyệt</t>
        </is>
      </c>
      <c r="F141" s="49" t="inlineStr">
        <is>
          <t>PASS</t>
        </is>
      </c>
      <c r="G141" s="48" t="inlineStr">
        <is>
          <t>Pass</t>
        </is>
      </c>
      <c r="H141" s="50" t="inlineStr">
        <is>
          <t>V_CUST_STATUS có workbook thiết kế: 008. OCB_GOLD_TCKH_V_CUST_STATUS_BAOANH.xlsx</t>
        </is>
      </c>
      <c r="I141" s="50" t="inlineStr">
        <is>
          <t>Đảm bảo object có workbook thiết kế tương ứng trong thư mục --mapping-dir. Muốn đối chiếu với danh sách đã duyệt thì chạy thêm tham số --gold-list "&lt;file danh sách Gold&gt;.xlsx".</t>
        </is>
      </c>
      <c r="J141" s="48" t="inlineStr">
        <is>
          <t>008. OCB_GOLD_TCKH_V_CUST_STATUS_BAOANH.xlsx [Script: V_CUST_STATUS]</t>
        </is>
      </c>
    </row>
    <row r="142">
      <c r="A142" s="48" t="inlineStr">
        <is>
          <t>TCKH.V_CUST_STATUS</t>
        </is>
      </c>
      <c r="B142" s="48" t="inlineStr">
        <is>
          <t>GOLD_DERIVED</t>
        </is>
      </c>
      <c r="C142" s="48" t="inlineStr">
        <is>
          <t>2.1</t>
        </is>
      </c>
      <c r="D142" s="48" t="inlineStr">
        <is>
          <t>Nhom 2 - Logic</t>
        </is>
      </c>
      <c r="E142" s="48" t="inlineStr">
        <is>
          <t>Chỉ lấy bản ghi active, loại bản ghi đã xóa (qua sts_hub)</t>
        </is>
      </c>
      <c r="F142" s="48" t="inlineStr">
        <is>
          <t>N-A</t>
        </is>
      </c>
      <c r="G142" s="48" t="inlineStr">
        <is>
          <t>Pass</t>
        </is>
      </c>
      <c r="H142" s="50" t="inlineStr">
        <is>
          <t>khong ap dung cho profile GOLD_DERIVED</t>
        </is>
      </c>
      <c r="I142"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2" s="48" t="inlineStr">
        <is>
          <t>008. OCB_GOLD_TCKH_V_CUST_STATUS_BAOANH.xlsx [Script: V_CUST_STATUS]</t>
        </is>
      </c>
    </row>
    <row r="143">
      <c r="A143" s="48" t="inlineStr">
        <is>
          <t>TCKH.V_CUST_STATUS</t>
        </is>
      </c>
      <c r="B143" s="48" t="inlineStr">
        <is>
          <t>GOLD_DERIVED</t>
        </is>
      </c>
      <c r="C143" s="48" t="inlineStr">
        <is>
          <t>2.2</t>
        </is>
      </c>
      <c r="D143" s="48" t="inlineStr">
        <is>
          <t>Nhom 2 - Logic</t>
        </is>
      </c>
      <c r="E143" s="48" t="inlineStr">
        <is>
          <t>Thống nhất MỘT pattern duy nhất xác định bản ghi active mới nhất</t>
        </is>
      </c>
      <c r="F143" s="48" t="inlineStr">
        <is>
          <t>N-A</t>
        </is>
      </c>
      <c r="G143" s="48" t="inlineStr">
        <is>
          <t>Pass</t>
        </is>
      </c>
      <c r="H143" s="50" t="inlineStr">
        <is>
          <t>khong ap dung cho profile GOLD_DERIVED</t>
        </is>
      </c>
      <c r="I143"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3" s="48" t="inlineStr">
        <is>
          <t>008. OCB_GOLD_TCKH_V_CUST_STATUS_BAOANH.xlsx [Script: V_CUST_STATUS]</t>
        </is>
      </c>
    </row>
    <row r="144">
      <c r="A144" s="48" t="inlineStr">
        <is>
          <t>TCKH.V_CUST_STATUS</t>
        </is>
      </c>
      <c r="B144" s="48" t="inlineStr">
        <is>
          <t>GOLD_DERIVED</t>
        </is>
      </c>
      <c r="C144" s="48" t="inlineStr">
        <is>
          <t>2.3</t>
        </is>
      </c>
      <c r="D144" s="48" t="inlineStr">
        <is>
          <t>Nhom 2 - Logic</t>
        </is>
      </c>
      <c r="E144" s="48" t="inlineStr">
        <is>
          <t>Điều kiện lọc trạng thái đặt SAU khi xác định bản ghi mới nhất</t>
        </is>
      </c>
      <c r="F144" s="49" t="inlineStr">
        <is>
          <t>PASS</t>
        </is>
      </c>
      <c r="G144" s="48" t="inlineStr">
        <is>
          <t>Pass</t>
        </is>
      </c>
      <c r="H144" s="50" t="inlineStr">
        <is>
          <t>không có điều kiện trạng thái nào lồng trong JOIN ON</t>
        </is>
      </c>
      <c r="I144"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4" s="48" t="inlineStr">
        <is>
          <t>008. OCB_GOLD_TCKH_V_CUST_STATUS_BAOANH.xlsx [Script: V_CUST_STATUS]</t>
        </is>
      </c>
    </row>
    <row r="145">
      <c r="A145" s="48" t="inlineStr">
        <is>
          <t>TCKH.V_CUST_STATUS</t>
        </is>
      </c>
      <c r="B145" s="48" t="inlineStr">
        <is>
          <t>GOLD_DERIVED</t>
        </is>
      </c>
      <c r="C145" s="48" t="inlineStr">
        <is>
          <t>2.4</t>
        </is>
      </c>
      <c r="D145" s="48" t="inlineStr">
        <is>
          <t>Nhom 2 - Logic</t>
        </is>
      </c>
      <c r="E145" s="48" t="inlineStr">
        <is>
          <t>source_event_date áp dụng đúng dạng theo loại bảng</t>
        </is>
      </c>
      <c r="F145" s="48" t="inlineStr">
        <is>
          <t>N-A</t>
        </is>
      </c>
      <c r="G145" s="48" t="inlineStr">
        <is>
          <t>Pass</t>
        </is>
      </c>
      <c r="H145" s="50" t="inlineStr">
        <is>
          <t>khong ap dung cho profile GOLD_DERIVED</t>
        </is>
      </c>
      <c r="I145"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5" s="48" t="inlineStr">
        <is>
          <t>008. OCB_GOLD_TCKH_V_CUST_STATUS_BAOANH.xlsx [Script: V_CUST_STATUS]</t>
        </is>
      </c>
    </row>
    <row r="146">
      <c r="A146" s="48" t="inlineStr">
        <is>
          <t>TCKH.V_CUST_STATUS</t>
        </is>
      </c>
      <c r="B146" s="48" t="inlineStr">
        <is>
          <t>GOLD_DERIVED</t>
        </is>
      </c>
      <c r="C146" s="48" t="inlineStr">
        <is>
          <t>2.5</t>
        </is>
      </c>
      <c r="D146" s="48" t="inlineStr">
        <is>
          <t>Nhom 2 - Logic</t>
        </is>
      </c>
      <c r="E146" s="48" t="inlineStr">
        <is>
          <t>Không lặp lại lỗi logic cũ đã được DA Data Vault fix</t>
        </is>
      </c>
      <c r="F146" s="49" t="inlineStr">
        <is>
          <t>PASS</t>
        </is>
      </c>
      <c r="G146" s="48" t="inlineStr">
        <is>
          <t>Pass</t>
        </is>
      </c>
      <c r="H146" s="50" t="inlineStr">
        <is>
          <t>không trùng lỗi nào trong Issue log của DA Data Vault</t>
        </is>
      </c>
      <c r="I146"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6" s="48" t="inlineStr">
        <is>
          <t>008. OCB_GOLD_TCKH_V_CUST_STATUS_BAOANH.xlsx [Script: V_CUST_STATUS]</t>
        </is>
      </c>
    </row>
    <row r="147">
      <c r="A147" s="48" t="inlineStr">
        <is>
          <t>TCKH.V_CUST_STATUS</t>
        </is>
      </c>
      <c r="B147" s="48" t="inlineStr">
        <is>
          <t>GOLD_DERIVED</t>
        </is>
      </c>
      <c r="C147" s="48" t="inlineStr">
        <is>
          <t>2.6</t>
        </is>
      </c>
      <c r="D147" s="48" t="inlineStr">
        <is>
          <t>Nhom 2 - Logic</t>
        </is>
      </c>
      <c r="E147" s="48" t="inlineStr">
        <is>
          <t>SCD Type 2 cho bảng DIM áp dụng đúng kỹ thuật đã thống nhất</t>
        </is>
      </c>
      <c r="F147" s="48" t="inlineStr">
        <is>
          <t>N-A</t>
        </is>
      </c>
      <c r="G147" s="48" t="inlineStr">
        <is>
          <t>Pass</t>
        </is>
      </c>
      <c r="H147" s="50" t="inlineStr">
        <is>
          <t>object không phải bảng DIM nên không áp dụng SCD Type 2</t>
        </is>
      </c>
      <c r="I147"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7" s="48" t="inlineStr">
        <is>
          <t>008. OCB_GOLD_TCKH_V_CUST_STATUS_BAOANH.xlsx [Script: V_CUST_STATUS]</t>
        </is>
      </c>
    </row>
    <row r="148">
      <c r="A148" s="48" t="inlineStr">
        <is>
          <t>TCKH.V_CUST_STATUS</t>
        </is>
      </c>
      <c r="B148" s="48" t="inlineStr">
        <is>
          <t>GOLD_DERIVED</t>
        </is>
      </c>
      <c r="C148" s="48" t="inlineStr">
        <is>
          <t>2.7</t>
        </is>
      </c>
      <c r="D148" s="48" t="inlineStr">
        <is>
          <t>Nhom 2 - Logic</t>
        </is>
      </c>
      <c r="E148" s="48" t="inlineStr">
        <is>
          <t>CASE WHEN cover đủ nhánh như job on-prem</t>
        </is>
      </c>
      <c r="F148" s="48" t="inlineStr">
        <is>
          <t>N-A</t>
        </is>
      </c>
      <c r="G148" s="48" t="inlineStr">
        <is>
          <t>Pass</t>
        </is>
      </c>
      <c r="H148" s="50" t="inlineStr">
        <is>
          <t>script không có CASE WHEN nào</t>
        </is>
      </c>
      <c r="I148" s="50" t="inlineStr">
        <is>
          <t>Mở job on-prem tương ứng (DataStage DSX hoặc SQL cũ), đối chiếu từng nhánh WHEN và cả nhánh ELSE. CASE không có ELSE sẽ trả NULL âm thầm — xác nhận đó là ý muốn hay thiếu nhánh.</t>
        </is>
      </c>
      <c r="J148" s="48" t="inlineStr">
        <is>
          <t>008. OCB_GOLD_TCKH_V_CUST_STATUS_BAOANH.xlsx [Script: V_CUST_STATUS]</t>
        </is>
      </c>
    </row>
    <row r="149">
      <c r="A149" s="48" t="inlineStr">
        <is>
          <t>TCKH.V_CUST_STATUS</t>
        </is>
      </c>
      <c r="B149" s="48" t="inlineStr">
        <is>
          <t>GOLD_DERIVED</t>
        </is>
      </c>
      <c r="C149" s="48" t="inlineStr">
        <is>
          <t>2.8</t>
        </is>
      </c>
      <c r="D149" s="48" t="inlineStr">
        <is>
          <t>Nhom 2 - Logic</t>
        </is>
      </c>
      <c r="E149" s="48" t="inlineStr">
        <is>
          <t>Cột SUM/COUNT được COALESCE/NVL hợp lý</t>
        </is>
      </c>
      <c r="F149" s="49" t="inlineStr">
        <is>
          <t>PASS</t>
        </is>
      </c>
      <c r="G149" s="48" t="inlineStr">
        <is>
          <t>Pass</t>
        </is>
      </c>
      <c r="H149" s="50" t="inlineStr">
        <is>
          <t>mọi SUM/COUNT đều đã coalesce (trực tiếp hoặc ở lớp ngoài)</t>
        </is>
      </c>
      <c r="I149"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9" s="48" t="inlineStr">
        <is>
          <t>008. OCB_GOLD_TCKH_V_CUST_STATUS_BAOANH.xlsx [Script: V_CUST_STATUS]</t>
        </is>
      </c>
    </row>
    <row r="150">
      <c r="A150" s="48" t="inlineStr">
        <is>
          <t>TCKH.V_CUST_STATUS</t>
        </is>
      </c>
      <c r="B150" s="48" t="inlineStr">
        <is>
          <t>GOLD_DERIVED</t>
        </is>
      </c>
      <c r="C150" s="48" t="inlineStr">
        <is>
          <t>2.9</t>
        </is>
      </c>
      <c r="D150" s="48" t="inlineStr">
        <is>
          <t>Nhom 2 - Logic</t>
        </is>
      </c>
      <c r="E150" s="48" t="inlineStr">
        <is>
          <t>Subquery / custom function / điều kiện LIKE đúng ý nghĩa nghiệp vụ</t>
        </is>
      </c>
      <c r="F150" s="48" t="inlineStr">
        <is>
          <t>N-A</t>
        </is>
      </c>
      <c r="G150" s="48" t="inlineStr">
        <is>
          <t>Pass</t>
        </is>
      </c>
      <c r="H150" s="50" t="inlineStr">
        <is>
          <t>script không có điều kiện LIKE hay scalar subquery nào</t>
        </is>
      </c>
      <c r="I150" s="50" t="inlineStr">
        <is>
          <t>Đọc lại từng điều kiện LIKE và từng subquery, đối chiếu ý nghĩa nghiệp vụ với on-prem — đúng cú pháp không đủ. Chú ý pattern LIKE có ký tự % ở đầu/cuối và phân biệt chữ hoa/thường.</t>
        </is>
      </c>
      <c r="J150" s="48" t="inlineStr">
        <is>
          <t>008. OCB_GOLD_TCKH_V_CUST_STATUS_BAOANH.xlsx [Script: V_CUST_STATUS]</t>
        </is>
      </c>
    </row>
    <row r="151">
      <c r="A151" s="48" t="inlineStr">
        <is>
          <t>TCKH.V_CUST_STATUS</t>
        </is>
      </c>
      <c r="B151" s="48" t="inlineStr">
        <is>
          <t>GOLD_DERIVED</t>
        </is>
      </c>
      <c r="C151" s="48" t="inlineStr">
        <is>
          <t>2.10</t>
        </is>
      </c>
      <c r="D151" s="48" t="inlineStr">
        <is>
          <t>Nhom 2 - Logic</t>
        </is>
      </c>
      <c r="E151" s="48" t="inlineStr">
        <is>
          <t>Aggregation kèm filter date range chính xác</t>
        </is>
      </c>
      <c r="F151" s="49" t="inlineStr">
        <is>
          <t>PASS</t>
        </is>
      </c>
      <c r="G151" s="48" t="inlineStr">
        <is>
          <t>Pass</t>
        </is>
      </c>
      <c r="H151" s="50" t="inlineStr">
        <is>
          <t>mọi khối tổng hợp đều có điều kiện theo kỳ dữ liệu</t>
        </is>
      </c>
      <c r="I151" s="50" t="inlineStr">
        <is>
          <t>Mỗi khối SUM/COUNT/AVG phải có điều kiện lọc theo kỳ dữ liệu (CDR_DT_ID, DATA_DATE, :DATADT…). Nếu điều kiện nằm ở CTE nguồn thì ghi rõ trong comment để người review không phải truy ngược.</t>
        </is>
      </c>
      <c r="J151" s="48" t="inlineStr">
        <is>
          <t>008. OCB_GOLD_TCKH_V_CUST_STATUS_BAOANH.xlsx [Script: V_CUST_STATUS]</t>
        </is>
      </c>
    </row>
    <row r="152">
      <c r="A152" s="48" t="inlineStr">
        <is>
          <t>TCKH.V_CUST_STATUS</t>
        </is>
      </c>
      <c r="B152" s="48" t="inlineStr">
        <is>
          <t>GOLD_DERIVED</t>
        </is>
      </c>
      <c r="C152" s="48" t="inlineStr">
        <is>
          <t>2.11</t>
        </is>
      </c>
      <c r="D152" s="48" t="inlineStr">
        <is>
          <t>Nhom 2 - Logic</t>
        </is>
      </c>
      <c r="E152" s="48" t="inlineStr">
        <is>
          <t>Join dùng key hợp lý, không lạm dụng UNION ALL + EXISTS/NOT EXISTS</t>
        </is>
      </c>
      <c r="F152" s="49" t="inlineStr">
        <is>
          <t>PASS</t>
        </is>
      </c>
      <c r="G152" s="48" t="inlineStr">
        <is>
          <t>Pass</t>
        </is>
      </c>
      <c r="H152" s="50" t="inlineStr">
        <is>
          <t>join đều theo điều kiện bằng, không lạm dụng UNION ALL + EXISTS</t>
        </is>
      </c>
      <c r="I152" s="50" t="inlineStr">
        <is>
          <t>Ưu tiên LEFT JOIN theo business key hoặc hashkey. Xem lại các chỗ dùng UNION ALL kết hợp EXISTS/NOT EXISTS — thường thay được bằng một LEFT JOIN. Join không có điều kiện bằng (=) dễ tạo tích Descartes.</t>
        </is>
      </c>
      <c r="J152" s="48" t="inlineStr">
        <is>
          <t>008. OCB_GOLD_TCKH_V_CUST_STATUS_BAOANH.xlsx [Script: V_CUST_STATUS]</t>
        </is>
      </c>
    </row>
    <row r="153">
      <c r="A153" s="48" t="inlineStr">
        <is>
          <t>TCKH.V_CUST_STATUS</t>
        </is>
      </c>
      <c r="B153" s="48" t="inlineStr">
        <is>
          <t>GOLD_DERIVED</t>
        </is>
      </c>
      <c r="C153" s="48" t="inlineStr">
        <is>
          <t>2.12</t>
        </is>
      </c>
      <c r="D153" s="48" t="inlineStr">
        <is>
          <t>Nhom 2 - Logic</t>
        </is>
      </c>
      <c r="E153" s="48" t="inlineStr">
        <is>
          <t>Build Gold từ CTE snapshot Silver, không build nhiều tầng chồng chéo</t>
        </is>
      </c>
      <c r="F153" s="49" t="inlineStr">
        <is>
          <t>PASS</t>
        </is>
      </c>
      <c r="G153" s="48" t="inlineStr">
        <is>
          <t>Pass</t>
        </is>
      </c>
      <c r="H153" s="50" t="inlineStr">
        <is>
          <t>mỗi bảng nguồn chỉ đọc trong 1 khối SELECT</t>
        </is>
      </c>
      <c r="I153"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3" s="48" t="inlineStr">
        <is>
          <t>008. OCB_GOLD_TCKH_V_CUST_STATUS_BAOANH.xlsx [Script: V_CUST_STATUS]</t>
        </is>
      </c>
    </row>
    <row r="154">
      <c r="A154" s="48" t="inlineStr">
        <is>
          <t>TCKH.V_CUST_STATUS</t>
        </is>
      </c>
      <c r="B154" s="48" t="inlineStr">
        <is>
          <t>GOLD_DERIVED</t>
        </is>
      </c>
      <c r="C154" s="48" t="inlineStr">
        <is>
          <t>3.1</t>
        </is>
      </c>
      <c r="D154" s="48" t="inlineStr">
        <is>
          <t>Nhom 3 - Optimization</t>
        </is>
      </c>
      <c r="E154" s="48" t="inlineStr">
        <is>
          <t>Không SELECT *</t>
        </is>
      </c>
      <c r="F154" s="49" t="inlineStr">
        <is>
          <t>PASS</t>
        </is>
      </c>
      <c r="G154" s="48" t="inlineStr">
        <is>
          <t>Pass</t>
        </is>
      </c>
      <c r="H154" s="50" t="inlineStr">
        <is>
          <t>không dùng SELECT * ở đâu</t>
        </is>
      </c>
      <c r="I154" s="50" t="inlineStr">
        <is>
          <t>Liệt kê tường minh các cột cần dùng, kể cả trong CTE trung gian. SELECT * làm tăng IO/memory và vỡ script khi bảng nguồn thêm cột.</t>
        </is>
      </c>
      <c r="J154" s="48" t="inlineStr">
        <is>
          <t>008. OCB_GOLD_TCKH_V_CUST_STATUS_BAOANH.xlsx [Script: V_CUST_STATUS]</t>
        </is>
      </c>
    </row>
    <row r="155">
      <c r="A155" s="48" t="inlineStr">
        <is>
          <t>TCKH.V_CUST_STATUS</t>
        </is>
      </c>
      <c r="B155" s="48" t="inlineStr">
        <is>
          <t>GOLD_DERIVED</t>
        </is>
      </c>
      <c r="C155" s="48" t="inlineStr">
        <is>
          <t>3.2</t>
        </is>
      </c>
      <c r="D155" s="48" t="inlineStr">
        <is>
          <t>Nhom 3 - Optimization</t>
        </is>
      </c>
      <c r="E155" s="48" t="inlineStr">
        <is>
          <t>CTE không bị scan lại nhiều lần</t>
        </is>
      </c>
      <c r="F155" s="49" t="inlineStr">
        <is>
          <t>PASS</t>
        </is>
      </c>
      <c r="G155" s="48" t="inlineStr">
        <is>
          <t>Pass</t>
        </is>
      </c>
      <c r="H155" s="50" t="inlineStr">
        <is>
          <t>không có CTE nào bị gọi lại</t>
        </is>
      </c>
      <c r="I155" s="50" t="inlineStr">
        <is>
          <t>Với CTE nặng (đọc nhiều bảng Silver) bị tham chiếu từ 2 chỗ trở lên: gom lại còn một lần dùng, hoặc vật chất hóa (CACHE / bảng tạm). CTE nhẹ chỉ chứa tham số thì bỏ qua được — tự tick Pass.</t>
        </is>
      </c>
      <c r="J155" s="48" t="inlineStr">
        <is>
          <t>008. OCB_GOLD_TCKH_V_CUST_STATUS_BAOANH.xlsx [Script: V_CUST_STATUS]</t>
        </is>
      </c>
    </row>
    <row r="156">
      <c r="A156" s="48" t="inlineStr">
        <is>
          <t>TCKH.V_CUST_STATUS</t>
        </is>
      </c>
      <c r="B156" s="48" t="inlineStr">
        <is>
          <t>GOLD_DERIVED</t>
        </is>
      </c>
      <c r="C156" s="48" t="inlineStr">
        <is>
          <t>3.3</t>
        </is>
      </c>
      <c r="D156" s="48" t="inlineStr">
        <is>
          <t>Nhom 3 - Optimization</t>
        </is>
      </c>
      <c r="E156" s="48" t="inlineStr">
        <is>
          <t>Filter trước khi join, tận dụng partition pruning</t>
        </is>
      </c>
      <c r="F156" s="49" t="inlineStr">
        <is>
          <t>PASS</t>
        </is>
      </c>
      <c r="G156" s="48" t="inlineStr">
        <is>
          <t>Pass</t>
        </is>
      </c>
      <c r="H156" s="50" t="inlineStr">
        <is>
          <t>các bảng join đều được filter trước</t>
        </is>
      </c>
      <c r="I156" s="50" t="inlineStr">
        <is>
          <t>Đưa điều kiện lọc (ngày dữ liệu, trạng thái) vào subquery của từng bảng TRƯỚC khi join, để tận dụng partition pruning. Bảng dim nhỏ không partition thì không cần — tự tick Pass.</t>
        </is>
      </c>
      <c r="J156" s="48" t="inlineStr">
        <is>
          <t>008. OCB_GOLD_TCKH_V_CUST_STATUS_BAOANH.xlsx [Script: V_CUST_STATUS]</t>
        </is>
      </c>
    </row>
    <row r="157">
      <c r="A157" s="48" t="inlineStr">
        <is>
          <t>TCKH.V_CUST_STATUS</t>
        </is>
      </c>
      <c r="B157" s="48" t="inlineStr">
        <is>
          <t>GOLD_DERIVED</t>
        </is>
      </c>
      <c r="C157" s="48" t="inlineStr">
        <is>
          <t>3.4</t>
        </is>
      </c>
      <c r="D157" s="48" t="inlineStr">
        <is>
          <t>Nhom 3 - Optimization</t>
        </is>
      </c>
      <c r="E157" s="48" t="inlineStr">
        <is>
          <t>Sử dụng CACHE cho query lặp lại trong cùng luồng</t>
        </is>
      </c>
      <c r="F157" s="48" t="inlineStr">
        <is>
          <t>N-A</t>
        </is>
      </c>
      <c r="G157" s="48" t="inlineStr">
        <is>
          <t>Pass</t>
        </is>
      </c>
      <c r="H157" s="50" t="inlineStr">
        <is>
          <t>không có kết quả nào được dùng lại nhiều lần nên chưa cần CACHE</t>
        </is>
      </c>
      <c r="I157" s="50" t="inlineStr">
        <is>
          <t>Nếu một kết quả nặng được dùng lại nhiều bước trong cùng luồng, thêm CACHE TABLE / CACHE SELECT. Kết quả nhỏ thì cache còn chậm hơn — tự tick Pass.</t>
        </is>
      </c>
      <c r="J157" s="48" t="inlineStr">
        <is>
          <t>008. OCB_GOLD_TCKH_V_CUST_STATUS_BAOANH.xlsx [Script: V_CUST_STATUS]</t>
        </is>
      </c>
    </row>
    <row r="158">
      <c r="A158" s="48" t="inlineStr">
        <is>
          <t>TCKH.V_CUST_STATUS</t>
        </is>
      </c>
      <c r="B158" s="48" t="inlineStr">
        <is>
          <t>GOLD_DERIVED</t>
        </is>
      </c>
      <c r="C158" s="48" t="inlineStr">
        <is>
          <t>3.5</t>
        </is>
      </c>
      <c r="D158" s="48" t="inlineStr">
        <is>
          <t>Nhom 3 - Optimization</t>
        </is>
      </c>
      <c r="E158" s="48" t="inlineStr">
        <is>
          <t>Ưu tiên MAX_BY + QUALIFY thay ROW_NUMBER() + WHERE rn = 1</t>
        </is>
      </c>
      <c r="F158" s="48" t="inlineStr">
        <is>
          <t>N-A</t>
        </is>
      </c>
      <c r="G158" s="48" t="inlineStr">
        <is>
          <t>Pass</t>
        </is>
      </c>
      <c r="H158" s="50" t="inlineStr">
        <is>
          <t>script không dùng ROW_NUMBER</t>
        </is>
      </c>
      <c r="I158"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8" s="48" t="inlineStr">
        <is>
          <t>008. OCB_GOLD_TCKH_V_CUST_STATUS_BAOANH.xlsx [Script: V_CUST_STATUS]</t>
        </is>
      </c>
    </row>
    <row r="159">
      <c r="A159" s="48" t="inlineStr">
        <is>
          <t>TCKH.V_CUST_STATUS</t>
        </is>
      </c>
      <c r="B159" s="48" t="inlineStr">
        <is>
          <t>GOLD_DERIVED</t>
        </is>
      </c>
      <c r="C159" s="48" t="inlineStr">
        <is>
          <t>3.6</t>
        </is>
      </c>
      <c r="D159" s="48" t="inlineStr">
        <is>
          <t>Nhom 3 - Optimization</t>
        </is>
      </c>
      <c r="E159" s="48" t="inlineStr">
        <is>
          <t>Không lạm dụng window function; có comment khi dùng</t>
        </is>
      </c>
      <c r="F159" s="48" t="inlineStr">
        <is>
          <t>N-A</t>
        </is>
      </c>
      <c r="G159" s="48" t="inlineStr">
        <is>
          <t>Pass</t>
        </is>
      </c>
      <c r="H159" s="50" t="inlineStr">
        <is>
          <t>script không dùng window function</t>
        </is>
      </c>
      <c r="I159" s="50" t="inlineStr">
        <is>
          <t>Mỗi window function cần một comment ngay trên khối CTE chứa nó, nói rõ vì sao không dùng được max_by/QUALIFY đơn giản hơn.</t>
        </is>
      </c>
      <c r="J159" s="48" t="inlineStr">
        <is>
          <t>008. OCB_GOLD_TCKH_V_CUST_STATUS_BAOANH.xlsx [Script: V_CUST_STATUS]</t>
        </is>
      </c>
    </row>
    <row r="160">
      <c r="A160" s="48" t="inlineStr">
        <is>
          <t>TCKH.V_CUST_STATUS</t>
        </is>
      </c>
      <c r="B160" s="48" t="inlineStr">
        <is>
          <t>GOLD_DERIVED</t>
        </is>
      </c>
      <c r="C160" s="48" t="inlineStr">
        <is>
          <t>X.1</t>
        </is>
      </c>
      <c r="D160" s="48" t="inlineStr">
        <is>
          <t>Nhom X - Bo sung Raffles</t>
        </is>
      </c>
      <c r="E160" s="48" t="inlineStr">
        <is>
          <t>[Bổ sung] Link phải rút về current trước khi join (chống fan-out)</t>
        </is>
      </c>
      <c r="F160" s="48" t="inlineStr">
        <is>
          <t>N-A</t>
        </is>
      </c>
      <c r="G160" s="48" t="inlineStr">
        <is>
          <t>Pass</t>
        </is>
      </c>
      <c r="H160" s="50" t="inlineStr">
        <is>
          <t>khong ap dung cho profile GOLD_DERIVED</t>
        </is>
      </c>
      <c r="I160"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0" s="48" t="inlineStr">
        <is>
          <t>008. OCB_GOLD_TCKH_V_CUST_STATUS_BAOANH.xlsx [Script: V_CUST_STATUS]</t>
        </is>
      </c>
    </row>
    <row r="161">
      <c r="A161" s="48" t="inlineStr">
        <is>
          <t>TCKH.V_CUST_STATUS</t>
        </is>
      </c>
      <c r="B161" s="48" t="inlineStr">
        <is>
          <t>GOLD_DERIVED</t>
        </is>
      </c>
      <c r="C161" s="48" t="inlineStr">
        <is>
          <t>X.6</t>
        </is>
      </c>
      <c r="D161" s="48" t="inlineStr">
        <is>
          <t>Nhom X - Bo sung Raffles</t>
        </is>
      </c>
      <c r="E161" s="48" t="inlineStr">
        <is>
          <t>[Bổ sung] Satellite phải LEFT JOIN, không INNER JOIN</t>
        </is>
      </c>
      <c r="F161" s="48" t="inlineStr">
        <is>
          <t>N-A</t>
        </is>
      </c>
      <c r="G161" s="48" t="inlineStr">
        <is>
          <t>Pass</t>
        </is>
      </c>
      <c r="H161" s="50" t="inlineStr">
        <is>
          <t>khong ap dung cho profile GOLD_DERIVED</t>
        </is>
      </c>
      <c r="I161" s="50" t="inlineStr">
        <is>
          <t>Technical Document III.4.2.2 nguyên tắc 1: làm giàu thuộc tính luôn dùng LEFT JOIN. INNER JOIN satellite sẽ loại mất bản ghi Hub đang còn hiệu lực nhưng chưa có dòng satellite.</t>
        </is>
      </c>
      <c r="J161" s="48" t="inlineStr">
        <is>
          <t>008. OCB_GOLD_TCKH_V_CUST_STATUS_BAOANH.xlsx [Script: V_CUST_STATUS]</t>
        </is>
      </c>
    </row>
    <row r="162">
      <c r="A162" s="48" t="inlineStr">
        <is>
          <t>TCKH.V_CUST_STATUS</t>
        </is>
      </c>
      <c r="B162" s="48" t="inlineStr">
        <is>
          <t>GOLD_DERIVED</t>
        </is>
      </c>
      <c r="C162" s="48" t="inlineStr">
        <is>
          <t>X.7</t>
        </is>
      </c>
      <c r="D162" s="48" t="inlineStr">
        <is>
          <t>Nhom X - Bo sung Raffles</t>
        </is>
      </c>
      <c r="E162" s="48" t="inlineStr">
        <is>
          <t>[Bổ sung] Không hard-code catalog, dùng biến môi trường</t>
        </is>
      </c>
      <c r="F162" s="49" t="inlineStr">
        <is>
          <t>PASS</t>
        </is>
      </c>
      <c r="G162" s="48" t="inlineStr">
        <is>
          <t>Pass</t>
        </is>
      </c>
      <c r="H162" s="50" t="inlineStr">
        <is>
          <t>dùng biến môi trường cho catalog</t>
        </is>
      </c>
      <c r="I162"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2" s="48" t="inlineStr">
        <is>
          <t>008. OCB_GOLD_TCKH_V_CUST_STATUS_BAOANH.xlsx [Script: V_CUST_STATUS]</t>
        </is>
      </c>
    </row>
    <row r="163">
      <c r="A163" s="48" t="inlineStr">
        <is>
          <t>TCKH.V_CUST_STATUS_NEW</t>
        </is>
      </c>
      <c r="B163" s="48" t="inlineStr">
        <is>
          <t>GOLD_DERIVED</t>
        </is>
      </c>
      <c r="C163" s="48" t="inlineStr">
        <is>
          <t>1.1</t>
        </is>
      </c>
      <c r="D163" s="48" t="inlineStr">
        <is>
          <t>Nhom 1 - Mapping</t>
        </is>
      </c>
      <c r="E163" s="48" t="inlineStr">
        <is>
          <t>Đầy đủ mapping từ Silver/manual sang Gold</t>
        </is>
      </c>
      <c r="F163" s="49" t="inlineStr">
        <is>
          <t>PASS</t>
        </is>
      </c>
      <c r="G163" s="48" t="inlineStr">
        <is>
          <t>Pass</t>
        </is>
      </c>
      <c r="H163" s="50" t="inlineStr">
        <is>
          <t>workbook 009. OCB_GOLD_TCKH_V_CUST_STATUS_NEW_BAOANH.xlsx: thiết kế 28 field, SQL có 28 cột</t>
        </is>
      </c>
      <c r="I163"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3" s="48" t="inlineStr">
        <is>
          <t>009. OCB_GOLD_TCKH_V_CUST_STATUS_NEW_BAOANH.xlsx [Script: V_CUST_STATUS_NEW]</t>
        </is>
      </c>
    </row>
    <row r="164">
      <c r="A164" s="48" t="inlineStr">
        <is>
          <t>TCKH.V_CUST_STATUS_NEW</t>
        </is>
      </c>
      <c r="B164" s="48" t="inlineStr">
        <is>
          <t>GOLD_DERIVED</t>
        </is>
      </c>
      <c r="C164" s="48" t="inlineStr">
        <is>
          <t>1.2</t>
        </is>
      </c>
      <c r="D164" s="48" t="inlineStr">
        <is>
          <t>Nhom 1 - Mapping</t>
        </is>
      </c>
      <c r="E164" s="48" t="inlineStr">
        <is>
          <t>Danh sách bảng/view Gold khớp tài liệu thiết kế đã duyệt</t>
        </is>
      </c>
      <c r="F164" s="49" t="inlineStr">
        <is>
          <t>PASS</t>
        </is>
      </c>
      <c r="G164" s="48" t="inlineStr">
        <is>
          <t>Pass</t>
        </is>
      </c>
      <c r="H164" s="50" t="inlineStr">
        <is>
          <t>V_CUST_STATUS_NEW có workbook thiết kế: 009. OCB_GOLD_TCKH_V_CUST_STATUS_NEW_BAOANH.xlsx</t>
        </is>
      </c>
      <c r="I164" s="50" t="inlineStr">
        <is>
          <t>Đảm bảo object có workbook thiết kế tương ứng trong thư mục --mapping-dir. Muốn đối chiếu với danh sách đã duyệt thì chạy thêm tham số --gold-list "&lt;file danh sách Gold&gt;.xlsx".</t>
        </is>
      </c>
      <c r="J164" s="48" t="inlineStr">
        <is>
          <t>009. OCB_GOLD_TCKH_V_CUST_STATUS_NEW_BAOANH.xlsx [Script: V_CUST_STATUS_NEW]</t>
        </is>
      </c>
    </row>
    <row r="165">
      <c r="A165" s="48" t="inlineStr">
        <is>
          <t>TCKH.V_CUST_STATUS_NEW</t>
        </is>
      </c>
      <c r="B165" s="48" t="inlineStr">
        <is>
          <t>GOLD_DERIVED</t>
        </is>
      </c>
      <c r="C165" s="48" t="inlineStr">
        <is>
          <t>2.1</t>
        </is>
      </c>
      <c r="D165" s="48" t="inlineStr">
        <is>
          <t>Nhom 2 - Logic</t>
        </is>
      </c>
      <c r="E165" s="48" t="inlineStr">
        <is>
          <t>Chỉ lấy bản ghi active, loại bản ghi đã xóa (qua sts_hub)</t>
        </is>
      </c>
      <c r="F165" s="48" t="inlineStr">
        <is>
          <t>N-A</t>
        </is>
      </c>
      <c r="G165" s="48" t="inlineStr">
        <is>
          <t>Pass</t>
        </is>
      </c>
      <c r="H165" s="50" t="inlineStr">
        <is>
          <t>khong ap dung cho profile GOLD_DERIVED</t>
        </is>
      </c>
      <c r="I165"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5" s="48" t="inlineStr">
        <is>
          <t>009. OCB_GOLD_TCKH_V_CUST_STATUS_NEW_BAOANH.xlsx [Script: V_CUST_STATUS_NEW]</t>
        </is>
      </c>
    </row>
    <row r="166">
      <c r="A166" s="48" t="inlineStr">
        <is>
          <t>TCKH.V_CUST_STATUS_NEW</t>
        </is>
      </c>
      <c r="B166" s="48" t="inlineStr">
        <is>
          <t>GOLD_DERIVED</t>
        </is>
      </c>
      <c r="C166" s="48" t="inlineStr">
        <is>
          <t>2.2</t>
        </is>
      </c>
      <c r="D166" s="48" t="inlineStr">
        <is>
          <t>Nhom 2 - Logic</t>
        </is>
      </c>
      <c r="E166" s="48" t="inlineStr">
        <is>
          <t>Thống nhất MỘT pattern duy nhất xác định bản ghi active mới nhất</t>
        </is>
      </c>
      <c r="F166" s="48" t="inlineStr">
        <is>
          <t>N-A</t>
        </is>
      </c>
      <c r="G166" s="48" t="inlineStr">
        <is>
          <t>Pass</t>
        </is>
      </c>
      <c r="H166" s="50" t="inlineStr">
        <is>
          <t>khong ap dung cho profile GOLD_DERIVED</t>
        </is>
      </c>
      <c r="I166"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6" s="48" t="inlineStr">
        <is>
          <t>009. OCB_GOLD_TCKH_V_CUST_STATUS_NEW_BAOANH.xlsx [Script: V_CUST_STATUS_NEW]</t>
        </is>
      </c>
    </row>
    <row r="167">
      <c r="A167" s="48" t="inlineStr">
        <is>
          <t>TCKH.V_CUST_STATUS_NEW</t>
        </is>
      </c>
      <c r="B167" s="48" t="inlineStr">
        <is>
          <t>GOLD_DERIVED</t>
        </is>
      </c>
      <c r="C167" s="48" t="inlineStr">
        <is>
          <t>2.3</t>
        </is>
      </c>
      <c r="D167" s="48" t="inlineStr">
        <is>
          <t>Nhom 2 - Logic</t>
        </is>
      </c>
      <c r="E167" s="48" t="inlineStr">
        <is>
          <t>Điều kiện lọc trạng thái đặt SAU khi xác định bản ghi mới nhất</t>
        </is>
      </c>
      <c r="F167" s="49" t="inlineStr">
        <is>
          <t>PASS</t>
        </is>
      </c>
      <c r="G167" s="48" t="inlineStr">
        <is>
          <t>Pass</t>
        </is>
      </c>
      <c r="H167" s="50" t="inlineStr">
        <is>
          <t>không có điều kiện trạng thái nào lồng trong JOIN ON</t>
        </is>
      </c>
      <c r="I167"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7" s="48" t="inlineStr">
        <is>
          <t>009. OCB_GOLD_TCKH_V_CUST_STATUS_NEW_BAOANH.xlsx [Script: V_CUST_STATUS_NEW]</t>
        </is>
      </c>
    </row>
    <row r="168">
      <c r="A168" s="48" t="inlineStr">
        <is>
          <t>TCKH.V_CUST_STATUS_NEW</t>
        </is>
      </c>
      <c r="B168" s="48" t="inlineStr">
        <is>
          <t>GOLD_DERIVED</t>
        </is>
      </c>
      <c r="C168" s="48" t="inlineStr">
        <is>
          <t>2.4</t>
        </is>
      </c>
      <c r="D168" s="48" t="inlineStr">
        <is>
          <t>Nhom 2 - Logic</t>
        </is>
      </c>
      <c r="E168" s="48" t="inlineStr">
        <is>
          <t>source_event_date áp dụng đúng dạng theo loại bảng</t>
        </is>
      </c>
      <c r="F168" s="48" t="inlineStr">
        <is>
          <t>N-A</t>
        </is>
      </c>
      <c r="G168" s="48" t="inlineStr">
        <is>
          <t>Pass</t>
        </is>
      </c>
      <c r="H168" s="50" t="inlineStr">
        <is>
          <t>khong ap dung cho profile GOLD_DERIVED</t>
        </is>
      </c>
      <c r="I168"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8" s="48" t="inlineStr">
        <is>
          <t>009. OCB_GOLD_TCKH_V_CUST_STATUS_NEW_BAOANH.xlsx [Script: V_CUST_STATUS_NEW]</t>
        </is>
      </c>
    </row>
    <row r="169">
      <c r="A169" s="48" t="inlineStr">
        <is>
          <t>TCKH.V_CUST_STATUS_NEW</t>
        </is>
      </c>
      <c r="B169" s="48" t="inlineStr">
        <is>
          <t>GOLD_DERIVED</t>
        </is>
      </c>
      <c r="C169" s="48" t="inlineStr">
        <is>
          <t>2.5</t>
        </is>
      </c>
      <c r="D169" s="48" t="inlineStr">
        <is>
          <t>Nhom 2 - Logic</t>
        </is>
      </c>
      <c r="E169" s="48" t="inlineStr">
        <is>
          <t>Không lặp lại lỗi logic cũ đã được DA Data Vault fix</t>
        </is>
      </c>
      <c r="F169" s="49" t="inlineStr">
        <is>
          <t>PASS</t>
        </is>
      </c>
      <c r="G169" s="48" t="inlineStr">
        <is>
          <t>Pass</t>
        </is>
      </c>
      <c r="H169" s="50" t="inlineStr">
        <is>
          <t>không trùng lỗi nào trong Issue log của DA Data Vault</t>
        </is>
      </c>
      <c r="I169"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9" s="48" t="inlineStr">
        <is>
          <t>009. OCB_GOLD_TCKH_V_CUST_STATUS_NEW_BAOANH.xlsx [Script: V_CUST_STATUS_NEW]</t>
        </is>
      </c>
    </row>
    <row r="170">
      <c r="A170" s="48" t="inlineStr">
        <is>
          <t>TCKH.V_CUST_STATUS_NEW</t>
        </is>
      </c>
      <c r="B170" s="48" t="inlineStr">
        <is>
          <t>GOLD_DERIVED</t>
        </is>
      </c>
      <c r="C170" s="48" t="inlineStr">
        <is>
          <t>2.6</t>
        </is>
      </c>
      <c r="D170" s="48" t="inlineStr">
        <is>
          <t>Nhom 2 - Logic</t>
        </is>
      </c>
      <c r="E170" s="48" t="inlineStr">
        <is>
          <t>SCD Type 2 cho bảng DIM áp dụng đúng kỹ thuật đã thống nhất</t>
        </is>
      </c>
      <c r="F170" s="48" t="inlineStr">
        <is>
          <t>N-A</t>
        </is>
      </c>
      <c r="G170" s="48" t="inlineStr">
        <is>
          <t>Pass</t>
        </is>
      </c>
      <c r="H170" s="50" t="inlineStr">
        <is>
          <t>object không phải bảng DIM nên không áp dụng SCD Type 2</t>
        </is>
      </c>
      <c r="I170"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0" s="48" t="inlineStr">
        <is>
          <t>009. OCB_GOLD_TCKH_V_CUST_STATUS_NEW_BAOANH.xlsx [Script: V_CUST_STATUS_NEW]</t>
        </is>
      </c>
    </row>
    <row r="171">
      <c r="A171" s="48" t="inlineStr">
        <is>
          <t>TCKH.V_CUST_STATUS_NEW</t>
        </is>
      </c>
      <c r="B171" s="48" t="inlineStr">
        <is>
          <t>GOLD_DERIVED</t>
        </is>
      </c>
      <c r="C171" s="48" t="inlineStr">
        <is>
          <t>2.7</t>
        </is>
      </c>
      <c r="D171" s="48" t="inlineStr">
        <is>
          <t>Nhom 2 - Logic</t>
        </is>
      </c>
      <c r="E171" s="48" t="inlineStr">
        <is>
          <t>CASE WHEN cover đủ nhánh như job on-prem</t>
        </is>
      </c>
      <c r="F171" s="48" t="inlineStr">
        <is>
          <t>N-A</t>
        </is>
      </c>
      <c r="G171" s="48" t="inlineStr">
        <is>
          <t>Pass</t>
        </is>
      </c>
      <c r="H171" s="50" t="inlineStr">
        <is>
          <t>script không có CASE WHEN nào</t>
        </is>
      </c>
      <c r="I171" s="50" t="inlineStr">
        <is>
          <t>Mở job on-prem tương ứng (DataStage DSX hoặc SQL cũ), đối chiếu từng nhánh WHEN và cả nhánh ELSE. CASE không có ELSE sẽ trả NULL âm thầm — xác nhận đó là ý muốn hay thiếu nhánh.</t>
        </is>
      </c>
      <c r="J171" s="48" t="inlineStr">
        <is>
          <t>009. OCB_GOLD_TCKH_V_CUST_STATUS_NEW_BAOANH.xlsx [Script: V_CUST_STATUS_NEW]</t>
        </is>
      </c>
    </row>
    <row r="172">
      <c r="A172" s="48" t="inlineStr">
        <is>
          <t>TCKH.V_CUST_STATUS_NEW</t>
        </is>
      </c>
      <c r="B172" s="48" t="inlineStr">
        <is>
          <t>GOLD_DERIVED</t>
        </is>
      </c>
      <c r="C172" s="48" t="inlineStr">
        <is>
          <t>2.8</t>
        </is>
      </c>
      <c r="D172" s="48" t="inlineStr">
        <is>
          <t>Nhom 2 - Logic</t>
        </is>
      </c>
      <c r="E172" s="48" t="inlineStr">
        <is>
          <t>Cột SUM/COUNT được COALESCE/NVL hợp lý</t>
        </is>
      </c>
      <c r="F172" s="49" t="inlineStr">
        <is>
          <t>PASS</t>
        </is>
      </c>
      <c r="G172" s="48" t="inlineStr">
        <is>
          <t>Pass</t>
        </is>
      </c>
      <c r="H172" s="50" t="inlineStr">
        <is>
          <t>mọi SUM/COUNT đều đã coalesce (trực tiếp hoặc ở lớp ngoài)</t>
        </is>
      </c>
      <c r="I172"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2" s="48" t="inlineStr">
        <is>
          <t>009. OCB_GOLD_TCKH_V_CUST_STATUS_NEW_BAOANH.xlsx [Script: V_CUST_STATUS_NEW]</t>
        </is>
      </c>
    </row>
    <row r="173">
      <c r="A173" s="48" t="inlineStr">
        <is>
          <t>TCKH.V_CUST_STATUS_NEW</t>
        </is>
      </c>
      <c r="B173" s="48" t="inlineStr">
        <is>
          <t>GOLD_DERIVED</t>
        </is>
      </c>
      <c r="C173" s="48" t="inlineStr">
        <is>
          <t>2.9</t>
        </is>
      </c>
      <c r="D173" s="48" t="inlineStr">
        <is>
          <t>Nhom 2 - Logic</t>
        </is>
      </c>
      <c r="E173" s="48" t="inlineStr">
        <is>
          <t>Subquery / custom function / điều kiện LIKE đúng ý nghĩa nghiệp vụ</t>
        </is>
      </c>
      <c r="F173" s="48" t="inlineStr">
        <is>
          <t>N-A</t>
        </is>
      </c>
      <c r="G173" s="48" t="inlineStr">
        <is>
          <t>Pass</t>
        </is>
      </c>
      <c r="H173" s="50" t="inlineStr">
        <is>
          <t>script không có điều kiện LIKE hay scalar subquery nào</t>
        </is>
      </c>
      <c r="I173" s="50" t="inlineStr">
        <is>
          <t>Đọc lại từng điều kiện LIKE và từng subquery, đối chiếu ý nghĩa nghiệp vụ với on-prem — đúng cú pháp không đủ. Chú ý pattern LIKE có ký tự % ở đầu/cuối và phân biệt chữ hoa/thường.</t>
        </is>
      </c>
      <c r="J173" s="48" t="inlineStr">
        <is>
          <t>009. OCB_GOLD_TCKH_V_CUST_STATUS_NEW_BAOANH.xlsx [Script: V_CUST_STATUS_NEW]</t>
        </is>
      </c>
    </row>
    <row r="174">
      <c r="A174" s="48" t="inlineStr">
        <is>
          <t>TCKH.V_CUST_STATUS_NEW</t>
        </is>
      </c>
      <c r="B174" s="48" t="inlineStr">
        <is>
          <t>GOLD_DERIVED</t>
        </is>
      </c>
      <c r="C174" s="48" t="inlineStr">
        <is>
          <t>2.10</t>
        </is>
      </c>
      <c r="D174" s="48" t="inlineStr">
        <is>
          <t>Nhom 2 - Logic</t>
        </is>
      </c>
      <c r="E174" s="48" t="inlineStr">
        <is>
          <t>Aggregation kèm filter date range chính xác</t>
        </is>
      </c>
      <c r="F174" s="49" t="inlineStr">
        <is>
          <t>PASS</t>
        </is>
      </c>
      <c r="G174" s="48" t="inlineStr">
        <is>
          <t>Pass</t>
        </is>
      </c>
      <c r="H174" s="50" t="inlineStr">
        <is>
          <t>mọi khối tổng hợp đều có điều kiện theo kỳ dữ liệu</t>
        </is>
      </c>
      <c r="I174" s="50" t="inlineStr">
        <is>
          <t>Mỗi khối SUM/COUNT/AVG phải có điều kiện lọc theo kỳ dữ liệu (CDR_DT_ID, DATA_DATE, :DATADT…). Nếu điều kiện nằm ở CTE nguồn thì ghi rõ trong comment để người review không phải truy ngược.</t>
        </is>
      </c>
      <c r="J174" s="48" t="inlineStr">
        <is>
          <t>009. OCB_GOLD_TCKH_V_CUST_STATUS_NEW_BAOANH.xlsx [Script: V_CUST_STATUS_NEW]</t>
        </is>
      </c>
    </row>
    <row r="175">
      <c r="A175" s="48" t="inlineStr">
        <is>
          <t>TCKH.V_CUST_STATUS_NEW</t>
        </is>
      </c>
      <c r="B175" s="48" t="inlineStr">
        <is>
          <t>GOLD_DERIVED</t>
        </is>
      </c>
      <c r="C175" s="48" t="inlineStr">
        <is>
          <t>2.11</t>
        </is>
      </c>
      <c r="D175" s="48" t="inlineStr">
        <is>
          <t>Nhom 2 - Logic</t>
        </is>
      </c>
      <c r="E175" s="48" t="inlineStr">
        <is>
          <t>Join dùng key hợp lý, không lạm dụng UNION ALL + EXISTS/NOT EXISTS</t>
        </is>
      </c>
      <c r="F175" s="49" t="inlineStr">
        <is>
          <t>PASS</t>
        </is>
      </c>
      <c r="G175" s="48" t="inlineStr">
        <is>
          <t>Pass</t>
        </is>
      </c>
      <c r="H175" s="50" t="inlineStr">
        <is>
          <t>join đều theo điều kiện bằng, không lạm dụng UNION ALL + EXISTS</t>
        </is>
      </c>
      <c r="I175" s="50" t="inlineStr">
        <is>
          <t>Ưu tiên LEFT JOIN theo business key hoặc hashkey. Xem lại các chỗ dùng UNION ALL kết hợp EXISTS/NOT EXISTS — thường thay được bằng một LEFT JOIN. Join không có điều kiện bằng (=) dễ tạo tích Descartes.</t>
        </is>
      </c>
      <c r="J175" s="48" t="inlineStr">
        <is>
          <t>009. OCB_GOLD_TCKH_V_CUST_STATUS_NEW_BAOANH.xlsx [Script: V_CUST_STATUS_NEW]</t>
        </is>
      </c>
    </row>
    <row r="176">
      <c r="A176" s="48" t="inlineStr">
        <is>
          <t>TCKH.V_CUST_STATUS_NEW</t>
        </is>
      </c>
      <c r="B176" s="48" t="inlineStr">
        <is>
          <t>GOLD_DERIVED</t>
        </is>
      </c>
      <c r="C176" s="48" t="inlineStr">
        <is>
          <t>2.12</t>
        </is>
      </c>
      <c r="D176" s="48" t="inlineStr">
        <is>
          <t>Nhom 2 - Logic</t>
        </is>
      </c>
      <c r="E176" s="48" t="inlineStr">
        <is>
          <t>Build Gold từ CTE snapshot Silver, không build nhiều tầng chồng chéo</t>
        </is>
      </c>
      <c r="F176" s="49" t="inlineStr">
        <is>
          <t>PASS</t>
        </is>
      </c>
      <c r="G176" s="48" t="inlineStr">
        <is>
          <t>Pass</t>
        </is>
      </c>
      <c r="H176" s="50" t="inlineStr">
        <is>
          <t>mỗi bảng nguồn chỉ đọc trong 1 khối SELECT</t>
        </is>
      </c>
      <c r="I176"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6" s="48" t="inlineStr">
        <is>
          <t>009. OCB_GOLD_TCKH_V_CUST_STATUS_NEW_BAOANH.xlsx [Script: V_CUST_STATUS_NEW]</t>
        </is>
      </c>
    </row>
    <row r="177">
      <c r="A177" s="48" t="inlineStr">
        <is>
          <t>TCKH.V_CUST_STATUS_NEW</t>
        </is>
      </c>
      <c r="B177" s="48" t="inlineStr">
        <is>
          <t>GOLD_DERIVED</t>
        </is>
      </c>
      <c r="C177" s="48" t="inlineStr">
        <is>
          <t>3.1</t>
        </is>
      </c>
      <c r="D177" s="48" t="inlineStr">
        <is>
          <t>Nhom 3 - Optimization</t>
        </is>
      </c>
      <c r="E177" s="48" t="inlineStr">
        <is>
          <t>Không SELECT *</t>
        </is>
      </c>
      <c r="F177" s="49" t="inlineStr">
        <is>
          <t>PASS</t>
        </is>
      </c>
      <c r="G177" s="48" t="inlineStr">
        <is>
          <t>Pass</t>
        </is>
      </c>
      <c r="H177" s="50" t="inlineStr">
        <is>
          <t>không dùng SELECT * ở đâu</t>
        </is>
      </c>
      <c r="I177" s="50" t="inlineStr">
        <is>
          <t>Liệt kê tường minh các cột cần dùng, kể cả trong CTE trung gian. SELECT * làm tăng IO/memory và vỡ script khi bảng nguồn thêm cột.</t>
        </is>
      </c>
      <c r="J177" s="48" t="inlineStr">
        <is>
          <t>009. OCB_GOLD_TCKH_V_CUST_STATUS_NEW_BAOANH.xlsx [Script: V_CUST_STATUS_NEW]</t>
        </is>
      </c>
    </row>
    <row r="178">
      <c r="A178" s="48" t="inlineStr">
        <is>
          <t>TCKH.V_CUST_STATUS_NEW</t>
        </is>
      </c>
      <c r="B178" s="48" t="inlineStr">
        <is>
          <t>GOLD_DERIVED</t>
        </is>
      </c>
      <c r="C178" s="48" t="inlineStr">
        <is>
          <t>3.2</t>
        </is>
      </c>
      <c r="D178" s="48" t="inlineStr">
        <is>
          <t>Nhom 3 - Optimization</t>
        </is>
      </c>
      <c r="E178" s="48" t="inlineStr">
        <is>
          <t>CTE không bị scan lại nhiều lần</t>
        </is>
      </c>
      <c r="F178" s="49" t="inlineStr">
        <is>
          <t>PASS</t>
        </is>
      </c>
      <c r="G178" s="48" t="inlineStr">
        <is>
          <t>Pass</t>
        </is>
      </c>
      <c r="H178" s="50" t="inlineStr">
        <is>
          <t>không có CTE nào bị gọi lại</t>
        </is>
      </c>
      <c r="I178" s="50" t="inlineStr">
        <is>
          <t>Với CTE nặng (đọc nhiều bảng Silver) bị tham chiếu từ 2 chỗ trở lên: gom lại còn một lần dùng, hoặc vật chất hóa (CACHE / bảng tạm). CTE nhẹ chỉ chứa tham số thì bỏ qua được — tự tick Pass.</t>
        </is>
      </c>
      <c r="J178" s="48" t="inlineStr">
        <is>
          <t>009. OCB_GOLD_TCKH_V_CUST_STATUS_NEW_BAOANH.xlsx [Script: V_CUST_STATUS_NEW]</t>
        </is>
      </c>
    </row>
    <row r="179">
      <c r="A179" s="48" t="inlineStr">
        <is>
          <t>TCKH.V_CUST_STATUS_NEW</t>
        </is>
      </c>
      <c r="B179" s="48" t="inlineStr">
        <is>
          <t>GOLD_DERIVED</t>
        </is>
      </c>
      <c r="C179" s="48" t="inlineStr">
        <is>
          <t>3.3</t>
        </is>
      </c>
      <c r="D179" s="48" t="inlineStr">
        <is>
          <t>Nhom 3 - Optimization</t>
        </is>
      </c>
      <c r="E179" s="48" t="inlineStr">
        <is>
          <t>Filter trước khi join, tận dụng partition pruning</t>
        </is>
      </c>
      <c r="F179" s="49" t="inlineStr">
        <is>
          <t>PASS</t>
        </is>
      </c>
      <c r="G179" s="48" t="inlineStr">
        <is>
          <t>Pass</t>
        </is>
      </c>
      <c r="H179" s="50" t="inlineStr">
        <is>
          <t>các bảng join đều được filter trước</t>
        </is>
      </c>
      <c r="I179" s="50" t="inlineStr">
        <is>
          <t>Đưa điều kiện lọc (ngày dữ liệu, trạng thái) vào subquery của từng bảng TRƯỚC khi join, để tận dụng partition pruning. Bảng dim nhỏ không partition thì không cần — tự tick Pass.</t>
        </is>
      </c>
      <c r="J179" s="48" t="inlineStr">
        <is>
          <t>009. OCB_GOLD_TCKH_V_CUST_STATUS_NEW_BAOANH.xlsx [Script: V_CUST_STATUS_NEW]</t>
        </is>
      </c>
    </row>
    <row r="180">
      <c r="A180" s="48" t="inlineStr">
        <is>
          <t>TCKH.V_CUST_STATUS_NEW</t>
        </is>
      </c>
      <c r="B180" s="48" t="inlineStr">
        <is>
          <t>GOLD_DERIVED</t>
        </is>
      </c>
      <c r="C180" s="48" t="inlineStr">
        <is>
          <t>3.4</t>
        </is>
      </c>
      <c r="D180" s="48" t="inlineStr">
        <is>
          <t>Nhom 3 - Optimization</t>
        </is>
      </c>
      <c r="E180" s="48" t="inlineStr">
        <is>
          <t>Sử dụng CACHE cho query lặp lại trong cùng luồng</t>
        </is>
      </c>
      <c r="F180" s="48" t="inlineStr">
        <is>
          <t>N-A</t>
        </is>
      </c>
      <c r="G180" s="48" t="inlineStr">
        <is>
          <t>Pass</t>
        </is>
      </c>
      <c r="H180" s="50" t="inlineStr">
        <is>
          <t>không có kết quả nào được dùng lại nhiều lần nên chưa cần CACHE</t>
        </is>
      </c>
      <c r="I180" s="50" t="inlineStr">
        <is>
          <t>Nếu một kết quả nặng được dùng lại nhiều bước trong cùng luồng, thêm CACHE TABLE / CACHE SELECT. Kết quả nhỏ thì cache còn chậm hơn — tự tick Pass.</t>
        </is>
      </c>
      <c r="J180" s="48" t="inlineStr">
        <is>
          <t>009. OCB_GOLD_TCKH_V_CUST_STATUS_NEW_BAOANH.xlsx [Script: V_CUST_STATUS_NEW]</t>
        </is>
      </c>
    </row>
    <row r="181">
      <c r="A181" s="48" t="inlineStr">
        <is>
          <t>TCKH.V_CUST_STATUS_NEW</t>
        </is>
      </c>
      <c r="B181" s="48" t="inlineStr">
        <is>
          <t>GOLD_DERIVED</t>
        </is>
      </c>
      <c r="C181" s="48" t="inlineStr">
        <is>
          <t>3.5</t>
        </is>
      </c>
      <c r="D181" s="48" t="inlineStr">
        <is>
          <t>Nhom 3 - Optimization</t>
        </is>
      </c>
      <c r="E181" s="48" t="inlineStr">
        <is>
          <t>Ưu tiên MAX_BY + QUALIFY thay ROW_NUMBER() + WHERE rn = 1</t>
        </is>
      </c>
      <c r="F181" s="48" t="inlineStr">
        <is>
          <t>N-A</t>
        </is>
      </c>
      <c r="G181" s="48" t="inlineStr">
        <is>
          <t>Pass</t>
        </is>
      </c>
      <c r="H181" s="50" t="inlineStr">
        <is>
          <t>script không dùng ROW_NUMBER</t>
        </is>
      </c>
      <c r="I181"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1" s="48" t="inlineStr">
        <is>
          <t>009. OCB_GOLD_TCKH_V_CUST_STATUS_NEW_BAOANH.xlsx [Script: V_CUST_STATUS_NEW]</t>
        </is>
      </c>
    </row>
    <row r="182">
      <c r="A182" s="48" t="inlineStr">
        <is>
          <t>TCKH.V_CUST_STATUS_NEW</t>
        </is>
      </c>
      <c r="B182" s="48" t="inlineStr">
        <is>
          <t>GOLD_DERIVED</t>
        </is>
      </c>
      <c r="C182" s="48" t="inlineStr">
        <is>
          <t>3.6</t>
        </is>
      </c>
      <c r="D182" s="48" t="inlineStr">
        <is>
          <t>Nhom 3 - Optimization</t>
        </is>
      </c>
      <c r="E182" s="48" t="inlineStr">
        <is>
          <t>Không lạm dụng window function; có comment khi dùng</t>
        </is>
      </c>
      <c r="F182" s="48" t="inlineStr">
        <is>
          <t>N-A</t>
        </is>
      </c>
      <c r="G182" s="48" t="inlineStr">
        <is>
          <t>Pass</t>
        </is>
      </c>
      <c r="H182" s="50" t="inlineStr">
        <is>
          <t>script không dùng window function</t>
        </is>
      </c>
      <c r="I182" s="50" t="inlineStr">
        <is>
          <t>Mỗi window function cần một comment ngay trên khối CTE chứa nó, nói rõ vì sao không dùng được max_by/QUALIFY đơn giản hơn.</t>
        </is>
      </c>
      <c r="J182" s="48" t="inlineStr">
        <is>
          <t>009. OCB_GOLD_TCKH_V_CUST_STATUS_NEW_BAOANH.xlsx [Script: V_CUST_STATUS_NEW]</t>
        </is>
      </c>
    </row>
    <row r="183">
      <c r="A183" s="48" t="inlineStr">
        <is>
          <t>TCKH.V_CUST_STATUS_NEW</t>
        </is>
      </c>
      <c r="B183" s="48" t="inlineStr">
        <is>
          <t>GOLD_DERIVED</t>
        </is>
      </c>
      <c r="C183" s="48" t="inlineStr">
        <is>
          <t>X.1</t>
        </is>
      </c>
      <c r="D183" s="48" t="inlineStr">
        <is>
          <t>Nhom X - Bo sung Raffles</t>
        </is>
      </c>
      <c r="E183" s="48" t="inlineStr">
        <is>
          <t>[Bổ sung] Link phải rút về current trước khi join (chống fan-out)</t>
        </is>
      </c>
      <c r="F183" s="48" t="inlineStr">
        <is>
          <t>N-A</t>
        </is>
      </c>
      <c r="G183" s="48" t="inlineStr">
        <is>
          <t>Pass</t>
        </is>
      </c>
      <c r="H183" s="50" t="inlineStr">
        <is>
          <t>khong ap dung cho profile GOLD_DERIVED</t>
        </is>
      </c>
      <c r="I183"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3" s="48" t="inlineStr">
        <is>
          <t>009. OCB_GOLD_TCKH_V_CUST_STATUS_NEW_BAOANH.xlsx [Script: V_CUST_STATUS_NEW]</t>
        </is>
      </c>
    </row>
    <row r="184">
      <c r="A184" s="48" t="inlineStr">
        <is>
          <t>TCKH.V_CUST_STATUS_NEW</t>
        </is>
      </c>
      <c r="B184" s="48" t="inlineStr">
        <is>
          <t>GOLD_DERIVED</t>
        </is>
      </c>
      <c r="C184" s="48" t="inlineStr">
        <is>
          <t>X.6</t>
        </is>
      </c>
      <c r="D184" s="48" t="inlineStr">
        <is>
          <t>Nhom X - Bo sung Raffles</t>
        </is>
      </c>
      <c r="E184" s="48" t="inlineStr">
        <is>
          <t>[Bổ sung] Satellite phải LEFT JOIN, không INNER JOIN</t>
        </is>
      </c>
      <c r="F184" s="48" t="inlineStr">
        <is>
          <t>N-A</t>
        </is>
      </c>
      <c r="G184" s="48" t="inlineStr">
        <is>
          <t>Pass</t>
        </is>
      </c>
      <c r="H184" s="50" t="inlineStr">
        <is>
          <t>khong ap dung cho profile GOLD_DERIVED</t>
        </is>
      </c>
      <c r="I184" s="50" t="inlineStr">
        <is>
          <t>Technical Document III.4.2.2 nguyên tắc 1: làm giàu thuộc tính luôn dùng LEFT JOIN. INNER JOIN satellite sẽ loại mất bản ghi Hub đang còn hiệu lực nhưng chưa có dòng satellite.</t>
        </is>
      </c>
      <c r="J184" s="48" t="inlineStr">
        <is>
          <t>009. OCB_GOLD_TCKH_V_CUST_STATUS_NEW_BAOANH.xlsx [Script: V_CUST_STATUS_NEW]</t>
        </is>
      </c>
    </row>
    <row r="185">
      <c r="A185" s="48" t="inlineStr">
        <is>
          <t>TCKH.V_CUST_STATUS_NEW</t>
        </is>
      </c>
      <c r="B185" s="48" t="inlineStr">
        <is>
          <t>GOLD_DERIVED</t>
        </is>
      </c>
      <c r="C185" s="48" t="inlineStr">
        <is>
          <t>X.7</t>
        </is>
      </c>
      <c r="D185" s="48" t="inlineStr">
        <is>
          <t>Nhom X - Bo sung Raffles</t>
        </is>
      </c>
      <c r="E185" s="48" t="inlineStr">
        <is>
          <t>[Bổ sung] Không hard-code catalog, dùng biến môi trường</t>
        </is>
      </c>
      <c r="F185" s="49" t="inlineStr">
        <is>
          <t>PASS</t>
        </is>
      </c>
      <c r="G185" s="48" t="inlineStr">
        <is>
          <t>Pass</t>
        </is>
      </c>
      <c r="H185" s="50" t="inlineStr">
        <is>
          <t>dùng biến môi trường cho catalog</t>
        </is>
      </c>
      <c r="I185"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5" s="48" t="inlineStr">
        <is>
          <t>009. OCB_GOLD_TCKH_V_CUST_STATUS_NEW_BAOANH.xlsx [Script: V_CUST_STATUS_NEW]</t>
        </is>
      </c>
    </row>
    <row r="186">
      <c r="A186" s="48" t="inlineStr">
        <is>
          <t>TCKH.V_FTP_003</t>
        </is>
      </c>
      <c r="B186" s="48" t="inlineStr">
        <is>
          <t>SILVER_CONSUMER</t>
        </is>
      </c>
      <c r="C186" s="48" t="inlineStr">
        <is>
          <t>1.1</t>
        </is>
      </c>
      <c r="D186" s="48" t="inlineStr">
        <is>
          <t>Nhom 1 - Mapping</t>
        </is>
      </c>
      <c r="E186" s="48" t="inlineStr">
        <is>
          <t>Đầy đủ mapping từ Silver/manual sang Gold</t>
        </is>
      </c>
      <c r="F186" s="49" t="inlineStr">
        <is>
          <t>PASS</t>
        </is>
      </c>
      <c r="G186" s="48" t="inlineStr">
        <is>
          <t>Pass</t>
        </is>
      </c>
      <c r="H186" s="50" t="inlineStr">
        <is>
          <t>workbook 010. OCB_GOLD_TCKH_V_FTP_003_PHAT.xlsx: thiết kế 43 field, SQL có 43 cột</t>
        </is>
      </c>
      <c r="I186"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6" s="48" t="inlineStr">
        <is>
          <t>010. OCB_GOLD_TCKH_V_FTP_003_PHAT.xlsx [SCRIPT_SQL: V_FTP_003]</t>
        </is>
      </c>
    </row>
    <row r="187">
      <c r="A187" s="48" t="inlineStr">
        <is>
          <t>TCKH.V_FTP_003</t>
        </is>
      </c>
      <c r="B187" s="48" t="inlineStr">
        <is>
          <t>SILVER_CONSUMER</t>
        </is>
      </c>
      <c r="C187" s="48" t="inlineStr">
        <is>
          <t>1.2</t>
        </is>
      </c>
      <c r="D187" s="48" t="inlineStr">
        <is>
          <t>Nhom 1 - Mapping</t>
        </is>
      </c>
      <c r="E187" s="48" t="inlineStr">
        <is>
          <t>Danh sách bảng/view Gold khớp tài liệu thiết kế đã duyệt</t>
        </is>
      </c>
      <c r="F187" s="49" t="inlineStr">
        <is>
          <t>PASS</t>
        </is>
      </c>
      <c r="G187" s="48" t="inlineStr">
        <is>
          <t>Pass</t>
        </is>
      </c>
      <c r="H187" s="50" t="inlineStr">
        <is>
          <t>V_FTP_003 có workbook thiết kế: 010. OCB_GOLD_TCKH_V_FTP_003_PHAT.xlsx</t>
        </is>
      </c>
      <c r="I187" s="50" t="inlineStr">
        <is>
          <t>Đảm bảo object có workbook thiết kế tương ứng trong thư mục --mapping-dir. Muốn đối chiếu với danh sách đã duyệt thì chạy thêm tham số --gold-list "&lt;file danh sách Gold&gt;.xlsx".</t>
        </is>
      </c>
      <c r="J187" s="48" t="inlineStr">
        <is>
          <t>010. OCB_GOLD_TCKH_V_FTP_003_PHAT.xlsx [SCRIPT_SQL: V_FTP_003]</t>
        </is>
      </c>
    </row>
    <row r="188">
      <c r="A188" s="48" t="inlineStr">
        <is>
          <t>TCKH.V_FTP_003</t>
        </is>
      </c>
      <c r="B188" s="48" t="inlineStr">
        <is>
          <t>SILVER_CONSUMER</t>
        </is>
      </c>
      <c r="C188" s="48" t="inlineStr">
        <is>
          <t>2.1</t>
        </is>
      </c>
      <c r="D188" s="48" t="inlineStr">
        <is>
          <t>Nhom 2 - Logic</t>
        </is>
      </c>
      <c r="E188" s="48" t="inlineStr">
        <is>
          <t>Chỉ lấy bản ghi active, loại bản ghi đã xóa (qua sts_hub)</t>
        </is>
      </c>
      <c r="F188" s="48" t="inlineStr">
        <is>
          <t>N-A</t>
        </is>
      </c>
      <c r="G188" s="48" t="inlineStr">
        <is>
          <t>Pass</t>
        </is>
      </c>
      <c r="H188" s="50" t="inlineStr">
        <is>
          <t>script không đọc sts_hub/satellite nào nên không có bản ghi xóa để lọc</t>
        </is>
      </c>
      <c r="I188"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8" s="48" t="inlineStr">
        <is>
          <t>010. OCB_GOLD_TCKH_V_FTP_003_PHAT.xlsx [SCRIPT_SQL: V_FTP_003]</t>
        </is>
      </c>
    </row>
    <row r="189">
      <c r="A189" s="48" t="inlineStr">
        <is>
          <t>TCKH.V_FTP_003</t>
        </is>
      </c>
      <c r="B189" s="48" t="inlineStr">
        <is>
          <t>SILVER_CONSUMER</t>
        </is>
      </c>
      <c r="C189" s="48" t="inlineStr">
        <is>
          <t>2.2</t>
        </is>
      </c>
      <c r="D189" s="48" t="inlineStr">
        <is>
          <t>Nhom 2 - Logic</t>
        </is>
      </c>
      <c r="E189" s="48" t="inlineStr">
        <is>
          <t>Thống nhất MỘT pattern duy nhất xác định bản ghi active mới nhất</t>
        </is>
      </c>
      <c r="F189" s="48" t="inlineStr">
        <is>
          <t>N-A</t>
        </is>
      </c>
      <c r="G189" s="48" t="inlineStr">
        <is>
          <t>Pass</t>
        </is>
      </c>
      <c r="H189" s="50" t="inlineStr">
        <is>
          <t>script không có bước lấy bản ghi mới nhất từ satellite</t>
        </is>
      </c>
      <c r="I189"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9" s="48" t="inlineStr">
        <is>
          <t>010. OCB_GOLD_TCKH_V_FTP_003_PHAT.xlsx [SCRIPT_SQL: V_FTP_003]</t>
        </is>
      </c>
    </row>
    <row r="190">
      <c r="A190" s="48" t="inlineStr">
        <is>
          <t>TCKH.V_FTP_003</t>
        </is>
      </c>
      <c r="B190" s="48" t="inlineStr">
        <is>
          <t>SILVER_CONSUMER</t>
        </is>
      </c>
      <c r="C190" s="48" t="inlineStr">
        <is>
          <t>2.3</t>
        </is>
      </c>
      <c r="D190" s="48" t="inlineStr">
        <is>
          <t>Nhom 2 - Logic</t>
        </is>
      </c>
      <c r="E190" s="48" t="inlineStr">
        <is>
          <t>Điều kiện lọc trạng thái đặt SAU khi xác định bản ghi mới nhất</t>
        </is>
      </c>
      <c r="F190" s="49" t="inlineStr">
        <is>
          <t>PASS</t>
        </is>
      </c>
      <c r="G190" s="48" t="inlineStr">
        <is>
          <t>Pass</t>
        </is>
      </c>
      <c r="H190" s="50" t="inlineStr">
        <is>
          <t>không có điều kiện trạng thái nào lồng trong JOIN ON</t>
        </is>
      </c>
      <c r="I190"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0" s="48" t="inlineStr">
        <is>
          <t>010. OCB_GOLD_TCKH_V_FTP_003_PHAT.xlsx [SCRIPT_SQL: V_FTP_003]</t>
        </is>
      </c>
    </row>
    <row r="191">
      <c r="A191" s="48" t="inlineStr">
        <is>
          <t>TCKH.V_FTP_003</t>
        </is>
      </c>
      <c r="B191" s="48" t="inlineStr">
        <is>
          <t>SILVER_CONSUMER</t>
        </is>
      </c>
      <c r="C191" s="48" t="inlineStr">
        <is>
          <t>2.4</t>
        </is>
      </c>
      <c r="D191" s="48" t="inlineStr">
        <is>
          <t>Nhom 2 - Logic</t>
        </is>
      </c>
      <c r="E191" s="48" t="inlineStr">
        <is>
          <t>source_event_date áp dụng đúng dạng theo loại bảng</t>
        </is>
      </c>
      <c r="F191" s="48" t="inlineStr">
        <is>
          <t>N-A</t>
        </is>
      </c>
      <c r="G191" s="48" t="inlineStr">
        <is>
          <t>Pass</t>
        </is>
      </c>
      <c r="H191" s="50" t="inlineStr">
        <is>
          <t>script không đọc satellite nào</t>
        </is>
      </c>
      <c r="I191"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1" s="48" t="inlineStr">
        <is>
          <t>010. OCB_GOLD_TCKH_V_FTP_003_PHAT.xlsx [SCRIPT_SQL: V_FTP_003]</t>
        </is>
      </c>
    </row>
    <row r="192">
      <c r="A192" s="48" t="inlineStr">
        <is>
          <t>TCKH.V_FTP_003</t>
        </is>
      </c>
      <c r="B192" s="48" t="inlineStr">
        <is>
          <t>SILVER_CONSUMER</t>
        </is>
      </c>
      <c r="C192" s="48" t="inlineStr">
        <is>
          <t>2.5</t>
        </is>
      </c>
      <c r="D192" s="48" t="inlineStr">
        <is>
          <t>Nhom 2 - Logic</t>
        </is>
      </c>
      <c r="E192" s="48" t="inlineStr">
        <is>
          <t>Không lặp lại lỗi logic cũ đã được DA Data Vault fix</t>
        </is>
      </c>
      <c r="F192" s="49" t="inlineStr">
        <is>
          <t>PASS</t>
        </is>
      </c>
      <c r="G192" s="48" t="inlineStr">
        <is>
          <t>Pass</t>
        </is>
      </c>
      <c r="H192" s="50" t="inlineStr">
        <is>
          <t>không trùng lỗi nào trong Issue log của DA Data Vault</t>
        </is>
      </c>
      <c r="I192"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2" s="48" t="inlineStr">
        <is>
          <t>010. OCB_GOLD_TCKH_V_FTP_003_PHAT.xlsx [SCRIPT_SQL: V_FTP_003]</t>
        </is>
      </c>
    </row>
    <row r="193">
      <c r="A193" s="48" t="inlineStr">
        <is>
          <t>TCKH.V_FTP_003</t>
        </is>
      </c>
      <c r="B193" s="48" t="inlineStr">
        <is>
          <t>SILVER_CONSUMER</t>
        </is>
      </c>
      <c r="C193" s="48" t="inlineStr">
        <is>
          <t>2.6</t>
        </is>
      </c>
      <c r="D193" s="48" t="inlineStr">
        <is>
          <t>Nhom 2 - Logic</t>
        </is>
      </c>
      <c r="E193" s="48" t="inlineStr">
        <is>
          <t>SCD Type 2 cho bảng DIM áp dụng đúng kỹ thuật đã thống nhất</t>
        </is>
      </c>
      <c r="F193" s="48" t="inlineStr">
        <is>
          <t>N-A</t>
        </is>
      </c>
      <c r="G193" s="48" t="inlineStr">
        <is>
          <t>Pass</t>
        </is>
      </c>
      <c r="H193" s="50" t="inlineStr">
        <is>
          <t>object không phải bảng DIM nên không áp dụng SCD Type 2</t>
        </is>
      </c>
      <c r="I193"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3" s="48" t="inlineStr">
        <is>
          <t>010. OCB_GOLD_TCKH_V_FTP_003_PHAT.xlsx [SCRIPT_SQL: V_FTP_003]</t>
        </is>
      </c>
    </row>
    <row r="194">
      <c r="A194" s="48" t="inlineStr">
        <is>
          <t>TCKH.V_FTP_003</t>
        </is>
      </c>
      <c r="B194" s="48" t="inlineStr">
        <is>
          <t>SILVER_CONSUMER</t>
        </is>
      </c>
      <c r="C194" s="48" t="inlineStr">
        <is>
          <t>2.7</t>
        </is>
      </c>
      <c r="D194" s="48" t="inlineStr">
        <is>
          <t>Nhom 2 - Logic</t>
        </is>
      </c>
      <c r="E194" s="48" t="inlineStr">
        <is>
          <t>CASE WHEN cover đủ nhánh như job on-prem</t>
        </is>
      </c>
      <c r="F194" s="48" t="inlineStr">
        <is>
          <t>N-A</t>
        </is>
      </c>
      <c r="G194" s="48" t="inlineStr">
        <is>
          <t>Pass</t>
        </is>
      </c>
      <c r="H194" s="50" t="inlineStr">
        <is>
          <t>script không có CASE WHEN nào</t>
        </is>
      </c>
      <c r="I194" s="50" t="inlineStr">
        <is>
          <t>Mở job on-prem tương ứng (DataStage DSX hoặc SQL cũ), đối chiếu từng nhánh WHEN và cả nhánh ELSE. CASE không có ELSE sẽ trả NULL âm thầm — xác nhận đó là ý muốn hay thiếu nhánh.</t>
        </is>
      </c>
      <c r="J194" s="48" t="inlineStr">
        <is>
          <t>010. OCB_GOLD_TCKH_V_FTP_003_PHAT.xlsx [SCRIPT_SQL: V_FTP_003]</t>
        </is>
      </c>
    </row>
    <row r="195">
      <c r="A195" s="48" t="inlineStr">
        <is>
          <t>TCKH.V_FTP_003</t>
        </is>
      </c>
      <c r="B195" s="48" t="inlineStr">
        <is>
          <t>SILVER_CONSUMER</t>
        </is>
      </c>
      <c r="C195" s="48" t="inlineStr">
        <is>
          <t>2.8</t>
        </is>
      </c>
      <c r="D195" s="48" t="inlineStr">
        <is>
          <t>Nhom 2 - Logic</t>
        </is>
      </c>
      <c r="E195" s="48" t="inlineStr">
        <is>
          <t>Cột SUM/COUNT được COALESCE/NVL hợp lý</t>
        </is>
      </c>
      <c r="F195" s="49" t="inlineStr">
        <is>
          <t>PASS</t>
        </is>
      </c>
      <c r="G195" s="48" t="inlineStr">
        <is>
          <t>Pass</t>
        </is>
      </c>
      <c r="H195" s="50" t="inlineStr">
        <is>
          <t>mọi SUM/COUNT đều đã coalesce (trực tiếp hoặc ở lớp ngoài)</t>
        </is>
      </c>
      <c r="I195"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5" s="48" t="inlineStr">
        <is>
          <t>010. OCB_GOLD_TCKH_V_FTP_003_PHAT.xlsx [SCRIPT_SQL: V_FTP_003]</t>
        </is>
      </c>
    </row>
    <row r="196">
      <c r="A196" s="48" t="inlineStr">
        <is>
          <t>TCKH.V_FTP_003</t>
        </is>
      </c>
      <c r="B196" s="48" t="inlineStr">
        <is>
          <t>SILVER_CONSUMER</t>
        </is>
      </c>
      <c r="C196" s="48" t="inlineStr">
        <is>
          <t>2.9</t>
        </is>
      </c>
      <c r="D196" s="48" t="inlineStr">
        <is>
          <t>Nhom 2 - Logic</t>
        </is>
      </c>
      <c r="E196" s="48" t="inlineStr">
        <is>
          <t>Subquery / custom function / điều kiện LIKE đúng ý nghĩa nghiệp vụ</t>
        </is>
      </c>
      <c r="F196" s="48" t="inlineStr">
        <is>
          <t>N-A</t>
        </is>
      </c>
      <c r="G196" s="48" t="inlineStr">
        <is>
          <t>Pass</t>
        </is>
      </c>
      <c r="H196" s="50" t="inlineStr">
        <is>
          <t>script không có điều kiện LIKE hay scalar subquery nào</t>
        </is>
      </c>
      <c r="I196" s="50" t="inlineStr">
        <is>
          <t>Đọc lại từng điều kiện LIKE và từng subquery, đối chiếu ý nghĩa nghiệp vụ với on-prem — đúng cú pháp không đủ. Chú ý pattern LIKE có ký tự % ở đầu/cuối và phân biệt chữ hoa/thường.</t>
        </is>
      </c>
      <c r="J196" s="48" t="inlineStr">
        <is>
          <t>010. OCB_GOLD_TCKH_V_FTP_003_PHAT.xlsx [SCRIPT_SQL: V_FTP_003]</t>
        </is>
      </c>
    </row>
    <row r="197">
      <c r="A197" s="48" t="inlineStr">
        <is>
          <t>TCKH.V_FTP_003</t>
        </is>
      </c>
      <c r="B197" s="48" t="inlineStr">
        <is>
          <t>SILVER_CONSUMER</t>
        </is>
      </c>
      <c r="C197" s="48" t="inlineStr">
        <is>
          <t>2.10</t>
        </is>
      </c>
      <c r="D197" s="48" t="inlineStr">
        <is>
          <t>Nhom 2 - Logic</t>
        </is>
      </c>
      <c r="E197" s="48" t="inlineStr">
        <is>
          <t>Aggregation kèm filter date range chính xác</t>
        </is>
      </c>
      <c r="F197" s="49" t="inlineStr">
        <is>
          <t>PASS</t>
        </is>
      </c>
      <c r="G197" s="48" t="inlineStr">
        <is>
          <t>Pass</t>
        </is>
      </c>
      <c r="H197" s="50" t="inlineStr">
        <is>
          <t>mọi khối tổng hợp đều có điều kiện theo kỳ dữ liệu</t>
        </is>
      </c>
      <c r="I197" s="50" t="inlineStr">
        <is>
          <t>Mỗi khối SUM/COUNT/AVG phải có điều kiện lọc theo kỳ dữ liệu (CDR_DT_ID, DATA_DATE, :DATADT…). Nếu điều kiện nằm ở CTE nguồn thì ghi rõ trong comment để người review không phải truy ngược.</t>
        </is>
      </c>
      <c r="J197" s="48" t="inlineStr">
        <is>
          <t>010. OCB_GOLD_TCKH_V_FTP_003_PHAT.xlsx [SCRIPT_SQL: V_FTP_003]</t>
        </is>
      </c>
    </row>
    <row r="198">
      <c r="A198" s="48" t="inlineStr">
        <is>
          <t>TCKH.V_FTP_003</t>
        </is>
      </c>
      <c r="B198" s="48" t="inlineStr">
        <is>
          <t>SILVER_CONSUMER</t>
        </is>
      </c>
      <c r="C198" s="48" t="inlineStr">
        <is>
          <t>2.11</t>
        </is>
      </c>
      <c r="D198" s="48" t="inlineStr">
        <is>
          <t>Nhom 2 - Logic</t>
        </is>
      </c>
      <c r="E198" s="48" t="inlineStr">
        <is>
          <t>Join dùng key hợp lý, không lạm dụng UNION ALL + EXISTS/NOT EXISTS</t>
        </is>
      </c>
      <c r="F198" s="49" t="inlineStr">
        <is>
          <t>PASS</t>
        </is>
      </c>
      <c r="G198" s="48" t="inlineStr">
        <is>
          <t>Pass</t>
        </is>
      </c>
      <c r="H198" s="50" t="inlineStr">
        <is>
          <t>join đều theo điều kiện bằng, không lạm dụng UNION ALL + EXISTS</t>
        </is>
      </c>
      <c r="I198" s="50" t="inlineStr">
        <is>
          <t>Ưu tiên LEFT JOIN theo business key hoặc hashkey. Xem lại các chỗ dùng UNION ALL kết hợp EXISTS/NOT EXISTS — thường thay được bằng một LEFT JOIN. Join không có điều kiện bằng (=) dễ tạo tích Descartes.</t>
        </is>
      </c>
      <c r="J198" s="48" t="inlineStr">
        <is>
          <t>010. OCB_GOLD_TCKH_V_FTP_003_PHAT.xlsx [SCRIPT_SQL: V_FTP_003]</t>
        </is>
      </c>
    </row>
    <row r="199">
      <c r="A199" s="48" t="inlineStr">
        <is>
          <t>TCKH.V_FTP_003</t>
        </is>
      </c>
      <c r="B199" s="48" t="inlineStr">
        <is>
          <t>SILVER_CONSUMER</t>
        </is>
      </c>
      <c r="C199" s="48" t="inlineStr">
        <is>
          <t>2.12</t>
        </is>
      </c>
      <c r="D199" s="48" t="inlineStr">
        <is>
          <t>Nhom 2 - Logic</t>
        </is>
      </c>
      <c r="E199" s="48" t="inlineStr">
        <is>
          <t>Build Gold từ CTE snapshot Silver, không build nhiều tầng chồng chéo</t>
        </is>
      </c>
      <c r="F199" s="51" t="inlineStr">
        <is>
          <t>WARN</t>
        </is>
      </c>
      <c r="G199" s="48" t="inlineStr">
        <is>
          <t>WARN</t>
        </is>
      </c>
      <c r="H199" s="50" t="inlineStr">
        <is>
          <t>bảng bị đọc lại ở nhiều khối SELECT, xét gom thành 1 CTE: calendar ở 2 khối</t>
        </is>
      </c>
      <c r="I199"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9" s="48" t="inlineStr">
        <is>
          <t>010. OCB_GOLD_TCKH_V_FTP_003_PHAT.xlsx [SCRIPT_SQL: V_FTP_003]</t>
        </is>
      </c>
    </row>
    <row r="200">
      <c r="A200" s="48" t="inlineStr">
        <is>
          <t>TCKH.V_FTP_003</t>
        </is>
      </c>
      <c r="B200" s="48" t="inlineStr">
        <is>
          <t>SILVER_CONSUMER</t>
        </is>
      </c>
      <c r="C200" s="48" t="inlineStr">
        <is>
          <t>3.1</t>
        </is>
      </c>
      <c r="D200" s="48" t="inlineStr">
        <is>
          <t>Nhom 3 - Optimization</t>
        </is>
      </c>
      <c r="E200" s="48" t="inlineStr">
        <is>
          <t>Không SELECT *</t>
        </is>
      </c>
      <c r="F200" s="49" t="inlineStr">
        <is>
          <t>PASS</t>
        </is>
      </c>
      <c r="G200" s="48" t="inlineStr">
        <is>
          <t>Pass</t>
        </is>
      </c>
      <c r="H200" s="50" t="inlineStr">
        <is>
          <t>không dùng SELECT * ở đâu</t>
        </is>
      </c>
      <c r="I200" s="50" t="inlineStr">
        <is>
          <t>Liệt kê tường minh các cột cần dùng, kể cả trong CTE trung gian. SELECT * làm tăng IO/memory và vỡ script khi bảng nguồn thêm cột.</t>
        </is>
      </c>
      <c r="J200" s="48" t="inlineStr">
        <is>
          <t>010. OCB_GOLD_TCKH_V_FTP_003_PHAT.xlsx [SCRIPT_SQL: V_FTP_003]</t>
        </is>
      </c>
    </row>
    <row r="201">
      <c r="A201" s="48" t="inlineStr">
        <is>
          <t>TCKH.V_FTP_003</t>
        </is>
      </c>
      <c r="B201" s="48" t="inlineStr">
        <is>
          <t>SILVER_CONSUMER</t>
        </is>
      </c>
      <c r="C201" s="48" t="inlineStr">
        <is>
          <t>3.2</t>
        </is>
      </c>
      <c r="D201" s="48" t="inlineStr">
        <is>
          <t>Nhom 3 - Optimization</t>
        </is>
      </c>
      <c r="E201" s="48" t="inlineStr">
        <is>
          <t>CTE không bị scan lại nhiều lần</t>
        </is>
      </c>
      <c r="F201" s="49" t="inlineStr">
        <is>
          <t>PASS</t>
        </is>
      </c>
      <c r="G201" s="48" t="inlineStr">
        <is>
          <t>Pass</t>
        </is>
      </c>
      <c r="H201" s="50" t="inlineStr">
        <is>
          <t>không có CTE nào bị gọi lại</t>
        </is>
      </c>
      <c r="I201" s="50" t="inlineStr">
        <is>
          <t>Với CTE nặng (đọc nhiều bảng Silver) bị tham chiếu từ 2 chỗ trở lên: gom lại còn một lần dùng, hoặc vật chất hóa (CACHE / bảng tạm). CTE nhẹ chỉ chứa tham số thì bỏ qua được — tự tick Pass.</t>
        </is>
      </c>
      <c r="J201" s="48" t="inlineStr">
        <is>
          <t>010. OCB_GOLD_TCKH_V_FTP_003_PHAT.xlsx [SCRIPT_SQL: V_FTP_003]</t>
        </is>
      </c>
    </row>
    <row r="202">
      <c r="A202" s="48" t="inlineStr">
        <is>
          <t>TCKH.V_FTP_003</t>
        </is>
      </c>
      <c r="B202" s="48" t="inlineStr">
        <is>
          <t>SILVER_CONSUMER</t>
        </is>
      </c>
      <c r="C202" s="48" t="inlineStr">
        <is>
          <t>3.3</t>
        </is>
      </c>
      <c r="D202" s="48" t="inlineStr">
        <is>
          <t>Nhom 3 - Optimization</t>
        </is>
      </c>
      <c r="E202" s="48" t="inlineStr">
        <is>
          <t>Filter trước khi join, tận dụng partition pruning</t>
        </is>
      </c>
      <c r="F202" s="49" t="inlineStr">
        <is>
          <t>PASS</t>
        </is>
      </c>
      <c r="G202" s="48" t="inlineStr">
        <is>
          <t>Pass</t>
        </is>
      </c>
      <c r="H202" s="50" t="inlineStr">
        <is>
          <t>các bảng join đều được filter trước</t>
        </is>
      </c>
      <c r="I202" s="50" t="inlineStr">
        <is>
          <t>Đưa điều kiện lọc (ngày dữ liệu, trạng thái) vào subquery của từng bảng TRƯỚC khi join, để tận dụng partition pruning. Bảng dim nhỏ không partition thì không cần — tự tick Pass.</t>
        </is>
      </c>
      <c r="J202" s="48" t="inlineStr">
        <is>
          <t>010. OCB_GOLD_TCKH_V_FTP_003_PHAT.xlsx [SCRIPT_SQL: V_FTP_003]</t>
        </is>
      </c>
    </row>
    <row r="203">
      <c r="A203" s="48" t="inlineStr">
        <is>
          <t>TCKH.V_FTP_003</t>
        </is>
      </c>
      <c r="B203" s="48" t="inlineStr">
        <is>
          <t>SILVER_CONSUMER</t>
        </is>
      </c>
      <c r="C203" s="48" t="inlineStr">
        <is>
          <t>3.4</t>
        </is>
      </c>
      <c r="D203" s="48" t="inlineStr">
        <is>
          <t>Nhom 3 - Optimization</t>
        </is>
      </c>
      <c r="E203" s="48" t="inlineStr">
        <is>
          <t>Sử dụng CACHE cho query lặp lại trong cùng luồng</t>
        </is>
      </c>
      <c r="F203" s="48" t="inlineStr">
        <is>
          <t>N-A</t>
        </is>
      </c>
      <c r="G203" s="48" t="inlineStr">
        <is>
          <t>Pass</t>
        </is>
      </c>
      <c r="H203" s="50" t="inlineStr">
        <is>
          <t>không có kết quả nào được dùng lại nhiều lần nên chưa cần CACHE</t>
        </is>
      </c>
      <c r="I203" s="50" t="inlineStr">
        <is>
          <t>Nếu một kết quả nặng được dùng lại nhiều bước trong cùng luồng, thêm CACHE TABLE / CACHE SELECT. Kết quả nhỏ thì cache còn chậm hơn — tự tick Pass.</t>
        </is>
      </c>
      <c r="J203" s="48" t="inlineStr">
        <is>
          <t>010. OCB_GOLD_TCKH_V_FTP_003_PHAT.xlsx [SCRIPT_SQL: V_FTP_003]</t>
        </is>
      </c>
    </row>
    <row r="204">
      <c r="A204" s="48" t="inlineStr">
        <is>
          <t>TCKH.V_FTP_003</t>
        </is>
      </c>
      <c r="B204" s="48" t="inlineStr">
        <is>
          <t>SILVER_CONSUMER</t>
        </is>
      </c>
      <c r="C204" s="48" t="inlineStr">
        <is>
          <t>3.5</t>
        </is>
      </c>
      <c r="D204" s="48" t="inlineStr">
        <is>
          <t>Nhom 3 - Optimization</t>
        </is>
      </c>
      <c r="E204" s="48" t="inlineStr">
        <is>
          <t>Ưu tiên MAX_BY + QUALIFY thay ROW_NUMBER() + WHERE rn = 1</t>
        </is>
      </c>
      <c r="F204" s="48" t="inlineStr">
        <is>
          <t>N-A</t>
        </is>
      </c>
      <c r="G204" s="48" t="inlineStr">
        <is>
          <t>Pass</t>
        </is>
      </c>
      <c r="H204" s="50" t="inlineStr">
        <is>
          <t>script không dùng ROW_NUMBER</t>
        </is>
      </c>
      <c r="I204"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4" s="48" t="inlineStr">
        <is>
          <t>010. OCB_GOLD_TCKH_V_FTP_003_PHAT.xlsx [SCRIPT_SQL: V_FTP_003]</t>
        </is>
      </c>
    </row>
    <row r="205">
      <c r="A205" s="48" t="inlineStr">
        <is>
          <t>TCKH.V_FTP_003</t>
        </is>
      </c>
      <c r="B205" s="48" t="inlineStr">
        <is>
          <t>SILVER_CONSUMER</t>
        </is>
      </c>
      <c r="C205" s="48" t="inlineStr">
        <is>
          <t>3.6</t>
        </is>
      </c>
      <c r="D205" s="48" t="inlineStr">
        <is>
          <t>Nhom 3 - Optimization</t>
        </is>
      </c>
      <c r="E205" s="48" t="inlineStr">
        <is>
          <t>Không lạm dụng window function; có comment khi dùng</t>
        </is>
      </c>
      <c r="F205" s="48" t="inlineStr">
        <is>
          <t>N-A</t>
        </is>
      </c>
      <c r="G205" s="48" t="inlineStr">
        <is>
          <t>Pass</t>
        </is>
      </c>
      <c r="H205" s="50" t="inlineStr">
        <is>
          <t>script không dùng window function</t>
        </is>
      </c>
      <c r="I205" s="50" t="inlineStr">
        <is>
          <t>Mỗi window function cần một comment ngay trên khối CTE chứa nó, nói rõ vì sao không dùng được max_by/QUALIFY đơn giản hơn.</t>
        </is>
      </c>
      <c r="J205" s="48" t="inlineStr">
        <is>
          <t>010. OCB_GOLD_TCKH_V_FTP_003_PHAT.xlsx [SCRIPT_SQL: V_FTP_003]</t>
        </is>
      </c>
    </row>
    <row r="206">
      <c r="A206" s="48" t="inlineStr">
        <is>
          <t>TCKH.V_FTP_003</t>
        </is>
      </c>
      <c r="B206" s="48" t="inlineStr">
        <is>
          <t>SILVER_CONSUMER</t>
        </is>
      </c>
      <c r="C206" s="48" t="inlineStr">
        <is>
          <t>X.1</t>
        </is>
      </c>
      <c r="D206" s="48" t="inlineStr">
        <is>
          <t>Nhom X - Bo sung Raffles</t>
        </is>
      </c>
      <c r="E206" s="48" t="inlineStr">
        <is>
          <t>[Bổ sung] Link phải rút về current trước khi join (chống fan-out)</t>
        </is>
      </c>
      <c r="F206" s="49" t="inlineStr">
        <is>
          <t>PASS</t>
        </is>
      </c>
      <c r="G206" s="48" t="inlineStr">
        <is>
          <t>Pass</t>
        </is>
      </c>
      <c r="H206" s="50" t="inlineStr">
        <is>
          <t>các bảng link_* đều được rút về current trước khi join</t>
        </is>
      </c>
      <c r="I206"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6" s="48" t="inlineStr">
        <is>
          <t>010. OCB_GOLD_TCKH_V_FTP_003_PHAT.xlsx [SCRIPT_SQL: V_FTP_003]</t>
        </is>
      </c>
    </row>
    <row r="207">
      <c r="A207" s="48" t="inlineStr">
        <is>
          <t>TCKH.V_FTP_003</t>
        </is>
      </c>
      <c r="B207" s="48" t="inlineStr">
        <is>
          <t>SILVER_CONSUMER</t>
        </is>
      </c>
      <c r="C207" s="48" t="inlineStr">
        <is>
          <t>X.6</t>
        </is>
      </c>
      <c r="D207" s="48" t="inlineStr">
        <is>
          <t>Nhom X - Bo sung Raffles</t>
        </is>
      </c>
      <c r="E207" s="48" t="inlineStr">
        <is>
          <t>[Bổ sung] Satellite phải LEFT JOIN, không INNER JOIN</t>
        </is>
      </c>
      <c r="F207" s="48" t="inlineStr">
        <is>
          <t>N-A</t>
        </is>
      </c>
      <c r="G207" s="48" t="inlineStr">
        <is>
          <t>Pass</t>
        </is>
      </c>
      <c r="H207" s="50" t="inlineStr">
        <is>
          <t>không join satellite trực tiếp</t>
        </is>
      </c>
      <c r="I207" s="50" t="inlineStr">
        <is>
          <t>Technical Document III.4.2.2 nguyên tắc 1: làm giàu thuộc tính luôn dùng LEFT JOIN. INNER JOIN satellite sẽ loại mất bản ghi Hub đang còn hiệu lực nhưng chưa có dòng satellite.</t>
        </is>
      </c>
      <c r="J207" s="48" t="inlineStr">
        <is>
          <t>010. OCB_GOLD_TCKH_V_FTP_003_PHAT.xlsx [SCRIPT_SQL: V_FTP_003]</t>
        </is>
      </c>
    </row>
    <row r="208">
      <c r="A208" s="48" t="inlineStr">
        <is>
          <t>TCKH.V_FTP_003</t>
        </is>
      </c>
      <c r="B208" s="48" t="inlineStr">
        <is>
          <t>SILVER_CONSUMER</t>
        </is>
      </c>
      <c r="C208" s="48" t="inlineStr">
        <is>
          <t>X.7</t>
        </is>
      </c>
      <c r="D208" s="48" t="inlineStr">
        <is>
          <t>Nhom X - Bo sung Raffles</t>
        </is>
      </c>
      <c r="E208" s="48" t="inlineStr">
        <is>
          <t>[Bổ sung] Không hard-code catalog, dùng biến môi trường</t>
        </is>
      </c>
      <c r="F208" s="49" t="inlineStr">
        <is>
          <t>PASS</t>
        </is>
      </c>
      <c r="G208" s="48" t="inlineStr">
        <is>
          <t>Pass</t>
        </is>
      </c>
      <c r="H208" s="50" t="inlineStr">
        <is>
          <t>dùng biến môi trường cho catalog</t>
        </is>
      </c>
      <c r="I208"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8" s="48" t="inlineStr">
        <is>
          <t>010. OCB_GOLD_TCKH_V_FTP_003_PHAT.xlsx [SCRIPT_SQL: V_FTP_003]</t>
        </is>
      </c>
    </row>
    <row r="209">
      <c r="A209" s="48" t="inlineStr">
        <is>
          <t>TCKH.V_HT_CP_UPL</t>
        </is>
      </c>
      <c r="B209" s="48" t="inlineStr">
        <is>
          <t>UPLOAD_VIEW</t>
        </is>
      </c>
      <c r="C209" s="48" t="inlineStr">
        <is>
          <t>1.1</t>
        </is>
      </c>
      <c r="D209" s="48" t="inlineStr">
        <is>
          <t>Nhom 1 - Mapping</t>
        </is>
      </c>
      <c r="E209" s="48" t="inlineStr">
        <is>
          <t>Đầy đủ mapping từ Silver/manual sang Gold</t>
        </is>
      </c>
      <c r="F209" s="49" t="inlineStr">
        <is>
          <t>PASS</t>
        </is>
      </c>
      <c r="G209" s="48" t="inlineStr">
        <is>
          <t>Pass</t>
        </is>
      </c>
      <c r="H209" s="50" t="inlineStr">
        <is>
          <t>workbook 011. OCB_GOLD_TCKH_V_HT_CP_UPL_PHAT.xlsx: thiết kế 11 field, SQL có 11 cột</t>
        </is>
      </c>
      <c r="I209"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9" s="48" t="inlineStr">
        <is>
          <t>011. OCB_GOLD_TCKH_V_HT_CP_UPL_PHAT.xlsx [SCRIPT: V_HT_CP_UPL]</t>
        </is>
      </c>
    </row>
    <row r="210">
      <c r="A210" s="48" t="inlineStr">
        <is>
          <t>TCKH.V_HT_CP_UPL</t>
        </is>
      </c>
      <c r="B210" s="48" t="inlineStr">
        <is>
          <t>UPLOAD_VIEW</t>
        </is>
      </c>
      <c r="C210" s="48" t="inlineStr">
        <is>
          <t>1.2</t>
        </is>
      </c>
      <c r="D210" s="48" t="inlineStr">
        <is>
          <t>Nhom 1 - Mapping</t>
        </is>
      </c>
      <c r="E210" s="48" t="inlineStr">
        <is>
          <t>Danh sách bảng/view Gold khớp tài liệu thiết kế đã duyệt</t>
        </is>
      </c>
      <c r="F210" s="49" t="inlineStr">
        <is>
          <t>PASS</t>
        </is>
      </c>
      <c r="G210" s="48" t="inlineStr">
        <is>
          <t>Pass</t>
        </is>
      </c>
      <c r="H210" s="50" t="inlineStr">
        <is>
          <t>V_HT_CP_UPL có workbook thiết kế: 011. OCB_GOLD_TCKH_V_HT_CP_UPL_PHAT.xlsx</t>
        </is>
      </c>
      <c r="I210" s="50" t="inlineStr">
        <is>
          <t>Đảm bảo object có workbook thiết kế tương ứng trong thư mục --mapping-dir. Muốn đối chiếu với danh sách đã duyệt thì chạy thêm tham số --gold-list "&lt;file danh sách Gold&gt;.xlsx".</t>
        </is>
      </c>
      <c r="J210" s="48" t="inlineStr">
        <is>
          <t>011. OCB_GOLD_TCKH_V_HT_CP_UPL_PHAT.xlsx [SCRIPT: V_HT_CP_UPL]</t>
        </is>
      </c>
    </row>
    <row r="211">
      <c r="A211" s="48" t="inlineStr">
        <is>
          <t>TCKH.V_HT_CP_UPL</t>
        </is>
      </c>
      <c r="B211" s="48" t="inlineStr">
        <is>
          <t>UPLOAD_VIEW</t>
        </is>
      </c>
      <c r="C211" s="48" t="inlineStr">
        <is>
          <t>2.1</t>
        </is>
      </c>
      <c r="D211" s="48" t="inlineStr">
        <is>
          <t>Nhom 2 - Logic</t>
        </is>
      </c>
      <c r="E211" s="48" t="inlineStr">
        <is>
          <t>Chỉ lấy bản ghi active, loại bản ghi đã xóa (qua sts_hub)</t>
        </is>
      </c>
      <c r="F211" s="48" t="inlineStr">
        <is>
          <t>N-A</t>
        </is>
      </c>
      <c r="G211" s="48" t="inlineStr">
        <is>
          <t>Pass</t>
        </is>
      </c>
      <c r="H211" s="50" t="inlineStr">
        <is>
          <t>khong ap dung cho profile UPLOAD_VIEW</t>
        </is>
      </c>
      <c r="I211"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1" s="48" t="inlineStr">
        <is>
          <t>011. OCB_GOLD_TCKH_V_HT_CP_UPL_PHAT.xlsx [SCRIPT: V_HT_CP_UPL]</t>
        </is>
      </c>
    </row>
    <row r="212">
      <c r="A212" s="48" t="inlineStr">
        <is>
          <t>TCKH.V_HT_CP_UPL</t>
        </is>
      </c>
      <c r="B212" s="48" t="inlineStr">
        <is>
          <t>UPLOAD_VIEW</t>
        </is>
      </c>
      <c r="C212" s="48" t="inlineStr">
        <is>
          <t>2.2</t>
        </is>
      </c>
      <c r="D212" s="48" t="inlineStr">
        <is>
          <t>Nhom 2 - Logic</t>
        </is>
      </c>
      <c r="E212" s="48" t="inlineStr">
        <is>
          <t>Thống nhất MỘT pattern duy nhất xác định bản ghi active mới nhất</t>
        </is>
      </c>
      <c r="F212" s="48" t="inlineStr">
        <is>
          <t>N-A</t>
        </is>
      </c>
      <c r="G212" s="48" t="inlineStr">
        <is>
          <t>Pass</t>
        </is>
      </c>
      <c r="H212" s="50" t="inlineStr">
        <is>
          <t>khong ap dung cho profile UPLOAD_VIEW</t>
        </is>
      </c>
      <c r="I212"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2" s="48" t="inlineStr">
        <is>
          <t>011. OCB_GOLD_TCKH_V_HT_CP_UPL_PHAT.xlsx [SCRIPT: V_HT_CP_UPL]</t>
        </is>
      </c>
    </row>
    <row r="213">
      <c r="A213" s="48" t="inlineStr">
        <is>
          <t>TCKH.V_HT_CP_UPL</t>
        </is>
      </c>
      <c r="B213" s="48" t="inlineStr">
        <is>
          <t>UPLOAD_VIEW</t>
        </is>
      </c>
      <c r="C213" s="48" t="inlineStr">
        <is>
          <t>2.3</t>
        </is>
      </c>
      <c r="D213" s="48" t="inlineStr">
        <is>
          <t>Nhom 2 - Logic</t>
        </is>
      </c>
      <c r="E213" s="48" t="inlineStr">
        <is>
          <t>Điều kiện lọc trạng thái đặt SAU khi xác định bản ghi mới nhất</t>
        </is>
      </c>
      <c r="F213" s="48" t="inlineStr">
        <is>
          <t>N-A</t>
        </is>
      </c>
      <c r="G213" s="48" t="inlineStr">
        <is>
          <t>Pass</t>
        </is>
      </c>
      <c r="H213" s="50" t="inlineStr">
        <is>
          <t>khong ap dung cho profile UPLOAD_VIEW</t>
        </is>
      </c>
      <c r="I213"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3" s="48" t="inlineStr">
        <is>
          <t>011. OCB_GOLD_TCKH_V_HT_CP_UPL_PHAT.xlsx [SCRIPT: V_HT_CP_UPL]</t>
        </is>
      </c>
    </row>
    <row r="214">
      <c r="A214" s="48" t="inlineStr">
        <is>
          <t>TCKH.V_HT_CP_UPL</t>
        </is>
      </c>
      <c r="B214" s="48" t="inlineStr">
        <is>
          <t>UPLOAD_VIEW</t>
        </is>
      </c>
      <c r="C214" s="48" t="inlineStr">
        <is>
          <t>2.4</t>
        </is>
      </c>
      <c r="D214" s="48" t="inlineStr">
        <is>
          <t>Nhom 2 - Logic</t>
        </is>
      </c>
      <c r="E214" s="48" t="inlineStr">
        <is>
          <t>source_event_date áp dụng đúng dạng theo loại bảng</t>
        </is>
      </c>
      <c r="F214" s="48" t="inlineStr">
        <is>
          <t>N-A</t>
        </is>
      </c>
      <c r="G214" s="48" t="inlineStr">
        <is>
          <t>Pass</t>
        </is>
      </c>
      <c r="H214" s="50" t="inlineStr">
        <is>
          <t>khong ap dung cho profile UPLOAD_VIEW</t>
        </is>
      </c>
      <c r="I214"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4" s="48" t="inlineStr">
        <is>
          <t>011. OCB_GOLD_TCKH_V_HT_CP_UPL_PHAT.xlsx [SCRIPT: V_HT_CP_UPL]</t>
        </is>
      </c>
    </row>
    <row r="215">
      <c r="A215" s="48" t="inlineStr">
        <is>
          <t>TCKH.V_HT_CP_UPL</t>
        </is>
      </c>
      <c r="B215" s="48" t="inlineStr">
        <is>
          <t>UPLOAD_VIEW</t>
        </is>
      </c>
      <c r="C215" s="48" t="inlineStr">
        <is>
          <t>2.5</t>
        </is>
      </c>
      <c r="D215" s="48" t="inlineStr">
        <is>
          <t>Nhom 2 - Logic</t>
        </is>
      </c>
      <c r="E215" s="48" t="inlineStr">
        <is>
          <t>Không lặp lại lỗi logic cũ đã được DA Data Vault fix</t>
        </is>
      </c>
      <c r="F215" s="49" t="inlineStr">
        <is>
          <t>PASS</t>
        </is>
      </c>
      <c r="G215" s="48" t="inlineStr">
        <is>
          <t>Pass</t>
        </is>
      </c>
      <c r="H215" s="50" t="inlineStr">
        <is>
          <t>không trùng lỗi nào trong Issue log của DA Data Vault</t>
        </is>
      </c>
      <c r="I215"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5" s="48" t="inlineStr">
        <is>
          <t>011. OCB_GOLD_TCKH_V_HT_CP_UPL_PHAT.xlsx [SCRIPT: V_HT_CP_UPL]</t>
        </is>
      </c>
    </row>
    <row r="216">
      <c r="A216" s="48" t="inlineStr">
        <is>
          <t>TCKH.V_HT_CP_UPL</t>
        </is>
      </c>
      <c r="B216" s="48" t="inlineStr">
        <is>
          <t>UPLOAD_VIEW</t>
        </is>
      </c>
      <c r="C216" s="48" t="inlineStr">
        <is>
          <t>2.6</t>
        </is>
      </c>
      <c r="D216" s="48" t="inlineStr">
        <is>
          <t>Nhom 2 - Logic</t>
        </is>
      </c>
      <c r="E216" s="48" t="inlineStr">
        <is>
          <t>SCD Type 2 cho bảng DIM áp dụng đúng kỹ thuật đã thống nhất</t>
        </is>
      </c>
      <c r="F216" s="48" t="inlineStr">
        <is>
          <t>N-A</t>
        </is>
      </c>
      <c r="G216" s="48" t="inlineStr">
        <is>
          <t>Pass</t>
        </is>
      </c>
      <c r="H216" s="50" t="inlineStr">
        <is>
          <t>object không phải bảng DIM nên không áp dụng SCD Type 2</t>
        </is>
      </c>
      <c r="I216"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6" s="48" t="inlineStr">
        <is>
          <t>011. OCB_GOLD_TCKH_V_HT_CP_UPL_PHAT.xlsx [SCRIPT: V_HT_CP_UPL]</t>
        </is>
      </c>
    </row>
    <row r="217">
      <c r="A217" s="48" t="inlineStr">
        <is>
          <t>TCKH.V_HT_CP_UPL</t>
        </is>
      </c>
      <c r="B217" s="48" t="inlineStr">
        <is>
          <t>UPLOAD_VIEW</t>
        </is>
      </c>
      <c r="C217" s="48" t="inlineStr">
        <is>
          <t>2.7</t>
        </is>
      </c>
      <c r="D217" s="48" t="inlineStr">
        <is>
          <t>Nhom 2 - Logic</t>
        </is>
      </c>
      <c r="E217" s="48" t="inlineStr">
        <is>
          <t>CASE WHEN cover đủ nhánh như job on-prem</t>
        </is>
      </c>
      <c r="F217" s="49" t="inlineStr">
        <is>
          <t>PASS</t>
        </is>
      </c>
      <c r="G217" s="48" t="inlineStr">
        <is>
          <t>Pass</t>
        </is>
      </c>
      <c r="H217" s="50" t="inlineStr">
        <is>
          <t>cả 1 CASE đều có nhánh ELSE</t>
        </is>
      </c>
      <c r="I217" s="50" t="inlineStr">
        <is>
          <t>Mở job on-prem tương ứng (DataStage DSX hoặc SQL cũ), đối chiếu từng nhánh WHEN và cả nhánh ELSE. CASE không có ELSE sẽ trả NULL âm thầm — xác nhận đó là ý muốn hay thiếu nhánh.</t>
        </is>
      </c>
      <c r="J217" s="48" t="inlineStr">
        <is>
          <t>011. OCB_GOLD_TCKH_V_HT_CP_UPL_PHAT.xlsx [SCRIPT: V_HT_CP_UPL]</t>
        </is>
      </c>
    </row>
    <row r="218">
      <c r="A218" s="48" t="inlineStr">
        <is>
          <t>TCKH.V_HT_CP_UPL</t>
        </is>
      </c>
      <c r="B218" s="48" t="inlineStr">
        <is>
          <t>UPLOAD_VIEW</t>
        </is>
      </c>
      <c r="C218" s="48" t="inlineStr">
        <is>
          <t>2.8</t>
        </is>
      </c>
      <c r="D218" s="48" t="inlineStr">
        <is>
          <t>Nhom 2 - Logic</t>
        </is>
      </c>
      <c r="E218" s="48" t="inlineStr">
        <is>
          <t>Cột SUM/COUNT được COALESCE/NVL hợp lý</t>
        </is>
      </c>
      <c r="F218" s="49" t="inlineStr">
        <is>
          <t>PASS</t>
        </is>
      </c>
      <c r="G218" s="48" t="inlineStr">
        <is>
          <t>Pass</t>
        </is>
      </c>
      <c r="H218" s="50" t="inlineStr">
        <is>
          <t>mọi SUM/COUNT đều đã coalesce (trực tiếp hoặc ở lớp ngoài)</t>
        </is>
      </c>
      <c r="I218"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8" s="48" t="inlineStr">
        <is>
          <t>011. OCB_GOLD_TCKH_V_HT_CP_UPL_PHAT.xlsx [SCRIPT: V_HT_CP_UPL]</t>
        </is>
      </c>
    </row>
    <row r="219">
      <c r="A219" s="48" t="inlineStr">
        <is>
          <t>TCKH.V_HT_CP_UPL</t>
        </is>
      </c>
      <c r="B219" s="48" t="inlineStr">
        <is>
          <t>UPLOAD_VIEW</t>
        </is>
      </c>
      <c r="C219" s="48" t="inlineStr">
        <is>
          <t>2.9</t>
        </is>
      </c>
      <c r="D219" s="48" t="inlineStr">
        <is>
          <t>Nhom 2 - Logic</t>
        </is>
      </c>
      <c r="E219" s="48" t="inlineStr">
        <is>
          <t>Subquery / custom function / điều kiện LIKE đúng ý nghĩa nghiệp vụ</t>
        </is>
      </c>
      <c r="F219" s="48" t="inlineStr">
        <is>
          <t>N-A</t>
        </is>
      </c>
      <c r="G219" s="48" t="inlineStr">
        <is>
          <t>Pass</t>
        </is>
      </c>
      <c r="H219" s="50" t="inlineStr">
        <is>
          <t>script không có điều kiện LIKE hay scalar subquery nào</t>
        </is>
      </c>
      <c r="I219" s="50" t="inlineStr">
        <is>
          <t>Đọc lại từng điều kiện LIKE và từng subquery, đối chiếu ý nghĩa nghiệp vụ với on-prem — đúng cú pháp không đủ. Chú ý pattern LIKE có ký tự % ở đầu/cuối và phân biệt chữ hoa/thường.</t>
        </is>
      </c>
      <c r="J219" s="48" t="inlineStr">
        <is>
          <t>011. OCB_GOLD_TCKH_V_HT_CP_UPL_PHAT.xlsx [SCRIPT: V_HT_CP_UPL]</t>
        </is>
      </c>
    </row>
    <row r="220">
      <c r="A220" s="48" t="inlineStr">
        <is>
          <t>TCKH.V_HT_CP_UPL</t>
        </is>
      </c>
      <c r="B220" s="48" t="inlineStr">
        <is>
          <t>UPLOAD_VIEW</t>
        </is>
      </c>
      <c r="C220" s="48" t="inlineStr">
        <is>
          <t>2.10</t>
        </is>
      </c>
      <c r="D220" s="48" t="inlineStr">
        <is>
          <t>Nhom 2 - Logic</t>
        </is>
      </c>
      <c r="E220" s="48" t="inlineStr">
        <is>
          <t>Aggregation kèm filter date range chính xác</t>
        </is>
      </c>
      <c r="F220" s="49" t="inlineStr">
        <is>
          <t>PASS</t>
        </is>
      </c>
      <c r="G220" s="48" t="inlineStr">
        <is>
          <t>Pass</t>
        </is>
      </c>
      <c r="H220" s="50" t="inlineStr">
        <is>
          <t>mọi khối tổng hợp đều có điều kiện theo kỳ dữ liệu</t>
        </is>
      </c>
      <c r="I220" s="50" t="inlineStr">
        <is>
          <t>Mỗi khối SUM/COUNT/AVG phải có điều kiện lọc theo kỳ dữ liệu (CDR_DT_ID, DATA_DATE, :DATADT…). Nếu điều kiện nằm ở CTE nguồn thì ghi rõ trong comment để người review không phải truy ngược.</t>
        </is>
      </c>
      <c r="J220" s="48" t="inlineStr">
        <is>
          <t>011. OCB_GOLD_TCKH_V_HT_CP_UPL_PHAT.xlsx [SCRIPT: V_HT_CP_UPL]</t>
        </is>
      </c>
    </row>
    <row r="221">
      <c r="A221" s="48" t="inlineStr">
        <is>
          <t>TCKH.V_HT_CP_UPL</t>
        </is>
      </c>
      <c r="B221" s="48" t="inlineStr">
        <is>
          <t>UPLOAD_VIEW</t>
        </is>
      </c>
      <c r="C221" s="48" t="inlineStr">
        <is>
          <t>2.11</t>
        </is>
      </c>
      <c r="D221" s="48" t="inlineStr">
        <is>
          <t>Nhom 2 - Logic</t>
        </is>
      </c>
      <c r="E221" s="48" t="inlineStr">
        <is>
          <t>Join dùng key hợp lý, không lạm dụng UNION ALL + EXISTS/NOT EXISTS</t>
        </is>
      </c>
      <c r="F221" s="49" t="inlineStr">
        <is>
          <t>PASS</t>
        </is>
      </c>
      <c r="G221" s="48" t="inlineStr">
        <is>
          <t>Pass</t>
        </is>
      </c>
      <c r="H221" s="50" t="inlineStr">
        <is>
          <t>join đều theo điều kiện bằng, không lạm dụng UNION ALL + EXISTS</t>
        </is>
      </c>
      <c r="I221" s="50" t="inlineStr">
        <is>
          <t>Ưu tiên LEFT JOIN theo business key hoặc hashkey. Xem lại các chỗ dùng UNION ALL kết hợp EXISTS/NOT EXISTS — thường thay được bằng một LEFT JOIN. Join không có điều kiện bằng (=) dễ tạo tích Descartes.</t>
        </is>
      </c>
      <c r="J221" s="48" t="inlineStr">
        <is>
          <t>011. OCB_GOLD_TCKH_V_HT_CP_UPL_PHAT.xlsx [SCRIPT: V_HT_CP_UPL]</t>
        </is>
      </c>
    </row>
    <row r="222">
      <c r="A222" s="48" t="inlineStr">
        <is>
          <t>TCKH.V_HT_CP_UPL</t>
        </is>
      </c>
      <c r="B222" s="48" t="inlineStr">
        <is>
          <t>UPLOAD_VIEW</t>
        </is>
      </c>
      <c r="C222" s="48" t="inlineStr">
        <is>
          <t>2.12</t>
        </is>
      </c>
      <c r="D222" s="48" t="inlineStr">
        <is>
          <t>Nhom 2 - Logic</t>
        </is>
      </c>
      <c r="E222" s="48" t="inlineStr">
        <is>
          <t>Build Gold từ CTE snapshot Silver, không build nhiều tầng chồng chéo</t>
        </is>
      </c>
      <c r="F222" s="48" t="inlineStr">
        <is>
          <t>N-A</t>
        </is>
      </c>
      <c r="G222" s="48" t="inlineStr">
        <is>
          <t>Pass</t>
        </is>
      </c>
      <c r="H222" s="50" t="inlineStr">
        <is>
          <t>khong ap dung cho profile UPLOAD_VIEW</t>
        </is>
      </c>
      <c r="I222"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2" s="48" t="inlineStr">
        <is>
          <t>011. OCB_GOLD_TCKH_V_HT_CP_UPL_PHAT.xlsx [SCRIPT: V_HT_CP_UPL]</t>
        </is>
      </c>
    </row>
    <row r="223">
      <c r="A223" s="48" t="inlineStr">
        <is>
          <t>TCKH.V_HT_CP_UPL</t>
        </is>
      </c>
      <c r="B223" s="48" t="inlineStr">
        <is>
          <t>UPLOAD_VIEW</t>
        </is>
      </c>
      <c r="C223" s="48" t="inlineStr">
        <is>
          <t>3.1</t>
        </is>
      </c>
      <c r="D223" s="48" t="inlineStr">
        <is>
          <t>Nhom 3 - Optimization</t>
        </is>
      </c>
      <c r="E223" s="48" t="inlineStr">
        <is>
          <t>Không SELECT *</t>
        </is>
      </c>
      <c r="F223" s="49" t="inlineStr">
        <is>
          <t>PASS</t>
        </is>
      </c>
      <c r="G223" s="48" t="inlineStr">
        <is>
          <t>Pass</t>
        </is>
      </c>
      <c r="H223" s="50" t="inlineStr">
        <is>
          <t>không dùng SELECT * ở đâu</t>
        </is>
      </c>
      <c r="I223" s="50" t="inlineStr">
        <is>
          <t>Liệt kê tường minh các cột cần dùng, kể cả trong CTE trung gian. SELECT * làm tăng IO/memory và vỡ script khi bảng nguồn thêm cột.</t>
        </is>
      </c>
      <c r="J223" s="48" t="inlineStr">
        <is>
          <t>011. OCB_GOLD_TCKH_V_HT_CP_UPL_PHAT.xlsx [SCRIPT: V_HT_CP_UPL]</t>
        </is>
      </c>
    </row>
    <row r="224">
      <c r="A224" s="48" t="inlineStr">
        <is>
          <t>TCKH.V_HT_CP_UPL</t>
        </is>
      </c>
      <c r="B224" s="48" t="inlineStr">
        <is>
          <t>UPLOAD_VIEW</t>
        </is>
      </c>
      <c r="C224" s="48" t="inlineStr">
        <is>
          <t>3.2</t>
        </is>
      </c>
      <c r="D224" s="48" t="inlineStr">
        <is>
          <t>Nhom 3 - Optimization</t>
        </is>
      </c>
      <c r="E224" s="48" t="inlineStr">
        <is>
          <t>CTE không bị scan lại nhiều lần</t>
        </is>
      </c>
      <c r="F224" s="49" t="inlineStr">
        <is>
          <t>PASS</t>
        </is>
      </c>
      <c r="G224" s="48" t="inlineStr">
        <is>
          <t>Pass</t>
        </is>
      </c>
      <c r="H224" s="50" t="inlineStr">
        <is>
          <t>không có CTE nào bị gọi lại</t>
        </is>
      </c>
      <c r="I224" s="50" t="inlineStr">
        <is>
          <t>Với CTE nặng (đọc nhiều bảng Silver) bị tham chiếu từ 2 chỗ trở lên: gom lại còn một lần dùng, hoặc vật chất hóa (CACHE / bảng tạm). CTE nhẹ chỉ chứa tham số thì bỏ qua được — tự tick Pass.</t>
        </is>
      </c>
      <c r="J224" s="48" t="inlineStr">
        <is>
          <t>011. OCB_GOLD_TCKH_V_HT_CP_UPL_PHAT.xlsx [SCRIPT: V_HT_CP_UPL]</t>
        </is>
      </c>
    </row>
    <row r="225">
      <c r="A225" s="48" t="inlineStr">
        <is>
          <t>TCKH.V_HT_CP_UPL</t>
        </is>
      </c>
      <c r="B225" s="48" t="inlineStr">
        <is>
          <t>UPLOAD_VIEW</t>
        </is>
      </c>
      <c r="C225" s="48" t="inlineStr">
        <is>
          <t>3.3</t>
        </is>
      </c>
      <c r="D225" s="48" t="inlineStr">
        <is>
          <t>Nhom 3 - Optimization</t>
        </is>
      </c>
      <c r="E225" s="48" t="inlineStr">
        <is>
          <t>Filter trước khi join, tận dụng partition pruning</t>
        </is>
      </c>
      <c r="F225" s="48" t="inlineStr">
        <is>
          <t>N-A</t>
        </is>
      </c>
      <c r="G225" s="48" t="inlineStr">
        <is>
          <t>Pass</t>
        </is>
      </c>
      <c r="H225" s="50" t="inlineStr">
        <is>
          <t>khong ap dung cho profile UPLOAD_VIEW</t>
        </is>
      </c>
      <c r="I225" s="50" t="inlineStr">
        <is>
          <t>Đưa điều kiện lọc (ngày dữ liệu, trạng thái) vào subquery của từng bảng TRƯỚC khi join, để tận dụng partition pruning. Bảng dim nhỏ không partition thì không cần — tự tick Pass.</t>
        </is>
      </c>
      <c r="J225" s="48" t="inlineStr">
        <is>
          <t>011. OCB_GOLD_TCKH_V_HT_CP_UPL_PHAT.xlsx [SCRIPT: V_HT_CP_UPL]</t>
        </is>
      </c>
    </row>
    <row r="226">
      <c r="A226" s="48" t="inlineStr">
        <is>
          <t>TCKH.V_HT_CP_UPL</t>
        </is>
      </c>
      <c r="B226" s="48" t="inlineStr">
        <is>
          <t>UPLOAD_VIEW</t>
        </is>
      </c>
      <c r="C226" s="48" t="inlineStr">
        <is>
          <t>3.4</t>
        </is>
      </c>
      <c r="D226" s="48" t="inlineStr">
        <is>
          <t>Nhom 3 - Optimization</t>
        </is>
      </c>
      <c r="E226" s="48" t="inlineStr">
        <is>
          <t>Sử dụng CACHE cho query lặp lại trong cùng luồng</t>
        </is>
      </c>
      <c r="F226" s="48" t="inlineStr">
        <is>
          <t>N-A</t>
        </is>
      </c>
      <c r="G226" s="48" t="inlineStr">
        <is>
          <t>Pass</t>
        </is>
      </c>
      <c r="H226" s="50" t="inlineStr">
        <is>
          <t>không có kết quả nào được dùng lại nhiều lần nên chưa cần CACHE</t>
        </is>
      </c>
      <c r="I226" s="50" t="inlineStr">
        <is>
          <t>Nếu một kết quả nặng được dùng lại nhiều bước trong cùng luồng, thêm CACHE TABLE / CACHE SELECT. Kết quả nhỏ thì cache còn chậm hơn — tự tick Pass.</t>
        </is>
      </c>
      <c r="J226" s="48" t="inlineStr">
        <is>
          <t>011. OCB_GOLD_TCKH_V_HT_CP_UPL_PHAT.xlsx [SCRIPT: V_HT_CP_UPL]</t>
        </is>
      </c>
    </row>
    <row r="227">
      <c r="A227" s="48" t="inlineStr">
        <is>
          <t>TCKH.V_HT_CP_UPL</t>
        </is>
      </c>
      <c r="B227" s="48" t="inlineStr">
        <is>
          <t>UPLOAD_VIEW</t>
        </is>
      </c>
      <c r="C227" s="48" t="inlineStr">
        <is>
          <t>3.5</t>
        </is>
      </c>
      <c r="D227" s="48" t="inlineStr">
        <is>
          <t>Nhom 3 - Optimization</t>
        </is>
      </c>
      <c r="E227" s="48" t="inlineStr">
        <is>
          <t>Ưu tiên MAX_BY + QUALIFY thay ROW_NUMBER() + WHERE rn = 1</t>
        </is>
      </c>
      <c r="F227" s="48" t="inlineStr">
        <is>
          <t>N-A</t>
        </is>
      </c>
      <c r="G227" s="48" t="inlineStr">
        <is>
          <t>Pass</t>
        </is>
      </c>
      <c r="H227" s="50" t="inlineStr">
        <is>
          <t>script không dùng ROW_NUMBER</t>
        </is>
      </c>
      <c r="I227"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7" s="48" t="inlineStr">
        <is>
          <t>011. OCB_GOLD_TCKH_V_HT_CP_UPL_PHAT.xlsx [SCRIPT: V_HT_CP_UPL]</t>
        </is>
      </c>
    </row>
    <row r="228">
      <c r="A228" s="48" t="inlineStr">
        <is>
          <t>TCKH.V_HT_CP_UPL</t>
        </is>
      </c>
      <c r="B228" s="48" t="inlineStr">
        <is>
          <t>UPLOAD_VIEW</t>
        </is>
      </c>
      <c r="C228" s="48" t="inlineStr">
        <is>
          <t>3.6</t>
        </is>
      </c>
      <c r="D228" s="48" t="inlineStr">
        <is>
          <t>Nhom 3 - Optimization</t>
        </is>
      </c>
      <c r="E228" s="48" t="inlineStr">
        <is>
          <t>Không lạm dụng window function; có comment khi dùng</t>
        </is>
      </c>
      <c r="F228" s="48" t="inlineStr">
        <is>
          <t>N-A</t>
        </is>
      </c>
      <c r="G228" s="48" t="inlineStr">
        <is>
          <t>Pass</t>
        </is>
      </c>
      <c r="H228" s="50" t="inlineStr">
        <is>
          <t>script không dùng window function</t>
        </is>
      </c>
      <c r="I228" s="50" t="inlineStr">
        <is>
          <t>Mỗi window function cần một comment ngay trên khối CTE chứa nó, nói rõ vì sao không dùng được max_by/QUALIFY đơn giản hơn.</t>
        </is>
      </c>
      <c r="J228" s="48" t="inlineStr">
        <is>
          <t>011. OCB_GOLD_TCKH_V_HT_CP_UPL_PHAT.xlsx [SCRIPT: V_HT_CP_UPL]</t>
        </is>
      </c>
    </row>
    <row r="229">
      <c r="A229" s="48" t="inlineStr">
        <is>
          <t>TCKH.V_HT_CP_UPL</t>
        </is>
      </c>
      <c r="B229" s="48" t="inlineStr">
        <is>
          <t>UPLOAD_VIEW</t>
        </is>
      </c>
      <c r="C229" s="48" t="inlineStr">
        <is>
          <t>X.1</t>
        </is>
      </c>
      <c r="D229" s="48" t="inlineStr">
        <is>
          <t>Nhom X - Bo sung Raffles</t>
        </is>
      </c>
      <c r="E229" s="48" t="inlineStr">
        <is>
          <t>[Bổ sung] Link phải rút về current trước khi join (chống fan-out)</t>
        </is>
      </c>
      <c r="F229" s="48" t="inlineStr">
        <is>
          <t>N-A</t>
        </is>
      </c>
      <c r="G229" s="48" t="inlineStr">
        <is>
          <t>Pass</t>
        </is>
      </c>
      <c r="H229" s="50" t="inlineStr">
        <is>
          <t>khong ap dung cho profile UPLOAD_VIEW</t>
        </is>
      </c>
      <c r="I229"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9" s="48" t="inlineStr">
        <is>
          <t>011. OCB_GOLD_TCKH_V_HT_CP_UPL_PHAT.xlsx [SCRIPT: V_HT_CP_UPL]</t>
        </is>
      </c>
    </row>
    <row r="230">
      <c r="A230" s="48" t="inlineStr">
        <is>
          <t>TCKH.V_HT_CP_UPL</t>
        </is>
      </c>
      <c r="B230" s="48" t="inlineStr">
        <is>
          <t>UPLOAD_VIEW</t>
        </is>
      </c>
      <c r="C230" s="48" t="inlineStr">
        <is>
          <t>X.6</t>
        </is>
      </c>
      <c r="D230" s="48" t="inlineStr">
        <is>
          <t>Nhom X - Bo sung Raffles</t>
        </is>
      </c>
      <c r="E230" s="48" t="inlineStr">
        <is>
          <t>[Bổ sung] Satellite phải LEFT JOIN, không INNER JOIN</t>
        </is>
      </c>
      <c r="F230" s="48" t="inlineStr">
        <is>
          <t>N-A</t>
        </is>
      </c>
      <c r="G230" s="48" t="inlineStr">
        <is>
          <t>Pass</t>
        </is>
      </c>
      <c r="H230" s="50" t="inlineStr">
        <is>
          <t>khong ap dung cho profile UPLOAD_VIEW</t>
        </is>
      </c>
      <c r="I230" s="50" t="inlineStr">
        <is>
          <t>Technical Document III.4.2.2 nguyên tắc 1: làm giàu thuộc tính luôn dùng LEFT JOIN. INNER JOIN satellite sẽ loại mất bản ghi Hub đang còn hiệu lực nhưng chưa có dòng satellite.</t>
        </is>
      </c>
      <c r="J230" s="48" t="inlineStr">
        <is>
          <t>011. OCB_GOLD_TCKH_V_HT_CP_UPL_PHAT.xlsx [SCRIPT: V_HT_CP_UPL]</t>
        </is>
      </c>
    </row>
    <row r="231">
      <c r="A231" s="48" t="inlineStr">
        <is>
          <t>TCKH.V_HT_CP_UPL</t>
        </is>
      </c>
      <c r="B231" s="48" t="inlineStr">
        <is>
          <t>UPLOAD_VIEW</t>
        </is>
      </c>
      <c r="C231" s="48" t="inlineStr">
        <is>
          <t>X.7</t>
        </is>
      </c>
      <c r="D231" s="48" t="inlineStr">
        <is>
          <t>Nhom X - Bo sung Raffles</t>
        </is>
      </c>
      <c r="E231" s="48" t="inlineStr">
        <is>
          <t>[Bổ sung] Không hard-code catalog, dùng biến môi trường</t>
        </is>
      </c>
      <c r="F231" s="48" t="inlineStr">
        <is>
          <t>N-A</t>
        </is>
      </c>
      <c r="G231" s="48" t="inlineStr">
        <is>
          <t>Pass</t>
        </is>
      </c>
      <c r="H231" s="50" t="inlineStr">
        <is>
          <t>khong ap dung cho profile UPLOAD_VIEW</t>
        </is>
      </c>
      <c r="I231"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1" s="48" t="inlineStr">
        <is>
          <t>011. OCB_GOLD_TCKH_V_HT_CP_UPL_PHAT.xlsx [SCRIPT: V_HT_CP_UPL]</t>
        </is>
      </c>
    </row>
    <row r="232">
      <c r="A232" s="48" t="inlineStr">
        <is>
          <t>TCKH.V_LOAN_BY_PRD_DAILY</t>
        </is>
      </c>
      <c r="B232" s="48" t="inlineStr">
        <is>
          <t>UPLOAD_VIEW</t>
        </is>
      </c>
      <c r="C232" s="48" t="inlineStr">
        <is>
          <t>1.1</t>
        </is>
      </c>
      <c r="D232" s="48" t="inlineStr">
        <is>
          <t>Nhom 1 - Mapping</t>
        </is>
      </c>
      <c r="E232" s="48" t="inlineStr">
        <is>
          <t>Đầy đủ mapping từ Silver/manual sang Gold</t>
        </is>
      </c>
      <c r="F232" s="49" t="inlineStr">
        <is>
          <t>PASS</t>
        </is>
      </c>
      <c r="G232" s="48" t="inlineStr">
        <is>
          <t>Pass</t>
        </is>
      </c>
      <c r="H232" s="50" t="inlineStr">
        <is>
          <t>workbook 013. OCB_GOLD_TCKH_V_LOAN_BY_PRD_DAILY_PHAT.xlsx: thiết kế 61 field, SQL có 61 cột</t>
        </is>
      </c>
      <c r="I23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2" s="48" t="inlineStr">
        <is>
          <t>013. OCB_GOLD_TCKH_V_LOAN_BY_PRD_DAILY_PHAT.xlsx [Script: V_LOAN_BY_PRD_DAILY]</t>
        </is>
      </c>
    </row>
    <row r="233">
      <c r="A233" s="48" t="inlineStr">
        <is>
          <t>TCKH.V_LOAN_BY_PRD_DAILY</t>
        </is>
      </c>
      <c r="B233" s="48" t="inlineStr">
        <is>
          <t>UPLOAD_VIEW</t>
        </is>
      </c>
      <c r="C233" s="48" t="inlineStr">
        <is>
          <t>1.2</t>
        </is>
      </c>
      <c r="D233" s="48" t="inlineStr">
        <is>
          <t>Nhom 1 - Mapping</t>
        </is>
      </c>
      <c r="E233" s="48" t="inlineStr">
        <is>
          <t>Danh sách bảng/view Gold khớp tài liệu thiết kế đã duyệt</t>
        </is>
      </c>
      <c r="F233" s="49" t="inlineStr">
        <is>
          <t>PASS</t>
        </is>
      </c>
      <c r="G233" s="48" t="inlineStr">
        <is>
          <t>Pass</t>
        </is>
      </c>
      <c r="H233" s="50" t="inlineStr">
        <is>
          <t>V_LOAN_BY_PRD_DAILY có workbook thiết kế: 013. OCB_GOLD_TCKH_V_LOAN_BY_PRD_DAILY_PHAT.xlsx</t>
        </is>
      </c>
      <c r="I233" s="50" t="inlineStr">
        <is>
          <t>Đảm bảo object có workbook thiết kế tương ứng trong thư mục --mapping-dir. Muốn đối chiếu với danh sách đã duyệt thì chạy thêm tham số --gold-list "&lt;file danh sách Gold&gt;.xlsx".</t>
        </is>
      </c>
      <c r="J233" s="48" t="inlineStr">
        <is>
          <t>013. OCB_GOLD_TCKH_V_LOAN_BY_PRD_DAILY_PHAT.xlsx [Script: V_LOAN_BY_PRD_DAILY]</t>
        </is>
      </c>
    </row>
    <row r="234">
      <c r="A234" s="48" t="inlineStr">
        <is>
          <t>TCKH.V_LOAN_BY_PRD_DAILY</t>
        </is>
      </c>
      <c r="B234" s="48" t="inlineStr">
        <is>
          <t>UPLOAD_VIEW</t>
        </is>
      </c>
      <c r="C234" s="48" t="inlineStr">
        <is>
          <t>2.1</t>
        </is>
      </c>
      <c r="D234" s="48" t="inlineStr">
        <is>
          <t>Nhom 2 - Logic</t>
        </is>
      </c>
      <c r="E234" s="48" t="inlineStr">
        <is>
          <t>Chỉ lấy bản ghi active, loại bản ghi đã xóa (qua sts_hub)</t>
        </is>
      </c>
      <c r="F234" s="48" t="inlineStr">
        <is>
          <t>N-A</t>
        </is>
      </c>
      <c r="G234" s="48" t="inlineStr">
        <is>
          <t>Pass</t>
        </is>
      </c>
      <c r="H234" s="50" t="inlineStr">
        <is>
          <t>khong ap dung cho profile UPLOAD_VIEW</t>
        </is>
      </c>
      <c r="I23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4" s="48" t="inlineStr">
        <is>
          <t>013. OCB_GOLD_TCKH_V_LOAN_BY_PRD_DAILY_PHAT.xlsx [Script: V_LOAN_BY_PRD_DAILY]</t>
        </is>
      </c>
    </row>
    <row r="235">
      <c r="A235" s="48" t="inlineStr">
        <is>
          <t>TCKH.V_LOAN_BY_PRD_DAILY</t>
        </is>
      </c>
      <c r="B235" s="48" t="inlineStr">
        <is>
          <t>UPLOAD_VIEW</t>
        </is>
      </c>
      <c r="C235" s="48" t="inlineStr">
        <is>
          <t>2.2</t>
        </is>
      </c>
      <c r="D235" s="48" t="inlineStr">
        <is>
          <t>Nhom 2 - Logic</t>
        </is>
      </c>
      <c r="E235" s="48" t="inlineStr">
        <is>
          <t>Thống nhất MỘT pattern duy nhất xác định bản ghi active mới nhất</t>
        </is>
      </c>
      <c r="F235" s="48" t="inlineStr">
        <is>
          <t>N-A</t>
        </is>
      </c>
      <c r="G235" s="48" t="inlineStr">
        <is>
          <t>Pass</t>
        </is>
      </c>
      <c r="H235" s="50" t="inlineStr">
        <is>
          <t>khong ap dung cho profile UPLOAD_VIEW</t>
        </is>
      </c>
      <c r="I23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5" s="48" t="inlineStr">
        <is>
          <t>013. OCB_GOLD_TCKH_V_LOAN_BY_PRD_DAILY_PHAT.xlsx [Script: V_LOAN_BY_PRD_DAILY]</t>
        </is>
      </c>
    </row>
    <row r="236">
      <c r="A236" s="48" t="inlineStr">
        <is>
          <t>TCKH.V_LOAN_BY_PRD_DAILY</t>
        </is>
      </c>
      <c r="B236" s="48" t="inlineStr">
        <is>
          <t>UPLOAD_VIEW</t>
        </is>
      </c>
      <c r="C236" s="48" t="inlineStr">
        <is>
          <t>2.3</t>
        </is>
      </c>
      <c r="D236" s="48" t="inlineStr">
        <is>
          <t>Nhom 2 - Logic</t>
        </is>
      </c>
      <c r="E236" s="48" t="inlineStr">
        <is>
          <t>Điều kiện lọc trạng thái đặt SAU khi xác định bản ghi mới nhất</t>
        </is>
      </c>
      <c r="F236" s="48" t="inlineStr">
        <is>
          <t>N-A</t>
        </is>
      </c>
      <c r="G236" s="48" t="inlineStr">
        <is>
          <t>Pass</t>
        </is>
      </c>
      <c r="H236" s="50" t="inlineStr">
        <is>
          <t>khong ap dung cho profile UPLOAD_VIEW</t>
        </is>
      </c>
      <c r="I23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6" s="48" t="inlineStr">
        <is>
          <t>013. OCB_GOLD_TCKH_V_LOAN_BY_PRD_DAILY_PHAT.xlsx [Script: V_LOAN_BY_PRD_DAILY]</t>
        </is>
      </c>
    </row>
    <row r="237">
      <c r="A237" s="48" t="inlineStr">
        <is>
          <t>TCKH.V_LOAN_BY_PRD_DAILY</t>
        </is>
      </c>
      <c r="B237" s="48" t="inlineStr">
        <is>
          <t>UPLOAD_VIEW</t>
        </is>
      </c>
      <c r="C237" s="48" t="inlineStr">
        <is>
          <t>2.4</t>
        </is>
      </c>
      <c r="D237" s="48" t="inlineStr">
        <is>
          <t>Nhom 2 - Logic</t>
        </is>
      </c>
      <c r="E237" s="48" t="inlineStr">
        <is>
          <t>source_event_date áp dụng đúng dạng theo loại bảng</t>
        </is>
      </c>
      <c r="F237" s="48" t="inlineStr">
        <is>
          <t>N-A</t>
        </is>
      </c>
      <c r="G237" s="48" t="inlineStr">
        <is>
          <t>Pass</t>
        </is>
      </c>
      <c r="H237" s="50" t="inlineStr">
        <is>
          <t>khong ap dung cho profile UPLOAD_VIEW</t>
        </is>
      </c>
      <c r="I23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7" s="48" t="inlineStr">
        <is>
          <t>013. OCB_GOLD_TCKH_V_LOAN_BY_PRD_DAILY_PHAT.xlsx [Script: V_LOAN_BY_PRD_DAILY]</t>
        </is>
      </c>
    </row>
    <row r="238">
      <c r="A238" s="48" t="inlineStr">
        <is>
          <t>TCKH.V_LOAN_BY_PRD_DAILY</t>
        </is>
      </c>
      <c r="B238" s="48" t="inlineStr">
        <is>
          <t>UPLOAD_VIEW</t>
        </is>
      </c>
      <c r="C238" s="48" t="inlineStr">
        <is>
          <t>2.5</t>
        </is>
      </c>
      <c r="D238" s="48" t="inlineStr">
        <is>
          <t>Nhom 2 - Logic</t>
        </is>
      </c>
      <c r="E238" s="48" t="inlineStr">
        <is>
          <t>Không lặp lại lỗi logic cũ đã được DA Data Vault fix</t>
        </is>
      </c>
      <c r="F238" s="49" t="inlineStr">
        <is>
          <t>PASS</t>
        </is>
      </c>
      <c r="G238" s="48" t="inlineStr">
        <is>
          <t>Pass</t>
        </is>
      </c>
      <c r="H238" s="50" t="inlineStr">
        <is>
          <t>không trùng lỗi nào trong Issue log của DA Data Vault</t>
        </is>
      </c>
      <c r="I23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8" s="48" t="inlineStr">
        <is>
          <t>013. OCB_GOLD_TCKH_V_LOAN_BY_PRD_DAILY_PHAT.xlsx [Script: V_LOAN_BY_PRD_DAILY]</t>
        </is>
      </c>
    </row>
    <row r="239">
      <c r="A239" s="48" t="inlineStr">
        <is>
          <t>TCKH.V_LOAN_BY_PRD_DAILY</t>
        </is>
      </c>
      <c r="B239" s="48" t="inlineStr">
        <is>
          <t>UPLOAD_VIEW</t>
        </is>
      </c>
      <c r="C239" s="48" t="inlineStr">
        <is>
          <t>2.6</t>
        </is>
      </c>
      <c r="D239" s="48" t="inlineStr">
        <is>
          <t>Nhom 2 - Logic</t>
        </is>
      </c>
      <c r="E239" s="48" t="inlineStr">
        <is>
          <t>SCD Type 2 cho bảng DIM áp dụng đúng kỹ thuật đã thống nhất</t>
        </is>
      </c>
      <c r="F239" s="48" t="inlineStr">
        <is>
          <t>N-A</t>
        </is>
      </c>
      <c r="G239" s="48" t="inlineStr">
        <is>
          <t>Pass</t>
        </is>
      </c>
      <c r="H239" s="50" t="inlineStr">
        <is>
          <t>object không phải bảng DIM nên không áp dụng SCD Type 2</t>
        </is>
      </c>
      <c r="I23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9" s="48" t="inlineStr">
        <is>
          <t>013. OCB_GOLD_TCKH_V_LOAN_BY_PRD_DAILY_PHAT.xlsx [Script: V_LOAN_BY_PRD_DAILY]</t>
        </is>
      </c>
    </row>
    <row r="240">
      <c r="A240" s="48" t="inlineStr">
        <is>
          <t>TCKH.V_LOAN_BY_PRD_DAILY</t>
        </is>
      </c>
      <c r="B240" s="48" t="inlineStr">
        <is>
          <t>UPLOAD_VIEW</t>
        </is>
      </c>
      <c r="C240" s="48" t="inlineStr">
        <is>
          <t>2.7</t>
        </is>
      </c>
      <c r="D240" s="48" t="inlineStr">
        <is>
          <t>Nhom 2 - Logic</t>
        </is>
      </c>
      <c r="E240" s="48" t="inlineStr">
        <is>
          <t>CASE WHEN cover đủ nhánh như job on-prem</t>
        </is>
      </c>
      <c r="F240" s="49" t="inlineStr">
        <is>
          <t>PASS</t>
        </is>
      </c>
      <c r="G240" s="48" t="inlineStr">
        <is>
          <t>Pass</t>
        </is>
      </c>
      <c r="H240" s="50" t="inlineStr">
        <is>
          <t>cả 18 CASE đều có nhánh ELSE</t>
        </is>
      </c>
      <c r="I240" s="50" t="inlineStr">
        <is>
          <t>Mở job on-prem tương ứng (DataStage DSX hoặc SQL cũ), đối chiếu từng nhánh WHEN và cả nhánh ELSE. CASE không có ELSE sẽ trả NULL âm thầm — xác nhận đó là ý muốn hay thiếu nhánh.</t>
        </is>
      </c>
      <c r="J240" s="48" t="inlineStr">
        <is>
          <t>013. OCB_GOLD_TCKH_V_LOAN_BY_PRD_DAILY_PHAT.xlsx [Script: V_LOAN_BY_PRD_DAILY]</t>
        </is>
      </c>
    </row>
    <row r="241">
      <c r="A241" s="48" t="inlineStr">
        <is>
          <t>TCKH.V_LOAN_BY_PRD_DAILY</t>
        </is>
      </c>
      <c r="B241" s="48" t="inlineStr">
        <is>
          <t>UPLOAD_VIEW</t>
        </is>
      </c>
      <c r="C241" s="48" t="inlineStr">
        <is>
          <t>2.8</t>
        </is>
      </c>
      <c r="D241" s="48" t="inlineStr">
        <is>
          <t>Nhom 2 - Logic</t>
        </is>
      </c>
      <c r="E241" s="48" t="inlineStr">
        <is>
          <t>Cột SUM/COUNT được COALESCE/NVL hợp lý</t>
        </is>
      </c>
      <c r="F241" s="49" t="inlineStr">
        <is>
          <t>PASS</t>
        </is>
      </c>
      <c r="G241" s="48" t="inlineStr">
        <is>
          <t>Pass</t>
        </is>
      </c>
      <c r="H241" s="50" t="inlineStr">
        <is>
          <t>mọi SUM/COUNT đều đã coalesce (trực tiếp hoặc ở lớp ngoài)</t>
        </is>
      </c>
      <c r="I24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41" s="48" t="inlineStr">
        <is>
          <t>013. OCB_GOLD_TCKH_V_LOAN_BY_PRD_DAILY_PHAT.xlsx [Script: V_LOAN_BY_PRD_DAILY]</t>
        </is>
      </c>
    </row>
    <row r="242">
      <c r="A242" s="48" t="inlineStr">
        <is>
          <t>TCKH.V_LOAN_BY_PRD_DAILY</t>
        </is>
      </c>
      <c r="B242" s="48" t="inlineStr">
        <is>
          <t>UPLOAD_VIEW</t>
        </is>
      </c>
      <c r="C242" s="48" t="inlineStr">
        <is>
          <t>2.9</t>
        </is>
      </c>
      <c r="D242" s="48" t="inlineStr">
        <is>
          <t>Nhom 2 - Logic</t>
        </is>
      </c>
      <c r="E242" s="48" t="inlineStr">
        <is>
          <t>Subquery / custom function / điều kiện LIKE đúng ý nghĩa nghiệp vụ</t>
        </is>
      </c>
      <c r="F242" s="49" t="inlineStr">
        <is>
          <t>PASS</t>
        </is>
      </c>
      <c r="G242" s="48" t="inlineStr">
        <is>
          <t>Pass</t>
        </is>
      </c>
      <c r="H242" s="50" t="inlineStr">
        <is>
          <t>13 điều kiện LIKE: A.CONTRACT_NO LIKE '%PDPD%' | A.CONTRACT_NO LIKE 'VND17948%' | A.CONTRACT_NO NOT LIKE 'VND%133' | COALESCE(LOAN.SECTOR, '1001') LIKE REPLACE(P5.SECTOR, '*', '%'); cú pháp hợp lệ; ý nghĩa nghiệp vụ cần người review đối chiếu job on-prem</t>
        </is>
      </c>
      <c r="I242" s="50" t="inlineStr">
        <is>
          <t>Đọc lại từng điều kiện LIKE và từng subquery, đối chiếu ý nghĩa nghiệp vụ với on-prem — đúng cú pháp không đủ. Chú ý pattern LIKE có ký tự % ở đầu/cuối và phân biệt chữ hoa/thường.</t>
        </is>
      </c>
      <c r="J242" s="48" t="inlineStr">
        <is>
          <t>013. OCB_GOLD_TCKH_V_LOAN_BY_PRD_DAILY_PHAT.xlsx [Script: V_LOAN_BY_PRD_DAILY]</t>
        </is>
      </c>
    </row>
    <row r="243">
      <c r="A243" s="48" t="inlineStr">
        <is>
          <t>TCKH.V_LOAN_BY_PRD_DAILY</t>
        </is>
      </c>
      <c r="B243" s="48" t="inlineStr">
        <is>
          <t>UPLOAD_VIEW</t>
        </is>
      </c>
      <c r="C243" s="48" t="inlineStr">
        <is>
          <t>2.10</t>
        </is>
      </c>
      <c r="D243" s="48" t="inlineStr">
        <is>
          <t>Nhom 2 - Logic</t>
        </is>
      </c>
      <c r="E243" s="48" t="inlineStr">
        <is>
          <t>Aggregation kèm filter date range chính xác</t>
        </is>
      </c>
      <c r="F243" s="49" t="inlineStr">
        <is>
          <t>PASS</t>
        </is>
      </c>
      <c r="G243" s="48" t="inlineStr">
        <is>
          <t>Pass</t>
        </is>
      </c>
      <c r="H243" s="50" t="inlineStr">
        <is>
          <t>mọi khối tổng hợp đều có điều kiện theo kỳ dữ liệu</t>
        </is>
      </c>
      <c r="I243" s="50" t="inlineStr">
        <is>
          <t>Mỗi khối SUM/COUNT/AVG phải có điều kiện lọc theo kỳ dữ liệu (CDR_DT_ID, DATA_DATE, :DATADT…). Nếu điều kiện nằm ở CTE nguồn thì ghi rõ trong comment để người review không phải truy ngược.</t>
        </is>
      </c>
      <c r="J243" s="48" t="inlineStr">
        <is>
          <t>013. OCB_GOLD_TCKH_V_LOAN_BY_PRD_DAILY_PHAT.xlsx [Script: V_LOAN_BY_PRD_DAILY]</t>
        </is>
      </c>
    </row>
    <row r="244">
      <c r="A244" s="48" t="inlineStr">
        <is>
          <t>TCKH.V_LOAN_BY_PRD_DAILY</t>
        </is>
      </c>
      <c r="B244" s="48" t="inlineStr">
        <is>
          <t>UPLOAD_VIEW</t>
        </is>
      </c>
      <c r="C244" s="48" t="inlineStr">
        <is>
          <t>2.11</t>
        </is>
      </c>
      <c r="D244" s="48" t="inlineStr">
        <is>
          <t>Nhom 2 - Logic</t>
        </is>
      </c>
      <c r="E244" s="48" t="inlineStr">
        <is>
          <t>Join dùng key hợp lý, không lạm dụng UNION ALL + EXISTS/NOT EXISTS</t>
        </is>
      </c>
      <c r="F244" s="51" t="inlineStr">
        <is>
          <t>WARN</t>
        </is>
      </c>
      <c r="G244" s="48" t="inlineStr">
        <is>
          <t>WARN</t>
        </is>
      </c>
      <c r="H244" s="50" t="inlineStr">
        <is>
          <t>join không có điều kiện bằng (=): ['T']</t>
        </is>
      </c>
      <c r="I244" s="50" t="inlineStr">
        <is>
          <t>Ưu tiên LEFT JOIN theo business key hoặc hashkey. Xem lại các chỗ dùng UNION ALL kết hợp EXISTS/NOT EXISTS — thường thay được bằng một LEFT JOIN. Join không có điều kiện bằng (=) dễ tạo tích Descartes.</t>
        </is>
      </c>
      <c r="J244" s="48" t="inlineStr">
        <is>
          <t>013. OCB_GOLD_TCKH_V_LOAN_BY_PRD_DAILY_PHAT.xlsx [Script: V_LOAN_BY_PRD_DAILY]</t>
        </is>
      </c>
    </row>
    <row r="245">
      <c r="A245" s="48" t="inlineStr">
        <is>
          <t>TCKH.V_LOAN_BY_PRD_DAILY</t>
        </is>
      </c>
      <c r="B245" s="48" t="inlineStr">
        <is>
          <t>UPLOAD_VIEW</t>
        </is>
      </c>
      <c r="C245" s="48" t="inlineStr">
        <is>
          <t>2.12</t>
        </is>
      </c>
      <c r="D245" s="48" t="inlineStr">
        <is>
          <t>Nhom 2 - Logic</t>
        </is>
      </c>
      <c r="E245" s="48" t="inlineStr">
        <is>
          <t>Build Gold từ CTE snapshot Silver, không build nhiều tầng chồng chéo</t>
        </is>
      </c>
      <c r="F245" s="48" t="inlineStr">
        <is>
          <t>N-A</t>
        </is>
      </c>
      <c r="G245" s="48" t="inlineStr">
        <is>
          <t>Pass</t>
        </is>
      </c>
      <c r="H245" s="50" t="inlineStr">
        <is>
          <t>khong ap dung cho profile UPLOAD_VIEW</t>
        </is>
      </c>
      <c r="I24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45" s="48" t="inlineStr">
        <is>
          <t>013. OCB_GOLD_TCKH_V_LOAN_BY_PRD_DAILY_PHAT.xlsx [Script: V_LOAN_BY_PRD_DAILY]</t>
        </is>
      </c>
    </row>
    <row r="246">
      <c r="A246" s="48" t="inlineStr">
        <is>
          <t>TCKH.V_LOAN_BY_PRD_DAILY</t>
        </is>
      </c>
      <c r="B246" s="48" t="inlineStr">
        <is>
          <t>UPLOAD_VIEW</t>
        </is>
      </c>
      <c r="C246" s="48" t="inlineStr">
        <is>
          <t>3.1</t>
        </is>
      </c>
      <c r="D246" s="48" t="inlineStr">
        <is>
          <t>Nhom 3 - Optimization</t>
        </is>
      </c>
      <c r="E246" s="48" t="inlineStr">
        <is>
          <t>Không SELECT *</t>
        </is>
      </c>
      <c r="F246" s="49" t="inlineStr">
        <is>
          <t>PASS</t>
        </is>
      </c>
      <c r="G246" s="48" t="inlineStr">
        <is>
          <t>Pass</t>
        </is>
      </c>
      <c r="H246" s="50" t="inlineStr">
        <is>
          <t>không dùng SELECT * ở đâu</t>
        </is>
      </c>
      <c r="I246" s="50" t="inlineStr">
        <is>
          <t>Liệt kê tường minh các cột cần dùng, kể cả trong CTE trung gian. SELECT * làm tăng IO/memory và vỡ script khi bảng nguồn thêm cột.</t>
        </is>
      </c>
      <c r="J246" s="48" t="inlineStr">
        <is>
          <t>013. OCB_GOLD_TCKH_V_LOAN_BY_PRD_DAILY_PHAT.xlsx [Script: V_LOAN_BY_PRD_DAILY]</t>
        </is>
      </c>
    </row>
    <row r="247">
      <c r="A247" s="48" t="inlineStr">
        <is>
          <t>TCKH.V_LOAN_BY_PRD_DAILY</t>
        </is>
      </c>
      <c r="B247" s="48" t="inlineStr">
        <is>
          <t>UPLOAD_VIEW</t>
        </is>
      </c>
      <c r="C247" s="48" t="inlineStr">
        <is>
          <t>3.2</t>
        </is>
      </c>
      <c r="D247" s="48" t="inlineStr">
        <is>
          <t>Nhom 3 - Optimization</t>
        </is>
      </c>
      <c r="E247" s="48" t="inlineStr">
        <is>
          <t>CTE không bị scan lại nhiều lần</t>
        </is>
      </c>
      <c r="F247" s="51" t="inlineStr">
        <is>
          <t>WARN</t>
        </is>
      </c>
      <c r="G247" s="48" t="inlineStr">
        <is>
          <t>WARN</t>
        </is>
      </c>
      <c r="H247" s="50" t="inlineStr">
        <is>
          <t>CTE bị tham chiếu lại nhiều lần: ar_dtl_daily x7, loan_base x2, loan_prd x2</t>
        </is>
      </c>
      <c r="I247" s="50" t="inlineStr">
        <is>
          <t>Với CTE nặng (đọc nhiều bảng Silver) bị tham chiếu từ 2 chỗ trở lên: gom lại còn một lần dùng, hoặc vật chất hóa (CACHE / bảng tạm). CTE nhẹ chỉ chứa tham số thì bỏ qua được — tự tick Pass.</t>
        </is>
      </c>
      <c r="J247" s="48" t="inlineStr">
        <is>
          <t>013. OCB_GOLD_TCKH_V_LOAN_BY_PRD_DAILY_PHAT.xlsx [Script: V_LOAN_BY_PRD_DAILY]</t>
        </is>
      </c>
    </row>
    <row r="248">
      <c r="A248" s="48" t="inlineStr">
        <is>
          <t>TCKH.V_LOAN_BY_PRD_DAILY</t>
        </is>
      </c>
      <c r="B248" s="48" t="inlineStr">
        <is>
          <t>UPLOAD_VIEW</t>
        </is>
      </c>
      <c r="C248" s="48" t="inlineStr">
        <is>
          <t>3.3</t>
        </is>
      </c>
      <c r="D248" s="48" t="inlineStr">
        <is>
          <t>Nhom 3 - Optimization</t>
        </is>
      </c>
      <c r="E248" s="48" t="inlineStr">
        <is>
          <t>Filter trước khi join, tận dụng partition pruning</t>
        </is>
      </c>
      <c r="F248" s="48" t="inlineStr">
        <is>
          <t>N-A</t>
        </is>
      </c>
      <c r="G248" s="48" t="inlineStr">
        <is>
          <t>Pass</t>
        </is>
      </c>
      <c r="H248" s="50" t="inlineStr">
        <is>
          <t>khong ap dung cho profile UPLOAD_VIEW</t>
        </is>
      </c>
      <c r="I248" s="50" t="inlineStr">
        <is>
          <t>Đưa điều kiện lọc (ngày dữ liệu, trạng thái) vào subquery của từng bảng TRƯỚC khi join, để tận dụng partition pruning. Bảng dim nhỏ không partition thì không cần — tự tick Pass.</t>
        </is>
      </c>
      <c r="J248" s="48" t="inlineStr">
        <is>
          <t>013. OCB_GOLD_TCKH_V_LOAN_BY_PRD_DAILY_PHAT.xlsx [Script: V_LOAN_BY_PRD_DAILY]</t>
        </is>
      </c>
    </row>
    <row r="249">
      <c r="A249" s="48" t="inlineStr">
        <is>
          <t>TCKH.V_LOAN_BY_PRD_DAILY</t>
        </is>
      </c>
      <c r="B249" s="48" t="inlineStr">
        <is>
          <t>UPLOAD_VIEW</t>
        </is>
      </c>
      <c r="C249" s="48" t="inlineStr">
        <is>
          <t>3.4</t>
        </is>
      </c>
      <c r="D249" s="48" t="inlineStr">
        <is>
          <t>Nhom 3 - Optimization</t>
        </is>
      </c>
      <c r="E249" s="48" t="inlineStr">
        <is>
          <t>Sử dụng CACHE cho query lặp lại trong cùng luồng</t>
        </is>
      </c>
      <c r="F249" s="51" t="inlineStr">
        <is>
          <t>WARN</t>
        </is>
      </c>
      <c r="G249" s="48" t="inlineStr">
        <is>
          <t>WARN</t>
        </is>
      </c>
      <c r="H249" s="50" t="inlineStr">
        <is>
          <t>3 CTE nặng dùng lại &gt;= 2 lần mà không có CACHE: ar_dtl_daily, loan_base, loan_prd</t>
        </is>
      </c>
      <c r="I249" s="50" t="inlineStr">
        <is>
          <t>Nếu một kết quả nặng được dùng lại nhiều bước trong cùng luồng, thêm CACHE TABLE / CACHE SELECT. Kết quả nhỏ thì cache còn chậm hơn — tự tick Pass.</t>
        </is>
      </c>
      <c r="J249" s="48" t="inlineStr">
        <is>
          <t>013. OCB_GOLD_TCKH_V_LOAN_BY_PRD_DAILY_PHAT.xlsx [Script: V_LOAN_BY_PRD_DAILY]</t>
        </is>
      </c>
    </row>
    <row r="250">
      <c r="A250" s="48" t="inlineStr">
        <is>
          <t>TCKH.V_LOAN_BY_PRD_DAILY</t>
        </is>
      </c>
      <c r="B250" s="48" t="inlineStr">
        <is>
          <t>UPLOAD_VIEW</t>
        </is>
      </c>
      <c r="C250" s="48" t="inlineStr">
        <is>
          <t>3.5</t>
        </is>
      </c>
      <c r="D250" s="48" t="inlineStr">
        <is>
          <t>Nhom 3 - Optimization</t>
        </is>
      </c>
      <c r="E250" s="48" t="inlineStr">
        <is>
          <t>Ưu tiên MAX_BY + QUALIFY thay ROW_NUMBER() + WHERE rn = 1</t>
        </is>
      </c>
      <c r="F250" s="48" t="inlineStr">
        <is>
          <t>N-A</t>
        </is>
      </c>
      <c r="G250" s="48" t="inlineStr">
        <is>
          <t>Pass</t>
        </is>
      </c>
      <c r="H250" s="50" t="inlineStr">
        <is>
          <t>script không dùng ROW_NUMBER</t>
        </is>
      </c>
      <c r="I25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50" s="48" t="inlineStr">
        <is>
          <t>013. OCB_GOLD_TCKH_V_LOAN_BY_PRD_DAILY_PHAT.xlsx [Script: V_LOAN_BY_PRD_DAILY]</t>
        </is>
      </c>
    </row>
    <row r="251">
      <c r="A251" s="48" t="inlineStr">
        <is>
          <t>TCKH.V_LOAN_BY_PRD_DAILY</t>
        </is>
      </c>
      <c r="B251" s="48" t="inlineStr">
        <is>
          <t>UPLOAD_VIEW</t>
        </is>
      </c>
      <c r="C251" s="48" t="inlineStr">
        <is>
          <t>3.6</t>
        </is>
      </c>
      <c r="D251" s="48" t="inlineStr">
        <is>
          <t>Nhom 3 - Optimization</t>
        </is>
      </c>
      <c r="E251" s="48" t="inlineStr">
        <is>
          <t>Không lạm dụng window function; có comment khi dùng</t>
        </is>
      </c>
      <c r="F251" s="48" t="inlineStr">
        <is>
          <t>N-A</t>
        </is>
      </c>
      <c r="G251" s="48" t="inlineStr">
        <is>
          <t>Pass</t>
        </is>
      </c>
      <c r="H251" s="50" t="inlineStr">
        <is>
          <t>script không dùng window function</t>
        </is>
      </c>
      <c r="I251" s="50" t="inlineStr">
        <is>
          <t>Mỗi window function cần một comment ngay trên khối CTE chứa nó, nói rõ vì sao không dùng được max_by/QUALIFY đơn giản hơn.</t>
        </is>
      </c>
      <c r="J251" s="48" t="inlineStr">
        <is>
          <t>013. OCB_GOLD_TCKH_V_LOAN_BY_PRD_DAILY_PHAT.xlsx [Script: V_LOAN_BY_PRD_DAILY]</t>
        </is>
      </c>
    </row>
    <row r="252">
      <c r="A252" s="48" t="inlineStr">
        <is>
          <t>TCKH.V_LOAN_BY_PRD_DAILY</t>
        </is>
      </c>
      <c r="B252" s="48" t="inlineStr">
        <is>
          <t>UPLOAD_VIEW</t>
        </is>
      </c>
      <c r="C252" s="48" t="inlineStr">
        <is>
          <t>X.1</t>
        </is>
      </c>
      <c r="D252" s="48" t="inlineStr">
        <is>
          <t>Nhom X - Bo sung Raffles</t>
        </is>
      </c>
      <c r="E252" s="48" t="inlineStr">
        <is>
          <t>[Bổ sung] Link phải rút về current trước khi join (chống fan-out)</t>
        </is>
      </c>
      <c r="F252" s="48" t="inlineStr">
        <is>
          <t>N-A</t>
        </is>
      </c>
      <c r="G252" s="48" t="inlineStr">
        <is>
          <t>Pass</t>
        </is>
      </c>
      <c r="H252" s="50" t="inlineStr">
        <is>
          <t>khong ap dung cho profile UPLOAD_VIEW</t>
        </is>
      </c>
      <c r="I25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52" s="48" t="inlineStr">
        <is>
          <t>013. OCB_GOLD_TCKH_V_LOAN_BY_PRD_DAILY_PHAT.xlsx [Script: V_LOAN_BY_PRD_DAILY]</t>
        </is>
      </c>
    </row>
    <row r="253">
      <c r="A253" s="48" t="inlineStr">
        <is>
          <t>TCKH.V_LOAN_BY_PRD_DAILY</t>
        </is>
      </c>
      <c r="B253" s="48" t="inlineStr">
        <is>
          <t>UPLOAD_VIEW</t>
        </is>
      </c>
      <c r="C253" s="48" t="inlineStr">
        <is>
          <t>X.6</t>
        </is>
      </c>
      <c r="D253" s="48" t="inlineStr">
        <is>
          <t>Nhom X - Bo sung Raffles</t>
        </is>
      </c>
      <c r="E253" s="48" t="inlineStr">
        <is>
          <t>[Bổ sung] Satellite phải LEFT JOIN, không INNER JOIN</t>
        </is>
      </c>
      <c r="F253" s="48" t="inlineStr">
        <is>
          <t>N-A</t>
        </is>
      </c>
      <c r="G253" s="48" t="inlineStr">
        <is>
          <t>Pass</t>
        </is>
      </c>
      <c r="H253" s="50" t="inlineStr">
        <is>
          <t>khong ap dung cho profile UPLOAD_VIEW</t>
        </is>
      </c>
      <c r="I253" s="50" t="inlineStr">
        <is>
          <t>Technical Document III.4.2.2 nguyên tắc 1: làm giàu thuộc tính luôn dùng LEFT JOIN. INNER JOIN satellite sẽ loại mất bản ghi Hub đang còn hiệu lực nhưng chưa có dòng satellite.</t>
        </is>
      </c>
      <c r="J253" s="48" t="inlineStr">
        <is>
          <t>013. OCB_GOLD_TCKH_V_LOAN_BY_PRD_DAILY_PHAT.xlsx [Script: V_LOAN_BY_PRD_DAILY]</t>
        </is>
      </c>
    </row>
    <row r="254">
      <c r="A254" s="48" t="inlineStr">
        <is>
          <t>TCKH.V_LOAN_BY_PRD_DAILY</t>
        </is>
      </c>
      <c r="B254" s="48" t="inlineStr">
        <is>
          <t>UPLOAD_VIEW</t>
        </is>
      </c>
      <c r="C254" s="48" t="inlineStr">
        <is>
          <t>X.7</t>
        </is>
      </c>
      <c r="D254" s="48" t="inlineStr">
        <is>
          <t>Nhom X - Bo sung Raffles</t>
        </is>
      </c>
      <c r="E254" s="48" t="inlineStr">
        <is>
          <t>[Bổ sung] Không hard-code catalog, dùng biến môi trường</t>
        </is>
      </c>
      <c r="F254" s="48" t="inlineStr">
        <is>
          <t>N-A</t>
        </is>
      </c>
      <c r="G254" s="48" t="inlineStr">
        <is>
          <t>Pass</t>
        </is>
      </c>
      <c r="H254" s="50" t="inlineStr">
        <is>
          <t>khong ap dung cho profile UPLOAD_VIEW</t>
        </is>
      </c>
      <c r="I25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54" s="48" t="inlineStr">
        <is>
          <t>013. OCB_GOLD_TCKH_V_LOAN_BY_PRD_DAILY_PHAT.xlsx [Script: V_LOAN_BY_PRD_DAILY]</t>
        </is>
      </c>
    </row>
    <row r="255">
      <c r="A255" s="48" t="inlineStr">
        <is>
          <t>TCKH.V_PLA_CPHD_UPL</t>
        </is>
      </c>
      <c r="B255" s="48" t="inlineStr">
        <is>
          <t>UPLOAD_VIEW</t>
        </is>
      </c>
      <c r="C255" s="48" t="inlineStr">
        <is>
          <t>1.1</t>
        </is>
      </c>
      <c r="D255" s="48" t="inlineStr">
        <is>
          <t>Nhom 1 - Mapping</t>
        </is>
      </c>
      <c r="E255" s="48" t="inlineStr">
        <is>
          <t>Đầy đủ mapping từ Silver/manual sang Gold</t>
        </is>
      </c>
      <c r="F255" s="49" t="inlineStr">
        <is>
          <t>PASS</t>
        </is>
      </c>
      <c r="G255" s="48" t="inlineStr">
        <is>
          <t>Pass</t>
        </is>
      </c>
      <c r="H255" s="50" t="inlineStr">
        <is>
          <t>workbook 016. OCB_GOLD_TCKH_V_PLA_CPHD_UPL_QUANG.xlsx: thiết kế 11 field, SQL có 11 cột</t>
        </is>
      </c>
      <c r="I255"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55" s="48" t="inlineStr">
        <is>
          <t>016. OCB_GOLD_TCKH_V_PLA_CPHD_UPL_QUANG.xlsx [Script SQL: V_PLA_CPHD_UPL]</t>
        </is>
      </c>
    </row>
    <row r="256">
      <c r="A256" s="48" t="inlineStr">
        <is>
          <t>TCKH.V_PLA_CPHD_UPL</t>
        </is>
      </c>
      <c r="B256" s="48" t="inlineStr">
        <is>
          <t>UPLOAD_VIEW</t>
        </is>
      </c>
      <c r="C256" s="48" t="inlineStr">
        <is>
          <t>1.2</t>
        </is>
      </c>
      <c r="D256" s="48" t="inlineStr">
        <is>
          <t>Nhom 1 - Mapping</t>
        </is>
      </c>
      <c r="E256" s="48" t="inlineStr">
        <is>
          <t>Danh sách bảng/view Gold khớp tài liệu thiết kế đã duyệt</t>
        </is>
      </c>
      <c r="F256" s="49" t="inlineStr">
        <is>
          <t>PASS</t>
        </is>
      </c>
      <c r="G256" s="48" t="inlineStr">
        <is>
          <t>Pass</t>
        </is>
      </c>
      <c r="H256" s="50" t="inlineStr">
        <is>
          <t>V_PLA_CPHD_UPL có workbook thiết kế: 016. OCB_GOLD_TCKH_V_PLA_CPHD_UPL_QUANG.xlsx</t>
        </is>
      </c>
      <c r="I256" s="50" t="inlineStr">
        <is>
          <t>Đảm bảo object có workbook thiết kế tương ứng trong thư mục --mapping-dir. Muốn đối chiếu với danh sách đã duyệt thì chạy thêm tham số --gold-list "&lt;file danh sách Gold&gt;.xlsx".</t>
        </is>
      </c>
      <c r="J256" s="48" t="inlineStr">
        <is>
          <t>016. OCB_GOLD_TCKH_V_PLA_CPHD_UPL_QUANG.xlsx [Script SQL: V_PLA_CPHD_UPL]</t>
        </is>
      </c>
    </row>
    <row r="257">
      <c r="A257" s="48" t="inlineStr">
        <is>
          <t>TCKH.V_PLA_CPHD_UPL</t>
        </is>
      </c>
      <c r="B257" s="48" t="inlineStr">
        <is>
          <t>UPLOAD_VIEW</t>
        </is>
      </c>
      <c r="C257" s="48" t="inlineStr">
        <is>
          <t>2.1</t>
        </is>
      </c>
      <c r="D257" s="48" t="inlineStr">
        <is>
          <t>Nhom 2 - Logic</t>
        </is>
      </c>
      <c r="E257" s="48" t="inlineStr">
        <is>
          <t>Chỉ lấy bản ghi active, loại bản ghi đã xóa (qua sts_hub)</t>
        </is>
      </c>
      <c r="F257" s="48" t="inlineStr">
        <is>
          <t>N-A</t>
        </is>
      </c>
      <c r="G257" s="48" t="inlineStr">
        <is>
          <t>Pass</t>
        </is>
      </c>
      <c r="H257" s="50" t="inlineStr">
        <is>
          <t>khong ap dung cho profile UPLOAD_VIEW</t>
        </is>
      </c>
      <c r="I257"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57" s="48" t="inlineStr">
        <is>
          <t>016. OCB_GOLD_TCKH_V_PLA_CPHD_UPL_QUANG.xlsx [Script SQL: V_PLA_CPHD_UPL]</t>
        </is>
      </c>
    </row>
    <row r="258">
      <c r="A258" s="48" t="inlineStr">
        <is>
          <t>TCKH.V_PLA_CPHD_UPL</t>
        </is>
      </c>
      <c r="B258" s="48" t="inlineStr">
        <is>
          <t>UPLOAD_VIEW</t>
        </is>
      </c>
      <c r="C258" s="48" t="inlineStr">
        <is>
          <t>2.2</t>
        </is>
      </c>
      <c r="D258" s="48" t="inlineStr">
        <is>
          <t>Nhom 2 - Logic</t>
        </is>
      </c>
      <c r="E258" s="48" t="inlineStr">
        <is>
          <t>Thống nhất MỘT pattern duy nhất xác định bản ghi active mới nhất</t>
        </is>
      </c>
      <c r="F258" s="48" t="inlineStr">
        <is>
          <t>N-A</t>
        </is>
      </c>
      <c r="G258" s="48" t="inlineStr">
        <is>
          <t>Pass</t>
        </is>
      </c>
      <c r="H258" s="50" t="inlineStr">
        <is>
          <t>khong ap dung cho profile UPLOAD_VIEW</t>
        </is>
      </c>
      <c r="I258"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58" s="48" t="inlineStr">
        <is>
          <t>016. OCB_GOLD_TCKH_V_PLA_CPHD_UPL_QUANG.xlsx [Script SQL: V_PLA_CPHD_UPL]</t>
        </is>
      </c>
    </row>
    <row r="259">
      <c r="A259" s="48" t="inlineStr">
        <is>
          <t>TCKH.V_PLA_CPHD_UPL</t>
        </is>
      </c>
      <c r="B259" s="48" t="inlineStr">
        <is>
          <t>UPLOAD_VIEW</t>
        </is>
      </c>
      <c r="C259" s="48" t="inlineStr">
        <is>
          <t>2.3</t>
        </is>
      </c>
      <c r="D259" s="48" t="inlineStr">
        <is>
          <t>Nhom 2 - Logic</t>
        </is>
      </c>
      <c r="E259" s="48" t="inlineStr">
        <is>
          <t>Điều kiện lọc trạng thái đặt SAU khi xác định bản ghi mới nhất</t>
        </is>
      </c>
      <c r="F259" s="48" t="inlineStr">
        <is>
          <t>N-A</t>
        </is>
      </c>
      <c r="G259" s="48" t="inlineStr">
        <is>
          <t>Pass</t>
        </is>
      </c>
      <c r="H259" s="50" t="inlineStr">
        <is>
          <t>khong ap dung cho profile UPLOAD_VIEW</t>
        </is>
      </c>
      <c r="I259"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59" s="48" t="inlineStr">
        <is>
          <t>016. OCB_GOLD_TCKH_V_PLA_CPHD_UPL_QUANG.xlsx [Script SQL: V_PLA_CPHD_UPL]</t>
        </is>
      </c>
    </row>
    <row r="260">
      <c r="A260" s="48" t="inlineStr">
        <is>
          <t>TCKH.V_PLA_CPHD_UPL</t>
        </is>
      </c>
      <c r="B260" s="48" t="inlineStr">
        <is>
          <t>UPLOAD_VIEW</t>
        </is>
      </c>
      <c r="C260" s="48" t="inlineStr">
        <is>
          <t>2.4</t>
        </is>
      </c>
      <c r="D260" s="48" t="inlineStr">
        <is>
          <t>Nhom 2 - Logic</t>
        </is>
      </c>
      <c r="E260" s="48" t="inlineStr">
        <is>
          <t>source_event_date áp dụng đúng dạng theo loại bảng</t>
        </is>
      </c>
      <c r="F260" s="48" t="inlineStr">
        <is>
          <t>N-A</t>
        </is>
      </c>
      <c r="G260" s="48" t="inlineStr">
        <is>
          <t>Pass</t>
        </is>
      </c>
      <c r="H260" s="50" t="inlineStr">
        <is>
          <t>khong ap dung cho profile UPLOAD_VIEW</t>
        </is>
      </c>
      <c r="I260"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60" s="48" t="inlineStr">
        <is>
          <t>016. OCB_GOLD_TCKH_V_PLA_CPHD_UPL_QUANG.xlsx [Script SQL: V_PLA_CPHD_UPL]</t>
        </is>
      </c>
    </row>
    <row r="261">
      <c r="A261" s="48" t="inlineStr">
        <is>
          <t>TCKH.V_PLA_CPHD_UPL</t>
        </is>
      </c>
      <c r="B261" s="48" t="inlineStr">
        <is>
          <t>UPLOAD_VIEW</t>
        </is>
      </c>
      <c r="C261" s="48" t="inlineStr">
        <is>
          <t>2.5</t>
        </is>
      </c>
      <c r="D261" s="48" t="inlineStr">
        <is>
          <t>Nhom 2 - Logic</t>
        </is>
      </c>
      <c r="E261" s="48" t="inlineStr">
        <is>
          <t>Không lặp lại lỗi logic cũ đã được DA Data Vault fix</t>
        </is>
      </c>
      <c r="F261" s="49" t="inlineStr">
        <is>
          <t>PASS</t>
        </is>
      </c>
      <c r="G261" s="48" t="inlineStr">
        <is>
          <t>Pass</t>
        </is>
      </c>
      <c r="H261" s="50" t="inlineStr">
        <is>
          <t>không trùng lỗi nào trong Issue log của DA Data Vault</t>
        </is>
      </c>
      <c r="I261"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61" s="48" t="inlineStr">
        <is>
          <t>016. OCB_GOLD_TCKH_V_PLA_CPHD_UPL_QUANG.xlsx [Script SQL: V_PLA_CPHD_UPL]</t>
        </is>
      </c>
    </row>
    <row r="262">
      <c r="A262" s="48" t="inlineStr">
        <is>
          <t>TCKH.V_PLA_CPHD_UPL</t>
        </is>
      </c>
      <c r="B262" s="48" t="inlineStr">
        <is>
          <t>UPLOAD_VIEW</t>
        </is>
      </c>
      <c r="C262" s="48" t="inlineStr">
        <is>
          <t>2.6</t>
        </is>
      </c>
      <c r="D262" s="48" t="inlineStr">
        <is>
          <t>Nhom 2 - Logic</t>
        </is>
      </c>
      <c r="E262" s="48" t="inlineStr">
        <is>
          <t>SCD Type 2 cho bảng DIM áp dụng đúng kỹ thuật đã thống nhất</t>
        </is>
      </c>
      <c r="F262" s="48" t="inlineStr">
        <is>
          <t>N-A</t>
        </is>
      </c>
      <c r="G262" s="48" t="inlineStr">
        <is>
          <t>Pass</t>
        </is>
      </c>
      <c r="H262" s="50" t="inlineStr">
        <is>
          <t>object không phải bảng DIM nên không áp dụng SCD Type 2</t>
        </is>
      </c>
      <c r="I262"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62" s="48" t="inlineStr">
        <is>
          <t>016. OCB_GOLD_TCKH_V_PLA_CPHD_UPL_QUANG.xlsx [Script SQL: V_PLA_CPHD_UPL]</t>
        </is>
      </c>
    </row>
    <row r="263">
      <c r="A263" s="48" t="inlineStr">
        <is>
          <t>TCKH.V_PLA_CPHD_UPL</t>
        </is>
      </c>
      <c r="B263" s="48" t="inlineStr">
        <is>
          <t>UPLOAD_VIEW</t>
        </is>
      </c>
      <c r="C263" s="48" t="inlineStr">
        <is>
          <t>2.7</t>
        </is>
      </c>
      <c r="D263" s="48" t="inlineStr">
        <is>
          <t>Nhom 2 - Logic</t>
        </is>
      </c>
      <c r="E263" s="48" t="inlineStr">
        <is>
          <t>CASE WHEN cover đủ nhánh như job on-prem</t>
        </is>
      </c>
      <c r="F263" s="49" t="inlineStr">
        <is>
          <t>PASS</t>
        </is>
      </c>
      <c r="G263" s="48" t="inlineStr">
        <is>
          <t>Pass</t>
        </is>
      </c>
      <c r="H263" s="50" t="inlineStr">
        <is>
          <t>cả 1 CASE đều có nhánh ELSE</t>
        </is>
      </c>
      <c r="I263" s="50" t="inlineStr">
        <is>
          <t>Mở job on-prem tương ứng (DataStage DSX hoặc SQL cũ), đối chiếu từng nhánh WHEN và cả nhánh ELSE. CASE không có ELSE sẽ trả NULL âm thầm — xác nhận đó là ý muốn hay thiếu nhánh.</t>
        </is>
      </c>
      <c r="J263" s="48" t="inlineStr">
        <is>
          <t>016. OCB_GOLD_TCKH_V_PLA_CPHD_UPL_QUANG.xlsx [Script SQL: V_PLA_CPHD_UPL]</t>
        </is>
      </c>
    </row>
    <row r="264">
      <c r="A264" s="48" t="inlineStr">
        <is>
          <t>TCKH.V_PLA_CPHD_UPL</t>
        </is>
      </c>
      <c r="B264" s="48" t="inlineStr">
        <is>
          <t>UPLOAD_VIEW</t>
        </is>
      </c>
      <c r="C264" s="48" t="inlineStr">
        <is>
          <t>2.8</t>
        </is>
      </c>
      <c r="D264" s="48" t="inlineStr">
        <is>
          <t>Nhom 2 - Logic</t>
        </is>
      </c>
      <c r="E264" s="48" t="inlineStr">
        <is>
          <t>Cột SUM/COUNT được COALESCE/NVL hợp lý</t>
        </is>
      </c>
      <c r="F264" s="49" t="inlineStr">
        <is>
          <t>PASS</t>
        </is>
      </c>
      <c r="G264" s="48" t="inlineStr">
        <is>
          <t>Pass</t>
        </is>
      </c>
      <c r="H264" s="50" t="inlineStr">
        <is>
          <t>mọi SUM/COUNT đều đã coalesce (trực tiếp hoặc ở lớp ngoài)</t>
        </is>
      </c>
      <c r="I264"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64" s="48" t="inlineStr">
        <is>
          <t>016. OCB_GOLD_TCKH_V_PLA_CPHD_UPL_QUANG.xlsx [Script SQL: V_PLA_CPHD_UPL]</t>
        </is>
      </c>
    </row>
    <row r="265">
      <c r="A265" s="48" t="inlineStr">
        <is>
          <t>TCKH.V_PLA_CPHD_UPL</t>
        </is>
      </c>
      <c r="B265" s="48" t="inlineStr">
        <is>
          <t>UPLOAD_VIEW</t>
        </is>
      </c>
      <c r="C265" s="48" t="inlineStr">
        <is>
          <t>2.9</t>
        </is>
      </c>
      <c r="D265" s="48" t="inlineStr">
        <is>
          <t>Nhom 2 - Logic</t>
        </is>
      </c>
      <c r="E265" s="48" t="inlineStr">
        <is>
          <t>Subquery / custom function / điều kiện LIKE đúng ý nghĩa nghiệp vụ</t>
        </is>
      </c>
      <c r="F265" s="48" t="inlineStr">
        <is>
          <t>N-A</t>
        </is>
      </c>
      <c r="G265" s="48" t="inlineStr">
        <is>
          <t>Pass</t>
        </is>
      </c>
      <c r="H265" s="50" t="inlineStr">
        <is>
          <t>script không có điều kiện LIKE hay scalar subquery nào</t>
        </is>
      </c>
      <c r="I265" s="50" t="inlineStr">
        <is>
          <t>Đọc lại từng điều kiện LIKE và từng subquery, đối chiếu ý nghĩa nghiệp vụ với on-prem — đúng cú pháp không đủ. Chú ý pattern LIKE có ký tự % ở đầu/cuối và phân biệt chữ hoa/thường.</t>
        </is>
      </c>
      <c r="J265" s="48" t="inlineStr">
        <is>
          <t>016. OCB_GOLD_TCKH_V_PLA_CPHD_UPL_QUANG.xlsx [Script SQL: V_PLA_CPHD_UPL]</t>
        </is>
      </c>
    </row>
    <row r="266">
      <c r="A266" s="48" t="inlineStr">
        <is>
          <t>TCKH.V_PLA_CPHD_UPL</t>
        </is>
      </c>
      <c r="B266" s="48" t="inlineStr">
        <is>
          <t>UPLOAD_VIEW</t>
        </is>
      </c>
      <c r="C266" s="48" t="inlineStr">
        <is>
          <t>2.10</t>
        </is>
      </c>
      <c r="D266" s="48" t="inlineStr">
        <is>
          <t>Nhom 2 - Logic</t>
        </is>
      </c>
      <c r="E266" s="48" t="inlineStr">
        <is>
          <t>Aggregation kèm filter date range chính xác</t>
        </is>
      </c>
      <c r="F266" s="49" t="inlineStr">
        <is>
          <t>PASS</t>
        </is>
      </c>
      <c r="G266" s="48" t="inlineStr">
        <is>
          <t>Pass</t>
        </is>
      </c>
      <c r="H266" s="50" t="inlineStr">
        <is>
          <t>mọi khối tổng hợp đều có điều kiện theo kỳ dữ liệu</t>
        </is>
      </c>
      <c r="I266" s="50" t="inlineStr">
        <is>
          <t>Mỗi khối SUM/COUNT/AVG phải có điều kiện lọc theo kỳ dữ liệu (CDR_DT_ID, DATA_DATE, :DATADT…). Nếu điều kiện nằm ở CTE nguồn thì ghi rõ trong comment để người review không phải truy ngược.</t>
        </is>
      </c>
      <c r="J266" s="48" t="inlineStr">
        <is>
          <t>016. OCB_GOLD_TCKH_V_PLA_CPHD_UPL_QUANG.xlsx [Script SQL: V_PLA_CPHD_UPL]</t>
        </is>
      </c>
    </row>
    <row r="267">
      <c r="A267" s="48" t="inlineStr">
        <is>
          <t>TCKH.V_PLA_CPHD_UPL</t>
        </is>
      </c>
      <c r="B267" s="48" t="inlineStr">
        <is>
          <t>UPLOAD_VIEW</t>
        </is>
      </c>
      <c r="C267" s="48" t="inlineStr">
        <is>
          <t>2.11</t>
        </is>
      </c>
      <c r="D267" s="48" t="inlineStr">
        <is>
          <t>Nhom 2 - Logic</t>
        </is>
      </c>
      <c r="E267" s="48" t="inlineStr">
        <is>
          <t>Join dùng key hợp lý, không lạm dụng UNION ALL + EXISTS/NOT EXISTS</t>
        </is>
      </c>
      <c r="F267" s="49" t="inlineStr">
        <is>
          <t>PASS</t>
        </is>
      </c>
      <c r="G267" s="48" t="inlineStr">
        <is>
          <t>Pass</t>
        </is>
      </c>
      <c r="H267" s="50" t="inlineStr">
        <is>
          <t>join đều theo điều kiện bằng, không lạm dụng UNION ALL + EXISTS</t>
        </is>
      </c>
      <c r="I267" s="50" t="inlineStr">
        <is>
          <t>Ưu tiên LEFT JOIN theo business key hoặc hashkey. Xem lại các chỗ dùng UNION ALL kết hợp EXISTS/NOT EXISTS — thường thay được bằng một LEFT JOIN. Join không có điều kiện bằng (=) dễ tạo tích Descartes.</t>
        </is>
      </c>
      <c r="J267" s="48" t="inlineStr">
        <is>
          <t>016. OCB_GOLD_TCKH_V_PLA_CPHD_UPL_QUANG.xlsx [Script SQL: V_PLA_CPHD_UPL]</t>
        </is>
      </c>
    </row>
    <row r="268">
      <c r="A268" s="48" t="inlineStr">
        <is>
          <t>TCKH.V_PLA_CPHD_UPL</t>
        </is>
      </c>
      <c r="B268" s="48" t="inlineStr">
        <is>
          <t>UPLOAD_VIEW</t>
        </is>
      </c>
      <c r="C268" s="48" t="inlineStr">
        <is>
          <t>2.12</t>
        </is>
      </c>
      <c r="D268" s="48" t="inlineStr">
        <is>
          <t>Nhom 2 - Logic</t>
        </is>
      </c>
      <c r="E268" s="48" t="inlineStr">
        <is>
          <t>Build Gold từ CTE snapshot Silver, không build nhiều tầng chồng chéo</t>
        </is>
      </c>
      <c r="F268" s="48" t="inlineStr">
        <is>
          <t>N-A</t>
        </is>
      </c>
      <c r="G268" s="48" t="inlineStr">
        <is>
          <t>Pass</t>
        </is>
      </c>
      <c r="H268" s="50" t="inlineStr">
        <is>
          <t>khong ap dung cho profile UPLOAD_VIEW</t>
        </is>
      </c>
      <c r="I268"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68" s="48" t="inlineStr">
        <is>
          <t>016. OCB_GOLD_TCKH_V_PLA_CPHD_UPL_QUANG.xlsx [Script SQL: V_PLA_CPHD_UPL]</t>
        </is>
      </c>
    </row>
    <row r="269">
      <c r="A269" s="48" t="inlineStr">
        <is>
          <t>TCKH.V_PLA_CPHD_UPL</t>
        </is>
      </c>
      <c r="B269" s="48" t="inlineStr">
        <is>
          <t>UPLOAD_VIEW</t>
        </is>
      </c>
      <c r="C269" s="48" t="inlineStr">
        <is>
          <t>3.1</t>
        </is>
      </c>
      <c r="D269" s="48" t="inlineStr">
        <is>
          <t>Nhom 3 - Optimization</t>
        </is>
      </c>
      <c r="E269" s="48" t="inlineStr">
        <is>
          <t>Không SELECT *</t>
        </is>
      </c>
      <c r="F269" s="49" t="inlineStr">
        <is>
          <t>PASS</t>
        </is>
      </c>
      <c r="G269" s="48" t="inlineStr">
        <is>
          <t>Pass</t>
        </is>
      </c>
      <c r="H269" s="50" t="inlineStr">
        <is>
          <t>không dùng SELECT * ở đâu</t>
        </is>
      </c>
      <c r="I269" s="50" t="inlineStr">
        <is>
          <t>Liệt kê tường minh các cột cần dùng, kể cả trong CTE trung gian. SELECT * làm tăng IO/memory và vỡ script khi bảng nguồn thêm cột.</t>
        </is>
      </c>
      <c r="J269" s="48" t="inlineStr">
        <is>
          <t>016. OCB_GOLD_TCKH_V_PLA_CPHD_UPL_QUANG.xlsx [Script SQL: V_PLA_CPHD_UPL]</t>
        </is>
      </c>
    </row>
    <row r="270">
      <c r="A270" s="48" t="inlineStr">
        <is>
          <t>TCKH.V_PLA_CPHD_UPL</t>
        </is>
      </c>
      <c r="B270" s="48" t="inlineStr">
        <is>
          <t>UPLOAD_VIEW</t>
        </is>
      </c>
      <c r="C270" s="48" t="inlineStr">
        <is>
          <t>3.2</t>
        </is>
      </c>
      <c r="D270" s="48" t="inlineStr">
        <is>
          <t>Nhom 3 - Optimization</t>
        </is>
      </c>
      <c r="E270" s="48" t="inlineStr">
        <is>
          <t>CTE không bị scan lại nhiều lần</t>
        </is>
      </c>
      <c r="F270" s="49" t="inlineStr">
        <is>
          <t>PASS</t>
        </is>
      </c>
      <c r="G270" s="48" t="inlineStr">
        <is>
          <t>Pass</t>
        </is>
      </c>
      <c r="H270" s="50" t="inlineStr">
        <is>
          <t>không có CTE nào bị gọi lại</t>
        </is>
      </c>
      <c r="I270" s="50" t="inlineStr">
        <is>
          <t>Với CTE nặng (đọc nhiều bảng Silver) bị tham chiếu từ 2 chỗ trở lên: gom lại còn một lần dùng, hoặc vật chất hóa (CACHE / bảng tạm). CTE nhẹ chỉ chứa tham số thì bỏ qua được — tự tick Pass.</t>
        </is>
      </c>
      <c r="J270" s="48" t="inlineStr">
        <is>
          <t>016. OCB_GOLD_TCKH_V_PLA_CPHD_UPL_QUANG.xlsx [Script SQL: V_PLA_CPHD_UPL]</t>
        </is>
      </c>
    </row>
    <row r="271">
      <c r="A271" s="48" t="inlineStr">
        <is>
          <t>TCKH.V_PLA_CPHD_UPL</t>
        </is>
      </c>
      <c r="B271" s="48" t="inlineStr">
        <is>
          <t>UPLOAD_VIEW</t>
        </is>
      </c>
      <c r="C271" s="48" t="inlineStr">
        <is>
          <t>3.3</t>
        </is>
      </c>
      <c r="D271" s="48" t="inlineStr">
        <is>
          <t>Nhom 3 - Optimization</t>
        </is>
      </c>
      <c r="E271" s="48" t="inlineStr">
        <is>
          <t>Filter trước khi join, tận dụng partition pruning</t>
        </is>
      </c>
      <c r="F271" s="48" t="inlineStr">
        <is>
          <t>N-A</t>
        </is>
      </c>
      <c r="G271" s="48" t="inlineStr">
        <is>
          <t>Pass</t>
        </is>
      </c>
      <c r="H271" s="50" t="inlineStr">
        <is>
          <t>khong ap dung cho profile UPLOAD_VIEW</t>
        </is>
      </c>
      <c r="I271" s="50" t="inlineStr">
        <is>
          <t>Đưa điều kiện lọc (ngày dữ liệu, trạng thái) vào subquery của từng bảng TRƯỚC khi join, để tận dụng partition pruning. Bảng dim nhỏ không partition thì không cần — tự tick Pass.</t>
        </is>
      </c>
      <c r="J271" s="48" t="inlineStr">
        <is>
          <t>016. OCB_GOLD_TCKH_V_PLA_CPHD_UPL_QUANG.xlsx [Script SQL: V_PLA_CPHD_UPL]</t>
        </is>
      </c>
    </row>
    <row r="272">
      <c r="A272" s="48" t="inlineStr">
        <is>
          <t>TCKH.V_PLA_CPHD_UPL</t>
        </is>
      </c>
      <c r="B272" s="48" t="inlineStr">
        <is>
          <t>UPLOAD_VIEW</t>
        </is>
      </c>
      <c r="C272" s="48" t="inlineStr">
        <is>
          <t>3.4</t>
        </is>
      </c>
      <c r="D272" s="48" t="inlineStr">
        <is>
          <t>Nhom 3 - Optimization</t>
        </is>
      </c>
      <c r="E272" s="48" t="inlineStr">
        <is>
          <t>Sử dụng CACHE cho query lặp lại trong cùng luồng</t>
        </is>
      </c>
      <c r="F272" s="48" t="inlineStr">
        <is>
          <t>N-A</t>
        </is>
      </c>
      <c r="G272" s="48" t="inlineStr">
        <is>
          <t>Pass</t>
        </is>
      </c>
      <c r="H272" s="50" t="inlineStr">
        <is>
          <t>không có kết quả nào được dùng lại nhiều lần nên chưa cần CACHE</t>
        </is>
      </c>
      <c r="I272" s="50" t="inlineStr">
        <is>
          <t>Nếu một kết quả nặng được dùng lại nhiều bước trong cùng luồng, thêm CACHE TABLE / CACHE SELECT. Kết quả nhỏ thì cache còn chậm hơn — tự tick Pass.</t>
        </is>
      </c>
      <c r="J272" s="48" t="inlineStr">
        <is>
          <t>016. OCB_GOLD_TCKH_V_PLA_CPHD_UPL_QUANG.xlsx [Script SQL: V_PLA_CPHD_UPL]</t>
        </is>
      </c>
    </row>
    <row r="273">
      <c r="A273" s="48" t="inlineStr">
        <is>
          <t>TCKH.V_PLA_CPHD_UPL</t>
        </is>
      </c>
      <c r="B273" s="48" t="inlineStr">
        <is>
          <t>UPLOAD_VIEW</t>
        </is>
      </c>
      <c r="C273" s="48" t="inlineStr">
        <is>
          <t>3.5</t>
        </is>
      </c>
      <c r="D273" s="48" t="inlineStr">
        <is>
          <t>Nhom 3 - Optimization</t>
        </is>
      </c>
      <c r="E273" s="48" t="inlineStr">
        <is>
          <t>Ưu tiên MAX_BY + QUALIFY thay ROW_NUMBER() + WHERE rn = 1</t>
        </is>
      </c>
      <c r="F273" s="48" t="inlineStr">
        <is>
          <t>N-A</t>
        </is>
      </c>
      <c r="G273" s="48" t="inlineStr">
        <is>
          <t>Pass</t>
        </is>
      </c>
      <c r="H273" s="50" t="inlineStr">
        <is>
          <t>script không dùng ROW_NUMBER</t>
        </is>
      </c>
      <c r="I273"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73" s="48" t="inlineStr">
        <is>
          <t>016. OCB_GOLD_TCKH_V_PLA_CPHD_UPL_QUANG.xlsx [Script SQL: V_PLA_CPHD_UPL]</t>
        </is>
      </c>
    </row>
    <row r="274">
      <c r="A274" s="48" t="inlineStr">
        <is>
          <t>TCKH.V_PLA_CPHD_UPL</t>
        </is>
      </c>
      <c r="B274" s="48" t="inlineStr">
        <is>
          <t>UPLOAD_VIEW</t>
        </is>
      </c>
      <c r="C274" s="48" t="inlineStr">
        <is>
          <t>3.6</t>
        </is>
      </c>
      <c r="D274" s="48" t="inlineStr">
        <is>
          <t>Nhom 3 - Optimization</t>
        </is>
      </c>
      <c r="E274" s="48" t="inlineStr">
        <is>
          <t>Không lạm dụng window function; có comment khi dùng</t>
        </is>
      </c>
      <c r="F274" s="48" t="inlineStr">
        <is>
          <t>N-A</t>
        </is>
      </c>
      <c r="G274" s="48" t="inlineStr">
        <is>
          <t>Pass</t>
        </is>
      </c>
      <c r="H274" s="50" t="inlineStr">
        <is>
          <t>script không dùng window function</t>
        </is>
      </c>
      <c r="I274" s="50" t="inlineStr">
        <is>
          <t>Mỗi window function cần một comment ngay trên khối CTE chứa nó, nói rõ vì sao không dùng được max_by/QUALIFY đơn giản hơn.</t>
        </is>
      </c>
      <c r="J274" s="48" t="inlineStr">
        <is>
          <t>016. OCB_GOLD_TCKH_V_PLA_CPHD_UPL_QUANG.xlsx [Script SQL: V_PLA_CPHD_UPL]</t>
        </is>
      </c>
    </row>
    <row r="275">
      <c r="A275" s="48" t="inlineStr">
        <is>
          <t>TCKH.V_PLA_CPHD_UPL</t>
        </is>
      </c>
      <c r="B275" s="48" t="inlineStr">
        <is>
          <t>UPLOAD_VIEW</t>
        </is>
      </c>
      <c r="C275" s="48" t="inlineStr">
        <is>
          <t>X.1</t>
        </is>
      </c>
      <c r="D275" s="48" t="inlineStr">
        <is>
          <t>Nhom X - Bo sung Raffles</t>
        </is>
      </c>
      <c r="E275" s="48" t="inlineStr">
        <is>
          <t>[Bổ sung] Link phải rút về current trước khi join (chống fan-out)</t>
        </is>
      </c>
      <c r="F275" s="48" t="inlineStr">
        <is>
          <t>N-A</t>
        </is>
      </c>
      <c r="G275" s="48" t="inlineStr">
        <is>
          <t>Pass</t>
        </is>
      </c>
      <c r="H275" s="50" t="inlineStr">
        <is>
          <t>khong ap dung cho profile UPLOAD_VIEW</t>
        </is>
      </c>
      <c r="I275"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75" s="48" t="inlineStr">
        <is>
          <t>016. OCB_GOLD_TCKH_V_PLA_CPHD_UPL_QUANG.xlsx [Script SQL: V_PLA_CPHD_UPL]</t>
        </is>
      </c>
    </row>
    <row r="276">
      <c r="A276" s="48" t="inlineStr">
        <is>
          <t>TCKH.V_PLA_CPHD_UPL</t>
        </is>
      </c>
      <c r="B276" s="48" t="inlineStr">
        <is>
          <t>UPLOAD_VIEW</t>
        </is>
      </c>
      <c r="C276" s="48" t="inlineStr">
        <is>
          <t>X.6</t>
        </is>
      </c>
      <c r="D276" s="48" t="inlineStr">
        <is>
          <t>Nhom X - Bo sung Raffles</t>
        </is>
      </c>
      <c r="E276" s="48" t="inlineStr">
        <is>
          <t>[Bổ sung] Satellite phải LEFT JOIN, không INNER JOIN</t>
        </is>
      </c>
      <c r="F276" s="48" t="inlineStr">
        <is>
          <t>N-A</t>
        </is>
      </c>
      <c r="G276" s="48" t="inlineStr">
        <is>
          <t>Pass</t>
        </is>
      </c>
      <c r="H276" s="50" t="inlineStr">
        <is>
          <t>khong ap dung cho profile UPLOAD_VIEW</t>
        </is>
      </c>
      <c r="I276" s="50" t="inlineStr">
        <is>
          <t>Technical Document III.4.2.2 nguyên tắc 1: làm giàu thuộc tính luôn dùng LEFT JOIN. INNER JOIN satellite sẽ loại mất bản ghi Hub đang còn hiệu lực nhưng chưa có dòng satellite.</t>
        </is>
      </c>
      <c r="J276" s="48" t="inlineStr">
        <is>
          <t>016. OCB_GOLD_TCKH_V_PLA_CPHD_UPL_QUANG.xlsx [Script SQL: V_PLA_CPHD_UPL]</t>
        </is>
      </c>
    </row>
    <row r="277">
      <c r="A277" s="48" t="inlineStr">
        <is>
          <t>TCKH.V_PLA_CPHD_UPL</t>
        </is>
      </c>
      <c r="B277" s="48" t="inlineStr">
        <is>
          <t>UPLOAD_VIEW</t>
        </is>
      </c>
      <c r="C277" s="48" t="inlineStr">
        <is>
          <t>X.7</t>
        </is>
      </c>
      <c r="D277" s="48" t="inlineStr">
        <is>
          <t>Nhom X - Bo sung Raffles</t>
        </is>
      </c>
      <c r="E277" s="48" t="inlineStr">
        <is>
          <t>[Bổ sung] Không hard-code catalog, dùng biến môi trường</t>
        </is>
      </c>
      <c r="F277" s="48" t="inlineStr">
        <is>
          <t>N-A</t>
        </is>
      </c>
      <c r="G277" s="48" t="inlineStr">
        <is>
          <t>Pass</t>
        </is>
      </c>
      <c r="H277" s="50" t="inlineStr">
        <is>
          <t>khong ap dung cho profile UPLOAD_VIEW</t>
        </is>
      </c>
      <c r="I277"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77" s="48" t="inlineStr">
        <is>
          <t>016. OCB_GOLD_TCKH_V_PLA_CPHD_UPL_QUANG.xlsx [Script SQL: V_PLA_CPHD_UPL]</t>
        </is>
      </c>
    </row>
    <row r="278">
      <c r="A278" s="48" t="inlineStr">
        <is>
          <t>TCKH.V_PLA_NIM_UPL</t>
        </is>
      </c>
      <c r="B278" s="48" t="inlineStr">
        <is>
          <t>UPLOAD_VIEW</t>
        </is>
      </c>
      <c r="C278" s="48" t="inlineStr">
        <is>
          <t>1.1</t>
        </is>
      </c>
      <c r="D278" s="48" t="inlineStr">
        <is>
          <t>Nhom 1 - Mapping</t>
        </is>
      </c>
      <c r="E278" s="48" t="inlineStr">
        <is>
          <t>Đầy đủ mapping từ Silver/manual sang Gold</t>
        </is>
      </c>
      <c r="F278" s="49" t="inlineStr">
        <is>
          <t>PASS</t>
        </is>
      </c>
      <c r="G278" s="48" t="inlineStr">
        <is>
          <t>Pass</t>
        </is>
      </c>
      <c r="H278" s="50" t="inlineStr">
        <is>
          <t>workbook 017. OCB_GOLD_TCKH_V_PLA_NIM_UPL_QUANG.xlsx: thiết kế 15 field, SQL có 15 cột</t>
        </is>
      </c>
      <c r="I278"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8" s="48" t="inlineStr">
        <is>
          <t>017. OCB_GOLD_TCKH_V_PLA_NIM_UPL_QUANG.xlsx [Script SQL: V_PLA_NIM_UPL]</t>
        </is>
      </c>
    </row>
    <row r="279">
      <c r="A279" s="48" t="inlineStr">
        <is>
          <t>TCKH.V_PLA_NIM_UPL</t>
        </is>
      </c>
      <c r="B279" s="48" t="inlineStr">
        <is>
          <t>UPLOAD_VIEW</t>
        </is>
      </c>
      <c r="C279" s="48" t="inlineStr">
        <is>
          <t>1.2</t>
        </is>
      </c>
      <c r="D279" s="48" t="inlineStr">
        <is>
          <t>Nhom 1 - Mapping</t>
        </is>
      </c>
      <c r="E279" s="48" t="inlineStr">
        <is>
          <t>Danh sách bảng/view Gold khớp tài liệu thiết kế đã duyệt</t>
        </is>
      </c>
      <c r="F279" s="49" t="inlineStr">
        <is>
          <t>PASS</t>
        </is>
      </c>
      <c r="G279" s="48" t="inlineStr">
        <is>
          <t>Pass</t>
        </is>
      </c>
      <c r="H279" s="50" t="inlineStr">
        <is>
          <t>V_PLA_NIM_UPL có workbook thiết kế: 017. OCB_GOLD_TCKH_V_PLA_NIM_UPL_QUANG.xlsx</t>
        </is>
      </c>
      <c r="I279" s="50" t="inlineStr">
        <is>
          <t>Đảm bảo object có workbook thiết kế tương ứng trong thư mục --mapping-dir. Muốn đối chiếu với danh sách đã duyệt thì chạy thêm tham số --gold-list "&lt;file danh sách Gold&gt;.xlsx".</t>
        </is>
      </c>
      <c r="J279" s="48" t="inlineStr">
        <is>
          <t>017. OCB_GOLD_TCKH_V_PLA_NIM_UPL_QUANG.xlsx [Script SQL: V_PLA_NIM_UPL]</t>
        </is>
      </c>
    </row>
    <row r="280">
      <c r="A280" s="48" t="inlineStr">
        <is>
          <t>TCKH.V_PLA_NIM_UPL</t>
        </is>
      </c>
      <c r="B280" s="48" t="inlineStr">
        <is>
          <t>UPLOAD_VIEW</t>
        </is>
      </c>
      <c r="C280" s="48" t="inlineStr">
        <is>
          <t>2.1</t>
        </is>
      </c>
      <c r="D280" s="48" t="inlineStr">
        <is>
          <t>Nhom 2 - Logic</t>
        </is>
      </c>
      <c r="E280" s="48" t="inlineStr">
        <is>
          <t>Chỉ lấy bản ghi active, loại bản ghi đã xóa (qua sts_hub)</t>
        </is>
      </c>
      <c r="F280" s="48" t="inlineStr">
        <is>
          <t>N-A</t>
        </is>
      </c>
      <c r="G280" s="48" t="inlineStr">
        <is>
          <t>Pass</t>
        </is>
      </c>
      <c r="H280" s="50" t="inlineStr">
        <is>
          <t>khong ap dung cho profile UPLOAD_VIEW</t>
        </is>
      </c>
      <c r="I280"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80" s="48" t="inlineStr">
        <is>
          <t>017. OCB_GOLD_TCKH_V_PLA_NIM_UPL_QUANG.xlsx [Script SQL: V_PLA_NIM_UPL]</t>
        </is>
      </c>
    </row>
    <row r="281">
      <c r="A281" s="48" t="inlineStr">
        <is>
          <t>TCKH.V_PLA_NIM_UPL</t>
        </is>
      </c>
      <c r="B281" s="48" t="inlineStr">
        <is>
          <t>UPLOAD_VIEW</t>
        </is>
      </c>
      <c r="C281" s="48" t="inlineStr">
        <is>
          <t>2.2</t>
        </is>
      </c>
      <c r="D281" s="48" t="inlineStr">
        <is>
          <t>Nhom 2 - Logic</t>
        </is>
      </c>
      <c r="E281" s="48" t="inlineStr">
        <is>
          <t>Thống nhất MỘT pattern duy nhất xác định bản ghi active mới nhất</t>
        </is>
      </c>
      <c r="F281" s="48" t="inlineStr">
        <is>
          <t>N-A</t>
        </is>
      </c>
      <c r="G281" s="48" t="inlineStr">
        <is>
          <t>Pass</t>
        </is>
      </c>
      <c r="H281" s="50" t="inlineStr">
        <is>
          <t>khong ap dung cho profile UPLOAD_VIEW</t>
        </is>
      </c>
      <c r="I281"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81" s="48" t="inlineStr">
        <is>
          <t>017. OCB_GOLD_TCKH_V_PLA_NIM_UPL_QUANG.xlsx [Script SQL: V_PLA_NIM_UPL]</t>
        </is>
      </c>
    </row>
    <row r="282">
      <c r="A282" s="48" t="inlineStr">
        <is>
          <t>TCKH.V_PLA_NIM_UPL</t>
        </is>
      </c>
      <c r="B282" s="48" t="inlineStr">
        <is>
          <t>UPLOAD_VIEW</t>
        </is>
      </c>
      <c r="C282" s="48" t="inlineStr">
        <is>
          <t>2.3</t>
        </is>
      </c>
      <c r="D282" s="48" t="inlineStr">
        <is>
          <t>Nhom 2 - Logic</t>
        </is>
      </c>
      <c r="E282" s="48" t="inlineStr">
        <is>
          <t>Điều kiện lọc trạng thái đặt SAU khi xác định bản ghi mới nhất</t>
        </is>
      </c>
      <c r="F282" s="48" t="inlineStr">
        <is>
          <t>N-A</t>
        </is>
      </c>
      <c r="G282" s="48" t="inlineStr">
        <is>
          <t>Pass</t>
        </is>
      </c>
      <c r="H282" s="50" t="inlineStr">
        <is>
          <t>khong ap dung cho profile UPLOAD_VIEW</t>
        </is>
      </c>
      <c r="I282"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82" s="48" t="inlineStr">
        <is>
          <t>017. OCB_GOLD_TCKH_V_PLA_NIM_UPL_QUANG.xlsx [Script SQL: V_PLA_NIM_UPL]</t>
        </is>
      </c>
    </row>
    <row r="283">
      <c r="A283" s="48" t="inlineStr">
        <is>
          <t>TCKH.V_PLA_NIM_UPL</t>
        </is>
      </c>
      <c r="B283" s="48" t="inlineStr">
        <is>
          <t>UPLOAD_VIEW</t>
        </is>
      </c>
      <c r="C283" s="48" t="inlineStr">
        <is>
          <t>2.4</t>
        </is>
      </c>
      <c r="D283" s="48" t="inlineStr">
        <is>
          <t>Nhom 2 - Logic</t>
        </is>
      </c>
      <c r="E283" s="48" t="inlineStr">
        <is>
          <t>source_event_date áp dụng đúng dạng theo loại bảng</t>
        </is>
      </c>
      <c r="F283" s="48" t="inlineStr">
        <is>
          <t>N-A</t>
        </is>
      </c>
      <c r="G283" s="48" t="inlineStr">
        <is>
          <t>Pass</t>
        </is>
      </c>
      <c r="H283" s="50" t="inlineStr">
        <is>
          <t>khong ap dung cho profile UPLOAD_VIEW</t>
        </is>
      </c>
      <c r="I283"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83" s="48" t="inlineStr">
        <is>
          <t>017. OCB_GOLD_TCKH_V_PLA_NIM_UPL_QUANG.xlsx [Script SQL: V_PLA_NIM_UPL]</t>
        </is>
      </c>
    </row>
    <row r="284">
      <c r="A284" s="48" t="inlineStr">
        <is>
          <t>TCKH.V_PLA_NIM_UPL</t>
        </is>
      </c>
      <c r="B284" s="48" t="inlineStr">
        <is>
          <t>UPLOAD_VIEW</t>
        </is>
      </c>
      <c r="C284" s="48" t="inlineStr">
        <is>
          <t>2.5</t>
        </is>
      </c>
      <c r="D284" s="48" t="inlineStr">
        <is>
          <t>Nhom 2 - Logic</t>
        </is>
      </c>
      <c r="E284" s="48" t="inlineStr">
        <is>
          <t>Không lặp lại lỗi logic cũ đã được DA Data Vault fix</t>
        </is>
      </c>
      <c r="F284" s="49" t="inlineStr">
        <is>
          <t>PASS</t>
        </is>
      </c>
      <c r="G284" s="48" t="inlineStr">
        <is>
          <t>Pass</t>
        </is>
      </c>
      <c r="H284" s="50" t="inlineStr">
        <is>
          <t>không trùng lỗi nào trong Issue log của DA Data Vault</t>
        </is>
      </c>
      <c r="I284"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84" s="48" t="inlineStr">
        <is>
          <t>017. OCB_GOLD_TCKH_V_PLA_NIM_UPL_QUANG.xlsx [Script SQL: V_PLA_NIM_UPL]</t>
        </is>
      </c>
    </row>
    <row r="285">
      <c r="A285" s="48" t="inlineStr">
        <is>
          <t>TCKH.V_PLA_NIM_UPL</t>
        </is>
      </c>
      <c r="B285" s="48" t="inlineStr">
        <is>
          <t>UPLOAD_VIEW</t>
        </is>
      </c>
      <c r="C285" s="48" t="inlineStr">
        <is>
          <t>2.6</t>
        </is>
      </c>
      <c r="D285" s="48" t="inlineStr">
        <is>
          <t>Nhom 2 - Logic</t>
        </is>
      </c>
      <c r="E285" s="48" t="inlineStr">
        <is>
          <t>SCD Type 2 cho bảng DIM áp dụng đúng kỹ thuật đã thống nhất</t>
        </is>
      </c>
      <c r="F285" s="48" t="inlineStr">
        <is>
          <t>N-A</t>
        </is>
      </c>
      <c r="G285" s="48" t="inlineStr">
        <is>
          <t>Pass</t>
        </is>
      </c>
      <c r="H285" s="50" t="inlineStr">
        <is>
          <t>object không phải bảng DIM nên không áp dụng SCD Type 2</t>
        </is>
      </c>
      <c r="I285"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85" s="48" t="inlineStr">
        <is>
          <t>017. OCB_GOLD_TCKH_V_PLA_NIM_UPL_QUANG.xlsx [Script SQL: V_PLA_NIM_UPL]</t>
        </is>
      </c>
    </row>
    <row r="286">
      <c r="A286" s="48" t="inlineStr">
        <is>
          <t>TCKH.V_PLA_NIM_UPL</t>
        </is>
      </c>
      <c r="B286" s="48" t="inlineStr">
        <is>
          <t>UPLOAD_VIEW</t>
        </is>
      </c>
      <c r="C286" s="48" t="inlineStr">
        <is>
          <t>2.7</t>
        </is>
      </c>
      <c r="D286" s="48" t="inlineStr">
        <is>
          <t>Nhom 2 - Logic</t>
        </is>
      </c>
      <c r="E286" s="48" t="inlineStr">
        <is>
          <t>CASE WHEN cover đủ nhánh như job on-prem</t>
        </is>
      </c>
      <c r="F286" s="48" t="inlineStr">
        <is>
          <t>N-A</t>
        </is>
      </c>
      <c r="G286" s="48" t="inlineStr">
        <is>
          <t>Pass</t>
        </is>
      </c>
      <c r="H286" s="50" t="inlineStr">
        <is>
          <t>script không có CASE WHEN nào</t>
        </is>
      </c>
      <c r="I286" s="50" t="inlineStr">
        <is>
          <t>Mở job on-prem tương ứng (DataStage DSX hoặc SQL cũ), đối chiếu từng nhánh WHEN và cả nhánh ELSE. CASE không có ELSE sẽ trả NULL âm thầm — xác nhận đó là ý muốn hay thiếu nhánh.</t>
        </is>
      </c>
      <c r="J286" s="48" t="inlineStr">
        <is>
          <t>017. OCB_GOLD_TCKH_V_PLA_NIM_UPL_QUANG.xlsx [Script SQL: V_PLA_NIM_UPL]</t>
        </is>
      </c>
    </row>
    <row r="287">
      <c r="A287" s="48" t="inlineStr">
        <is>
          <t>TCKH.V_PLA_NIM_UPL</t>
        </is>
      </c>
      <c r="B287" s="48" t="inlineStr">
        <is>
          <t>UPLOAD_VIEW</t>
        </is>
      </c>
      <c r="C287" s="48" t="inlineStr">
        <is>
          <t>2.8</t>
        </is>
      </c>
      <c r="D287" s="48" t="inlineStr">
        <is>
          <t>Nhom 2 - Logic</t>
        </is>
      </c>
      <c r="E287" s="48" t="inlineStr">
        <is>
          <t>Cột SUM/COUNT được COALESCE/NVL hợp lý</t>
        </is>
      </c>
      <c r="F287" s="49" t="inlineStr">
        <is>
          <t>PASS</t>
        </is>
      </c>
      <c r="G287" s="48" t="inlineStr">
        <is>
          <t>Pass</t>
        </is>
      </c>
      <c r="H287" s="50" t="inlineStr">
        <is>
          <t>mọi SUM/COUNT đều đã coalesce (trực tiếp hoặc ở lớp ngoài)</t>
        </is>
      </c>
      <c r="I287"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87" s="48" t="inlineStr">
        <is>
          <t>017. OCB_GOLD_TCKH_V_PLA_NIM_UPL_QUANG.xlsx [Script SQL: V_PLA_NIM_UPL]</t>
        </is>
      </c>
    </row>
    <row r="288">
      <c r="A288" s="48" t="inlineStr">
        <is>
          <t>TCKH.V_PLA_NIM_UPL</t>
        </is>
      </c>
      <c r="B288" s="48" t="inlineStr">
        <is>
          <t>UPLOAD_VIEW</t>
        </is>
      </c>
      <c r="C288" s="48" t="inlineStr">
        <is>
          <t>2.9</t>
        </is>
      </c>
      <c r="D288" s="48" t="inlineStr">
        <is>
          <t>Nhom 2 - Logic</t>
        </is>
      </c>
      <c r="E288" s="48" t="inlineStr">
        <is>
          <t>Subquery / custom function / điều kiện LIKE đúng ý nghĩa nghiệp vụ</t>
        </is>
      </c>
      <c r="F288" s="48" t="inlineStr">
        <is>
          <t>N-A</t>
        </is>
      </c>
      <c r="G288" s="48" t="inlineStr">
        <is>
          <t>Pass</t>
        </is>
      </c>
      <c r="H288" s="50" t="inlineStr">
        <is>
          <t>script không có điều kiện LIKE hay scalar subquery nào</t>
        </is>
      </c>
      <c r="I288" s="50" t="inlineStr">
        <is>
          <t>Đọc lại từng điều kiện LIKE và từng subquery, đối chiếu ý nghĩa nghiệp vụ với on-prem — đúng cú pháp không đủ. Chú ý pattern LIKE có ký tự % ở đầu/cuối và phân biệt chữ hoa/thường.</t>
        </is>
      </c>
      <c r="J288" s="48" t="inlineStr">
        <is>
          <t>017. OCB_GOLD_TCKH_V_PLA_NIM_UPL_QUANG.xlsx [Script SQL: V_PLA_NIM_UPL]</t>
        </is>
      </c>
    </row>
    <row r="289">
      <c r="A289" s="48" t="inlineStr">
        <is>
          <t>TCKH.V_PLA_NIM_UPL</t>
        </is>
      </c>
      <c r="B289" s="48" t="inlineStr">
        <is>
          <t>UPLOAD_VIEW</t>
        </is>
      </c>
      <c r="C289" s="48" t="inlineStr">
        <is>
          <t>2.10</t>
        </is>
      </c>
      <c r="D289" s="48" t="inlineStr">
        <is>
          <t>Nhom 2 - Logic</t>
        </is>
      </c>
      <c r="E289" s="48" t="inlineStr">
        <is>
          <t>Aggregation kèm filter date range chính xác</t>
        </is>
      </c>
      <c r="F289" s="49" t="inlineStr">
        <is>
          <t>PASS</t>
        </is>
      </c>
      <c r="G289" s="48" t="inlineStr">
        <is>
          <t>Pass</t>
        </is>
      </c>
      <c r="H289" s="50" t="inlineStr">
        <is>
          <t>mọi khối tổng hợp đều có điều kiện theo kỳ dữ liệu</t>
        </is>
      </c>
      <c r="I289" s="50" t="inlineStr">
        <is>
          <t>Mỗi khối SUM/COUNT/AVG phải có điều kiện lọc theo kỳ dữ liệu (CDR_DT_ID, DATA_DATE, :DATADT…). Nếu điều kiện nằm ở CTE nguồn thì ghi rõ trong comment để người review không phải truy ngược.</t>
        </is>
      </c>
      <c r="J289" s="48" t="inlineStr">
        <is>
          <t>017. OCB_GOLD_TCKH_V_PLA_NIM_UPL_QUANG.xlsx [Script SQL: V_PLA_NIM_UPL]</t>
        </is>
      </c>
    </row>
    <row r="290">
      <c r="A290" s="48" t="inlineStr">
        <is>
          <t>TCKH.V_PLA_NIM_UPL</t>
        </is>
      </c>
      <c r="B290" s="48" t="inlineStr">
        <is>
          <t>UPLOAD_VIEW</t>
        </is>
      </c>
      <c r="C290" s="48" t="inlineStr">
        <is>
          <t>2.11</t>
        </is>
      </c>
      <c r="D290" s="48" t="inlineStr">
        <is>
          <t>Nhom 2 - Logic</t>
        </is>
      </c>
      <c r="E290" s="48" t="inlineStr">
        <is>
          <t>Join dùng key hợp lý, không lạm dụng UNION ALL + EXISTS/NOT EXISTS</t>
        </is>
      </c>
      <c r="F290" s="49" t="inlineStr">
        <is>
          <t>PASS</t>
        </is>
      </c>
      <c r="G290" s="48" t="inlineStr">
        <is>
          <t>Pass</t>
        </is>
      </c>
      <c r="H290" s="50" t="inlineStr">
        <is>
          <t>join đều theo điều kiện bằng, không lạm dụng UNION ALL + EXISTS</t>
        </is>
      </c>
      <c r="I290" s="50" t="inlineStr">
        <is>
          <t>Ưu tiên LEFT JOIN theo business key hoặc hashkey. Xem lại các chỗ dùng UNION ALL kết hợp EXISTS/NOT EXISTS — thường thay được bằng một LEFT JOIN. Join không có điều kiện bằng (=) dễ tạo tích Descartes.</t>
        </is>
      </c>
      <c r="J290" s="48" t="inlineStr">
        <is>
          <t>017. OCB_GOLD_TCKH_V_PLA_NIM_UPL_QUANG.xlsx [Script SQL: V_PLA_NIM_UPL]</t>
        </is>
      </c>
    </row>
    <row r="291">
      <c r="A291" s="48" t="inlineStr">
        <is>
          <t>TCKH.V_PLA_NIM_UPL</t>
        </is>
      </c>
      <c r="B291" s="48" t="inlineStr">
        <is>
          <t>UPLOAD_VIEW</t>
        </is>
      </c>
      <c r="C291" s="48" t="inlineStr">
        <is>
          <t>2.12</t>
        </is>
      </c>
      <c r="D291" s="48" t="inlineStr">
        <is>
          <t>Nhom 2 - Logic</t>
        </is>
      </c>
      <c r="E291" s="48" t="inlineStr">
        <is>
          <t>Build Gold từ CTE snapshot Silver, không build nhiều tầng chồng chéo</t>
        </is>
      </c>
      <c r="F291" s="48" t="inlineStr">
        <is>
          <t>N-A</t>
        </is>
      </c>
      <c r="G291" s="48" t="inlineStr">
        <is>
          <t>Pass</t>
        </is>
      </c>
      <c r="H291" s="50" t="inlineStr">
        <is>
          <t>khong ap dung cho profile UPLOAD_VIEW</t>
        </is>
      </c>
      <c r="I291"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91" s="48" t="inlineStr">
        <is>
          <t>017. OCB_GOLD_TCKH_V_PLA_NIM_UPL_QUANG.xlsx [Script SQL: V_PLA_NIM_UPL]</t>
        </is>
      </c>
    </row>
    <row r="292">
      <c r="A292" s="48" t="inlineStr">
        <is>
          <t>TCKH.V_PLA_NIM_UPL</t>
        </is>
      </c>
      <c r="B292" s="48" t="inlineStr">
        <is>
          <t>UPLOAD_VIEW</t>
        </is>
      </c>
      <c r="C292" s="48" t="inlineStr">
        <is>
          <t>3.1</t>
        </is>
      </c>
      <c r="D292" s="48" t="inlineStr">
        <is>
          <t>Nhom 3 - Optimization</t>
        </is>
      </c>
      <c r="E292" s="48" t="inlineStr">
        <is>
          <t>Không SELECT *</t>
        </is>
      </c>
      <c r="F292" s="49" t="inlineStr">
        <is>
          <t>PASS</t>
        </is>
      </c>
      <c r="G292" s="48" t="inlineStr">
        <is>
          <t>Pass</t>
        </is>
      </c>
      <c r="H292" s="50" t="inlineStr">
        <is>
          <t>không dùng SELECT * ở đâu</t>
        </is>
      </c>
      <c r="I292" s="50" t="inlineStr">
        <is>
          <t>Liệt kê tường minh các cột cần dùng, kể cả trong CTE trung gian. SELECT * làm tăng IO/memory và vỡ script khi bảng nguồn thêm cột.</t>
        </is>
      </c>
      <c r="J292" s="48" t="inlineStr">
        <is>
          <t>017. OCB_GOLD_TCKH_V_PLA_NIM_UPL_QUANG.xlsx [Script SQL: V_PLA_NIM_UPL]</t>
        </is>
      </c>
    </row>
    <row r="293">
      <c r="A293" s="48" t="inlineStr">
        <is>
          <t>TCKH.V_PLA_NIM_UPL</t>
        </is>
      </c>
      <c r="B293" s="48" t="inlineStr">
        <is>
          <t>UPLOAD_VIEW</t>
        </is>
      </c>
      <c r="C293" s="48" t="inlineStr">
        <is>
          <t>3.2</t>
        </is>
      </c>
      <c r="D293" s="48" t="inlineStr">
        <is>
          <t>Nhom 3 - Optimization</t>
        </is>
      </c>
      <c r="E293" s="48" t="inlineStr">
        <is>
          <t>CTE không bị scan lại nhiều lần</t>
        </is>
      </c>
      <c r="F293" s="49" t="inlineStr">
        <is>
          <t>PASS</t>
        </is>
      </c>
      <c r="G293" s="48" t="inlineStr">
        <is>
          <t>Pass</t>
        </is>
      </c>
      <c r="H293" s="50" t="inlineStr">
        <is>
          <t>không có CTE nào bị gọi lại</t>
        </is>
      </c>
      <c r="I293" s="50" t="inlineStr">
        <is>
          <t>Với CTE nặng (đọc nhiều bảng Silver) bị tham chiếu từ 2 chỗ trở lên: gom lại còn một lần dùng, hoặc vật chất hóa (CACHE / bảng tạm). CTE nhẹ chỉ chứa tham số thì bỏ qua được — tự tick Pass.</t>
        </is>
      </c>
      <c r="J293" s="48" t="inlineStr">
        <is>
          <t>017. OCB_GOLD_TCKH_V_PLA_NIM_UPL_QUANG.xlsx [Script SQL: V_PLA_NIM_UPL]</t>
        </is>
      </c>
    </row>
    <row r="294">
      <c r="A294" s="48" t="inlineStr">
        <is>
          <t>TCKH.V_PLA_NIM_UPL</t>
        </is>
      </c>
      <c r="B294" s="48" t="inlineStr">
        <is>
          <t>UPLOAD_VIEW</t>
        </is>
      </c>
      <c r="C294" s="48" t="inlineStr">
        <is>
          <t>3.3</t>
        </is>
      </c>
      <c r="D294" s="48" t="inlineStr">
        <is>
          <t>Nhom 3 - Optimization</t>
        </is>
      </c>
      <c r="E294" s="48" t="inlineStr">
        <is>
          <t>Filter trước khi join, tận dụng partition pruning</t>
        </is>
      </c>
      <c r="F294" s="48" t="inlineStr">
        <is>
          <t>N-A</t>
        </is>
      </c>
      <c r="G294" s="48" t="inlineStr">
        <is>
          <t>Pass</t>
        </is>
      </c>
      <c r="H294" s="50" t="inlineStr">
        <is>
          <t>khong ap dung cho profile UPLOAD_VIEW</t>
        </is>
      </c>
      <c r="I294" s="50" t="inlineStr">
        <is>
          <t>Đưa điều kiện lọc (ngày dữ liệu, trạng thái) vào subquery của từng bảng TRƯỚC khi join, để tận dụng partition pruning. Bảng dim nhỏ không partition thì không cần — tự tick Pass.</t>
        </is>
      </c>
      <c r="J294" s="48" t="inlineStr">
        <is>
          <t>017. OCB_GOLD_TCKH_V_PLA_NIM_UPL_QUANG.xlsx [Script SQL: V_PLA_NIM_UPL]</t>
        </is>
      </c>
    </row>
    <row r="295">
      <c r="A295" s="48" t="inlineStr">
        <is>
          <t>TCKH.V_PLA_NIM_UPL</t>
        </is>
      </c>
      <c r="B295" s="48" t="inlineStr">
        <is>
          <t>UPLOAD_VIEW</t>
        </is>
      </c>
      <c r="C295" s="48" t="inlineStr">
        <is>
          <t>3.4</t>
        </is>
      </c>
      <c r="D295" s="48" t="inlineStr">
        <is>
          <t>Nhom 3 - Optimization</t>
        </is>
      </c>
      <c r="E295" s="48" t="inlineStr">
        <is>
          <t>Sử dụng CACHE cho query lặp lại trong cùng luồng</t>
        </is>
      </c>
      <c r="F295" s="48" t="inlineStr">
        <is>
          <t>N-A</t>
        </is>
      </c>
      <c r="G295" s="48" t="inlineStr">
        <is>
          <t>Pass</t>
        </is>
      </c>
      <c r="H295" s="50" t="inlineStr">
        <is>
          <t>không có kết quả nào được dùng lại nhiều lần nên chưa cần CACHE</t>
        </is>
      </c>
      <c r="I295" s="50" t="inlineStr">
        <is>
          <t>Nếu một kết quả nặng được dùng lại nhiều bước trong cùng luồng, thêm CACHE TABLE / CACHE SELECT. Kết quả nhỏ thì cache còn chậm hơn — tự tick Pass.</t>
        </is>
      </c>
      <c r="J295" s="48" t="inlineStr">
        <is>
          <t>017. OCB_GOLD_TCKH_V_PLA_NIM_UPL_QUANG.xlsx [Script SQL: V_PLA_NIM_UPL]</t>
        </is>
      </c>
    </row>
    <row r="296">
      <c r="A296" s="48" t="inlineStr">
        <is>
          <t>TCKH.V_PLA_NIM_UPL</t>
        </is>
      </c>
      <c r="B296" s="48" t="inlineStr">
        <is>
          <t>UPLOAD_VIEW</t>
        </is>
      </c>
      <c r="C296" s="48" t="inlineStr">
        <is>
          <t>3.5</t>
        </is>
      </c>
      <c r="D296" s="48" t="inlineStr">
        <is>
          <t>Nhom 3 - Optimization</t>
        </is>
      </c>
      <c r="E296" s="48" t="inlineStr">
        <is>
          <t>Ưu tiên MAX_BY + QUALIFY thay ROW_NUMBER() + WHERE rn = 1</t>
        </is>
      </c>
      <c r="F296" s="48" t="inlineStr">
        <is>
          <t>N-A</t>
        </is>
      </c>
      <c r="G296" s="48" t="inlineStr">
        <is>
          <t>Pass</t>
        </is>
      </c>
      <c r="H296" s="50" t="inlineStr">
        <is>
          <t>script không dùng ROW_NUMBER</t>
        </is>
      </c>
      <c r="I296"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96" s="48" t="inlineStr">
        <is>
          <t>017. OCB_GOLD_TCKH_V_PLA_NIM_UPL_QUANG.xlsx [Script SQL: V_PLA_NIM_UPL]</t>
        </is>
      </c>
    </row>
    <row r="297">
      <c r="A297" s="48" t="inlineStr">
        <is>
          <t>TCKH.V_PLA_NIM_UPL</t>
        </is>
      </c>
      <c r="B297" s="48" t="inlineStr">
        <is>
          <t>UPLOAD_VIEW</t>
        </is>
      </c>
      <c r="C297" s="48" t="inlineStr">
        <is>
          <t>3.6</t>
        </is>
      </c>
      <c r="D297" s="48" t="inlineStr">
        <is>
          <t>Nhom 3 - Optimization</t>
        </is>
      </c>
      <c r="E297" s="48" t="inlineStr">
        <is>
          <t>Không lạm dụng window function; có comment khi dùng</t>
        </is>
      </c>
      <c r="F297" s="48" t="inlineStr">
        <is>
          <t>N-A</t>
        </is>
      </c>
      <c r="G297" s="48" t="inlineStr">
        <is>
          <t>Pass</t>
        </is>
      </c>
      <c r="H297" s="50" t="inlineStr">
        <is>
          <t>script không dùng window function</t>
        </is>
      </c>
      <c r="I297" s="50" t="inlineStr">
        <is>
          <t>Mỗi window function cần một comment ngay trên khối CTE chứa nó, nói rõ vì sao không dùng được max_by/QUALIFY đơn giản hơn.</t>
        </is>
      </c>
      <c r="J297" s="48" t="inlineStr">
        <is>
          <t>017. OCB_GOLD_TCKH_V_PLA_NIM_UPL_QUANG.xlsx [Script SQL: V_PLA_NIM_UPL]</t>
        </is>
      </c>
    </row>
    <row r="298">
      <c r="A298" s="48" t="inlineStr">
        <is>
          <t>TCKH.V_PLA_NIM_UPL</t>
        </is>
      </c>
      <c r="B298" s="48" t="inlineStr">
        <is>
          <t>UPLOAD_VIEW</t>
        </is>
      </c>
      <c r="C298" s="48" t="inlineStr">
        <is>
          <t>X.1</t>
        </is>
      </c>
      <c r="D298" s="48" t="inlineStr">
        <is>
          <t>Nhom X - Bo sung Raffles</t>
        </is>
      </c>
      <c r="E298" s="48" t="inlineStr">
        <is>
          <t>[Bổ sung] Link phải rút về current trước khi join (chống fan-out)</t>
        </is>
      </c>
      <c r="F298" s="48" t="inlineStr">
        <is>
          <t>N-A</t>
        </is>
      </c>
      <c r="G298" s="48" t="inlineStr">
        <is>
          <t>Pass</t>
        </is>
      </c>
      <c r="H298" s="50" t="inlineStr">
        <is>
          <t>khong ap dung cho profile UPLOAD_VIEW</t>
        </is>
      </c>
      <c r="I298"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98" s="48" t="inlineStr">
        <is>
          <t>017. OCB_GOLD_TCKH_V_PLA_NIM_UPL_QUANG.xlsx [Script SQL: V_PLA_NIM_UPL]</t>
        </is>
      </c>
    </row>
    <row r="299">
      <c r="A299" s="48" t="inlineStr">
        <is>
          <t>TCKH.V_PLA_NIM_UPL</t>
        </is>
      </c>
      <c r="B299" s="48" t="inlineStr">
        <is>
          <t>UPLOAD_VIEW</t>
        </is>
      </c>
      <c r="C299" s="48" t="inlineStr">
        <is>
          <t>X.6</t>
        </is>
      </c>
      <c r="D299" s="48" t="inlineStr">
        <is>
          <t>Nhom X - Bo sung Raffles</t>
        </is>
      </c>
      <c r="E299" s="48" t="inlineStr">
        <is>
          <t>[Bổ sung] Satellite phải LEFT JOIN, không INNER JOIN</t>
        </is>
      </c>
      <c r="F299" s="48" t="inlineStr">
        <is>
          <t>N-A</t>
        </is>
      </c>
      <c r="G299" s="48" t="inlineStr">
        <is>
          <t>Pass</t>
        </is>
      </c>
      <c r="H299" s="50" t="inlineStr">
        <is>
          <t>khong ap dung cho profile UPLOAD_VIEW</t>
        </is>
      </c>
      <c r="I299" s="50" t="inlineStr">
        <is>
          <t>Technical Document III.4.2.2 nguyên tắc 1: làm giàu thuộc tính luôn dùng LEFT JOIN. INNER JOIN satellite sẽ loại mất bản ghi Hub đang còn hiệu lực nhưng chưa có dòng satellite.</t>
        </is>
      </c>
      <c r="J299" s="48" t="inlineStr">
        <is>
          <t>017. OCB_GOLD_TCKH_V_PLA_NIM_UPL_QUANG.xlsx [Script SQL: V_PLA_NIM_UPL]</t>
        </is>
      </c>
    </row>
    <row r="300">
      <c r="A300" s="48" t="inlineStr">
        <is>
          <t>TCKH.V_PLA_NIM_UPL</t>
        </is>
      </c>
      <c r="B300" s="48" t="inlineStr">
        <is>
          <t>UPLOAD_VIEW</t>
        </is>
      </c>
      <c r="C300" s="48" t="inlineStr">
        <is>
          <t>X.7</t>
        </is>
      </c>
      <c r="D300" s="48" t="inlineStr">
        <is>
          <t>Nhom X - Bo sung Raffles</t>
        </is>
      </c>
      <c r="E300" s="48" t="inlineStr">
        <is>
          <t>[Bổ sung] Không hard-code catalog, dùng biến môi trường</t>
        </is>
      </c>
      <c r="F300" s="48" t="inlineStr">
        <is>
          <t>N-A</t>
        </is>
      </c>
      <c r="G300" s="48" t="inlineStr">
        <is>
          <t>Pass</t>
        </is>
      </c>
      <c r="H300" s="50" t="inlineStr">
        <is>
          <t>khong ap dung cho profile UPLOAD_VIEW</t>
        </is>
      </c>
      <c r="I300"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00" s="48" t="inlineStr">
        <is>
          <t>017. OCB_GOLD_TCKH_V_PLA_NIM_UPL_QUANG.xlsx [Script SQL: V_PLA_NIM_UPL]</t>
        </is>
      </c>
    </row>
    <row r="301">
      <c r="A301" s="48" t="inlineStr">
        <is>
          <t>TCKH.V_PLA_QUYMO_CHUNG_UPL</t>
        </is>
      </c>
      <c r="B301" s="48" t="inlineStr">
        <is>
          <t>UPLOAD_VIEW</t>
        </is>
      </c>
      <c r="C301" s="48" t="inlineStr">
        <is>
          <t>1.1</t>
        </is>
      </c>
      <c r="D301" s="48" t="inlineStr">
        <is>
          <t>Nhom 1 - Mapping</t>
        </is>
      </c>
      <c r="E301" s="48" t="inlineStr">
        <is>
          <t>Đầy đủ mapping từ Silver/manual sang Gold</t>
        </is>
      </c>
      <c r="F301" s="49" t="inlineStr">
        <is>
          <t>PASS</t>
        </is>
      </c>
      <c r="G301" s="48" t="inlineStr">
        <is>
          <t>Pass</t>
        </is>
      </c>
      <c r="H301" s="50" t="inlineStr">
        <is>
          <t>workbook 018. OCB_GOLD_TCKH_V_PLA_QUYMO_CHUNG_UPL_QUANG.xlsx: thiết kế 25 field, SQL có 25 cột</t>
        </is>
      </c>
      <c r="I301"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01" s="48" t="inlineStr">
        <is>
          <t>018. OCB_GOLD_TCKH_V_PLA_QUYMO_CHUNG_UPL_QUANG.xlsx [Script: V_PLA_QUYMO_CHUNG_UPL]</t>
        </is>
      </c>
    </row>
    <row r="302">
      <c r="A302" s="48" t="inlineStr">
        <is>
          <t>TCKH.V_PLA_QUYMO_CHUNG_UPL</t>
        </is>
      </c>
      <c r="B302" s="48" t="inlineStr">
        <is>
          <t>UPLOAD_VIEW</t>
        </is>
      </c>
      <c r="C302" s="48" t="inlineStr">
        <is>
          <t>1.2</t>
        </is>
      </c>
      <c r="D302" s="48" t="inlineStr">
        <is>
          <t>Nhom 1 - Mapping</t>
        </is>
      </c>
      <c r="E302" s="48" t="inlineStr">
        <is>
          <t>Danh sách bảng/view Gold khớp tài liệu thiết kế đã duyệt</t>
        </is>
      </c>
      <c r="F302" s="49" t="inlineStr">
        <is>
          <t>PASS</t>
        </is>
      </c>
      <c r="G302" s="48" t="inlineStr">
        <is>
          <t>Pass</t>
        </is>
      </c>
      <c r="H302" s="50" t="inlineStr">
        <is>
          <t>V_PLA_QUYMO_CHUNG_UPL có workbook thiết kế: 018. OCB_GOLD_TCKH_V_PLA_QUYMO_CHUNG_UPL_QUANG.xlsx</t>
        </is>
      </c>
      <c r="I302" s="50" t="inlineStr">
        <is>
          <t>Đảm bảo object có workbook thiết kế tương ứng trong thư mục --mapping-dir. Muốn đối chiếu với danh sách đã duyệt thì chạy thêm tham số --gold-list "&lt;file danh sách Gold&gt;.xlsx".</t>
        </is>
      </c>
      <c r="J302" s="48" t="inlineStr">
        <is>
          <t>018. OCB_GOLD_TCKH_V_PLA_QUYMO_CHUNG_UPL_QUANG.xlsx [Script: V_PLA_QUYMO_CHUNG_UPL]</t>
        </is>
      </c>
    </row>
    <row r="303">
      <c r="A303" s="48" t="inlineStr">
        <is>
          <t>TCKH.V_PLA_QUYMO_CHUNG_UPL</t>
        </is>
      </c>
      <c r="B303" s="48" t="inlineStr">
        <is>
          <t>UPLOAD_VIEW</t>
        </is>
      </c>
      <c r="C303" s="48" t="inlineStr">
        <is>
          <t>2.1</t>
        </is>
      </c>
      <c r="D303" s="48" t="inlineStr">
        <is>
          <t>Nhom 2 - Logic</t>
        </is>
      </c>
      <c r="E303" s="48" t="inlineStr">
        <is>
          <t>Chỉ lấy bản ghi active, loại bản ghi đã xóa (qua sts_hub)</t>
        </is>
      </c>
      <c r="F303" s="48" t="inlineStr">
        <is>
          <t>N-A</t>
        </is>
      </c>
      <c r="G303" s="48" t="inlineStr">
        <is>
          <t>Pass</t>
        </is>
      </c>
      <c r="H303" s="50" t="inlineStr">
        <is>
          <t>khong ap dung cho profile UPLOAD_VIEW</t>
        </is>
      </c>
      <c r="I303"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03" s="48" t="inlineStr">
        <is>
          <t>018. OCB_GOLD_TCKH_V_PLA_QUYMO_CHUNG_UPL_QUANG.xlsx [Script: V_PLA_QUYMO_CHUNG_UPL]</t>
        </is>
      </c>
    </row>
    <row r="304">
      <c r="A304" s="48" t="inlineStr">
        <is>
          <t>TCKH.V_PLA_QUYMO_CHUNG_UPL</t>
        </is>
      </c>
      <c r="B304" s="48" t="inlineStr">
        <is>
          <t>UPLOAD_VIEW</t>
        </is>
      </c>
      <c r="C304" s="48" t="inlineStr">
        <is>
          <t>2.2</t>
        </is>
      </c>
      <c r="D304" s="48" t="inlineStr">
        <is>
          <t>Nhom 2 - Logic</t>
        </is>
      </c>
      <c r="E304" s="48" t="inlineStr">
        <is>
          <t>Thống nhất MỘT pattern duy nhất xác định bản ghi active mới nhất</t>
        </is>
      </c>
      <c r="F304" s="48" t="inlineStr">
        <is>
          <t>N-A</t>
        </is>
      </c>
      <c r="G304" s="48" t="inlineStr">
        <is>
          <t>Pass</t>
        </is>
      </c>
      <c r="H304" s="50" t="inlineStr">
        <is>
          <t>khong ap dung cho profile UPLOAD_VIEW</t>
        </is>
      </c>
      <c r="I304"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4" s="48" t="inlineStr">
        <is>
          <t>018. OCB_GOLD_TCKH_V_PLA_QUYMO_CHUNG_UPL_QUANG.xlsx [Script: V_PLA_QUYMO_CHUNG_UPL]</t>
        </is>
      </c>
    </row>
    <row r="305">
      <c r="A305" s="48" t="inlineStr">
        <is>
          <t>TCKH.V_PLA_QUYMO_CHUNG_UPL</t>
        </is>
      </c>
      <c r="B305" s="48" t="inlineStr">
        <is>
          <t>UPLOAD_VIEW</t>
        </is>
      </c>
      <c r="C305" s="48" t="inlineStr">
        <is>
          <t>2.3</t>
        </is>
      </c>
      <c r="D305" s="48" t="inlineStr">
        <is>
          <t>Nhom 2 - Logic</t>
        </is>
      </c>
      <c r="E305" s="48" t="inlineStr">
        <is>
          <t>Điều kiện lọc trạng thái đặt SAU khi xác định bản ghi mới nhất</t>
        </is>
      </c>
      <c r="F305" s="48" t="inlineStr">
        <is>
          <t>N-A</t>
        </is>
      </c>
      <c r="G305" s="48" t="inlineStr">
        <is>
          <t>Pass</t>
        </is>
      </c>
      <c r="H305" s="50" t="inlineStr">
        <is>
          <t>khong ap dung cho profile UPLOAD_VIEW</t>
        </is>
      </c>
      <c r="I305"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05" s="48" t="inlineStr">
        <is>
          <t>018. OCB_GOLD_TCKH_V_PLA_QUYMO_CHUNG_UPL_QUANG.xlsx [Script: V_PLA_QUYMO_CHUNG_UPL]</t>
        </is>
      </c>
    </row>
    <row r="306">
      <c r="A306" s="48" t="inlineStr">
        <is>
          <t>TCKH.V_PLA_QUYMO_CHUNG_UPL</t>
        </is>
      </c>
      <c r="B306" s="48" t="inlineStr">
        <is>
          <t>UPLOAD_VIEW</t>
        </is>
      </c>
      <c r="C306" s="48" t="inlineStr">
        <is>
          <t>2.4</t>
        </is>
      </c>
      <c r="D306" s="48" t="inlineStr">
        <is>
          <t>Nhom 2 - Logic</t>
        </is>
      </c>
      <c r="E306" s="48" t="inlineStr">
        <is>
          <t>source_event_date áp dụng đúng dạng theo loại bảng</t>
        </is>
      </c>
      <c r="F306" s="48" t="inlineStr">
        <is>
          <t>N-A</t>
        </is>
      </c>
      <c r="G306" s="48" t="inlineStr">
        <is>
          <t>Pass</t>
        </is>
      </c>
      <c r="H306" s="50" t="inlineStr">
        <is>
          <t>khong ap dung cho profile UPLOAD_VIEW</t>
        </is>
      </c>
      <c r="I306"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06" s="48" t="inlineStr">
        <is>
          <t>018. OCB_GOLD_TCKH_V_PLA_QUYMO_CHUNG_UPL_QUANG.xlsx [Script: V_PLA_QUYMO_CHUNG_UPL]</t>
        </is>
      </c>
    </row>
    <row r="307">
      <c r="A307" s="48" t="inlineStr">
        <is>
          <t>TCKH.V_PLA_QUYMO_CHUNG_UPL</t>
        </is>
      </c>
      <c r="B307" s="48" t="inlineStr">
        <is>
          <t>UPLOAD_VIEW</t>
        </is>
      </c>
      <c r="C307" s="48" t="inlineStr">
        <is>
          <t>2.5</t>
        </is>
      </c>
      <c r="D307" s="48" t="inlineStr">
        <is>
          <t>Nhom 2 - Logic</t>
        </is>
      </c>
      <c r="E307" s="48" t="inlineStr">
        <is>
          <t>Không lặp lại lỗi logic cũ đã được DA Data Vault fix</t>
        </is>
      </c>
      <c r="F307" s="49" t="inlineStr">
        <is>
          <t>PASS</t>
        </is>
      </c>
      <c r="G307" s="48" t="inlineStr">
        <is>
          <t>Pass</t>
        </is>
      </c>
      <c r="H307" s="50" t="inlineStr">
        <is>
          <t>không trùng lỗi nào trong Issue log của DA Data Vault</t>
        </is>
      </c>
      <c r="I307"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07" s="48" t="inlineStr">
        <is>
          <t>018. OCB_GOLD_TCKH_V_PLA_QUYMO_CHUNG_UPL_QUANG.xlsx [Script: V_PLA_QUYMO_CHUNG_UPL]</t>
        </is>
      </c>
    </row>
    <row r="308">
      <c r="A308" s="48" t="inlineStr">
        <is>
          <t>TCKH.V_PLA_QUYMO_CHUNG_UPL</t>
        </is>
      </c>
      <c r="B308" s="48" t="inlineStr">
        <is>
          <t>UPLOAD_VIEW</t>
        </is>
      </c>
      <c r="C308" s="48" t="inlineStr">
        <is>
          <t>2.6</t>
        </is>
      </c>
      <c r="D308" s="48" t="inlineStr">
        <is>
          <t>Nhom 2 - Logic</t>
        </is>
      </c>
      <c r="E308" s="48" t="inlineStr">
        <is>
          <t>SCD Type 2 cho bảng DIM áp dụng đúng kỹ thuật đã thống nhất</t>
        </is>
      </c>
      <c r="F308" s="48" t="inlineStr">
        <is>
          <t>N-A</t>
        </is>
      </c>
      <c r="G308" s="48" t="inlineStr">
        <is>
          <t>Pass</t>
        </is>
      </c>
      <c r="H308" s="50" t="inlineStr">
        <is>
          <t>object không phải bảng DIM nên không áp dụng SCD Type 2</t>
        </is>
      </c>
      <c r="I308"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08" s="48" t="inlineStr">
        <is>
          <t>018. OCB_GOLD_TCKH_V_PLA_QUYMO_CHUNG_UPL_QUANG.xlsx [Script: V_PLA_QUYMO_CHUNG_UPL]</t>
        </is>
      </c>
    </row>
    <row r="309">
      <c r="A309" s="48" t="inlineStr">
        <is>
          <t>TCKH.V_PLA_QUYMO_CHUNG_UPL</t>
        </is>
      </c>
      <c r="B309" s="48" t="inlineStr">
        <is>
          <t>UPLOAD_VIEW</t>
        </is>
      </c>
      <c r="C309" s="48" t="inlineStr">
        <is>
          <t>2.7</t>
        </is>
      </c>
      <c r="D309" s="48" t="inlineStr">
        <is>
          <t>Nhom 2 - Logic</t>
        </is>
      </c>
      <c r="E309" s="48" t="inlineStr">
        <is>
          <t>CASE WHEN cover đủ nhánh như job on-prem</t>
        </is>
      </c>
      <c r="F309" s="48" t="inlineStr">
        <is>
          <t>N-A</t>
        </is>
      </c>
      <c r="G309" s="48" t="inlineStr">
        <is>
          <t>Pass</t>
        </is>
      </c>
      <c r="H309" s="50" t="inlineStr">
        <is>
          <t>script không có CASE WHEN nào</t>
        </is>
      </c>
      <c r="I309" s="50" t="inlineStr">
        <is>
          <t>Mở job on-prem tương ứng (DataStage DSX hoặc SQL cũ), đối chiếu từng nhánh WHEN và cả nhánh ELSE. CASE không có ELSE sẽ trả NULL âm thầm — xác nhận đó là ý muốn hay thiếu nhánh.</t>
        </is>
      </c>
      <c r="J309" s="48" t="inlineStr">
        <is>
          <t>018. OCB_GOLD_TCKH_V_PLA_QUYMO_CHUNG_UPL_QUANG.xlsx [Script: V_PLA_QUYMO_CHUNG_UPL]</t>
        </is>
      </c>
    </row>
    <row r="310">
      <c r="A310" s="48" t="inlineStr">
        <is>
          <t>TCKH.V_PLA_QUYMO_CHUNG_UPL</t>
        </is>
      </c>
      <c r="B310" s="48" t="inlineStr">
        <is>
          <t>UPLOAD_VIEW</t>
        </is>
      </c>
      <c r="C310" s="48" t="inlineStr">
        <is>
          <t>2.8</t>
        </is>
      </c>
      <c r="D310" s="48" t="inlineStr">
        <is>
          <t>Nhom 2 - Logic</t>
        </is>
      </c>
      <c r="E310" s="48" t="inlineStr">
        <is>
          <t>Cột SUM/COUNT được COALESCE/NVL hợp lý</t>
        </is>
      </c>
      <c r="F310" s="49" t="inlineStr">
        <is>
          <t>PASS</t>
        </is>
      </c>
      <c r="G310" s="48" t="inlineStr">
        <is>
          <t>Pass</t>
        </is>
      </c>
      <c r="H310" s="50" t="inlineStr">
        <is>
          <t>mọi SUM/COUNT đều đã coalesce (trực tiếp hoặc ở lớp ngoài)</t>
        </is>
      </c>
      <c r="I310"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10" s="48" t="inlineStr">
        <is>
          <t>018. OCB_GOLD_TCKH_V_PLA_QUYMO_CHUNG_UPL_QUANG.xlsx [Script: V_PLA_QUYMO_CHUNG_UPL]</t>
        </is>
      </c>
    </row>
    <row r="311">
      <c r="A311" s="48" t="inlineStr">
        <is>
          <t>TCKH.V_PLA_QUYMO_CHUNG_UPL</t>
        </is>
      </c>
      <c r="B311" s="48" t="inlineStr">
        <is>
          <t>UPLOAD_VIEW</t>
        </is>
      </c>
      <c r="C311" s="48" t="inlineStr">
        <is>
          <t>2.9</t>
        </is>
      </c>
      <c r="D311" s="48" t="inlineStr">
        <is>
          <t>Nhom 2 - Logic</t>
        </is>
      </c>
      <c r="E311" s="48" t="inlineStr">
        <is>
          <t>Subquery / custom function / điều kiện LIKE đúng ý nghĩa nghiệp vụ</t>
        </is>
      </c>
      <c r="F311" s="48" t="inlineStr">
        <is>
          <t>N-A</t>
        </is>
      </c>
      <c r="G311" s="48" t="inlineStr">
        <is>
          <t>Pass</t>
        </is>
      </c>
      <c r="H311" s="50" t="inlineStr">
        <is>
          <t>script không có điều kiện LIKE hay scalar subquery nào</t>
        </is>
      </c>
      <c r="I311" s="50" t="inlineStr">
        <is>
          <t>Đọc lại từng điều kiện LIKE và từng subquery, đối chiếu ý nghĩa nghiệp vụ với on-prem — đúng cú pháp không đủ. Chú ý pattern LIKE có ký tự % ở đầu/cuối và phân biệt chữ hoa/thường.</t>
        </is>
      </c>
      <c r="J311" s="48" t="inlineStr">
        <is>
          <t>018. OCB_GOLD_TCKH_V_PLA_QUYMO_CHUNG_UPL_QUANG.xlsx [Script: V_PLA_QUYMO_CHUNG_UPL]</t>
        </is>
      </c>
    </row>
    <row r="312">
      <c r="A312" s="48" t="inlineStr">
        <is>
          <t>TCKH.V_PLA_QUYMO_CHUNG_UPL</t>
        </is>
      </c>
      <c r="B312" s="48" t="inlineStr">
        <is>
          <t>UPLOAD_VIEW</t>
        </is>
      </c>
      <c r="C312" s="48" t="inlineStr">
        <is>
          <t>2.10</t>
        </is>
      </c>
      <c r="D312" s="48" t="inlineStr">
        <is>
          <t>Nhom 2 - Logic</t>
        </is>
      </c>
      <c r="E312" s="48" t="inlineStr">
        <is>
          <t>Aggregation kèm filter date range chính xác</t>
        </is>
      </c>
      <c r="F312" s="49" t="inlineStr">
        <is>
          <t>PASS</t>
        </is>
      </c>
      <c r="G312" s="48" t="inlineStr">
        <is>
          <t>Pass</t>
        </is>
      </c>
      <c r="H312" s="50" t="inlineStr">
        <is>
          <t>mọi khối tổng hợp đều có điều kiện theo kỳ dữ liệu</t>
        </is>
      </c>
      <c r="I312" s="50" t="inlineStr">
        <is>
          <t>Mỗi khối SUM/COUNT/AVG phải có điều kiện lọc theo kỳ dữ liệu (CDR_DT_ID, DATA_DATE, :DATADT…). Nếu điều kiện nằm ở CTE nguồn thì ghi rõ trong comment để người review không phải truy ngược.</t>
        </is>
      </c>
      <c r="J312" s="48" t="inlineStr">
        <is>
          <t>018. OCB_GOLD_TCKH_V_PLA_QUYMO_CHUNG_UPL_QUANG.xlsx [Script: V_PLA_QUYMO_CHUNG_UPL]</t>
        </is>
      </c>
    </row>
    <row r="313">
      <c r="A313" s="48" t="inlineStr">
        <is>
          <t>TCKH.V_PLA_QUYMO_CHUNG_UPL</t>
        </is>
      </c>
      <c r="B313" s="48" t="inlineStr">
        <is>
          <t>UPLOAD_VIEW</t>
        </is>
      </c>
      <c r="C313" s="48" t="inlineStr">
        <is>
          <t>2.11</t>
        </is>
      </c>
      <c r="D313" s="48" t="inlineStr">
        <is>
          <t>Nhom 2 - Logic</t>
        </is>
      </c>
      <c r="E313" s="48" t="inlineStr">
        <is>
          <t>Join dùng key hợp lý, không lạm dụng UNION ALL + EXISTS/NOT EXISTS</t>
        </is>
      </c>
      <c r="F313" s="49" t="inlineStr">
        <is>
          <t>PASS</t>
        </is>
      </c>
      <c r="G313" s="48" t="inlineStr">
        <is>
          <t>Pass</t>
        </is>
      </c>
      <c r="H313" s="50" t="inlineStr">
        <is>
          <t>join đều theo điều kiện bằng, không lạm dụng UNION ALL + EXISTS</t>
        </is>
      </c>
      <c r="I313" s="50" t="inlineStr">
        <is>
          <t>Ưu tiên LEFT JOIN theo business key hoặc hashkey. Xem lại các chỗ dùng UNION ALL kết hợp EXISTS/NOT EXISTS — thường thay được bằng một LEFT JOIN. Join không có điều kiện bằng (=) dễ tạo tích Descartes.</t>
        </is>
      </c>
      <c r="J313" s="48" t="inlineStr">
        <is>
          <t>018. OCB_GOLD_TCKH_V_PLA_QUYMO_CHUNG_UPL_QUANG.xlsx [Script: V_PLA_QUYMO_CHUNG_UPL]</t>
        </is>
      </c>
    </row>
    <row r="314">
      <c r="A314" s="48" t="inlineStr">
        <is>
          <t>TCKH.V_PLA_QUYMO_CHUNG_UPL</t>
        </is>
      </c>
      <c r="B314" s="48" t="inlineStr">
        <is>
          <t>UPLOAD_VIEW</t>
        </is>
      </c>
      <c r="C314" s="48" t="inlineStr">
        <is>
          <t>2.12</t>
        </is>
      </c>
      <c r="D314" s="48" t="inlineStr">
        <is>
          <t>Nhom 2 - Logic</t>
        </is>
      </c>
      <c r="E314" s="48" t="inlineStr">
        <is>
          <t>Build Gold từ CTE snapshot Silver, không build nhiều tầng chồng chéo</t>
        </is>
      </c>
      <c r="F314" s="48" t="inlineStr">
        <is>
          <t>N-A</t>
        </is>
      </c>
      <c r="G314" s="48" t="inlineStr">
        <is>
          <t>Pass</t>
        </is>
      </c>
      <c r="H314" s="50" t="inlineStr">
        <is>
          <t>khong ap dung cho profile UPLOAD_VIEW</t>
        </is>
      </c>
      <c r="I314"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14" s="48" t="inlineStr">
        <is>
          <t>018. OCB_GOLD_TCKH_V_PLA_QUYMO_CHUNG_UPL_QUANG.xlsx [Script: V_PLA_QUYMO_CHUNG_UPL]</t>
        </is>
      </c>
    </row>
    <row r="315">
      <c r="A315" s="48" t="inlineStr">
        <is>
          <t>TCKH.V_PLA_QUYMO_CHUNG_UPL</t>
        </is>
      </c>
      <c r="B315" s="48" t="inlineStr">
        <is>
          <t>UPLOAD_VIEW</t>
        </is>
      </c>
      <c r="C315" s="48" t="inlineStr">
        <is>
          <t>3.1</t>
        </is>
      </c>
      <c r="D315" s="48" t="inlineStr">
        <is>
          <t>Nhom 3 - Optimization</t>
        </is>
      </c>
      <c r="E315" s="48" t="inlineStr">
        <is>
          <t>Không SELECT *</t>
        </is>
      </c>
      <c r="F315" s="49" t="inlineStr">
        <is>
          <t>PASS</t>
        </is>
      </c>
      <c r="G315" s="48" t="inlineStr">
        <is>
          <t>Pass</t>
        </is>
      </c>
      <c r="H315" s="50" t="inlineStr">
        <is>
          <t>không dùng SELECT * ở đâu</t>
        </is>
      </c>
      <c r="I315" s="50" t="inlineStr">
        <is>
          <t>Liệt kê tường minh các cột cần dùng, kể cả trong CTE trung gian. SELECT * làm tăng IO/memory và vỡ script khi bảng nguồn thêm cột.</t>
        </is>
      </c>
      <c r="J315" s="48" t="inlineStr">
        <is>
          <t>018. OCB_GOLD_TCKH_V_PLA_QUYMO_CHUNG_UPL_QUANG.xlsx [Script: V_PLA_QUYMO_CHUNG_UPL]</t>
        </is>
      </c>
    </row>
    <row r="316">
      <c r="A316" s="48" t="inlineStr">
        <is>
          <t>TCKH.V_PLA_QUYMO_CHUNG_UPL</t>
        </is>
      </c>
      <c r="B316" s="48" t="inlineStr">
        <is>
          <t>UPLOAD_VIEW</t>
        </is>
      </c>
      <c r="C316" s="48" t="inlineStr">
        <is>
          <t>3.2</t>
        </is>
      </c>
      <c r="D316" s="48" t="inlineStr">
        <is>
          <t>Nhom 3 - Optimization</t>
        </is>
      </c>
      <c r="E316" s="48" t="inlineStr">
        <is>
          <t>CTE không bị scan lại nhiều lần</t>
        </is>
      </c>
      <c r="F316" s="49" t="inlineStr">
        <is>
          <t>PASS</t>
        </is>
      </c>
      <c r="G316" s="48" t="inlineStr">
        <is>
          <t>Pass</t>
        </is>
      </c>
      <c r="H316" s="50" t="inlineStr">
        <is>
          <t>không có CTE nào bị gọi lại</t>
        </is>
      </c>
      <c r="I316" s="50" t="inlineStr">
        <is>
          <t>Với CTE nặng (đọc nhiều bảng Silver) bị tham chiếu từ 2 chỗ trở lên: gom lại còn một lần dùng, hoặc vật chất hóa (CACHE / bảng tạm). CTE nhẹ chỉ chứa tham số thì bỏ qua được — tự tick Pass.</t>
        </is>
      </c>
      <c r="J316" s="48" t="inlineStr">
        <is>
          <t>018. OCB_GOLD_TCKH_V_PLA_QUYMO_CHUNG_UPL_QUANG.xlsx [Script: V_PLA_QUYMO_CHUNG_UPL]</t>
        </is>
      </c>
    </row>
    <row r="317">
      <c r="A317" s="48" t="inlineStr">
        <is>
          <t>TCKH.V_PLA_QUYMO_CHUNG_UPL</t>
        </is>
      </c>
      <c r="B317" s="48" t="inlineStr">
        <is>
          <t>UPLOAD_VIEW</t>
        </is>
      </c>
      <c r="C317" s="48" t="inlineStr">
        <is>
          <t>3.3</t>
        </is>
      </c>
      <c r="D317" s="48" t="inlineStr">
        <is>
          <t>Nhom 3 - Optimization</t>
        </is>
      </c>
      <c r="E317" s="48" t="inlineStr">
        <is>
          <t>Filter trước khi join, tận dụng partition pruning</t>
        </is>
      </c>
      <c r="F317" s="48" t="inlineStr">
        <is>
          <t>N-A</t>
        </is>
      </c>
      <c r="G317" s="48" t="inlineStr">
        <is>
          <t>Pass</t>
        </is>
      </c>
      <c r="H317" s="50" t="inlineStr">
        <is>
          <t>khong ap dung cho profile UPLOAD_VIEW</t>
        </is>
      </c>
      <c r="I317" s="50" t="inlineStr">
        <is>
          <t>Đưa điều kiện lọc (ngày dữ liệu, trạng thái) vào subquery của từng bảng TRƯỚC khi join, để tận dụng partition pruning. Bảng dim nhỏ không partition thì không cần — tự tick Pass.</t>
        </is>
      </c>
      <c r="J317" s="48" t="inlineStr">
        <is>
          <t>018. OCB_GOLD_TCKH_V_PLA_QUYMO_CHUNG_UPL_QUANG.xlsx [Script: V_PLA_QUYMO_CHUNG_UPL]</t>
        </is>
      </c>
    </row>
    <row r="318">
      <c r="A318" s="48" t="inlineStr">
        <is>
          <t>TCKH.V_PLA_QUYMO_CHUNG_UPL</t>
        </is>
      </c>
      <c r="B318" s="48" t="inlineStr">
        <is>
          <t>UPLOAD_VIEW</t>
        </is>
      </c>
      <c r="C318" s="48" t="inlineStr">
        <is>
          <t>3.4</t>
        </is>
      </c>
      <c r="D318" s="48" t="inlineStr">
        <is>
          <t>Nhom 3 - Optimization</t>
        </is>
      </c>
      <c r="E318" s="48" t="inlineStr">
        <is>
          <t>Sử dụng CACHE cho query lặp lại trong cùng luồng</t>
        </is>
      </c>
      <c r="F318" s="48" t="inlineStr">
        <is>
          <t>N-A</t>
        </is>
      </c>
      <c r="G318" s="48" t="inlineStr">
        <is>
          <t>Pass</t>
        </is>
      </c>
      <c r="H318" s="50" t="inlineStr">
        <is>
          <t>không có kết quả nào được dùng lại nhiều lần nên chưa cần CACHE</t>
        </is>
      </c>
      <c r="I318" s="50" t="inlineStr">
        <is>
          <t>Nếu một kết quả nặng được dùng lại nhiều bước trong cùng luồng, thêm CACHE TABLE / CACHE SELECT. Kết quả nhỏ thì cache còn chậm hơn — tự tick Pass.</t>
        </is>
      </c>
      <c r="J318" s="48" t="inlineStr">
        <is>
          <t>018. OCB_GOLD_TCKH_V_PLA_QUYMO_CHUNG_UPL_QUANG.xlsx [Script: V_PLA_QUYMO_CHUNG_UPL]</t>
        </is>
      </c>
    </row>
    <row r="319">
      <c r="A319" s="48" t="inlineStr">
        <is>
          <t>TCKH.V_PLA_QUYMO_CHUNG_UPL</t>
        </is>
      </c>
      <c r="B319" s="48" t="inlineStr">
        <is>
          <t>UPLOAD_VIEW</t>
        </is>
      </c>
      <c r="C319" s="48" t="inlineStr">
        <is>
          <t>3.5</t>
        </is>
      </c>
      <c r="D319" s="48" t="inlineStr">
        <is>
          <t>Nhom 3 - Optimization</t>
        </is>
      </c>
      <c r="E319" s="48" t="inlineStr">
        <is>
          <t>Ưu tiên MAX_BY + QUALIFY thay ROW_NUMBER() + WHERE rn = 1</t>
        </is>
      </c>
      <c r="F319" s="48" t="inlineStr">
        <is>
          <t>N-A</t>
        </is>
      </c>
      <c r="G319" s="48" t="inlineStr">
        <is>
          <t>Pass</t>
        </is>
      </c>
      <c r="H319" s="50" t="inlineStr">
        <is>
          <t>script không dùng ROW_NUMBER</t>
        </is>
      </c>
      <c r="I319"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19" s="48" t="inlineStr">
        <is>
          <t>018. OCB_GOLD_TCKH_V_PLA_QUYMO_CHUNG_UPL_QUANG.xlsx [Script: V_PLA_QUYMO_CHUNG_UPL]</t>
        </is>
      </c>
    </row>
    <row r="320">
      <c r="A320" s="48" t="inlineStr">
        <is>
          <t>TCKH.V_PLA_QUYMO_CHUNG_UPL</t>
        </is>
      </c>
      <c r="B320" s="48" t="inlineStr">
        <is>
          <t>UPLOAD_VIEW</t>
        </is>
      </c>
      <c r="C320" s="48" t="inlineStr">
        <is>
          <t>3.6</t>
        </is>
      </c>
      <c r="D320" s="48" t="inlineStr">
        <is>
          <t>Nhom 3 - Optimization</t>
        </is>
      </c>
      <c r="E320" s="48" t="inlineStr">
        <is>
          <t>Không lạm dụng window function; có comment khi dùng</t>
        </is>
      </c>
      <c r="F320" s="48" t="inlineStr">
        <is>
          <t>N-A</t>
        </is>
      </c>
      <c r="G320" s="48" t="inlineStr">
        <is>
          <t>Pass</t>
        </is>
      </c>
      <c r="H320" s="50" t="inlineStr">
        <is>
          <t>script không dùng window function</t>
        </is>
      </c>
      <c r="I320" s="50" t="inlineStr">
        <is>
          <t>Mỗi window function cần một comment ngay trên khối CTE chứa nó, nói rõ vì sao không dùng được max_by/QUALIFY đơn giản hơn.</t>
        </is>
      </c>
      <c r="J320" s="48" t="inlineStr">
        <is>
          <t>018. OCB_GOLD_TCKH_V_PLA_QUYMO_CHUNG_UPL_QUANG.xlsx [Script: V_PLA_QUYMO_CHUNG_UPL]</t>
        </is>
      </c>
    </row>
    <row r="321">
      <c r="A321" s="48" t="inlineStr">
        <is>
          <t>TCKH.V_PLA_QUYMO_CHUNG_UPL</t>
        </is>
      </c>
      <c r="B321" s="48" t="inlineStr">
        <is>
          <t>UPLOAD_VIEW</t>
        </is>
      </c>
      <c r="C321" s="48" t="inlineStr">
        <is>
          <t>X.1</t>
        </is>
      </c>
      <c r="D321" s="48" t="inlineStr">
        <is>
          <t>Nhom X - Bo sung Raffles</t>
        </is>
      </c>
      <c r="E321" s="48" t="inlineStr">
        <is>
          <t>[Bổ sung] Link phải rút về current trước khi join (chống fan-out)</t>
        </is>
      </c>
      <c r="F321" s="48" t="inlineStr">
        <is>
          <t>N-A</t>
        </is>
      </c>
      <c r="G321" s="48" t="inlineStr">
        <is>
          <t>Pass</t>
        </is>
      </c>
      <c r="H321" s="50" t="inlineStr">
        <is>
          <t>khong ap dung cho profile UPLOAD_VIEW</t>
        </is>
      </c>
      <c r="I321"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21" s="48" t="inlineStr">
        <is>
          <t>018. OCB_GOLD_TCKH_V_PLA_QUYMO_CHUNG_UPL_QUANG.xlsx [Script: V_PLA_QUYMO_CHUNG_UPL]</t>
        </is>
      </c>
    </row>
    <row r="322">
      <c r="A322" s="48" t="inlineStr">
        <is>
          <t>TCKH.V_PLA_QUYMO_CHUNG_UPL</t>
        </is>
      </c>
      <c r="B322" s="48" t="inlineStr">
        <is>
          <t>UPLOAD_VIEW</t>
        </is>
      </c>
      <c r="C322" s="48" t="inlineStr">
        <is>
          <t>X.6</t>
        </is>
      </c>
      <c r="D322" s="48" t="inlineStr">
        <is>
          <t>Nhom X - Bo sung Raffles</t>
        </is>
      </c>
      <c r="E322" s="48" t="inlineStr">
        <is>
          <t>[Bổ sung] Satellite phải LEFT JOIN, không INNER JOIN</t>
        </is>
      </c>
      <c r="F322" s="48" t="inlineStr">
        <is>
          <t>N-A</t>
        </is>
      </c>
      <c r="G322" s="48" t="inlineStr">
        <is>
          <t>Pass</t>
        </is>
      </c>
      <c r="H322" s="50" t="inlineStr">
        <is>
          <t>khong ap dung cho profile UPLOAD_VIEW</t>
        </is>
      </c>
      <c r="I322" s="50" t="inlineStr">
        <is>
          <t>Technical Document III.4.2.2 nguyên tắc 1: làm giàu thuộc tính luôn dùng LEFT JOIN. INNER JOIN satellite sẽ loại mất bản ghi Hub đang còn hiệu lực nhưng chưa có dòng satellite.</t>
        </is>
      </c>
      <c r="J322" s="48" t="inlineStr">
        <is>
          <t>018. OCB_GOLD_TCKH_V_PLA_QUYMO_CHUNG_UPL_QUANG.xlsx [Script: V_PLA_QUYMO_CHUNG_UPL]</t>
        </is>
      </c>
    </row>
    <row r="323">
      <c r="A323" s="48" t="inlineStr">
        <is>
          <t>TCKH.V_PLA_QUYMO_CHUNG_UPL</t>
        </is>
      </c>
      <c r="B323" s="48" t="inlineStr">
        <is>
          <t>UPLOAD_VIEW</t>
        </is>
      </c>
      <c r="C323" s="48" t="inlineStr">
        <is>
          <t>X.7</t>
        </is>
      </c>
      <c r="D323" s="48" t="inlineStr">
        <is>
          <t>Nhom X - Bo sung Raffles</t>
        </is>
      </c>
      <c r="E323" s="48" t="inlineStr">
        <is>
          <t>[Bổ sung] Không hard-code catalog, dùng biến môi trường</t>
        </is>
      </c>
      <c r="F323" s="48" t="inlineStr">
        <is>
          <t>N-A</t>
        </is>
      </c>
      <c r="G323" s="48" t="inlineStr">
        <is>
          <t>Pass</t>
        </is>
      </c>
      <c r="H323" s="50" t="inlineStr">
        <is>
          <t>khong ap dung cho profile UPLOAD_VIEW</t>
        </is>
      </c>
      <c r="I323"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23" s="48" t="inlineStr">
        <is>
          <t>018. OCB_GOLD_TCKH_V_PLA_QUYMO_CHUNG_UPL_QUANG.xlsx [Script: V_PLA_QUYMO_CHUNG_UPL]</t>
        </is>
      </c>
    </row>
    <row r="324">
      <c r="A324" s="48" t="inlineStr">
        <is>
          <t>TCKH.V_PLA_QUYMO_NOXAU_UPL</t>
        </is>
      </c>
      <c r="B324" s="48" t="inlineStr">
        <is>
          <t>UPLOAD_VIEW</t>
        </is>
      </c>
      <c r="C324" s="48" t="inlineStr">
        <is>
          <t>1.1</t>
        </is>
      </c>
      <c r="D324" s="48" t="inlineStr">
        <is>
          <t>Nhom 1 - Mapping</t>
        </is>
      </c>
      <c r="E324" s="48" t="inlineStr">
        <is>
          <t>Đầy đủ mapping từ Silver/manual sang Gold</t>
        </is>
      </c>
      <c r="F324" s="49" t="inlineStr">
        <is>
          <t>PASS</t>
        </is>
      </c>
      <c r="G324" s="48" t="inlineStr">
        <is>
          <t>Pass</t>
        </is>
      </c>
      <c r="H324" s="50" t="inlineStr">
        <is>
          <t>workbook 019. OCB_GOLD_TCKH_V_PLA_QUYMO_NOXAU_UPL_QUANG.xlsx: thiết kế 11 field, SQL có 11 cột</t>
        </is>
      </c>
      <c r="I324"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24" s="48" t="inlineStr">
        <is>
          <t>019. OCB_GOLD_TCKH_V_PLA_QUYMO_NOXAU_UPL_QUANG.xlsx [Script SQL: V_PLA_QUYMO_NOXAU_UPL]</t>
        </is>
      </c>
    </row>
    <row r="325">
      <c r="A325" s="48" t="inlineStr">
        <is>
          <t>TCKH.V_PLA_QUYMO_NOXAU_UPL</t>
        </is>
      </c>
      <c r="B325" s="48" t="inlineStr">
        <is>
          <t>UPLOAD_VIEW</t>
        </is>
      </c>
      <c r="C325" s="48" t="inlineStr">
        <is>
          <t>1.2</t>
        </is>
      </c>
      <c r="D325" s="48" t="inlineStr">
        <is>
          <t>Nhom 1 - Mapping</t>
        </is>
      </c>
      <c r="E325" s="48" t="inlineStr">
        <is>
          <t>Danh sách bảng/view Gold khớp tài liệu thiết kế đã duyệt</t>
        </is>
      </c>
      <c r="F325" s="49" t="inlineStr">
        <is>
          <t>PASS</t>
        </is>
      </c>
      <c r="G325" s="48" t="inlineStr">
        <is>
          <t>Pass</t>
        </is>
      </c>
      <c r="H325" s="50" t="inlineStr">
        <is>
          <t>V_PLA_QUYMO_NOXAU_UPL có workbook thiết kế: 019. OCB_GOLD_TCKH_V_PLA_QUYMO_NOXAU_UPL_QUANG.xlsx</t>
        </is>
      </c>
      <c r="I325" s="50" t="inlineStr">
        <is>
          <t>Đảm bảo object có workbook thiết kế tương ứng trong thư mục --mapping-dir. Muốn đối chiếu với danh sách đã duyệt thì chạy thêm tham số --gold-list "&lt;file danh sách Gold&gt;.xlsx".</t>
        </is>
      </c>
      <c r="J325" s="48" t="inlineStr">
        <is>
          <t>019. OCB_GOLD_TCKH_V_PLA_QUYMO_NOXAU_UPL_QUANG.xlsx [Script SQL: V_PLA_QUYMO_NOXAU_UPL]</t>
        </is>
      </c>
    </row>
    <row r="326">
      <c r="A326" s="48" t="inlineStr">
        <is>
          <t>TCKH.V_PLA_QUYMO_NOXAU_UPL</t>
        </is>
      </c>
      <c r="B326" s="48" t="inlineStr">
        <is>
          <t>UPLOAD_VIEW</t>
        </is>
      </c>
      <c r="C326" s="48" t="inlineStr">
        <is>
          <t>2.1</t>
        </is>
      </c>
      <c r="D326" s="48" t="inlineStr">
        <is>
          <t>Nhom 2 - Logic</t>
        </is>
      </c>
      <c r="E326" s="48" t="inlineStr">
        <is>
          <t>Chỉ lấy bản ghi active, loại bản ghi đã xóa (qua sts_hub)</t>
        </is>
      </c>
      <c r="F326" s="48" t="inlineStr">
        <is>
          <t>N-A</t>
        </is>
      </c>
      <c r="G326" s="48" t="inlineStr">
        <is>
          <t>Pass</t>
        </is>
      </c>
      <c r="H326" s="50" t="inlineStr">
        <is>
          <t>khong ap dung cho profile UPLOAD_VIEW</t>
        </is>
      </c>
      <c r="I326"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26" s="48" t="inlineStr">
        <is>
          <t>019. OCB_GOLD_TCKH_V_PLA_QUYMO_NOXAU_UPL_QUANG.xlsx [Script SQL: V_PLA_QUYMO_NOXAU_UPL]</t>
        </is>
      </c>
    </row>
    <row r="327">
      <c r="A327" s="48" t="inlineStr">
        <is>
          <t>TCKH.V_PLA_QUYMO_NOXAU_UPL</t>
        </is>
      </c>
      <c r="B327" s="48" t="inlineStr">
        <is>
          <t>UPLOAD_VIEW</t>
        </is>
      </c>
      <c r="C327" s="48" t="inlineStr">
        <is>
          <t>2.2</t>
        </is>
      </c>
      <c r="D327" s="48" t="inlineStr">
        <is>
          <t>Nhom 2 - Logic</t>
        </is>
      </c>
      <c r="E327" s="48" t="inlineStr">
        <is>
          <t>Thống nhất MỘT pattern duy nhất xác định bản ghi active mới nhất</t>
        </is>
      </c>
      <c r="F327" s="48" t="inlineStr">
        <is>
          <t>N-A</t>
        </is>
      </c>
      <c r="G327" s="48" t="inlineStr">
        <is>
          <t>Pass</t>
        </is>
      </c>
      <c r="H327" s="50" t="inlineStr">
        <is>
          <t>khong ap dung cho profile UPLOAD_VIEW</t>
        </is>
      </c>
      <c r="I327"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27" s="48" t="inlineStr">
        <is>
          <t>019. OCB_GOLD_TCKH_V_PLA_QUYMO_NOXAU_UPL_QUANG.xlsx [Script SQL: V_PLA_QUYMO_NOXAU_UPL]</t>
        </is>
      </c>
    </row>
    <row r="328">
      <c r="A328" s="48" t="inlineStr">
        <is>
          <t>TCKH.V_PLA_QUYMO_NOXAU_UPL</t>
        </is>
      </c>
      <c r="B328" s="48" t="inlineStr">
        <is>
          <t>UPLOAD_VIEW</t>
        </is>
      </c>
      <c r="C328" s="48" t="inlineStr">
        <is>
          <t>2.3</t>
        </is>
      </c>
      <c r="D328" s="48" t="inlineStr">
        <is>
          <t>Nhom 2 - Logic</t>
        </is>
      </c>
      <c r="E328" s="48" t="inlineStr">
        <is>
          <t>Điều kiện lọc trạng thái đặt SAU khi xác định bản ghi mới nhất</t>
        </is>
      </c>
      <c r="F328" s="48" t="inlineStr">
        <is>
          <t>N-A</t>
        </is>
      </c>
      <c r="G328" s="48" t="inlineStr">
        <is>
          <t>Pass</t>
        </is>
      </c>
      <c r="H328" s="50" t="inlineStr">
        <is>
          <t>khong ap dung cho profile UPLOAD_VIEW</t>
        </is>
      </c>
      <c r="I328"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28" s="48" t="inlineStr">
        <is>
          <t>019. OCB_GOLD_TCKH_V_PLA_QUYMO_NOXAU_UPL_QUANG.xlsx [Script SQL: V_PLA_QUYMO_NOXAU_UPL]</t>
        </is>
      </c>
    </row>
    <row r="329">
      <c r="A329" s="48" t="inlineStr">
        <is>
          <t>TCKH.V_PLA_QUYMO_NOXAU_UPL</t>
        </is>
      </c>
      <c r="B329" s="48" t="inlineStr">
        <is>
          <t>UPLOAD_VIEW</t>
        </is>
      </c>
      <c r="C329" s="48" t="inlineStr">
        <is>
          <t>2.4</t>
        </is>
      </c>
      <c r="D329" s="48" t="inlineStr">
        <is>
          <t>Nhom 2 - Logic</t>
        </is>
      </c>
      <c r="E329" s="48" t="inlineStr">
        <is>
          <t>source_event_date áp dụng đúng dạng theo loại bảng</t>
        </is>
      </c>
      <c r="F329" s="48" t="inlineStr">
        <is>
          <t>N-A</t>
        </is>
      </c>
      <c r="G329" s="48" t="inlineStr">
        <is>
          <t>Pass</t>
        </is>
      </c>
      <c r="H329" s="50" t="inlineStr">
        <is>
          <t>khong ap dung cho profile UPLOAD_VIEW</t>
        </is>
      </c>
      <c r="I329"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29" s="48" t="inlineStr">
        <is>
          <t>019. OCB_GOLD_TCKH_V_PLA_QUYMO_NOXAU_UPL_QUANG.xlsx [Script SQL: V_PLA_QUYMO_NOXAU_UPL]</t>
        </is>
      </c>
    </row>
    <row r="330">
      <c r="A330" s="48" t="inlineStr">
        <is>
          <t>TCKH.V_PLA_QUYMO_NOXAU_UPL</t>
        </is>
      </c>
      <c r="B330" s="48" t="inlineStr">
        <is>
          <t>UPLOAD_VIEW</t>
        </is>
      </c>
      <c r="C330" s="48" t="inlineStr">
        <is>
          <t>2.5</t>
        </is>
      </c>
      <c r="D330" s="48" t="inlineStr">
        <is>
          <t>Nhom 2 - Logic</t>
        </is>
      </c>
      <c r="E330" s="48" t="inlineStr">
        <is>
          <t>Không lặp lại lỗi logic cũ đã được DA Data Vault fix</t>
        </is>
      </c>
      <c r="F330" s="49" t="inlineStr">
        <is>
          <t>PASS</t>
        </is>
      </c>
      <c r="G330" s="48" t="inlineStr">
        <is>
          <t>Pass</t>
        </is>
      </c>
      <c r="H330" s="50" t="inlineStr">
        <is>
          <t>không trùng lỗi nào trong Issue log của DA Data Vault</t>
        </is>
      </c>
      <c r="I330"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0" s="48" t="inlineStr">
        <is>
          <t>019. OCB_GOLD_TCKH_V_PLA_QUYMO_NOXAU_UPL_QUANG.xlsx [Script SQL: V_PLA_QUYMO_NOXAU_UPL]</t>
        </is>
      </c>
    </row>
    <row r="331">
      <c r="A331" s="48" t="inlineStr">
        <is>
          <t>TCKH.V_PLA_QUYMO_NOXAU_UPL</t>
        </is>
      </c>
      <c r="B331" s="48" t="inlineStr">
        <is>
          <t>UPLOAD_VIEW</t>
        </is>
      </c>
      <c r="C331" s="48" t="inlineStr">
        <is>
          <t>2.6</t>
        </is>
      </c>
      <c r="D331" s="48" t="inlineStr">
        <is>
          <t>Nhom 2 - Logic</t>
        </is>
      </c>
      <c r="E331" s="48" t="inlineStr">
        <is>
          <t>SCD Type 2 cho bảng DIM áp dụng đúng kỹ thuật đã thống nhất</t>
        </is>
      </c>
      <c r="F331" s="48" t="inlineStr">
        <is>
          <t>N-A</t>
        </is>
      </c>
      <c r="G331" s="48" t="inlineStr">
        <is>
          <t>Pass</t>
        </is>
      </c>
      <c r="H331" s="50" t="inlineStr">
        <is>
          <t>object không phải bảng DIM nên không áp dụng SCD Type 2</t>
        </is>
      </c>
      <c r="I331"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31" s="48" t="inlineStr">
        <is>
          <t>019. OCB_GOLD_TCKH_V_PLA_QUYMO_NOXAU_UPL_QUANG.xlsx [Script SQL: V_PLA_QUYMO_NOXAU_UPL]</t>
        </is>
      </c>
    </row>
    <row r="332">
      <c r="A332" s="48" t="inlineStr">
        <is>
          <t>TCKH.V_PLA_QUYMO_NOXAU_UPL</t>
        </is>
      </c>
      <c r="B332" s="48" t="inlineStr">
        <is>
          <t>UPLOAD_VIEW</t>
        </is>
      </c>
      <c r="C332" s="48" t="inlineStr">
        <is>
          <t>2.7</t>
        </is>
      </c>
      <c r="D332" s="48" t="inlineStr">
        <is>
          <t>Nhom 2 - Logic</t>
        </is>
      </c>
      <c r="E332" s="48" t="inlineStr">
        <is>
          <t>CASE WHEN cover đủ nhánh như job on-prem</t>
        </is>
      </c>
      <c r="F332" s="48" t="inlineStr">
        <is>
          <t>N-A</t>
        </is>
      </c>
      <c r="G332" s="48" t="inlineStr">
        <is>
          <t>Pass</t>
        </is>
      </c>
      <c r="H332" s="50" t="inlineStr">
        <is>
          <t>script không có CASE WHEN nào</t>
        </is>
      </c>
      <c r="I332" s="50" t="inlineStr">
        <is>
          <t>Mở job on-prem tương ứng (DataStage DSX hoặc SQL cũ), đối chiếu từng nhánh WHEN và cả nhánh ELSE. CASE không có ELSE sẽ trả NULL âm thầm — xác nhận đó là ý muốn hay thiếu nhánh.</t>
        </is>
      </c>
      <c r="J332" s="48" t="inlineStr">
        <is>
          <t>019. OCB_GOLD_TCKH_V_PLA_QUYMO_NOXAU_UPL_QUANG.xlsx [Script SQL: V_PLA_QUYMO_NOXAU_UPL]</t>
        </is>
      </c>
    </row>
    <row r="333">
      <c r="A333" s="48" t="inlineStr">
        <is>
          <t>TCKH.V_PLA_QUYMO_NOXAU_UPL</t>
        </is>
      </c>
      <c r="B333" s="48" t="inlineStr">
        <is>
          <t>UPLOAD_VIEW</t>
        </is>
      </c>
      <c r="C333" s="48" t="inlineStr">
        <is>
          <t>2.8</t>
        </is>
      </c>
      <c r="D333" s="48" t="inlineStr">
        <is>
          <t>Nhom 2 - Logic</t>
        </is>
      </c>
      <c r="E333" s="48" t="inlineStr">
        <is>
          <t>Cột SUM/COUNT được COALESCE/NVL hợp lý</t>
        </is>
      </c>
      <c r="F333" s="49" t="inlineStr">
        <is>
          <t>PASS</t>
        </is>
      </c>
      <c r="G333" s="48" t="inlineStr">
        <is>
          <t>Pass</t>
        </is>
      </c>
      <c r="H333" s="50" t="inlineStr">
        <is>
          <t>mọi SUM/COUNT đều đã coalesce (trực tiếp hoặc ở lớp ngoài)</t>
        </is>
      </c>
      <c r="I333"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33" s="48" t="inlineStr">
        <is>
          <t>019. OCB_GOLD_TCKH_V_PLA_QUYMO_NOXAU_UPL_QUANG.xlsx [Script SQL: V_PLA_QUYMO_NOXAU_UPL]</t>
        </is>
      </c>
    </row>
    <row r="334">
      <c r="A334" s="48" t="inlineStr">
        <is>
          <t>TCKH.V_PLA_QUYMO_NOXAU_UPL</t>
        </is>
      </c>
      <c r="B334" s="48" t="inlineStr">
        <is>
          <t>UPLOAD_VIEW</t>
        </is>
      </c>
      <c r="C334" s="48" t="inlineStr">
        <is>
          <t>2.9</t>
        </is>
      </c>
      <c r="D334" s="48" t="inlineStr">
        <is>
          <t>Nhom 2 - Logic</t>
        </is>
      </c>
      <c r="E334" s="48" t="inlineStr">
        <is>
          <t>Subquery / custom function / điều kiện LIKE đúng ý nghĩa nghiệp vụ</t>
        </is>
      </c>
      <c r="F334" s="48" t="inlineStr">
        <is>
          <t>N-A</t>
        </is>
      </c>
      <c r="G334" s="48" t="inlineStr">
        <is>
          <t>Pass</t>
        </is>
      </c>
      <c r="H334" s="50" t="inlineStr">
        <is>
          <t>script không có điều kiện LIKE hay scalar subquery nào</t>
        </is>
      </c>
      <c r="I334" s="50" t="inlineStr">
        <is>
          <t>Đọc lại từng điều kiện LIKE và từng subquery, đối chiếu ý nghĩa nghiệp vụ với on-prem — đúng cú pháp không đủ. Chú ý pattern LIKE có ký tự % ở đầu/cuối và phân biệt chữ hoa/thường.</t>
        </is>
      </c>
      <c r="J334" s="48" t="inlineStr">
        <is>
          <t>019. OCB_GOLD_TCKH_V_PLA_QUYMO_NOXAU_UPL_QUANG.xlsx [Script SQL: V_PLA_QUYMO_NOXAU_UPL]</t>
        </is>
      </c>
    </row>
    <row r="335">
      <c r="A335" s="48" t="inlineStr">
        <is>
          <t>TCKH.V_PLA_QUYMO_NOXAU_UPL</t>
        </is>
      </c>
      <c r="B335" s="48" t="inlineStr">
        <is>
          <t>UPLOAD_VIEW</t>
        </is>
      </c>
      <c r="C335" s="48" t="inlineStr">
        <is>
          <t>2.10</t>
        </is>
      </c>
      <c r="D335" s="48" t="inlineStr">
        <is>
          <t>Nhom 2 - Logic</t>
        </is>
      </c>
      <c r="E335" s="48" t="inlineStr">
        <is>
          <t>Aggregation kèm filter date range chính xác</t>
        </is>
      </c>
      <c r="F335" s="49" t="inlineStr">
        <is>
          <t>PASS</t>
        </is>
      </c>
      <c r="G335" s="48" t="inlineStr">
        <is>
          <t>Pass</t>
        </is>
      </c>
      <c r="H335" s="50" t="inlineStr">
        <is>
          <t>mọi khối tổng hợp đều có điều kiện theo kỳ dữ liệu</t>
        </is>
      </c>
      <c r="I335" s="50" t="inlineStr">
        <is>
          <t>Mỗi khối SUM/COUNT/AVG phải có điều kiện lọc theo kỳ dữ liệu (CDR_DT_ID, DATA_DATE, :DATADT…). Nếu điều kiện nằm ở CTE nguồn thì ghi rõ trong comment để người review không phải truy ngược.</t>
        </is>
      </c>
      <c r="J335" s="48" t="inlineStr">
        <is>
          <t>019. OCB_GOLD_TCKH_V_PLA_QUYMO_NOXAU_UPL_QUANG.xlsx [Script SQL: V_PLA_QUYMO_NOXAU_UPL]</t>
        </is>
      </c>
    </row>
    <row r="336">
      <c r="A336" s="48" t="inlineStr">
        <is>
          <t>TCKH.V_PLA_QUYMO_NOXAU_UPL</t>
        </is>
      </c>
      <c r="B336" s="48" t="inlineStr">
        <is>
          <t>UPLOAD_VIEW</t>
        </is>
      </c>
      <c r="C336" s="48" t="inlineStr">
        <is>
          <t>2.11</t>
        </is>
      </c>
      <c r="D336" s="48" t="inlineStr">
        <is>
          <t>Nhom 2 - Logic</t>
        </is>
      </c>
      <c r="E336" s="48" t="inlineStr">
        <is>
          <t>Join dùng key hợp lý, không lạm dụng UNION ALL + EXISTS/NOT EXISTS</t>
        </is>
      </c>
      <c r="F336" s="49" t="inlineStr">
        <is>
          <t>PASS</t>
        </is>
      </c>
      <c r="G336" s="48" t="inlineStr">
        <is>
          <t>Pass</t>
        </is>
      </c>
      <c r="H336" s="50" t="inlineStr">
        <is>
          <t>join đều theo điều kiện bằng, không lạm dụng UNION ALL + EXISTS</t>
        </is>
      </c>
      <c r="I336" s="50" t="inlineStr">
        <is>
          <t>Ưu tiên LEFT JOIN theo business key hoặc hashkey. Xem lại các chỗ dùng UNION ALL kết hợp EXISTS/NOT EXISTS — thường thay được bằng một LEFT JOIN. Join không có điều kiện bằng (=) dễ tạo tích Descartes.</t>
        </is>
      </c>
      <c r="J336" s="48" t="inlineStr">
        <is>
          <t>019. OCB_GOLD_TCKH_V_PLA_QUYMO_NOXAU_UPL_QUANG.xlsx [Script SQL: V_PLA_QUYMO_NOXAU_UPL]</t>
        </is>
      </c>
    </row>
    <row r="337">
      <c r="A337" s="48" t="inlineStr">
        <is>
          <t>TCKH.V_PLA_QUYMO_NOXAU_UPL</t>
        </is>
      </c>
      <c r="B337" s="48" t="inlineStr">
        <is>
          <t>UPLOAD_VIEW</t>
        </is>
      </c>
      <c r="C337" s="48" t="inlineStr">
        <is>
          <t>2.12</t>
        </is>
      </c>
      <c r="D337" s="48" t="inlineStr">
        <is>
          <t>Nhom 2 - Logic</t>
        </is>
      </c>
      <c r="E337" s="48" t="inlineStr">
        <is>
          <t>Build Gold từ CTE snapshot Silver, không build nhiều tầng chồng chéo</t>
        </is>
      </c>
      <c r="F337" s="48" t="inlineStr">
        <is>
          <t>N-A</t>
        </is>
      </c>
      <c r="G337" s="48" t="inlineStr">
        <is>
          <t>Pass</t>
        </is>
      </c>
      <c r="H337" s="50" t="inlineStr">
        <is>
          <t>khong ap dung cho profile UPLOAD_VIEW</t>
        </is>
      </c>
      <c r="I337"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37" s="48" t="inlineStr">
        <is>
          <t>019. OCB_GOLD_TCKH_V_PLA_QUYMO_NOXAU_UPL_QUANG.xlsx [Script SQL: V_PLA_QUYMO_NOXAU_UPL]</t>
        </is>
      </c>
    </row>
    <row r="338">
      <c r="A338" s="48" t="inlineStr">
        <is>
          <t>TCKH.V_PLA_QUYMO_NOXAU_UPL</t>
        </is>
      </c>
      <c r="B338" s="48" t="inlineStr">
        <is>
          <t>UPLOAD_VIEW</t>
        </is>
      </c>
      <c r="C338" s="48" t="inlineStr">
        <is>
          <t>3.1</t>
        </is>
      </c>
      <c r="D338" s="48" t="inlineStr">
        <is>
          <t>Nhom 3 - Optimization</t>
        </is>
      </c>
      <c r="E338" s="48" t="inlineStr">
        <is>
          <t>Không SELECT *</t>
        </is>
      </c>
      <c r="F338" s="49" t="inlineStr">
        <is>
          <t>PASS</t>
        </is>
      </c>
      <c r="G338" s="48" t="inlineStr">
        <is>
          <t>Pass</t>
        </is>
      </c>
      <c r="H338" s="50" t="inlineStr">
        <is>
          <t>không dùng SELECT * ở đâu</t>
        </is>
      </c>
      <c r="I338" s="50" t="inlineStr">
        <is>
          <t>Liệt kê tường minh các cột cần dùng, kể cả trong CTE trung gian. SELECT * làm tăng IO/memory và vỡ script khi bảng nguồn thêm cột.</t>
        </is>
      </c>
      <c r="J338" s="48" t="inlineStr">
        <is>
          <t>019. OCB_GOLD_TCKH_V_PLA_QUYMO_NOXAU_UPL_QUANG.xlsx [Script SQL: V_PLA_QUYMO_NOXAU_UPL]</t>
        </is>
      </c>
    </row>
    <row r="339">
      <c r="A339" s="48" t="inlineStr">
        <is>
          <t>TCKH.V_PLA_QUYMO_NOXAU_UPL</t>
        </is>
      </c>
      <c r="B339" s="48" t="inlineStr">
        <is>
          <t>UPLOAD_VIEW</t>
        </is>
      </c>
      <c r="C339" s="48" t="inlineStr">
        <is>
          <t>3.2</t>
        </is>
      </c>
      <c r="D339" s="48" t="inlineStr">
        <is>
          <t>Nhom 3 - Optimization</t>
        </is>
      </c>
      <c r="E339" s="48" t="inlineStr">
        <is>
          <t>CTE không bị scan lại nhiều lần</t>
        </is>
      </c>
      <c r="F339" s="49" t="inlineStr">
        <is>
          <t>PASS</t>
        </is>
      </c>
      <c r="G339" s="48" t="inlineStr">
        <is>
          <t>Pass</t>
        </is>
      </c>
      <c r="H339" s="50" t="inlineStr">
        <is>
          <t>không có CTE nào bị gọi lại</t>
        </is>
      </c>
      <c r="I339" s="50" t="inlineStr">
        <is>
          <t>Với CTE nặng (đọc nhiều bảng Silver) bị tham chiếu từ 2 chỗ trở lên: gom lại còn một lần dùng, hoặc vật chất hóa (CACHE / bảng tạm). CTE nhẹ chỉ chứa tham số thì bỏ qua được — tự tick Pass.</t>
        </is>
      </c>
      <c r="J339" s="48" t="inlineStr">
        <is>
          <t>019. OCB_GOLD_TCKH_V_PLA_QUYMO_NOXAU_UPL_QUANG.xlsx [Script SQL: V_PLA_QUYMO_NOXAU_UPL]</t>
        </is>
      </c>
    </row>
    <row r="340">
      <c r="A340" s="48" t="inlineStr">
        <is>
          <t>TCKH.V_PLA_QUYMO_NOXAU_UPL</t>
        </is>
      </c>
      <c r="B340" s="48" t="inlineStr">
        <is>
          <t>UPLOAD_VIEW</t>
        </is>
      </c>
      <c r="C340" s="48" t="inlineStr">
        <is>
          <t>3.3</t>
        </is>
      </c>
      <c r="D340" s="48" t="inlineStr">
        <is>
          <t>Nhom 3 - Optimization</t>
        </is>
      </c>
      <c r="E340" s="48" t="inlineStr">
        <is>
          <t>Filter trước khi join, tận dụng partition pruning</t>
        </is>
      </c>
      <c r="F340" s="48" t="inlineStr">
        <is>
          <t>N-A</t>
        </is>
      </c>
      <c r="G340" s="48" t="inlineStr">
        <is>
          <t>Pass</t>
        </is>
      </c>
      <c r="H340" s="50" t="inlineStr">
        <is>
          <t>khong ap dung cho profile UPLOAD_VIEW</t>
        </is>
      </c>
      <c r="I340" s="50" t="inlineStr">
        <is>
          <t>Đưa điều kiện lọc (ngày dữ liệu, trạng thái) vào subquery của từng bảng TRƯỚC khi join, để tận dụng partition pruning. Bảng dim nhỏ không partition thì không cần — tự tick Pass.</t>
        </is>
      </c>
      <c r="J340" s="48" t="inlineStr">
        <is>
          <t>019. OCB_GOLD_TCKH_V_PLA_QUYMO_NOXAU_UPL_QUANG.xlsx [Script SQL: V_PLA_QUYMO_NOXAU_UPL]</t>
        </is>
      </c>
    </row>
    <row r="341">
      <c r="A341" s="48" t="inlineStr">
        <is>
          <t>TCKH.V_PLA_QUYMO_NOXAU_UPL</t>
        </is>
      </c>
      <c r="B341" s="48" t="inlineStr">
        <is>
          <t>UPLOAD_VIEW</t>
        </is>
      </c>
      <c r="C341" s="48" t="inlineStr">
        <is>
          <t>3.4</t>
        </is>
      </c>
      <c r="D341" s="48" t="inlineStr">
        <is>
          <t>Nhom 3 - Optimization</t>
        </is>
      </c>
      <c r="E341" s="48" t="inlineStr">
        <is>
          <t>Sử dụng CACHE cho query lặp lại trong cùng luồng</t>
        </is>
      </c>
      <c r="F341" s="48" t="inlineStr">
        <is>
          <t>N-A</t>
        </is>
      </c>
      <c r="G341" s="48" t="inlineStr">
        <is>
          <t>Pass</t>
        </is>
      </c>
      <c r="H341" s="50" t="inlineStr">
        <is>
          <t>không có kết quả nào được dùng lại nhiều lần nên chưa cần CACHE</t>
        </is>
      </c>
      <c r="I341" s="50" t="inlineStr">
        <is>
          <t>Nếu một kết quả nặng được dùng lại nhiều bước trong cùng luồng, thêm CACHE TABLE / CACHE SELECT. Kết quả nhỏ thì cache còn chậm hơn — tự tick Pass.</t>
        </is>
      </c>
      <c r="J341" s="48" t="inlineStr">
        <is>
          <t>019. OCB_GOLD_TCKH_V_PLA_QUYMO_NOXAU_UPL_QUANG.xlsx [Script SQL: V_PLA_QUYMO_NOXAU_UPL]</t>
        </is>
      </c>
    </row>
    <row r="342">
      <c r="A342" s="48" t="inlineStr">
        <is>
          <t>TCKH.V_PLA_QUYMO_NOXAU_UPL</t>
        </is>
      </c>
      <c r="B342" s="48" t="inlineStr">
        <is>
          <t>UPLOAD_VIEW</t>
        </is>
      </c>
      <c r="C342" s="48" t="inlineStr">
        <is>
          <t>3.5</t>
        </is>
      </c>
      <c r="D342" s="48" t="inlineStr">
        <is>
          <t>Nhom 3 - Optimization</t>
        </is>
      </c>
      <c r="E342" s="48" t="inlineStr">
        <is>
          <t>Ưu tiên MAX_BY + QUALIFY thay ROW_NUMBER() + WHERE rn = 1</t>
        </is>
      </c>
      <c r="F342" s="48" t="inlineStr">
        <is>
          <t>N-A</t>
        </is>
      </c>
      <c r="G342" s="48" t="inlineStr">
        <is>
          <t>Pass</t>
        </is>
      </c>
      <c r="H342" s="50" t="inlineStr">
        <is>
          <t>script không dùng ROW_NUMBER</t>
        </is>
      </c>
      <c r="I342"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42" s="48" t="inlineStr">
        <is>
          <t>019. OCB_GOLD_TCKH_V_PLA_QUYMO_NOXAU_UPL_QUANG.xlsx [Script SQL: V_PLA_QUYMO_NOXAU_UPL]</t>
        </is>
      </c>
    </row>
    <row r="343">
      <c r="A343" s="48" t="inlineStr">
        <is>
          <t>TCKH.V_PLA_QUYMO_NOXAU_UPL</t>
        </is>
      </c>
      <c r="B343" s="48" t="inlineStr">
        <is>
          <t>UPLOAD_VIEW</t>
        </is>
      </c>
      <c r="C343" s="48" t="inlineStr">
        <is>
          <t>3.6</t>
        </is>
      </c>
      <c r="D343" s="48" t="inlineStr">
        <is>
          <t>Nhom 3 - Optimization</t>
        </is>
      </c>
      <c r="E343" s="48" t="inlineStr">
        <is>
          <t>Không lạm dụng window function; có comment khi dùng</t>
        </is>
      </c>
      <c r="F343" s="48" t="inlineStr">
        <is>
          <t>N-A</t>
        </is>
      </c>
      <c r="G343" s="48" t="inlineStr">
        <is>
          <t>Pass</t>
        </is>
      </c>
      <c r="H343" s="50" t="inlineStr">
        <is>
          <t>script không dùng window function</t>
        </is>
      </c>
      <c r="I343" s="50" t="inlineStr">
        <is>
          <t>Mỗi window function cần một comment ngay trên khối CTE chứa nó, nói rõ vì sao không dùng được max_by/QUALIFY đơn giản hơn.</t>
        </is>
      </c>
      <c r="J343" s="48" t="inlineStr">
        <is>
          <t>019. OCB_GOLD_TCKH_V_PLA_QUYMO_NOXAU_UPL_QUANG.xlsx [Script SQL: V_PLA_QUYMO_NOXAU_UPL]</t>
        </is>
      </c>
    </row>
    <row r="344">
      <c r="A344" s="48" t="inlineStr">
        <is>
          <t>TCKH.V_PLA_QUYMO_NOXAU_UPL</t>
        </is>
      </c>
      <c r="B344" s="48" t="inlineStr">
        <is>
          <t>UPLOAD_VIEW</t>
        </is>
      </c>
      <c r="C344" s="48" t="inlineStr">
        <is>
          <t>X.1</t>
        </is>
      </c>
      <c r="D344" s="48" t="inlineStr">
        <is>
          <t>Nhom X - Bo sung Raffles</t>
        </is>
      </c>
      <c r="E344" s="48" t="inlineStr">
        <is>
          <t>[Bổ sung] Link phải rút về current trước khi join (chống fan-out)</t>
        </is>
      </c>
      <c r="F344" s="48" t="inlineStr">
        <is>
          <t>N-A</t>
        </is>
      </c>
      <c r="G344" s="48" t="inlineStr">
        <is>
          <t>Pass</t>
        </is>
      </c>
      <c r="H344" s="50" t="inlineStr">
        <is>
          <t>khong ap dung cho profile UPLOAD_VIEW</t>
        </is>
      </c>
      <c r="I344"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44" s="48" t="inlineStr">
        <is>
          <t>019. OCB_GOLD_TCKH_V_PLA_QUYMO_NOXAU_UPL_QUANG.xlsx [Script SQL: V_PLA_QUYMO_NOXAU_UPL]</t>
        </is>
      </c>
    </row>
    <row r="345">
      <c r="A345" s="48" t="inlineStr">
        <is>
          <t>TCKH.V_PLA_QUYMO_NOXAU_UPL</t>
        </is>
      </c>
      <c r="B345" s="48" t="inlineStr">
        <is>
          <t>UPLOAD_VIEW</t>
        </is>
      </c>
      <c r="C345" s="48" t="inlineStr">
        <is>
          <t>X.6</t>
        </is>
      </c>
      <c r="D345" s="48" t="inlineStr">
        <is>
          <t>Nhom X - Bo sung Raffles</t>
        </is>
      </c>
      <c r="E345" s="48" t="inlineStr">
        <is>
          <t>[Bổ sung] Satellite phải LEFT JOIN, không INNER JOIN</t>
        </is>
      </c>
      <c r="F345" s="48" t="inlineStr">
        <is>
          <t>N-A</t>
        </is>
      </c>
      <c r="G345" s="48" t="inlineStr">
        <is>
          <t>Pass</t>
        </is>
      </c>
      <c r="H345" s="50" t="inlineStr">
        <is>
          <t>khong ap dung cho profile UPLOAD_VIEW</t>
        </is>
      </c>
      <c r="I345" s="50" t="inlineStr">
        <is>
          <t>Technical Document III.4.2.2 nguyên tắc 1: làm giàu thuộc tính luôn dùng LEFT JOIN. INNER JOIN satellite sẽ loại mất bản ghi Hub đang còn hiệu lực nhưng chưa có dòng satellite.</t>
        </is>
      </c>
      <c r="J345" s="48" t="inlineStr">
        <is>
          <t>019. OCB_GOLD_TCKH_V_PLA_QUYMO_NOXAU_UPL_QUANG.xlsx [Script SQL: V_PLA_QUYMO_NOXAU_UPL]</t>
        </is>
      </c>
    </row>
    <row r="346">
      <c r="A346" s="48" t="inlineStr">
        <is>
          <t>TCKH.V_PLA_QUYMO_NOXAU_UPL</t>
        </is>
      </c>
      <c r="B346" s="48" t="inlineStr">
        <is>
          <t>UPLOAD_VIEW</t>
        </is>
      </c>
      <c r="C346" s="48" t="inlineStr">
        <is>
          <t>X.7</t>
        </is>
      </c>
      <c r="D346" s="48" t="inlineStr">
        <is>
          <t>Nhom X - Bo sung Raffles</t>
        </is>
      </c>
      <c r="E346" s="48" t="inlineStr">
        <is>
          <t>[Bổ sung] Không hard-code catalog, dùng biến môi trường</t>
        </is>
      </c>
      <c r="F346" s="48" t="inlineStr">
        <is>
          <t>N-A</t>
        </is>
      </c>
      <c r="G346" s="48" t="inlineStr">
        <is>
          <t>Pass</t>
        </is>
      </c>
      <c r="H346" s="50" t="inlineStr">
        <is>
          <t>khong ap dung cho profile UPLOAD_VIEW</t>
        </is>
      </c>
      <c r="I346"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46" s="48" t="inlineStr">
        <is>
          <t>019. OCB_GOLD_TCKH_V_PLA_QUYMO_NOXAU_UPL_QUANG.xlsx [Script SQL: V_PLA_QUYMO_NOXAU_UPL]</t>
        </is>
      </c>
    </row>
    <row r="347">
      <c r="A347" s="48" t="inlineStr">
        <is>
          <t>TCKH.V_PLA_THUTHUAN_UPL</t>
        </is>
      </c>
      <c r="B347" s="48" t="inlineStr">
        <is>
          <t>UPLOAD_VIEW</t>
        </is>
      </c>
      <c r="C347" s="48" t="inlineStr">
        <is>
          <t>1.1</t>
        </is>
      </c>
      <c r="D347" s="48" t="inlineStr">
        <is>
          <t>Nhom 1 - Mapping</t>
        </is>
      </c>
      <c r="E347" s="48" t="inlineStr">
        <is>
          <t>Đầy đủ mapping từ Silver/manual sang Gold</t>
        </is>
      </c>
      <c r="F347" s="49" t="inlineStr">
        <is>
          <t>PASS</t>
        </is>
      </c>
      <c r="G347" s="48" t="inlineStr">
        <is>
          <t>Pass</t>
        </is>
      </c>
      <c r="H347" s="50" t="inlineStr">
        <is>
          <t>workbook 020. OCB_GOLD_TCKH_V_PLA_THUTHUAN_UPL_QUANG.xlsx: thiết kế 15 field, SQL có 15 cột</t>
        </is>
      </c>
      <c r="I34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47" s="48" t="inlineStr">
        <is>
          <t>020. OCB_GOLD_TCKH_V_PLA_THUTHUAN_UPL_QUANG.xlsx [Script: V_PLA_THUTHUAN_UPL]</t>
        </is>
      </c>
    </row>
    <row r="348">
      <c r="A348" s="48" t="inlineStr">
        <is>
          <t>TCKH.V_PLA_THUTHUAN_UPL</t>
        </is>
      </c>
      <c r="B348" s="48" t="inlineStr">
        <is>
          <t>UPLOAD_VIEW</t>
        </is>
      </c>
      <c r="C348" s="48" t="inlineStr">
        <is>
          <t>1.2</t>
        </is>
      </c>
      <c r="D348" s="48" t="inlineStr">
        <is>
          <t>Nhom 1 - Mapping</t>
        </is>
      </c>
      <c r="E348" s="48" t="inlineStr">
        <is>
          <t>Danh sách bảng/view Gold khớp tài liệu thiết kế đã duyệt</t>
        </is>
      </c>
      <c r="F348" s="49" t="inlineStr">
        <is>
          <t>PASS</t>
        </is>
      </c>
      <c r="G348" s="48" t="inlineStr">
        <is>
          <t>Pass</t>
        </is>
      </c>
      <c r="H348" s="50" t="inlineStr">
        <is>
          <t>V_PLA_THUTHUAN_UPL có workbook thiết kế: 020. OCB_GOLD_TCKH_V_PLA_THUTHUAN_UPL_QUANG.xlsx</t>
        </is>
      </c>
      <c r="I348" s="50" t="inlineStr">
        <is>
          <t>Đảm bảo object có workbook thiết kế tương ứng trong thư mục --mapping-dir. Muốn đối chiếu với danh sách đã duyệt thì chạy thêm tham số --gold-list "&lt;file danh sách Gold&gt;.xlsx".</t>
        </is>
      </c>
      <c r="J348" s="48" t="inlineStr">
        <is>
          <t>020. OCB_GOLD_TCKH_V_PLA_THUTHUAN_UPL_QUANG.xlsx [Script: V_PLA_THUTHUAN_UPL]</t>
        </is>
      </c>
    </row>
    <row r="349">
      <c r="A349" s="48" t="inlineStr">
        <is>
          <t>TCKH.V_PLA_THUTHUAN_UPL</t>
        </is>
      </c>
      <c r="B349" s="48" t="inlineStr">
        <is>
          <t>UPLOAD_VIEW</t>
        </is>
      </c>
      <c r="C349" s="48" t="inlineStr">
        <is>
          <t>2.1</t>
        </is>
      </c>
      <c r="D349" s="48" t="inlineStr">
        <is>
          <t>Nhom 2 - Logic</t>
        </is>
      </c>
      <c r="E349" s="48" t="inlineStr">
        <is>
          <t>Chỉ lấy bản ghi active, loại bản ghi đã xóa (qua sts_hub)</t>
        </is>
      </c>
      <c r="F349" s="48" t="inlineStr">
        <is>
          <t>N-A</t>
        </is>
      </c>
      <c r="G349" s="48" t="inlineStr">
        <is>
          <t>Pass</t>
        </is>
      </c>
      <c r="H349" s="50" t="inlineStr">
        <is>
          <t>khong ap dung cho profile UPLOAD_VIEW</t>
        </is>
      </c>
      <c r="I34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49" s="48" t="inlineStr">
        <is>
          <t>020. OCB_GOLD_TCKH_V_PLA_THUTHUAN_UPL_QUANG.xlsx [Script: V_PLA_THUTHUAN_UPL]</t>
        </is>
      </c>
    </row>
    <row r="350">
      <c r="A350" s="48" t="inlineStr">
        <is>
          <t>TCKH.V_PLA_THUTHUAN_UPL</t>
        </is>
      </c>
      <c r="B350" s="48" t="inlineStr">
        <is>
          <t>UPLOAD_VIEW</t>
        </is>
      </c>
      <c r="C350" s="48" t="inlineStr">
        <is>
          <t>2.2</t>
        </is>
      </c>
      <c r="D350" s="48" t="inlineStr">
        <is>
          <t>Nhom 2 - Logic</t>
        </is>
      </c>
      <c r="E350" s="48" t="inlineStr">
        <is>
          <t>Thống nhất MỘT pattern duy nhất xác định bản ghi active mới nhất</t>
        </is>
      </c>
      <c r="F350" s="48" t="inlineStr">
        <is>
          <t>N-A</t>
        </is>
      </c>
      <c r="G350" s="48" t="inlineStr">
        <is>
          <t>Pass</t>
        </is>
      </c>
      <c r="H350" s="50" t="inlineStr">
        <is>
          <t>khong ap dung cho profile UPLOAD_VIEW</t>
        </is>
      </c>
      <c r="I35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50" s="48" t="inlineStr">
        <is>
          <t>020. OCB_GOLD_TCKH_V_PLA_THUTHUAN_UPL_QUANG.xlsx [Script: V_PLA_THUTHUAN_UPL]</t>
        </is>
      </c>
    </row>
    <row r="351">
      <c r="A351" s="48" t="inlineStr">
        <is>
          <t>TCKH.V_PLA_THUTHUAN_UPL</t>
        </is>
      </c>
      <c r="B351" s="48" t="inlineStr">
        <is>
          <t>UPLOAD_VIEW</t>
        </is>
      </c>
      <c r="C351" s="48" t="inlineStr">
        <is>
          <t>2.3</t>
        </is>
      </c>
      <c r="D351" s="48" t="inlineStr">
        <is>
          <t>Nhom 2 - Logic</t>
        </is>
      </c>
      <c r="E351" s="48" t="inlineStr">
        <is>
          <t>Điều kiện lọc trạng thái đặt SAU khi xác định bản ghi mới nhất</t>
        </is>
      </c>
      <c r="F351" s="48" t="inlineStr">
        <is>
          <t>N-A</t>
        </is>
      </c>
      <c r="G351" s="48" t="inlineStr">
        <is>
          <t>Pass</t>
        </is>
      </c>
      <c r="H351" s="50" t="inlineStr">
        <is>
          <t>khong ap dung cho profile UPLOAD_VIEW</t>
        </is>
      </c>
      <c r="I35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51" s="48" t="inlineStr">
        <is>
          <t>020. OCB_GOLD_TCKH_V_PLA_THUTHUAN_UPL_QUANG.xlsx [Script: V_PLA_THUTHUAN_UPL]</t>
        </is>
      </c>
    </row>
    <row r="352">
      <c r="A352" s="48" t="inlineStr">
        <is>
          <t>TCKH.V_PLA_THUTHUAN_UPL</t>
        </is>
      </c>
      <c r="B352" s="48" t="inlineStr">
        <is>
          <t>UPLOAD_VIEW</t>
        </is>
      </c>
      <c r="C352" s="48" t="inlineStr">
        <is>
          <t>2.4</t>
        </is>
      </c>
      <c r="D352" s="48" t="inlineStr">
        <is>
          <t>Nhom 2 - Logic</t>
        </is>
      </c>
      <c r="E352" s="48" t="inlineStr">
        <is>
          <t>source_event_date áp dụng đúng dạng theo loại bảng</t>
        </is>
      </c>
      <c r="F352" s="48" t="inlineStr">
        <is>
          <t>N-A</t>
        </is>
      </c>
      <c r="G352" s="48" t="inlineStr">
        <is>
          <t>Pass</t>
        </is>
      </c>
      <c r="H352" s="50" t="inlineStr">
        <is>
          <t>khong ap dung cho profile UPLOAD_VIEW</t>
        </is>
      </c>
      <c r="I35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52" s="48" t="inlineStr">
        <is>
          <t>020. OCB_GOLD_TCKH_V_PLA_THUTHUAN_UPL_QUANG.xlsx [Script: V_PLA_THUTHUAN_UPL]</t>
        </is>
      </c>
    </row>
    <row r="353">
      <c r="A353" s="48" t="inlineStr">
        <is>
          <t>TCKH.V_PLA_THUTHUAN_UPL</t>
        </is>
      </c>
      <c r="B353" s="48" t="inlineStr">
        <is>
          <t>UPLOAD_VIEW</t>
        </is>
      </c>
      <c r="C353" s="48" t="inlineStr">
        <is>
          <t>2.5</t>
        </is>
      </c>
      <c r="D353" s="48" t="inlineStr">
        <is>
          <t>Nhom 2 - Logic</t>
        </is>
      </c>
      <c r="E353" s="48" t="inlineStr">
        <is>
          <t>Không lặp lại lỗi logic cũ đã được DA Data Vault fix</t>
        </is>
      </c>
      <c r="F353" s="49" t="inlineStr">
        <is>
          <t>PASS</t>
        </is>
      </c>
      <c r="G353" s="48" t="inlineStr">
        <is>
          <t>Pass</t>
        </is>
      </c>
      <c r="H353" s="50" t="inlineStr">
        <is>
          <t>không trùng lỗi nào trong Issue log của DA Data Vault</t>
        </is>
      </c>
      <c r="I35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53" s="48" t="inlineStr">
        <is>
          <t>020. OCB_GOLD_TCKH_V_PLA_THUTHUAN_UPL_QUANG.xlsx [Script: V_PLA_THUTHUAN_UPL]</t>
        </is>
      </c>
    </row>
    <row r="354">
      <c r="A354" s="48" t="inlineStr">
        <is>
          <t>TCKH.V_PLA_THUTHUAN_UPL</t>
        </is>
      </c>
      <c r="B354" s="48" t="inlineStr">
        <is>
          <t>UPLOAD_VIEW</t>
        </is>
      </c>
      <c r="C354" s="48" t="inlineStr">
        <is>
          <t>2.6</t>
        </is>
      </c>
      <c r="D354" s="48" t="inlineStr">
        <is>
          <t>Nhom 2 - Logic</t>
        </is>
      </c>
      <c r="E354" s="48" t="inlineStr">
        <is>
          <t>SCD Type 2 cho bảng DIM áp dụng đúng kỹ thuật đã thống nhất</t>
        </is>
      </c>
      <c r="F354" s="48" t="inlineStr">
        <is>
          <t>N-A</t>
        </is>
      </c>
      <c r="G354" s="48" t="inlineStr">
        <is>
          <t>Pass</t>
        </is>
      </c>
      <c r="H354" s="50" t="inlineStr">
        <is>
          <t>object không phải bảng DIM nên không áp dụng SCD Type 2</t>
        </is>
      </c>
      <c r="I35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54" s="48" t="inlineStr">
        <is>
          <t>020. OCB_GOLD_TCKH_V_PLA_THUTHUAN_UPL_QUANG.xlsx [Script: V_PLA_THUTHUAN_UPL]</t>
        </is>
      </c>
    </row>
    <row r="355">
      <c r="A355" s="48" t="inlineStr">
        <is>
          <t>TCKH.V_PLA_THUTHUAN_UPL</t>
        </is>
      </c>
      <c r="B355" s="48" t="inlineStr">
        <is>
          <t>UPLOAD_VIEW</t>
        </is>
      </c>
      <c r="C355" s="48" t="inlineStr">
        <is>
          <t>2.7</t>
        </is>
      </c>
      <c r="D355" s="48" t="inlineStr">
        <is>
          <t>Nhom 2 - Logic</t>
        </is>
      </c>
      <c r="E355" s="48" t="inlineStr">
        <is>
          <t>CASE WHEN cover đủ nhánh như job on-prem</t>
        </is>
      </c>
      <c r="F355" s="48" t="inlineStr">
        <is>
          <t>N-A</t>
        </is>
      </c>
      <c r="G355" s="48" t="inlineStr">
        <is>
          <t>Pass</t>
        </is>
      </c>
      <c r="H355" s="50" t="inlineStr">
        <is>
          <t>script không có CASE WHEN nào</t>
        </is>
      </c>
      <c r="I355" s="50" t="inlineStr">
        <is>
          <t>Mở job on-prem tương ứng (DataStage DSX hoặc SQL cũ), đối chiếu từng nhánh WHEN và cả nhánh ELSE. CASE không có ELSE sẽ trả NULL âm thầm — xác nhận đó là ý muốn hay thiếu nhánh.</t>
        </is>
      </c>
      <c r="J355" s="48" t="inlineStr">
        <is>
          <t>020. OCB_GOLD_TCKH_V_PLA_THUTHUAN_UPL_QUANG.xlsx [Script: V_PLA_THUTHUAN_UPL]</t>
        </is>
      </c>
    </row>
    <row r="356">
      <c r="A356" s="48" t="inlineStr">
        <is>
          <t>TCKH.V_PLA_THUTHUAN_UPL</t>
        </is>
      </c>
      <c r="B356" s="48" t="inlineStr">
        <is>
          <t>UPLOAD_VIEW</t>
        </is>
      </c>
      <c r="C356" s="48" t="inlineStr">
        <is>
          <t>2.8</t>
        </is>
      </c>
      <c r="D356" s="48" t="inlineStr">
        <is>
          <t>Nhom 2 - Logic</t>
        </is>
      </c>
      <c r="E356" s="48" t="inlineStr">
        <is>
          <t>Cột SUM/COUNT được COALESCE/NVL hợp lý</t>
        </is>
      </c>
      <c r="F356" s="49" t="inlineStr">
        <is>
          <t>PASS</t>
        </is>
      </c>
      <c r="G356" s="48" t="inlineStr">
        <is>
          <t>Pass</t>
        </is>
      </c>
      <c r="H356" s="50" t="inlineStr">
        <is>
          <t>mọi SUM/COUNT đều đã coalesce (trực tiếp hoặc ở lớp ngoài)</t>
        </is>
      </c>
      <c r="I35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56" s="48" t="inlineStr">
        <is>
          <t>020. OCB_GOLD_TCKH_V_PLA_THUTHUAN_UPL_QUANG.xlsx [Script: V_PLA_THUTHUAN_UPL]</t>
        </is>
      </c>
    </row>
    <row r="357">
      <c r="A357" s="48" t="inlineStr">
        <is>
          <t>TCKH.V_PLA_THUTHUAN_UPL</t>
        </is>
      </c>
      <c r="B357" s="48" t="inlineStr">
        <is>
          <t>UPLOAD_VIEW</t>
        </is>
      </c>
      <c r="C357" s="48" t="inlineStr">
        <is>
          <t>2.9</t>
        </is>
      </c>
      <c r="D357" s="48" t="inlineStr">
        <is>
          <t>Nhom 2 - Logic</t>
        </is>
      </c>
      <c r="E357" s="48" t="inlineStr">
        <is>
          <t>Subquery / custom function / điều kiện LIKE đúng ý nghĩa nghiệp vụ</t>
        </is>
      </c>
      <c r="F357" s="48" t="inlineStr">
        <is>
          <t>N-A</t>
        </is>
      </c>
      <c r="G357" s="48" t="inlineStr">
        <is>
          <t>Pass</t>
        </is>
      </c>
      <c r="H357" s="50" t="inlineStr">
        <is>
          <t>script không có điều kiện LIKE hay scalar subquery nào</t>
        </is>
      </c>
      <c r="I357" s="50" t="inlineStr">
        <is>
          <t>Đọc lại từng điều kiện LIKE và từng subquery, đối chiếu ý nghĩa nghiệp vụ với on-prem — đúng cú pháp không đủ. Chú ý pattern LIKE có ký tự % ở đầu/cuối và phân biệt chữ hoa/thường.</t>
        </is>
      </c>
      <c r="J357" s="48" t="inlineStr">
        <is>
          <t>020. OCB_GOLD_TCKH_V_PLA_THUTHUAN_UPL_QUANG.xlsx [Script: V_PLA_THUTHUAN_UPL]</t>
        </is>
      </c>
    </row>
    <row r="358">
      <c r="A358" s="48" t="inlineStr">
        <is>
          <t>TCKH.V_PLA_THUTHUAN_UPL</t>
        </is>
      </c>
      <c r="B358" s="48" t="inlineStr">
        <is>
          <t>UPLOAD_VIEW</t>
        </is>
      </c>
      <c r="C358" s="48" t="inlineStr">
        <is>
          <t>2.10</t>
        </is>
      </c>
      <c r="D358" s="48" t="inlineStr">
        <is>
          <t>Nhom 2 - Logic</t>
        </is>
      </c>
      <c r="E358" s="48" t="inlineStr">
        <is>
          <t>Aggregation kèm filter date range chính xác</t>
        </is>
      </c>
      <c r="F358" s="49" t="inlineStr">
        <is>
          <t>PASS</t>
        </is>
      </c>
      <c r="G358" s="48" t="inlineStr">
        <is>
          <t>Pass</t>
        </is>
      </c>
      <c r="H358" s="50" t="inlineStr">
        <is>
          <t>mọi khối tổng hợp đều có điều kiện theo kỳ dữ liệu</t>
        </is>
      </c>
      <c r="I358" s="50" t="inlineStr">
        <is>
          <t>Mỗi khối SUM/COUNT/AVG phải có điều kiện lọc theo kỳ dữ liệu (CDR_DT_ID, DATA_DATE, :DATADT…). Nếu điều kiện nằm ở CTE nguồn thì ghi rõ trong comment để người review không phải truy ngược.</t>
        </is>
      </c>
      <c r="J358" s="48" t="inlineStr">
        <is>
          <t>020. OCB_GOLD_TCKH_V_PLA_THUTHUAN_UPL_QUANG.xlsx [Script: V_PLA_THUTHUAN_UPL]</t>
        </is>
      </c>
    </row>
    <row r="359">
      <c r="A359" s="48" t="inlineStr">
        <is>
          <t>TCKH.V_PLA_THUTHUAN_UPL</t>
        </is>
      </c>
      <c r="B359" s="48" t="inlineStr">
        <is>
          <t>UPLOAD_VIEW</t>
        </is>
      </c>
      <c r="C359" s="48" t="inlineStr">
        <is>
          <t>2.11</t>
        </is>
      </c>
      <c r="D359" s="48" t="inlineStr">
        <is>
          <t>Nhom 2 - Logic</t>
        </is>
      </c>
      <c r="E359" s="48" t="inlineStr">
        <is>
          <t>Join dùng key hợp lý, không lạm dụng UNION ALL + EXISTS/NOT EXISTS</t>
        </is>
      </c>
      <c r="F359" s="49" t="inlineStr">
        <is>
          <t>PASS</t>
        </is>
      </c>
      <c r="G359" s="48" t="inlineStr">
        <is>
          <t>Pass</t>
        </is>
      </c>
      <c r="H359" s="50" t="inlineStr">
        <is>
          <t>join đều theo điều kiện bằng, không lạm dụng UNION ALL + EXISTS</t>
        </is>
      </c>
      <c r="I359" s="50" t="inlineStr">
        <is>
          <t>Ưu tiên LEFT JOIN theo business key hoặc hashkey. Xem lại các chỗ dùng UNION ALL kết hợp EXISTS/NOT EXISTS — thường thay được bằng một LEFT JOIN. Join không có điều kiện bằng (=) dễ tạo tích Descartes.</t>
        </is>
      </c>
      <c r="J359" s="48" t="inlineStr">
        <is>
          <t>020. OCB_GOLD_TCKH_V_PLA_THUTHUAN_UPL_QUANG.xlsx [Script: V_PLA_THUTHUAN_UPL]</t>
        </is>
      </c>
    </row>
    <row r="360">
      <c r="A360" s="48" t="inlineStr">
        <is>
          <t>TCKH.V_PLA_THUTHUAN_UPL</t>
        </is>
      </c>
      <c r="B360" s="48" t="inlineStr">
        <is>
          <t>UPLOAD_VIEW</t>
        </is>
      </c>
      <c r="C360" s="48" t="inlineStr">
        <is>
          <t>2.12</t>
        </is>
      </c>
      <c r="D360" s="48" t="inlineStr">
        <is>
          <t>Nhom 2 - Logic</t>
        </is>
      </c>
      <c r="E360" s="48" t="inlineStr">
        <is>
          <t>Build Gold từ CTE snapshot Silver, không build nhiều tầng chồng chéo</t>
        </is>
      </c>
      <c r="F360" s="48" t="inlineStr">
        <is>
          <t>N-A</t>
        </is>
      </c>
      <c r="G360" s="48" t="inlineStr">
        <is>
          <t>Pass</t>
        </is>
      </c>
      <c r="H360" s="50" t="inlineStr">
        <is>
          <t>khong ap dung cho profile UPLOAD_VIEW</t>
        </is>
      </c>
      <c r="I36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60" s="48" t="inlineStr">
        <is>
          <t>020. OCB_GOLD_TCKH_V_PLA_THUTHUAN_UPL_QUANG.xlsx [Script: V_PLA_THUTHUAN_UPL]</t>
        </is>
      </c>
    </row>
    <row r="361">
      <c r="A361" s="48" t="inlineStr">
        <is>
          <t>TCKH.V_PLA_THUTHUAN_UPL</t>
        </is>
      </c>
      <c r="B361" s="48" t="inlineStr">
        <is>
          <t>UPLOAD_VIEW</t>
        </is>
      </c>
      <c r="C361" s="48" t="inlineStr">
        <is>
          <t>3.1</t>
        </is>
      </c>
      <c r="D361" s="48" t="inlineStr">
        <is>
          <t>Nhom 3 - Optimization</t>
        </is>
      </c>
      <c r="E361" s="48" t="inlineStr">
        <is>
          <t>Không SELECT *</t>
        </is>
      </c>
      <c r="F361" s="49" t="inlineStr">
        <is>
          <t>PASS</t>
        </is>
      </c>
      <c r="G361" s="48" t="inlineStr">
        <is>
          <t>Pass</t>
        </is>
      </c>
      <c r="H361" s="50" t="inlineStr">
        <is>
          <t>không dùng SELECT * ở đâu</t>
        </is>
      </c>
      <c r="I361" s="50" t="inlineStr">
        <is>
          <t>Liệt kê tường minh các cột cần dùng, kể cả trong CTE trung gian. SELECT * làm tăng IO/memory và vỡ script khi bảng nguồn thêm cột.</t>
        </is>
      </c>
      <c r="J361" s="48" t="inlineStr">
        <is>
          <t>020. OCB_GOLD_TCKH_V_PLA_THUTHUAN_UPL_QUANG.xlsx [Script: V_PLA_THUTHUAN_UPL]</t>
        </is>
      </c>
    </row>
    <row r="362">
      <c r="A362" s="48" t="inlineStr">
        <is>
          <t>TCKH.V_PLA_THUTHUAN_UPL</t>
        </is>
      </c>
      <c r="B362" s="48" t="inlineStr">
        <is>
          <t>UPLOAD_VIEW</t>
        </is>
      </c>
      <c r="C362" s="48" t="inlineStr">
        <is>
          <t>3.2</t>
        </is>
      </c>
      <c r="D362" s="48" t="inlineStr">
        <is>
          <t>Nhom 3 - Optimization</t>
        </is>
      </c>
      <c r="E362" s="48" t="inlineStr">
        <is>
          <t>CTE không bị scan lại nhiều lần</t>
        </is>
      </c>
      <c r="F362" s="49" t="inlineStr">
        <is>
          <t>PASS</t>
        </is>
      </c>
      <c r="G362" s="48" t="inlineStr">
        <is>
          <t>Pass</t>
        </is>
      </c>
      <c r="H362" s="50" t="inlineStr">
        <is>
          <t>không có CTE nào bị gọi lại</t>
        </is>
      </c>
      <c r="I362" s="50" t="inlineStr">
        <is>
          <t>Với CTE nặng (đọc nhiều bảng Silver) bị tham chiếu từ 2 chỗ trở lên: gom lại còn một lần dùng, hoặc vật chất hóa (CACHE / bảng tạm). CTE nhẹ chỉ chứa tham số thì bỏ qua được — tự tick Pass.</t>
        </is>
      </c>
      <c r="J362" s="48" t="inlineStr">
        <is>
          <t>020. OCB_GOLD_TCKH_V_PLA_THUTHUAN_UPL_QUANG.xlsx [Script: V_PLA_THUTHUAN_UPL]</t>
        </is>
      </c>
    </row>
    <row r="363">
      <c r="A363" s="48" t="inlineStr">
        <is>
          <t>TCKH.V_PLA_THUTHUAN_UPL</t>
        </is>
      </c>
      <c r="B363" s="48" t="inlineStr">
        <is>
          <t>UPLOAD_VIEW</t>
        </is>
      </c>
      <c r="C363" s="48" t="inlineStr">
        <is>
          <t>3.3</t>
        </is>
      </c>
      <c r="D363" s="48" t="inlineStr">
        <is>
          <t>Nhom 3 - Optimization</t>
        </is>
      </c>
      <c r="E363" s="48" t="inlineStr">
        <is>
          <t>Filter trước khi join, tận dụng partition pruning</t>
        </is>
      </c>
      <c r="F363" s="48" t="inlineStr">
        <is>
          <t>N-A</t>
        </is>
      </c>
      <c r="G363" s="48" t="inlineStr">
        <is>
          <t>Pass</t>
        </is>
      </c>
      <c r="H363" s="50" t="inlineStr">
        <is>
          <t>khong ap dung cho profile UPLOAD_VIEW</t>
        </is>
      </c>
      <c r="I363" s="50" t="inlineStr">
        <is>
          <t>Đưa điều kiện lọc (ngày dữ liệu, trạng thái) vào subquery của từng bảng TRƯỚC khi join, để tận dụng partition pruning. Bảng dim nhỏ không partition thì không cần — tự tick Pass.</t>
        </is>
      </c>
      <c r="J363" s="48" t="inlineStr">
        <is>
          <t>020. OCB_GOLD_TCKH_V_PLA_THUTHUAN_UPL_QUANG.xlsx [Script: V_PLA_THUTHUAN_UPL]</t>
        </is>
      </c>
    </row>
    <row r="364">
      <c r="A364" s="48" t="inlineStr">
        <is>
          <t>TCKH.V_PLA_THUTHUAN_UPL</t>
        </is>
      </c>
      <c r="B364" s="48" t="inlineStr">
        <is>
          <t>UPLOAD_VIEW</t>
        </is>
      </c>
      <c r="C364" s="48" t="inlineStr">
        <is>
          <t>3.4</t>
        </is>
      </c>
      <c r="D364" s="48" t="inlineStr">
        <is>
          <t>Nhom 3 - Optimization</t>
        </is>
      </c>
      <c r="E364" s="48" t="inlineStr">
        <is>
          <t>Sử dụng CACHE cho query lặp lại trong cùng luồng</t>
        </is>
      </c>
      <c r="F364" s="48" t="inlineStr">
        <is>
          <t>N-A</t>
        </is>
      </c>
      <c r="G364" s="48" t="inlineStr">
        <is>
          <t>Pass</t>
        </is>
      </c>
      <c r="H364" s="50" t="inlineStr">
        <is>
          <t>không có kết quả nào được dùng lại nhiều lần nên chưa cần CACHE</t>
        </is>
      </c>
      <c r="I364" s="50" t="inlineStr">
        <is>
          <t>Nếu một kết quả nặng được dùng lại nhiều bước trong cùng luồng, thêm CACHE TABLE / CACHE SELECT. Kết quả nhỏ thì cache còn chậm hơn — tự tick Pass.</t>
        </is>
      </c>
      <c r="J364" s="48" t="inlineStr">
        <is>
          <t>020. OCB_GOLD_TCKH_V_PLA_THUTHUAN_UPL_QUANG.xlsx [Script: V_PLA_THUTHUAN_UPL]</t>
        </is>
      </c>
    </row>
    <row r="365">
      <c r="A365" s="48" t="inlineStr">
        <is>
          <t>TCKH.V_PLA_THUTHUAN_UPL</t>
        </is>
      </c>
      <c r="B365" s="48" t="inlineStr">
        <is>
          <t>UPLOAD_VIEW</t>
        </is>
      </c>
      <c r="C365" s="48" t="inlineStr">
        <is>
          <t>3.5</t>
        </is>
      </c>
      <c r="D365" s="48" t="inlineStr">
        <is>
          <t>Nhom 3 - Optimization</t>
        </is>
      </c>
      <c r="E365" s="48" t="inlineStr">
        <is>
          <t>Ưu tiên MAX_BY + QUALIFY thay ROW_NUMBER() + WHERE rn = 1</t>
        </is>
      </c>
      <c r="F365" s="48" t="inlineStr">
        <is>
          <t>N-A</t>
        </is>
      </c>
      <c r="G365" s="48" t="inlineStr">
        <is>
          <t>Pass</t>
        </is>
      </c>
      <c r="H365" s="50" t="inlineStr">
        <is>
          <t>script không dùng ROW_NUMBER</t>
        </is>
      </c>
      <c r="I36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65" s="48" t="inlineStr">
        <is>
          <t>020. OCB_GOLD_TCKH_V_PLA_THUTHUAN_UPL_QUANG.xlsx [Script: V_PLA_THUTHUAN_UPL]</t>
        </is>
      </c>
    </row>
    <row r="366">
      <c r="A366" s="48" t="inlineStr">
        <is>
          <t>TCKH.V_PLA_THUTHUAN_UPL</t>
        </is>
      </c>
      <c r="B366" s="48" t="inlineStr">
        <is>
          <t>UPLOAD_VIEW</t>
        </is>
      </c>
      <c r="C366" s="48" t="inlineStr">
        <is>
          <t>3.6</t>
        </is>
      </c>
      <c r="D366" s="48" t="inlineStr">
        <is>
          <t>Nhom 3 - Optimization</t>
        </is>
      </c>
      <c r="E366" s="48" t="inlineStr">
        <is>
          <t>Không lạm dụng window function; có comment khi dùng</t>
        </is>
      </c>
      <c r="F366" s="48" t="inlineStr">
        <is>
          <t>N-A</t>
        </is>
      </c>
      <c r="G366" s="48" t="inlineStr">
        <is>
          <t>Pass</t>
        </is>
      </c>
      <c r="H366" s="50" t="inlineStr">
        <is>
          <t>script không dùng window function</t>
        </is>
      </c>
      <c r="I366" s="50" t="inlineStr">
        <is>
          <t>Mỗi window function cần một comment ngay trên khối CTE chứa nó, nói rõ vì sao không dùng được max_by/QUALIFY đơn giản hơn.</t>
        </is>
      </c>
      <c r="J366" s="48" t="inlineStr">
        <is>
          <t>020. OCB_GOLD_TCKH_V_PLA_THUTHUAN_UPL_QUANG.xlsx [Script: V_PLA_THUTHUAN_UPL]</t>
        </is>
      </c>
    </row>
    <row r="367">
      <c r="A367" s="48" t="inlineStr">
        <is>
          <t>TCKH.V_PLA_THUTHUAN_UPL</t>
        </is>
      </c>
      <c r="B367" s="48" t="inlineStr">
        <is>
          <t>UPLOAD_VIEW</t>
        </is>
      </c>
      <c r="C367" s="48" t="inlineStr">
        <is>
          <t>X.1</t>
        </is>
      </c>
      <c r="D367" s="48" t="inlineStr">
        <is>
          <t>Nhom X - Bo sung Raffles</t>
        </is>
      </c>
      <c r="E367" s="48" t="inlineStr">
        <is>
          <t>[Bổ sung] Link phải rút về current trước khi join (chống fan-out)</t>
        </is>
      </c>
      <c r="F367" s="48" t="inlineStr">
        <is>
          <t>N-A</t>
        </is>
      </c>
      <c r="G367" s="48" t="inlineStr">
        <is>
          <t>Pass</t>
        </is>
      </c>
      <c r="H367" s="50" t="inlineStr">
        <is>
          <t>khong ap dung cho profile UPLOAD_VIEW</t>
        </is>
      </c>
      <c r="I36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67" s="48" t="inlineStr">
        <is>
          <t>020. OCB_GOLD_TCKH_V_PLA_THUTHUAN_UPL_QUANG.xlsx [Script: V_PLA_THUTHUAN_UPL]</t>
        </is>
      </c>
    </row>
    <row r="368">
      <c r="A368" s="48" t="inlineStr">
        <is>
          <t>TCKH.V_PLA_THUTHUAN_UPL</t>
        </is>
      </c>
      <c r="B368" s="48" t="inlineStr">
        <is>
          <t>UPLOAD_VIEW</t>
        </is>
      </c>
      <c r="C368" s="48" t="inlineStr">
        <is>
          <t>X.6</t>
        </is>
      </c>
      <c r="D368" s="48" t="inlineStr">
        <is>
          <t>Nhom X - Bo sung Raffles</t>
        </is>
      </c>
      <c r="E368" s="48" t="inlineStr">
        <is>
          <t>[Bổ sung] Satellite phải LEFT JOIN, không INNER JOIN</t>
        </is>
      </c>
      <c r="F368" s="48" t="inlineStr">
        <is>
          <t>N-A</t>
        </is>
      </c>
      <c r="G368" s="48" t="inlineStr">
        <is>
          <t>Pass</t>
        </is>
      </c>
      <c r="H368" s="50" t="inlineStr">
        <is>
          <t>khong ap dung cho profile UPLOAD_VIEW</t>
        </is>
      </c>
      <c r="I368" s="50" t="inlineStr">
        <is>
          <t>Technical Document III.4.2.2 nguyên tắc 1: làm giàu thuộc tính luôn dùng LEFT JOIN. INNER JOIN satellite sẽ loại mất bản ghi Hub đang còn hiệu lực nhưng chưa có dòng satellite.</t>
        </is>
      </c>
      <c r="J368" s="48" t="inlineStr">
        <is>
          <t>020. OCB_GOLD_TCKH_V_PLA_THUTHUAN_UPL_QUANG.xlsx [Script: V_PLA_THUTHUAN_UPL]</t>
        </is>
      </c>
    </row>
    <row r="369">
      <c r="A369" s="48" t="inlineStr">
        <is>
          <t>TCKH.V_PLA_THUTHUAN_UPL</t>
        </is>
      </c>
      <c r="B369" s="48" t="inlineStr">
        <is>
          <t>UPLOAD_VIEW</t>
        </is>
      </c>
      <c r="C369" s="48" t="inlineStr">
        <is>
          <t>X.7</t>
        </is>
      </c>
      <c r="D369" s="48" t="inlineStr">
        <is>
          <t>Nhom X - Bo sung Raffles</t>
        </is>
      </c>
      <c r="E369" s="48" t="inlineStr">
        <is>
          <t>[Bổ sung] Không hard-code catalog, dùng biến môi trường</t>
        </is>
      </c>
      <c r="F369" s="48" t="inlineStr">
        <is>
          <t>N-A</t>
        </is>
      </c>
      <c r="G369" s="48" t="inlineStr">
        <is>
          <t>Pass</t>
        </is>
      </c>
      <c r="H369" s="50" t="inlineStr">
        <is>
          <t>khong ap dung cho profile UPLOAD_VIEW</t>
        </is>
      </c>
      <c r="I36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69" s="48" t="inlineStr">
        <is>
          <t>020. OCB_GOLD_TCKH_V_PLA_THUTHUAN_UPL_QUANG.xlsx [Script: V_PLA_THUTHUAN_UPL]</t>
        </is>
      </c>
    </row>
    <row r="370">
      <c r="A370" s="48" t="inlineStr">
        <is>
          <t>TCKH.V_PR_COLLECTION</t>
        </is>
      </c>
      <c r="B370" s="48" t="inlineStr">
        <is>
          <t>SILVER_CONSUMER</t>
        </is>
      </c>
      <c r="C370" s="48" t="inlineStr">
        <is>
          <t>1.1</t>
        </is>
      </c>
      <c r="D370" s="48" t="inlineStr">
        <is>
          <t>Nhom 1 - Mapping</t>
        </is>
      </c>
      <c r="E370" s="48" t="inlineStr">
        <is>
          <t>Đầy đủ mapping từ Silver/manual sang Gold</t>
        </is>
      </c>
      <c r="F370" s="49" t="inlineStr">
        <is>
          <t>PASS</t>
        </is>
      </c>
      <c r="G370" s="48" t="inlineStr">
        <is>
          <t>Pass</t>
        </is>
      </c>
      <c r="H370" s="50" t="inlineStr">
        <is>
          <t>workbook 024. OCB_GOLD_TCKH_V_PR_COLLECTION_PHAT.xlsx: thiết kế 3 field, SQL có 3 cột</t>
        </is>
      </c>
      <c r="I370"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70" s="48" t="inlineStr">
        <is>
          <t>024. OCB_GOLD_TCKH_V_PR_COLLECTION_PHAT.xlsx [Script: V_PR_COLLECTION]</t>
        </is>
      </c>
    </row>
    <row r="371">
      <c r="A371" s="48" t="inlineStr">
        <is>
          <t>TCKH.V_PR_COLLECTION</t>
        </is>
      </c>
      <c r="B371" s="48" t="inlineStr">
        <is>
          <t>SILVER_CONSUMER</t>
        </is>
      </c>
      <c r="C371" s="48" t="inlineStr">
        <is>
          <t>1.2</t>
        </is>
      </c>
      <c r="D371" s="48" t="inlineStr">
        <is>
          <t>Nhom 1 - Mapping</t>
        </is>
      </c>
      <c r="E371" s="48" t="inlineStr">
        <is>
          <t>Danh sách bảng/view Gold khớp tài liệu thiết kế đã duyệt</t>
        </is>
      </c>
      <c r="F371" s="49" t="inlineStr">
        <is>
          <t>PASS</t>
        </is>
      </c>
      <c r="G371" s="48" t="inlineStr">
        <is>
          <t>Pass</t>
        </is>
      </c>
      <c r="H371" s="50" t="inlineStr">
        <is>
          <t>V_PR_COLLECTION có workbook thiết kế: 024. OCB_GOLD_TCKH_V_PR_COLLECTION_PHAT.xlsx</t>
        </is>
      </c>
      <c r="I371" s="50" t="inlineStr">
        <is>
          <t>Đảm bảo object có workbook thiết kế tương ứng trong thư mục --mapping-dir. Muốn đối chiếu với danh sách đã duyệt thì chạy thêm tham số --gold-list "&lt;file danh sách Gold&gt;.xlsx".</t>
        </is>
      </c>
      <c r="J371" s="48" t="inlineStr">
        <is>
          <t>024. OCB_GOLD_TCKH_V_PR_COLLECTION_PHAT.xlsx [Script: V_PR_COLLECTION]</t>
        </is>
      </c>
    </row>
    <row r="372">
      <c r="A372" s="48" t="inlineStr">
        <is>
          <t>TCKH.V_PR_COLLECTION</t>
        </is>
      </c>
      <c r="B372" s="48" t="inlineStr">
        <is>
          <t>SILVER_CONSUMER</t>
        </is>
      </c>
      <c r="C372" s="48" t="inlineStr">
        <is>
          <t>2.1</t>
        </is>
      </c>
      <c r="D372" s="48" t="inlineStr">
        <is>
          <t>Nhom 2 - Logic</t>
        </is>
      </c>
      <c r="E372" s="48" t="inlineStr">
        <is>
          <t>Chỉ lấy bản ghi active, loại bản ghi đã xóa (qua sts_hub)</t>
        </is>
      </c>
      <c r="F372" s="49" t="inlineStr">
        <is>
          <t>PASS</t>
        </is>
      </c>
      <c r="G372" s="48" t="inlineStr">
        <is>
          <t>Pass</t>
        </is>
      </c>
      <c r="H372" s="50" t="inlineStr">
        <is>
          <t>không dùng sts_hub_* (không có yêu cầu nghiệp vụ giữ bản ghi đã xóa)</t>
        </is>
      </c>
      <c r="I372"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72" s="48" t="inlineStr">
        <is>
          <t>024. OCB_GOLD_TCKH_V_PR_COLLECTION_PHAT.xlsx [Script: V_PR_COLLECTION]</t>
        </is>
      </c>
    </row>
    <row r="373">
      <c r="A373" s="48" t="inlineStr">
        <is>
          <t>TCKH.V_PR_COLLECTION</t>
        </is>
      </c>
      <c r="B373" s="48" t="inlineStr">
        <is>
          <t>SILVER_CONSUMER</t>
        </is>
      </c>
      <c r="C373" s="48" t="inlineStr">
        <is>
          <t>2.2</t>
        </is>
      </c>
      <c r="D373" s="48" t="inlineStr">
        <is>
          <t>Nhom 2 - Logic</t>
        </is>
      </c>
      <c r="E373" s="48" t="inlineStr">
        <is>
          <t>Thống nhất MỘT pattern duy nhất xác định bản ghi active mới nhất</t>
        </is>
      </c>
      <c r="F373" s="48" t="inlineStr">
        <is>
          <t>N-A</t>
        </is>
      </c>
      <c r="G373" s="48" t="inlineStr">
        <is>
          <t>Pass</t>
        </is>
      </c>
      <c r="H373" s="50" t="inlineStr">
        <is>
          <t>script không có bước lấy bản ghi mới nhất từ satellite</t>
        </is>
      </c>
      <c r="I373"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73" s="48" t="inlineStr">
        <is>
          <t>024. OCB_GOLD_TCKH_V_PR_COLLECTION_PHAT.xlsx [Script: V_PR_COLLECTION]</t>
        </is>
      </c>
    </row>
    <row r="374">
      <c r="A374" s="48" t="inlineStr">
        <is>
          <t>TCKH.V_PR_COLLECTION</t>
        </is>
      </c>
      <c r="B374" s="48" t="inlineStr">
        <is>
          <t>SILVER_CONSUMER</t>
        </is>
      </c>
      <c r="C374" s="48" t="inlineStr">
        <is>
          <t>2.3</t>
        </is>
      </c>
      <c r="D374" s="48" t="inlineStr">
        <is>
          <t>Nhom 2 - Logic</t>
        </is>
      </c>
      <c r="E374" s="48" t="inlineStr">
        <is>
          <t>Điều kiện lọc trạng thái đặt SAU khi xác định bản ghi mới nhất</t>
        </is>
      </c>
      <c r="F374" s="51" t="inlineStr">
        <is>
          <t>WARN</t>
        </is>
      </c>
      <c r="G374" s="48" t="inlineStr">
        <is>
          <t>WARN</t>
        </is>
      </c>
      <c r="H374" s="50" t="inlineStr">
        <is>
          <t>với INNER JOIN thì tương đương WHERE nên chưa sai kết quả, vẫn nên chuyển ra ngoài: ['source_event_date'] nằm trong ON của INNER JOIN ha; ['source_event_date'] nằm trong ON của INNER JOIN ha; ['source_event_date'] nằm trong ON của INNER JOIN ha</t>
        </is>
      </c>
      <c r="I374"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74" s="48" t="inlineStr">
        <is>
          <t>024. OCB_GOLD_TCKH_V_PR_COLLECTION_PHAT.xlsx [Script: V_PR_COLLECTION]</t>
        </is>
      </c>
    </row>
    <row r="375">
      <c r="A375" s="48" t="inlineStr">
        <is>
          <t>TCKH.V_PR_COLLECTION</t>
        </is>
      </c>
      <c r="B375" s="48" t="inlineStr">
        <is>
          <t>SILVER_CONSUMER</t>
        </is>
      </c>
      <c r="C375" s="48" t="inlineStr">
        <is>
          <t>2.4</t>
        </is>
      </c>
      <c r="D375" s="48" t="inlineStr">
        <is>
          <t>Nhom 2 - Logic</t>
        </is>
      </c>
      <c r="E375" s="48" t="inlineStr">
        <is>
          <t>source_event_date áp dụng đúng dạng theo loại bảng</t>
        </is>
      </c>
      <c r="F375" s="49" t="inlineStr">
        <is>
          <t>PASS</t>
        </is>
      </c>
      <c r="G375" s="48" t="inlineStr">
        <is>
          <t>Pass</t>
        </is>
      </c>
      <c r="H375" s="50" t="inlineStr">
        <is>
          <t>6 satellite đều đúng dạng điều kiện source_event_date</t>
        </is>
      </c>
      <c r="I375"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75" s="48" t="inlineStr">
        <is>
          <t>024. OCB_GOLD_TCKH_V_PR_COLLECTION_PHAT.xlsx [Script: V_PR_COLLECTION]</t>
        </is>
      </c>
    </row>
    <row r="376">
      <c r="A376" s="48" t="inlineStr">
        <is>
          <t>TCKH.V_PR_COLLECTION</t>
        </is>
      </c>
      <c r="B376" s="48" t="inlineStr">
        <is>
          <t>SILVER_CONSUMER</t>
        </is>
      </c>
      <c r="C376" s="48" t="inlineStr">
        <is>
          <t>2.5</t>
        </is>
      </c>
      <c r="D376" s="48" t="inlineStr">
        <is>
          <t>Nhom 2 - Logic</t>
        </is>
      </c>
      <c r="E376" s="48" t="inlineStr">
        <is>
          <t>Không lặp lại lỗi logic cũ đã được DA Data Vault fix</t>
        </is>
      </c>
      <c r="F376" s="49" t="inlineStr">
        <is>
          <t>PASS</t>
        </is>
      </c>
      <c r="G376" s="48" t="inlineStr">
        <is>
          <t>Pass</t>
        </is>
      </c>
      <c r="H376" s="50" t="inlineStr">
        <is>
          <t>không trùng lỗi nào trong Issue log của DA Data Vault</t>
        </is>
      </c>
      <c r="I376"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76" s="48" t="inlineStr">
        <is>
          <t>024. OCB_GOLD_TCKH_V_PR_COLLECTION_PHAT.xlsx [Script: V_PR_COLLECTION]</t>
        </is>
      </c>
    </row>
    <row r="377">
      <c r="A377" s="48" t="inlineStr">
        <is>
          <t>TCKH.V_PR_COLLECTION</t>
        </is>
      </c>
      <c r="B377" s="48" t="inlineStr">
        <is>
          <t>SILVER_CONSUMER</t>
        </is>
      </c>
      <c r="C377" s="48" t="inlineStr">
        <is>
          <t>2.6</t>
        </is>
      </c>
      <c r="D377" s="48" t="inlineStr">
        <is>
          <t>Nhom 2 - Logic</t>
        </is>
      </c>
      <c r="E377" s="48" t="inlineStr">
        <is>
          <t>SCD Type 2 cho bảng DIM áp dụng đúng kỹ thuật đã thống nhất</t>
        </is>
      </c>
      <c r="F377" s="48" t="inlineStr">
        <is>
          <t>N-A</t>
        </is>
      </c>
      <c r="G377" s="48" t="inlineStr">
        <is>
          <t>Pass</t>
        </is>
      </c>
      <c r="H377" s="50" t="inlineStr">
        <is>
          <t>object không phải bảng DIM nên không áp dụng SCD Type 2</t>
        </is>
      </c>
      <c r="I377"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77" s="48" t="inlineStr">
        <is>
          <t>024. OCB_GOLD_TCKH_V_PR_COLLECTION_PHAT.xlsx [Script: V_PR_COLLECTION]</t>
        </is>
      </c>
    </row>
    <row r="378">
      <c r="A378" s="48" t="inlineStr">
        <is>
          <t>TCKH.V_PR_COLLECTION</t>
        </is>
      </c>
      <c r="B378" s="48" t="inlineStr">
        <is>
          <t>SILVER_CONSUMER</t>
        </is>
      </c>
      <c r="C378" s="48" t="inlineStr">
        <is>
          <t>2.7</t>
        </is>
      </c>
      <c r="D378" s="48" t="inlineStr">
        <is>
          <t>Nhom 2 - Logic</t>
        </is>
      </c>
      <c r="E378" s="48" t="inlineStr">
        <is>
          <t>CASE WHEN cover đủ nhánh như job on-prem</t>
        </is>
      </c>
      <c r="F378" s="48" t="inlineStr">
        <is>
          <t>N-A</t>
        </is>
      </c>
      <c r="G378" s="48" t="inlineStr">
        <is>
          <t>Pass</t>
        </is>
      </c>
      <c r="H378" s="50" t="inlineStr">
        <is>
          <t>script không có CASE WHEN nào</t>
        </is>
      </c>
      <c r="I378" s="50" t="inlineStr">
        <is>
          <t>Mở job on-prem tương ứng (DataStage DSX hoặc SQL cũ), đối chiếu từng nhánh WHEN và cả nhánh ELSE. CASE không có ELSE sẽ trả NULL âm thầm — xác nhận đó là ý muốn hay thiếu nhánh.</t>
        </is>
      </c>
      <c r="J378" s="48" t="inlineStr">
        <is>
          <t>024. OCB_GOLD_TCKH_V_PR_COLLECTION_PHAT.xlsx [Script: V_PR_COLLECTION]</t>
        </is>
      </c>
    </row>
    <row r="379">
      <c r="A379" s="48" t="inlineStr">
        <is>
          <t>TCKH.V_PR_COLLECTION</t>
        </is>
      </c>
      <c r="B379" s="48" t="inlineStr">
        <is>
          <t>SILVER_CONSUMER</t>
        </is>
      </c>
      <c r="C379" s="48" t="inlineStr">
        <is>
          <t>2.8</t>
        </is>
      </c>
      <c r="D379" s="48" t="inlineStr">
        <is>
          <t>Nhom 2 - Logic</t>
        </is>
      </c>
      <c r="E379" s="48" t="inlineStr">
        <is>
          <t>Cột SUM/COUNT được COALESCE/NVL hợp lý</t>
        </is>
      </c>
      <c r="F379" s="51" t="inlineStr">
        <is>
          <t>WARN</t>
        </is>
      </c>
      <c r="G379" s="48" t="inlineStr">
        <is>
          <t>WARN</t>
        </is>
      </c>
      <c r="H379" s="50" t="inlineStr">
        <is>
          <t>1 biểu thức tổng hợp chưa coalesce: SUM(AMOUNT_LCY); khi đối soát với hệ thống cũ phải bọc NVL/ISNULL CẢ HAI phía để không lệch khi trừ (Checklist RVN-OCB #11)</t>
        </is>
      </c>
      <c r="I379"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79" s="48" t="inlineStr">
        <is>
          <t>024. OCB_GOLD_TCKH_V_PR_COLLECTION_PHAT.xlsx [Script: V_PR_COLLECTION]</t>
        </is>
      </c>
    </row>
    <row r="380">
      <c r="A380" s="48" t="inlineStr">
        <is>
          <t>TCKH.V_PR_COLLECTION</t>
        </is>
      </c>
      <c r="B380" s="48" t="inlineStr">
        <is>
          <t>SILVER_CONSUMER</t>
        </is>
      </c>
      <c r="C380" s="48" t="inlineStr">
        <is>
          <t>2.9</t>
        </is>
      </c>
      <c r="D380" s="48" t="inlineStr">
        <is>
          <t>Nhom 2 - Logic</t>
        </is>
      </c>
      <c r="E380" s="48" t="inlineStr">
        <is>
          <t>Subquery / custom function / điều kiện LIKE đúng ý nghĩa nghiệp vụ</t>
        </is>
      </c>
      <c r="F380" s="48" t="inlineStr">
        <is>
          <t>N-A</t>
        </is>
      </c>
      <c r="G380" s="48" t="inlineStr">
        <is>
          <t>Pass</t>
        </is>
      </c>
      <c r="H380" s="50" t="inlineStr">
        <is>
          <t>script không có điều kiện LIKE hay scalar subquery nào</t>
        </is>
      </c>
      <c r="I380" s="50" t="inlineStr">
        <is>
          <t>Đọc lại từng điều kiện LIKE và từng subquery, đối chiếu ý nghĩa nghiệp vụ với on-prem — đúng cú pháp không đủ. Chú ý pattern LIKE có ký tự % ở đầu/cuối và phân biệt chữ hoa/thường.</t>
        </is>
      </c>
      <c r="J380" s="48" t="inlineStr">
        <is>
          <t>024. OCB_GOLD_TCKH_V_PR_COLLECTION_PHAT.xlsx [Script: V_PR_COLLECTION]</t>
        </is>
      </c>
    </row>
    <row r="381">
      <c r="A381" s="48" t="inlineStr">
        <is>
          <t>TCKH.V_PR_COLLECTION</t>
        </is>
      </c>
      <c r="B381" s="48" t="inlineStr">
        <is>
          <t>SILVER_CONSUMER</t>
        </is>
      </c>
      <c r="C381" s="48" t="inlineStr">
        <is>
          <t>2.10</t>
        </is>
      </c>
      <c r="D381" s="48" t="inlineStr">
        <is>
          <t>Nhom 2 - Logic</t>
        </is>
      </c>
      <c r="E381" s="48" t="inlineStr">
        <is>
          <t>Aggregation kèm filter date range chính xác</t>
        </is>
      </c>
      <c r="F381" s="49" t="inlineStr">
        <is>
          <t>PASS</t>
        </is>
      </c>
      <c r="G381" s="48" t="inlineStr">
        <is>
          <t>Pass</t>
        </is>
      </c>
      <c r="H381" s="50" t="inlineStr">
        <is>
          <t>mọi khối tổng hợp đều có điều kiện theo kỳ dữ liệu</t>
        </is>
      </c>
      <c r="I381" s="50" t="inlineStr">
        <is>
          <t>Mỗi khối SUM/COUNT/AVG phải có điều kiện lọc theo kỳ dữ liệu (CDR_DT_ID, DATA_DATE, :DATADT…). Nếu điều kiện nằm ở CTE nguồn thì ghi rõ trong comment để người review không phải truy ngược.</t>
        </is>
      </c>
      <c r="J381" s="48" t="inlineStr">
        <is>
          <t>024. OCB_GOLD_TCKH_V_PR_COLLECTION_PHAT.xlsx [Script: V_PR_COLLECTION]</t>
        </is>
      </c>
    </row>
    <row r="382">
      <c r="A382" s="48" t="inlineStr">
        <is>
          <t>TCKH.V_PR_COLLECTION</t>
        </is>
      </c>
      <c r="B382" s="48" t="inlineStr">
        <is>
          <t>SILVER_CONSUMER</t>
        </is>
      </c>
      <c r="C382" s="48" t="inlineStr">
        <is>
          <t>2.11</t>
        </is>
      </c>
      <c r="D382" s="48" t="inlineStr">
        <is>
          <t>Nhom 2 - Logic</t>
        </is>
      </c>
      <c r="E382" s="48" t="inlineStr">
        <is>
          <t>Join dùng key hợp lý, không lạm dụng UNION ALL + EXISTS/NOT EXISTS</t>
        </is>
      </c>
      <c r="F382" s="51" t="inlineStr">
        <is>
          <t>WARN</t>
        </is>
      </c>
      <c r="G382" s="48" t="inlineStr">
        <is>
          <t>WARN</t>
        </is>
      </c>
      <c r="H382" s="50" t="inlineStr">
        <is>
          <t>dùng đồng thời UNION ALL và EXISTS ở dòng [77, 93, 114, 135], xét thay bằng LEFT JOIN</t>
        </is>
      </c>
      <c r="I382" s="50" t="inlineStr">
        <is>
          <t>Ưu tiên LEFT JOIN theo business key hoặc hashkey. Xem lại các chỗ dùng UNION ALL kết hợp EXISTS/NOT EXISTS — thường thay được bằng một LEFT JOIN. Join không có điều kiện bằng (=) dễ tạo tích Descartes.</t>
        </is>
      </c>
      <c r="J382" s="48" t="inlineStr">
        <is>
          <t>024. OCB_GOLD_TCKH_V_PR_COLLECTION_PHAT.xlsx [Script: V_PR_COLLECTION]</t>
        </is>
      </c>
    </row>
    <row r="383">
      <c r="A383" s="48" t="inlineStr">
        <is>
          <t>TCKH.V_PR_COLLECTION</t>
        </is>
      </c>
      <c r="B383" s="48" t="inlineStr">
        <is>
          <t>SILVER_CONSUMER</t>
        </is>
      </c>
      <c r="C383" s="48" t="inlineStr">
        <is>
          <t>2.12</t>
        </is>
      </c>
      <c r="D383" s="48" t="inlineStr">
        <is>
          <t>Nhom 2 - Logic</t>
        </is>
      </c>
      <c r="E383" s="48" t="inlineStr">
        <is>
          <t>Build Gold từ CTE snapshot Silver, không build nhiều tầng chồng chéo</t>
        </is>
      </c>
      <c r="F383" s="52" t="inlineStr">
        <is>
          <t>FAIL</t>
        </is>
      </c>
      <c r="G383" s="48" t="inlineStr">
        <is>
          <t>Fail</t>
        </is>
      </c>
      <c r="H383" s="50" t="inlineStr">
        <is>
          <t>bảng Silver bị đọc ở nhiều khối SELECT khác nhau thay vì snapshot 1 CTE: raw_vault.hub_account ở 3 khối</t>
        </is>
      </c>
      <c r="I383"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83" s="48" t="inlineStr">
        <is>
          <t>024. OCB_GOLD_TCKH_V_PR_COLLECTION_PHAT.xlsx [Script: V_PR_COLLECTION]</t>
        </is>
      </c>
    </row>
    <row r="384">
      <c r="A384" s="48" t="inlineStr">
        <is>
          <t>TCKH.V_PR_COLLECTION</t>
        </is>
      </c>
      <c r="B384" s="48" t="inlineStr">
        <is>
          <t>SILVER_CONSUMER</t>
        </is>
      </c>
      <c r="C384" s="48" t="inlineStr">
        <is>
          <t>3.1</t>
        </is>
      </c>
      <c r="D384" s="48" t="inlineStr">
        <is>
          <t>Nhom 3 - Optimization</t>
        </is>
      </c>
      <c r="E384" s="48" t="inlineStr">
        <is>
          <t>Không SELECT *</t>
        </is>
      </c>
      <c r="F384" s="49" t="inlineStr">
        <is>
          <t>PASS</t>
        </is>
      </c>
      <c r="G384" s="48" t="inlineStr">
        <is>
          <t>Pass</t>
        </is>
      </c>
      <c r="H384" s="50" t="inlineStr">
        <is>
          <t>không dùng SELECT * ở đâu</t>
        </is>
      </c>
      <c r="I384" s="50" t="inlineStr">
        <is>
          <t>Liệt kê tường minh các cột cần dùng, kể cả trong CTE trung gian. SELECT * làm tăng IO/memory và vỡ script khi bảng nguồn thêm cột.</t>
        </is>
      </c>
      <c r="J384" s="48" t="inlineStr">
        <is>
          <t>024. OCB_GOLD_TCKH_V_PR_COLLECTION_PHAT.xlsx [Script: V_PR_COLLECTION]</t>
        </is>
      </c>
    </row>
    <row r="385">
      <c r="A385" s="48" t="inlineStr">
        <is>
          <t>TCKH.V_PR_COLLECTION</t>
        </is>
      </c>
      <c r="B385" s="48" t="inlineStr">
        <is>
          <t>SILVER_CONSUMER</t>
        </is>
      </c>
      <c r="C385" s="48" t="inlineStr">
        <is>
          <t>3.2</t>
        </is>
      </c>
      <c r="D385" s="48" t="inlineStr">
        <is>
          <t>Nhom 3 - Optimization</t>
        </is>
      </c>
      <c r="E385" s="48" t="inlineStr">
        <is>
          <t>CTE không bị scan lại nhiều lần</t>
        </is>
      </c>
      <c r="F385" s="49" t="inlineStr">
        <is>
          <t>PASS</t>
        </is>
      </c>
      <c r="G385" s="48" t="inlineStr">
        <is>
          <t>Pass</t>
        </is>
      </c>
      <c r="H385" s="50" t="inlineStr">
        <is>
          <t>không có CTE nào bị gọi lại</t>
        </is>
      </c>
      <c r="I385" s="50" t="inlineStr">
        <is>
          <t>Với CTE nặng (đọc nhiều bảng Silver) bị tham chiếu từ 2 chỗ trở lên: gom lại còn một lần dùng, hoặc vật chất hóa (CACHE / bảng tạm). CTE nhẹ chỉ chứa tham số thì bỏ qua được — tự tick Pass.</t>
        </is>
      </c>
      <c r="J385" s="48" t="inlineStr">
        <is>
          <t>024. OCB_GOLD_TCKH_V_PR_COLLECTION_PHAT.xlsx [Script: V_PR_COLLECTION]</t>
        </is>
      </c>
    </row>
    <row r="386">
      <c r="A386" s="48" t="inlineStr">
        <is>
          <t>TCKH.V_PR_COLLECTION</t>
        </is>
      </c>
      <c r="B386" s="48" t="inlineStr">
        <is>
          <t>SILVER_CONSUMER</t>
        </is>
      </c>
      <c r="C386" s="48" t="inlineStr">
        <is>
          <t>3.3</t>
        </is>
      </c>
      <c r="D386" s="48" t="inlineStr">
        <is>
          <t>Nhom 3 - Optimization</t>
        </is>
      </c>
      <c r="E386" s="48" t="inlineStr">
        <is>
          <t>Filter trước khi join, tận dụng partition pruning</t>
        </is>
      </c>
      <c r="F386" s="49" t="inlineStr">
        <is>
          <t>PASS</t>
        </is>
      </c>
      <c r="G386" s="48" t="inlineStr">
        <is>
          <t>Pass</t>
        </is>
      </c>
      <c r="H386" s="50" t="inlineStr">
        <is>
          <t>các bảng join đều được filter trước</t>
        </is>
      </c>
      <c r="I386" s="50" t="inlineStr">
        <is>
          <t>Đưa điều kiện lọc (ngày dữ liệu, trạng thái) vào subquery của từng bảng TRƯỚC khi join, để tận dụng partition pruning. Bảng dim nhỏ không partition thì không cần — tự tick Pass.</t>
        </is>
      </c>
      <c r="J386" s="48" t="inlineStr">
        <is>
          <t>024. OCB_GOLD_TCKH_V_PR_COLLECTION_PHAT.xlsx [Script: V_PR_COLLECTION]</t>
        </is>
      </c>
    </row>
    <row r="387">
      <c r="A387" s="48" t="inlineStr">
        <is>
          <t>TCKH.V_PR_COLLECTION</t>
        </is>
      </c>
      <c r="B387" s="48" t="inlineStr">
        <is>
          <t>SILVER_CONSUMER</t>
        </is>
      </c>
      <c r="C387" s="48" t="inlineStr">
        <is>
          <t>3.4</t>
        </is>
      </c>
      <c r="D387" s="48" t="inlineStr">
        <is>
          <t>Nhom 3 - Optimization</t>
        </is>
      </c>
      <c r="E387" s="48" t="inlineStr">
        <is>
          <t>Sử dụng CACHE cho query lặp lại trong cùng luồng</t>
        </is>
      </c>
      <c r="F387" s="48" t="inlineStr">
        <is>
          <t>N-A</t>
        </is>
      </c>
      <c r="G387" s="48" t="inlineStr">
        <is>
          <t>Pass</t>
        </is>
      </c>
      <c r="H387" s="50" t="inlineStr">
        <is>
          <t>không có kết quả nào được dùng lại nhiều lần nên chưa cần CACHE</t>
        </is>
      </c>
      <c r="I387" s="50" t="inlineStr">
        <is>
          <t>Nếu một kết quả nặng được dùng lại nhiều bước trong cùng luồng, thêm CACHE TABLE / CACHE SELECT. Kết quả nhỏ thì cache còn chậm hơn — tự tick Pass.</t>
        </is>
      </c>
      <c r="J387" s="48" t="inlineStr">
        <is>
          <t>024. OCB_GOLD_TCKH_V_PR_COLLECTION_PHAT.xlsx [Script: V_PR_COLLECTION]</t>
        </is>
      </c>
    </row>
    <row r="388">
      <c r="A388" s="48" t="inlineStr">
        <is>
          <t>TCKH.V_PR_COLLECTION</t>
        </is>
      </c>
      <c r="B388" s="48" t="inlineStr">
        <is>
          <t>SILVER_CONSUMER</t>
        </is>
      </c>
      <c r="C388" s="48" t="inlineStr">
        <is>
          <t>3.5</t>
        </is>
      </c>
      <c r="D388" s="48" t="inlineStr">
        <is>
          <t>Nhom 3 - Optimization</t>
        </is>
      </c>
      <c r="E388" s="48" t="inlineStr">
        <is>
          <t>Ưu tiên MAX_BY + QUALIFY thay ROW_NUMBER() + WHERE rn = 1</t>
        </is>
      </c>
      <c r="F388" s="48" t="inlineStr">
        <is>
          <t>N-A</t>
        </is>
      </c>
      <c r="G388" s="48" t="inlineStr">
        <is>
          <t>Pass</t>
        </is>
      </c>
      <c r="H388" s="50" t="inlineStr">
        <is>
          <t>script không dùng ROW_NUMBER</t>
        </is>
      </c>
      <c r="I388"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88" s="48" t="inlineStr">
        <is>
          <t>024. OCB_GOLD_TCKH_V_PR_COLLECTION_PHAT.xlsx [Script: V_PR_COLLECTION]</t>
        </is>
      </c>
    </row>
    <row r="389">
      <c r="A389" s="48" t="inlineStr">
        <is>
          <t>TCKH.V_PR_COLLECTION</t>
        </is>
      </c>
      <c r="B389" s="48" t="inlineStr">
        <is>
          <t>SILVER_CONSUMER</t>
        </is>
      </c>
      <c r="C389" s="48" t="inlineStr">
        <is>
          <t>3.6</t>
        </is>
      </c>
      <c r="D389" s="48" t="inlineStr">
        <is>
          <t>Nhom 3 - Optimization</t>
        </is>
      </c>
      <c r="E389" s="48" t="inlineStr">
        <is>
          <t>Không lạm dụng window function; có comment khi dùng</t>
        </is>
      </c>
      <c r="F389" s="48" t="inlineStr">
        <is>
          <t>N-A</t>
        </is>
      </c>
      <c r="G389" s="48" t="inlineStr">
        <is>
          <t>Pass</t>
        </is>
      </c>
      <c r="H389" s="50" t="inlineStr">
        <is>
          <t>script không dùng window function</t>
        </is>
      </c>
      <c r="I389" s="50" t="inlineStr">
        <is>
          <t>Mỗi window function cần một comment ngay trên khối CTE chứa nó, nói rõ vì sao không dùng được max_by/QUALIFY đơn giản hơn.</t>
        </is>
      </c>
      <c r="J389" s="48" t="inlineStr">
        <is>
          <t>024. OCB_GOLD_TCKH_V_PR_COLLECTION_PHAT.xlsx [Script: V_PR_COLLECTION]</t>
        </is>
      </c>
    </row>
    <row r="390">
      <c r="A390" s="48" t="inlineStr">
        <is>
          <t>TCKH.V_PR_COLLECTION</t>
        </is>
      </c>
      <c r="B390" s="48" t="inlineStr">
        <is>
          <t>SILVER_CONSUMER</t>
        </is>
      </c>
      <c r="C390" s="48" t="inlineStr">
        <is>
          <t>X.1</t>
        </is>
      </c>
      <c r="D390" s="48" t="inlineStr">
        <is>
          <t>Nhom X - Bo sung Raffles</t>
        </is>
      </c>
      <c r="E390" s="48" t="inlineStr">
        <is>
          <t>[Bổ sung] Link phải rút về current trước khi join (chống fan-out)</t>
        </is>
      </c>
      <c r="F390" s="49" t="inlineStr">
        <is>
          <t>PASS</t>
        </is>
      </c>
      <c r="G390" s="48" t="inlineStr">
        <is>
          <t>Pass</t>
        </is>
      </c>
      <c r="H390" s="50" t="inlineStr">
        <is>
          <t>các bảng link_* đều được rút về current trước khi join</t>
        </is>
      </c>
      <c r="I390"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90" s="48" t="inlineStr">
        <is>
          <t>024. OCB_GOLD_TCKH_V_PR_COLLECTION_PHAT.xlsx [Script: V_PR_COLLECTION]</t>
        </is>
      </c>
    </row>
    <row r="391">
      <c r="A391" s="48" t="inlineStr">
        <is>
          <t>TCKH.V_PR_COLLECTION</t>
        </is>
      </c>
      <c r="B391" s="48" t="inlineStr">
        <is>
          <t>SILVER_CONSUMER</t>
        </is>
      </c>
      <c r="C391" s="48" t="inlineStr">
        <is>
          <t>X.6</t>
        </is>
      </c>
      <c r="D391" s="48" t="inlineStr">
        <is>
          <t>Nhom X - Bo sung Raffles</t>
        </is>
      </c>
      <c r="E391" s="48" t="inlineStr">
        <is>
          <t>[Bổ sung] Satellite phải LEFT JOIN, không INNER JOIN</t>
        </is>
      </c>
      <c r="F391" s="49" t="inlineStr">
        <is>
          <t>PASS</t>
        </is>
      </c>
      <c r="G391" s="48" t="inlineStr">
        <is>
          <t>Pass</t>
        </is>
      </c>
      <c r="H391" s="50" t="inlineStr">
        <is>
          <t>các satellite đều LEFT JOIN</t>
        </is>
      </c>
      <c r="I391" s="50" t="inlineStr">
        <is>
          <t>Technical Document III.4.2.2 nguyên tắc 1: làm giàu thuộc tính luôn dùng LEFT JOIN. INNER JOIN satellite sẽ loại mất bản ghi Hub đang còn hiệu lực nhưng chưa có dòng satellite.</t>
        </is>
      </c>
      <c r="J391" s="48" t="inlineStr">
        <is>
          <t>024. OCB_GOLD_TCKH_V_PR_COLLECTION_PHAT.xlsx [Script: V_PR_COLLECTION]</t>
        </is>
      </c>
    </row>
    <row r="392">
      <c r="A392" s="48" t="inlineStr">
        <is>
          <t>TCKH.V_PR_COLLECTION</t>
        </is>
      </c>
      <c r="B392" s="48" t="inlineStr">
        <is>
          <t>SILVER_CONSUMER</t>
        </is>
      </c>
      <c r="C392" s="48" t="inlineStr">
        <is>
          <t>X.7</t>
        </is>
      </c>
      <c r="D392" s="48" t="inlineStr">
        <is>
          <t>Nhom X - Bo sung Raffles</t>
        </is>
      </c>
      <c r="E392" s="48" t="inlineStr">
        <is>
          <t>[Bổ sung] Không hard-code catalog, dùng biến môi trường</t>
        </is>
      </c>
      <c r="F392" s="49" t="inlineStr">
        <is>
          <t>PASS</t>
        </is>
      </c>
      <c r="G392" s="48" t="inlineStr">
        <is>
          <t>Pass</t>
        </is>
      </c>
      <c r="H392" s="50" t="inlineStr">
        <is>
          <t>dùng biến môi trường cho catalog</t>
        </is>
      </c>
      <c r="I392"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92" s="48" t="inlineStr">
        <is>
          <t>024. OCB_GOLD_TCKH_V_PR_COLLECTION_PHAT.xlsx [Script: V_PR_COLLECTION]</t>
        </is>
      </c>
    </row>
    <row r="393">
      <c r="A393" s="48" t="inlineStr">
        <is>
          <t>TCKH.V_P_CP_BDH_UPL</t>
        </is>
      </c>
      <c r="B393" s="48" t="inlineStr">
        <is>
          <t>UPLOAD_VIEW</t>
        </is>
      </c>
      <c r="C393" s="48" t="inlineStr">
        <is>
          <t>1.1</t>
        </is>
      </c>
      <c r="D393" s="48" t="inlineStr">
        <is>
          <t>Nhom 1 - Mapping</t>
        </is>
      </c>
      <c r="E393" s="48" t="inlineStr">
        <is>
          <t>Đầy đủ mapping từ Silver/manual sang Gold</t>
        </is>
      </c>
      <c r="F393" s="49" t="inlineStr">
        <is>
          <t>PASS</t>
        </is>
      </c>
      <c r="G393" s="48" t="inlineStr">
        <is>
          <t>Pass</t>
        </is>
      </c>
      <c r="H393" s="50" t="inlineStr">
        <is>
          <t>workbook 025. OCB_GOLD_TCKH_V_P_CP_BDH_UPL_PHAT.xlsx: thiết kế 7 field, SQL có 7 cột</t>
        </is>
      </c>
      <c r="I393"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93" s="48" t="inlineStr">
        <is>
          <t>025. OCB_GOLD_TCKH_V_P_CP_BDH_UPL_PHAT.xlsx [Script: V_P_CP_BDH_UPL]</t>
        </is>
      </c>
    </row>
    <row r="394">
      <c r="A394" s="48" t="inlineStr">
        <is>
          <t>TCKH.V_P_CP_BDH_UPL</t>
        </is>
      </c>
      <c r="B394" s="48" t="inlineStr">
        <is>
          <t>UPLOAD_VIEW</t>
        </is>
      </c>
      <c r="C394" s="48" t="inlineStr">
        <is>
          <t>1.2</t>
        </is>
      </c>
      <c r="D394" s="48" t="inlineStr">
        <is>
          <t>Nhom 1 - Mapping</t>
        </is>
      </c>
      <c r="E394" s="48" t="inlineStr">
        <is>
          <t>Danh sách bảng/view Gold khớp tài liệu thiết kế đã duyệt</t>
        </is>
      </c>
      <c r="F394" s="49" t="inlineStr">
        <is>
          <t>PASS</t>
        </is>
      </c>
      <c r="G394" s="48" t="inlineStr">
        <is>
          <t>Pass</t>
        </is>
      </c>
      <c r="H394" s="50" t="inlineStr">
        <is>
          <t>V_P_CP_BDH_UPL có workbook thiết kế: 025. OCB_GOLD_TCKH_V_P_CP_BDH_UPL_PHAT.xlsx</t>
        </is>
      </c>
      <c r="I394" s="50" t="inlineStr">
        <is>
          <t>Đảm bảo object có workbook thiết kế tương ứng trong thư mục --mapping-dir. Muốn đối chiếu với danh sách đã duyệt thì chạy thêm tham số --gold-list "&lt;file danh sách Gold&gt;.xlsx".</t>
        </is>
      </c>
      <c r="J394" s="48" t="inlineStr">
        <is>
          <t>025. OCB_GOLD_TCKH_V_P_CP_BDH_UPL_PHAT.xlsx [Script: V_P_CP_BDH_UPL]</t>
        </is>
      </c>
    </row>
    <row r="395">
      <c r="A395" s="48" t="inlineStr">
        <is>
          <t>TCKH.V_P_CP_BDH_UPL</t>
        </is>
      </c>
      <c r="B395" s="48" t="inlineStr">
        <is>
          <t>UPLOAD_VIEW</t>
        </is>
      </c>
      <c r="C395" s="48" t="inlineStr">
        <is>
          <t>2.1</t>
        </is>
      </c>
      <c r="D395" s="48" t="inlineStr">
        <is>
          <t>Nhom 2 - Logic</t>
        </is>
      </c>
      <c r="E395" s="48" t="inlineStr">
        <is>
          <t>Chỉ lấy bản ghi active, loại bản ghi đã xóa (qua sts_hub)</t>
        </is>
      </c>
      <c r="F395" s="48" t="inlineStr">
        <is>
          <t>N-A</t>
        </is>
      </c>
      <c r="G395" s="48" t="inlineStr">
        <is>
          <t>Pass</t>
        </is>
      </c>
      <c r="H395" s="50" t="inlineStr">
        <is>
          <t>khong ap dung cho profile UPLOAD_VIEW</t>
        </is>
      </c>
      <c r="I395"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95" s="48" t="inlineStr">
        <is>
          <t>025. OCB_GOLD_TCKH_V_P_CP_BDH_UPL_PHAT.xlsx [Script: V_P_CP_BDH_UPL]</t>
        </is>
      </c>
    </row>
    <row r="396">
      <c r="A396" s="48" t="inlineStr">
        <is>
          <t>TCKH.V_P_CP_BDH_UPL</t>
        </is>
      </c>
      <c r="B396" s="48" t="inlineStr">
        <is>
          <t>UPLOAD_VIEW</t>
        </is>
      </c>
      <c r="C396" s="48" t="inlineStr">
        <is>
          <t>2.2</t>
        </is>
      </c>
      <c r="D396" s="48" t="inlineStr">
        <is>
          <t>Nhom 2 - Logic</t>
        </is>
      </c>
      <c r="E396" s="48" t="inlineStr">
        <is>
          <t>Thống nhất MỘT pattern duy nhất xác định bản ghi active mới nhất</t>
        </is>
      </c>
      <c r="F396" s="48" t="inlineStr">
        <is>
          <t>N-A</t>
        </is>
      </c>
      <c r="G396" s="48" t="inlineStr">
        <is>
          <t>Pass</t>
        </is>
      </c>
      <c r="H396" s="50" t="inlineStr">
        <is>
          <t>khong ap dung cho profile UPLOAD_VIEW</t>
        </is>
      </c>
      <c r="I396"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96" s="48" t="inlineStr">
        <is>
          <t>025. OCB_GOLD_TCKH_V_P_CP_BDH_UPL_PHAT.xlsx [Script: V_P_CP_BDH_UPL]</t>
        </is>
      </c>
    </row>
    <row r="397">
      <c r="A397" s="48" t="inlineStr">
        <is>
          <t>TCKH.V_P_CP_BDH_UPL</t>
        </is>
      </c>
      <c r="B397" s="48" t="inlineStr">
        <is>
          <t>UPLOAD_VIEW</t>
        </is>
      </c>
      <c r="C397" s="48" t="inlineStr">
        <is>
          <t>2.3</t>
        </is>
      </c>
      <c r="D397" s="48" t="inlineStr">
        <is>
          <t>Nhom 2 - Logic</t>
        </is>
      </c>
      <c r="E397" s="48" t="inlineStr">
        <is>
          <t>Điều kiện lọc trạng thái đặt SAU khi xác định bản ghi mới nhất</t>
        </is>
      </c>
      <c r="F397" s="48" t="inlineStr">
        <is>
          <t>N-A</t>
        </is>
      </c>
      <c r="G397" s="48" t="inlineStr">
        <is>
          <t>Pass</t>
        </is>
      </c>
      <c r="H397" s="50" t="inlineStr">
        <is>
          <t>khong ap dung cho profile UPLOAD_VIEW</t>
        </is>
      </c>
      <c r="I397"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97" s="48" t="inlineStr">
        <is>
          <t>025. OCB_GOLD_TCKH_V_P_CP_BDH_UPL_PHAT.xlsx [Script: V_P_CP_BDH_UPL]</t>
        </is>
      </c>
    </row>
    <row r="398">
      <c r="A398" s="48" t="inlineStr">
        <is>
          <t>TCKH.V_P_CP_BDH_UPL</t>
        </is>
      </c>
      <c r="B398" s="48" t="inlineStr">
        <is>
          <t>UPLOAD_VIEW</t>
        </is>
      </c>
      <c r="C398" s="48" t="inlineStr">
        <is>
          <t>2.4</t>
        </is>
      </c>
      <c r="D398" s="48" t="inlineStr">
        <is>
          <t>Nhom 2 - Logic</t>
        </is>
      </c>
      <c r="E398" s="48" t="inlineStr">
        <is>
          <t>source_event_date áp dụng đúng dạng theo loại bảng</t>
        </is>
      </c>
      <c r="F398" s="48" t="inlineStr">
        <is>
          <t>N-A</t>
        </is>
      </c>
      <c r="G398" s="48" t="inlineStr">
        <is>
          <t>Pass</t>
        </is>
      </c>
      <c r="H398" s="50" t="inlineStr">
        <is>
          <t>khong ap dung cho profile UPLOAD_VIEW</t>
        </is>
      </c>
      <c r="I398"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98" s="48" t="inlineStr">
        <is>
          <t>025. OCB_GOLD_TCKH_V_P_CP_BDH_UPL_PHAT.xlsx [Script: V_P_CP_BDH_UPL]</t>
        </is>
      </c>
    </row>
    <row r="399">
      <c r="A399" s="48" t="inlineStr">
        <is>
          <t>TCKH.V_P_CP_BDH_UPL</t>
        </is>
      </c>
      <c r="B399" s="48" t="inlineStr">
        <is>
          <t>UPLOAD_VIEW</t>
        </is>
      </c>
      <c r="C399" s="48" t="inlineStr">
        <is>
          <t>2.5</t>
        </is>
      </c>
      <c r="D399" s="48" t="inlineStr">
        <is>
          <t>Nhom 2 - Logic</t>
        </is>
      </c>
      <c r="E399" s="48" t="inlineStr">
        <is>
          <t>Không lặp lại lỗi logic cũ đã được DA Data Vault fix</t>
        </is>
      </c>
      <c r="F399" s="49" t="inlineStr">
        <is>
          <t>PASS</t>
        </is>
      </c>
      <c r="G399" s="48" t="inlineStr">
        <is>
          <t>Pass</t>
        </is>
      </c>
      <c r="H399" s="50" t="inlineStr">
        <is>
          <t>không trùng lỗi nào trong Issue log của DA Data Vault</t>
        </is>
      </c>
      <c r="I399"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99" s="48" t="inlineStr">
        <is>
          <t>025. OCB_GOLD_TCKH_V_P_CP_BDH_UPL_PHAT.xlsx [Script: V_P_CP_BDH_UPL]</t>
        </is>
      </c>
    </row>
    <row r="400">
      <c r="A400" s="48" t="inlineStr">
        <is>
          <t>TCKH.V_P_CP_BDH_UPL</t>
        </is>
      </c>
      <c r="B400" s="48" t="inlineStr">
        <is>
          <t>UPLOAD_VIEW</t>
        </is>
      </c>
      <c r="C400" s="48" t="inlineStr">
        <is>
          <t>2.6</t>
        </is>
      </c>
      <c r="D400" s="48" t="inlineStr">
        <is>
          <t>Nhom 2 - Logic</t>
        </is>
      </c>
      <c r="E400" s="48" t="inlineStr">
        <is>
          <t>SCD Type 2 cho bảng DIM áp dụng đúng kỹ thuật đã thống nhất</t>
        </is>
      </c>
      <c r="F400" s="48" t="inlineStr">
        <is>
          <t>N-A</t>
        </is>
      </c>
      <c r="G400" s="48" t="inlineStr">
        <is>
          <t>Pass</t>
        </is>
      </c>
      <c r="H400" s="50" t="inlineStr">
        <is>
          <t>object không phải bảng DIM nên không áp dụng SCD Type 2</t>
        </is>
      </c>
      <c r="I400"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00" s="48" t="inlineStr">
        <is>
          <t>025. OCB_GOLD_TCKH_V_P_CP_BDH_UPL_PHAT.xlsx [Script: V_P_CP_BDH_UPL]</t>
        </is>
      </c>
    </row>
    <row r="401">
      <c r="A401" s="48" t="inlineStr">
        <is>
          <t>TCKH.V_P_CP_BDH_UPL</t>
        </is>
      </c>
      <c r="B401" s="48" t="inlineStr">
        <is>
          <t>UPLOAD_VIEW</t>
        </is>
      </c>
      <c r="C401" s="48" t="inlineStr">
        <is>
          <t>2.7</t>
        </is>
      </c>
      <c r="D401" s="48" t="inlineStr">
        <is>
          <t>Nhom 2 - Logic</t>
        </is>
      </c>
      <c r="E401" s="48" t="inlineStr">
        <is>
          <t>CASE WHEN cover đủ nhánh như job on-prem</t>
        </is>
      </c>
      <c r="F401" s="48" t="inlineStr">
        <is>
          <t>N-A</t>
        </is>
      </c>
      <c r="G401" s="48" t="inlineStr">
        <is>
          <t>Pass</t>
        </is>
      </c>
      <c r="H401" s="50" t="inlineStr">
        <is>
          <t>script không có CASE WHEN nào</t>
        </is>
      </c>
      <c r="I401" s="50" t="inlineStr">
        <is>
          <t>Mở job on-prem tương ứng (DataStage DSX hoặc SQL cũ), đối chiếu từng nhánh WHEN và cả nhánh ELSE. CASE không có ELSE sẽ trả NULL âm thầm — xác nhận đó là ý muốn hay thiếu nhánh.</t>
        </is>
      </c>
      <c r="J401" s="48" t="inlineStr">
        <is>
          <t>025. OCB_GOLD_TCKH_V_P_CP_BDH_UPL_PHAT.xlsx [Script: V_P_CP_BDH_UPL]</t>
        </is>
      </c>
    </row>
    <row r="402">
      <c r="A402" s="48" t="inlineStr">
        <is>
          <t>TCKH.V_P_CP_BDH_UPL</t>
        </is>
      </c>
      <c r="B402" s="48" t="inlineStr">
        <is>
          <t>UPLOAD_VIEW</t>
        </is>
      </c>
      <c r="C402" s="48" t="inlineStr">
        <is>
          <t>2.8</t>
        </is>
      </c>
      <c r="D402" s="48" t="inlineStr">
        <is>
          <t>Nhom 2 - Logic</t>
        </is>
      </c>
      <c r="E402" s="48" t="inlineStr">
        <is>
          <t>Cột SUM/COUNT được COALESCE/NVL hợp lý</t>
        </is>
      </c>
      <c r="F402" s="49" t="inlineStr">
        <is>
          <t>PASS</t>
        </is>
      </c>
      <c r="G402" s="48" t="inlineStr">
        <is>
          <t>Pass</t>
        </is>
      </c>
      <c r="H402" s="50" t="inlineStr">
        <is>
          <t>mọi SUM/COUNT đều đã coalesce (trực tiếp hoặc ở lớp ngoài)</t>
        </is>
      </c>
      <c r="I402"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02" s="48" t="inlineStr">
        <is>
          <t>025. OCB_GOLD_TCKH_V_P_CP_BDH_UPL_PHAT.xlsx [Script: V_P_CP_BDH_UPL]</t>
        </is>
      </c>
    </row>
    <row r="403">
      <c r="A403" s="48" t="inlineStr">
        <is>
          <t>TCKH.V_P_CP_BDH_UPL</t>
        </is>
      </c>
      <c r="B403" s="48" t="inlineStr">
        <is>
          <t>UPLOAD_VIEW</t>
        </is>
      </c>
      <c r="C403" s="48" t="inlineStr">
        <is>
          <t>2.9</t>
        </is>
      </c>
      <c r="D403" s="48" t="inlineStr">
        <is>
          <t>Nhom 2 - Logic</t>
        </is>
      </c>
      <c r="E403" s="48" t="inlineStr">
        <is>
          <t>Subquery / custom function / điều kiện LIKE đúng ý nghĩa nghiệp vụ</t>
        </is>
      </c>
      <c r="F403" s="48" t="inlineStr">
        <is>
          <t>N-A</t>
        </is>
      </c>
      <c r="G403" s="48" t="inlineStr">
        <is>
          <t>Pass</t>
        </is>
      </c>
      <c r="H403" s="50" t="inlineStr">
        <is>
          <t>script không có điều kiện LIKE hay scalar subquery nào</t>
        </is>
      </c>
      <c r="I403" s="50" t="inlineStr">
        <is>
          <t>Đọc lại từng điều kiện LIKE và từng subquery, đối chiếu ý nghĩa nghiệp vụ với on-prem — đúng cú pháp không đủ. Chú ý pattern LIKE có ký tự % ở đầu/cuối và phân biệt chữ hoa/thường.</t>
        </is>
      </c>
      <c r="J403" s="48" t="inlineStr">
        <is>
          <t>025. OCB_GOLD_TCKH_V_P_CP_BDH_UPL_PHAT.xlsx [Script: V_P_CP_BDH_UPL]</t>
        </is>
      </c>
    </row>
    <row r="404">
      <c r="A404" s="48" t="inlineStr">
        <is>
          <t>TCKH.V_P_CP_BDH_UPL</t>
        </is>
      </c>
      <c r="B404" s="48" t="inlineStr">
        <is>
          <t>UPLOAD_VIEW</t>
        </is>
      </c>
      <c r="C404" s="48" t="inlineStr">
        <is>
          <t>2.10</t>
        </is>
      </c>
      <c r="D404" s="48" t="inlineStr">
        <is>
          <t>Nhom 2 - Logic</t>
        </is>
      </c>
      <c r="E404" s="48" t="inlineStr">
        <is>
          <t>Aggregation kèm filter date range chính xác</t>
        </is>
      </c>
      <c r="F404" s="49" t="inlineStr">
        <is>
          <t>PASS</t>
        </is>
      </c>
      <c r="G404" s="48" t="inlineStr">
        <is>
          <t>Pass</t>
        </is>
      </c>
      <c r="H404" s="50" t="inlineStr">
        <is>
          <t>mọi khối tổng hợp đều có điều kiện theo kỳ dữ liệu</t>
        </is>
      </c>
      <c r="I404" s="50" t="inlineStr">
        <is>
          <t>Mỗi khối SUM/COUNT/AVG phải có điều kiện lọc theo kỳ dữ liệu (CDR_DT_ID, DATA_DATE, :DATADT…). Nếu điều kiện nằm ở CTE nguồn thì ghi rõ trong comment để người review không phải truy ngược.</t>
        </is>
      </c>
      <c r="J404" s="48" t="inlineStr">
        <is>
          <t>025. OCB_GOLD_TCKH_V_P_CP_BDH_UPL_PHAT.xlsx [Script: V_P_CP_BDH_UPL]</t>
        </is>
      </c>
    </row>
    <row r="405">
      <c r="A405" s="48" t="inlineStr">
        <is>
          <t>TCKH.V_P_CP_BDH_UPL</t>
        </is>
      </c>
      <c r="B405" s="48" t="inlineStr">
        <is>
          <t>UPLOAD_VIEW</t>
        </is>
      </c>
      <c r="C405" s="48" t="inlineStr">
        <is>
          <t>2.11</t>
        </is>
      </c>
      <c r="D405" s="48" t="inlineStr">
        <is>
          <t>Nhom 2 - Logic</t>
        </is>
      </c>
      <c r="E405" s="48" t="inlineStr">
        <is>
          <t>Join dùng key hợp lý, không lạm dụng UNION ALL + EXISTS/NOT EXISTS</t>
        </is>
      </c>
      <c r="F405" s="49" t="inlineStr">
        <is>
          <t>PASS</t>
        </is>
      </c>
      <c r="G405" s="48" t="inlineStr">
        <is>
          <t>Pass</t>
        </is>
      </c>
      <c r="H405" s="50" t="inlineStr">
        <is>
          <t>join đều theo điều kiện bằng, không lạm dụng UNION ALL + EXISTS</t>
        </is>
      </c>
      <c r="I405" s="50" t="inlineStr">
        <is>
          <t>Ưu tiên LEFT JOIN theo business key hoặc hashkey. Xem lại các chỗ dùng UNION ALL kết hợp EXISTS/NOT EXISTS — thường thay được bằng một LEFT JOIN. Join không có điều kiện bằng (=) dễ tạo tích Descartes.</t>
        </is>
      </c>
      <c r="J405" s="48" t="inlineStr">
        <is>
          <t>025. OCB_GOLD_TCKH_V_P_CP_BDH_UPL_PHAT.xlsx [Script: V_P_CP_BDH_UPL]</t>
        </is>
      </c>
    </row>
    <row r="406">
      <c r="A406" s="48" t="inlineStr">
        <is>
          <t>TCKH.V_P_CP_BDH_UPL</t>
        </is>
      </c>
      <c r="B406" s="48" t="inlineStr">
        <is>
          <t>UPLOAD_VIEW</t>
        </is>
      </c>
      <c r="C406" s="48" t="inlineStr">
        <is>
          <t>2.12</t>
        </is>
      </c>
      <c r="D406" s="48" t="inlineStr">
        <is>
          <t>Nhom 2 - Logic</t>
        </is>
      </c>
      <c r="E406" s="48" t="inlineStr">
        <is>
          <t>Build Gold từ CTE snapshot Silver, không build nhiều tầng chồng chéo</t>
        </is>
      </c>
      <c r="F406" s="48" t="inlineStr">
        <is>
          <t>N-A</t>
        </is>
      </c>
      <c r="G406" s="48" t="inlineStr">
        <is>
          <t>Pass</t>
        </is>
      </c>
      <c r="H406" s="50" t="inlineStr">
        <is>
          <t>khong ap dung cho profile UPLOAD_VIEW</t>
        </is>
      </c>
      <c r="I406"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06" s="48" t="inlineStr">
        <is>
          <t>025. OCB_GOLD_TCKH_V_P_CP_BDH_UPL_PHAT.xlsx [Script: V_P_CP_BDH_UPL]</t>
        </is>
      </c>
    </row>
    <row r="407">
      <c r="A407" s="48" t="inlineStr">
        <is>
          <t>TCKH.V_P_CP_BDH_UPL</t>
        </is>
      </c>
      <c r="B407" s="48" t="inlineStr">
        <is>
          <t>UPLOAD_VIEW</t>
        </is>
      </c>
      <c r="C407" s="48" t="inlineStr">
        <is>
          <t>3.1</t>
        </is>
      </c>
      <c r="D407" s="48" t="inlineStr">
        <is>
          <t>Nhom 3 - Optimization</t>
        </is>
      </c>
      <c r="E407" s="48" t="inlineStr">
        <is>
          <t>Không SELECT *</t>
        </is>
      </c>
      <c r="F407" s="49" t="inlineStr">
        <is>
          <t>PASS</t>
        </is>
      </c>
      <c r="G407" s="48" t="inlineStr">
        <is>
          <t>Pass</t>
        </is>
      </c>
      <c r="H407" s="50" t="inlineStr">
        <is>
          <t>không dùng SELECT * ở đâu</t>
        </is>
      </c>
      <c r="I407" s="50" t="inlineStr">
        <is>
          <t>Liệt kê tường minh các cột cần dùng, kể cả trong CTE trung gian. SELECT * làm tăng IO/memory và vỡ script khi bảng nguồn thêm cột.</t>
        </is>
      </c>
      <c r="J407" s="48" t="inlineStr">
        <is>
          <t>025. OCB_GOLD_TCKH_V_P_CP_BDH_UPL_PHAT.xlsx [Script: V_P_CP_BDH_UPL]</t>
        </is>
      </c>
    </row>
    <row r="408">
      <c r="A408" s="48" t="inlineStr">
        <is>
          <t>TCKH.V_P_CP_BDH_UPL</t>
        </is>
      </c>
      <c r="B408" s="48" t="inlineStr">
        <is>
          <t>UPLOAD_VIEW</t>
        </is>
      </c>
      <c r="C408" s="48" t="inlineStr">
        <is>
          <t>3.2</t>
        </is>
      </c>
      <c r="D408" s="48" t="inlineStr">
        <is>
          <t>Nhom 3 - Optimization</t>
        </is>
      </c>
      <c r="E408" s="48" t="inlineStr">
        <is>
          <t>CTE không bị scan lại nhiều lần</t>
        </is>
      </c>
      <c r="F408" s="49" t="inlineStr">
        <is>
          <t>PASS</t>
        </is>
      </c>
      <c r="G408" s="48" t="inlineStr">
        <is>
          <t>Pass</t>
        </is>
      </c>
      <c r="H408" s="50" t="inlineStr">
        <is>
          <t>không có CTE nào bị gọi lại</t>
        </is>
      </c>
      <c r="I408" s="50" t="inlineStr">
        <is>
          <t>Với CTE nặng (đọc nhiều bảng Silver) bị tham chiếu từ 2 chỗ trở lên: gom lại còn một lần dùng, hoặc vật chất hóa (CACHE / bảng tạm). CTE nhẹ chỉ chứa tham số thì bỏ qua được — tự tick Pass.</t>
        </is>
      </c>
      <c r="J408" s="48" t="inlineStr">
        <is>
          <t>025. OCB_GOLD_TCKH_V_P_CP_BDH_UPL_PHAT.xlsx [Script: V_P_CP_BDH_UPL]</t>
        </is>
      </c>
    </row>
    <row r="409">
      <c r="A409" s="48" t="inlineStr">
        <is>
          <t>TCKH.V_P_CP_BDH_UPL</t>
        </is>
      </c>
      <c r="B409" s="48" t="inlineStr">
        <is>
          <t>UPLOAD_VIEW</t>
        </is>
      </c>
      <c r="C409" s="48" t="inlineStr">
        <is>
          <t>3.3</t>
        </is>
      </c>
      <c r="D409" s="48" t="inlineStr">
        <is>
          <t>Nhom 3 - Optimization</t>
        </is>
      </c>
      <c r="E409" s="48" t="inlineStr">
        <is>
          <t>Filter trước khi join, tận dụng partition pruning</t>
        </is>
      </c>
      <c r="F409" s="48" t="inlineStr">
        <is>
          <t>N-A</t>
        </is>
      </c>
      <c r="G409" s="48" t="inlineStr">
        <is>
          <t>Pass</t>
        </is>
      </c>
      <c r="H409" s="50" t="inlineStr">
        <is>
          <t>khong ap dung cho profile UPLOAD_VIEW</t>
        </is>
      </c>
      <c r="I409" s="50" t="inlineStr">
        <is>
          <t>Đưa điều kiện lọc (ngày dữ liệu, trạng thái) vào subquery của từng bảng TRƯỚC khi join, để tận dụng partition pruning. Bảng dim nhỏ không partition thì không cần — tự tick Pass.</t>
        </is>
      </c>
      <c r="J409" s="48" t="inlineStr">
        <is>
          <t>025. OCB_GOLD_TCKH_V_P_CP_BDH_UPL_PHAT.xlsx [Script: V_P_CP_BDH_UPL]</t>
        </is>
      </c>
    </row>
    <row r="410">
      <c r="A410" s="48" t="inlineStr">
        <is>
          <t>TCKH.V_P_CP_BDH_UPL</t>
        </is>
      </c>
      <c r="B410" s="48" t="inlineStr">
        <is>
          <t>UPLOAD_VIEW</t>
        </is>
      </c>
      <c r="C410" s="48" t="inlineStr">
        <is>
          <t>3.4</t>
        </is>
      </c>
      <c r="D410" s="48" t="inlineStr">
        <is>
          <t>Nhom 3 - Optimization</t>
        </is>
      </c>
      <c r="E410" s="48" t="inlineStr">
        <is>
          <t>Sử dụng CACHE cho query lặp lại trong cùng luồng</t>
        </is>
      </c>
      <c r="F410" s="48" t="inlineStr">
        <is>
          <t>N-A</t>
        </is>
      </c>
      <c r="G410" s="48" t="inlineStr">
        <is>
          <t>Pass</t>
        </is>
      </c>
      <c r="H410" s="50" t="inlineStr">
        <is>
          <t>không có kết quả nào được dùng lại nhiều lần nên chưa cần CACHE</t>
        </is>
      </c>
      <c r="I410" s="50" t="inlineStr">
        <is>
          <t>Nếu một kết quả nặng được dùng lại nhiều bước trong cùng luồng, thêm CACHE TABLE / CACHE SELECT. Kết quả nhỏ thì cache còn chậm hơn — tự tick Pass.</t>
        </is>
      </c>
      <c r="J410" s="48" t="inlineStr">
        <is>
          <t>025. OCB_GOLD_TCKH_V_P_CP_BDH_UPL_PHAT.xlsx [Script: V_P_CP_BDH_UPL]</t>
        </is>
      </c>
    </row>
    <row r="411">
      <c r="A411" s="48" t="inlineStr">
        <is>
          <t>TCKH.V_P_CP_BDH_UPL</t>
        </is>
      </c>
      <c r="B411" s="48" t="inlineStr">
        <is>
          <t>UPLOAD_VIEW</t>
        </is>
      </c>
      <c r="C411" s="48" t="inlineStr">
        <is>
          <t>3.5</t>
        </is>
      </c>
      <c r="D411" s="48" t="inlineStr">
        <is>
          <t>Nhom 3 - Optimization</t>
        </is>
      </c>
      <c r="E411" s="48" t="inlineStr">
        <is>
          <t>Ưu tiên MAX_BY + QUALIFY thay ROW_NUMBER() + WHERE rn = 1</t>
        </is>
      </c>
      <c r="F411" s="48" t="inlineStr">
        <is>
          <t>N-A</t>
        </is>
      </c>
      <c r="G411" s="48" t="inlineStr">
        <is>
          <t>Pass</t>
        </is>
      </c>
      <c r="H411" s="50" t="inlineStr">
        <is>
          <t>script không dùng ROW_NUMBER</t>
        </is>
      </c>
      <c r="I411"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11" s="48" t="inlineStr">
        <is>
          <t>025. OCB_GOLD_TCKH_V_P_CP_BDH_UPL_PHAT.xlsx [Script: V_P_CP_BDH_UPL]</t>
        </is>
      </c>
    </row>
    <row r="412">
      <c r="A412" s="48" t="inlineStr">
        <is>
          <t>TCKH.V_P_CP_BDH_UPL</t>
        </is>
      </c>
      <c r="B412" s="48" t="inlineStr">
        <is>
          <t>UPLOAD_VIEW</t>
        </is>
      </c>
      <c r="C412" s="48" t="inlineStr">
        <is>
          <t>3.6</t>
        </is>
      </c>
      <c r="D412" s="48" t="inlineStr">
        <is>
          <t>Nhom 3 - Optimization</t>
        </is>
      </c>
      <c r="E412" s="48" t="inlineStr">
        <is>
          <t>Không lạm dụng window function; có comment khi dùng</t>
        </is>
      </c>
      <c r="F412" s="48" t="inlineStr">
        <is>
          <t>N-A</t>
        </is>
      </c>
      <c r="G412" s="48" t="inlineStr">
        <is>
          <t>Pass</t>
        </is>
      </c>
      <c r="H412" s="50" t="inlineStr">
        <is>
          <t>script không dùng window function</t>
        </is>
      </c>
      <c r="I412" s="50" t="inlineStr">
        <is>
          <t>Mỗi window function cần một comment ngay trên khối CTE chứa nó, nói rõ vì sao không dùng được max_by/QUALIFY đơn giản hơn.</t>
        </is>
      </c>
      <c r="J412" s="48" t="inlineStr">
        <is>
          <t>025. OCB_GOLD_TCKH_V_P_CP_BDH_UPL_PHAT.xlsx [Script: V_P_CP_BDH_UPL]</t>
        </is>
      </c>
    </row>
    <row r="413">
      <c r="A413" s="48" t="inlineStr">
        <is>
          <t>TCKH.V_P_CP_BDH_UPL</t>
        </is>
      </c>
      <c r="B413" s="48" t="inlineStr">
        <is>
          <t>UPLOAD_VIEW</t>
        </is>
      </c>
      <c r="C413" s="48" t="inlineStr">
        <is>
          <t>X.1</t>
        </is>
      </c>
      <c r="D413" s="48" t="inlineStr">
        <is>
          <t>Nhom X - Bo sung Raffles</t>
        </is>
      </c>
      <c r="E413" s="48" t="inlineStr">
        <is>
          <t>[Bổ sung] Link phải rút về current trước khi join (chống fan-out)</t>
        </is>
      </c>
      <c r="F413" s="48" t="inlineStr">
        <is>
          <t>N-A</t>
        </is>
      </c>
      <c r="G413" s="48" t="inlineStr">
        <is>
          <t>Pass</t>
        </is>
      </c>
      <c r="H413" s="50" t="inlineStr">
        <is>
          <t>khong ap dung cho profile UPLOAD_VIEW</t>
        </is>
      </c>
      <c r="I413"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13" s="48" t="inlineStr">
        <is>
          <t>025. OCB_GOLD_TCKH_V_P_CP_BDH_UPL_PHAT.xlsx [Script: V_P_CP_BDH_UPL]</t>
        </is>
      </c>
    </row>
    <row r="414">
      <c r="A414" s="48" t="inlineStr">
        <is>
          <t>TCKH.V_P_CP_BDH_UPL</t>
        </is>
      </c>
      <c r="B414" s="48" t="inlineStr">
        <is>
          <t>UPLOAD_VIEW</t>
        </is>
      </c>
      <c r="C414" s="48" t="inlineStr">
        <is>
          <t>X.6</t>
        </is>
      </c>
      <c r="D414" s="48" t="inlineStr">
        <is>
          <t>Nhom X - Bo sung Raffles</t>
        </is>
      </c>
      <c r="E414" s="48" t="inlineStr">
        <is>
          <t>[Bổ sung] Satellite phải LEFT JOIN, không INNER JOIN</t>
        </is>
      </c>
      <c r="F414" s="48" t="inlineStr">
        <is>
          <t>N-A</t>
        </is>
      </c>
      <c r="G414" s="48" t="inlineStr">
        <is>
          <t>Pass</t>
        </is>
      </c>
      <c r="H414" s="50" t="inlineStr">
        <is>
          <t>khong ap dung cho profile UPLOAD_VIEW</t>
        </is>
      </c>
      <c r="I414" s="50" t="inlineStr">
        <is>
          <t>Technical Document III.4.2.2 nguyên tắc 1: làm giàu thuộc tính luôn dùng LEFT JOIN. INNER JOIN satellite sẽ loại mất bản ghi Hub đang còn hiệu lực nhưng chưa có dòng satellite.</t>
        </is>
      </c>
      <c r="J414" s="48" t="inlineStr">
        <is>
          <t>025. OCB_GOLD_TCKH_V_P_CP_BDH_UPL_PHAT.xlsx [Script: V_P_CP_BDH_UPL]</t>
        </is>
      </c>
    </row>
    <row r="415">
      <c r="A415" s="48" t="inlineStr">
        <is>
          <t>TCKH.V_P_CP_BDH_UPL</t>
        </is>
      </c>
      <c r="B415" s="48" t="inlineStr">
        <is>
          <t>UPLOAD_VIEW</t>
        </is>
      </c>
      <c r="C415" s="48" t="inlineStr">
        <is>
          <t>X.7</t>
        </is>
      </c>
      <c r="D415" s="48" t="inlineStr">
        <is>
          <t>Nhom X - Bo sung Raffles</t>
        </is>
      </c>
      <c r="E415" s="48" t="inlineStr">
        <is>
          <t>[Bổ sung] Không hard-code catalog, dùng biến môi trường</t>
        </is>
      </c>
      <c r="F415" s="48" t="inlineStr">
        <is>
          <t>N-A</t>
        </is>
      </c>
      <c r="G415" s="48" t="inlineStr">
        <is>
          <t>Pass</t>
        </is>
      </c>
      <c r="H415" s="50" t="inlineStr">
        <is>
          <t>khong ap dung cho profile UPLOAD_VIEW</t>
        </is>
      </c>
      <c r="I415"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15" s="48" t="inlineStr">
        <is>
          <t>025. OCB_GOLD_TCKH_V_P_CP_BDH_UPL_PHAT.xlsx [Script: V_P_CP_BDH_UPL]</t>
        </is>
      </c>
    </row>
    <row r="416">
      <c r="A416" s="48" t="inlineStr">
        <is>
          <t>TCKH.V_P_REGION_CPHD_UPL</t>
        </is>
      </c>
      <c r="B416" s="48" t="inlineStr">
        <is>
          <t>UPLOAD_VIEW</t>
        </is>
      </c>
      <c r="C416" s="48" t="inlineStr">
        <is>
          <t>1.1</t>
        </is>
      </c>
      <c r="D416" s="48" t="inlineStr">
        <is>
          <t>Nhom 1 - Mapping</t>
        </is>
      </c>
      <c r="E416" s="48" t="inlineStr">
        <is>
          <t>Đầy đủ mapping từ Silver/manual sang Gold</t>
        </is>
      </c>
      <c r="F416" s="49" t="inlineStr">
        <is>
          <t>PASS</t>
        </is>
      </c>
      <c r="G416" s="48" t="inlineStr">
        <is>
          <t>Pass</t>
        </is>
      </c>
      <c r="H416" s="50" t="inlineStr">
        <is>
          <t>workbook 026. OCB_GOLD_TCKH_V_P_REGION_CPHD_UPL_PHAT.xlsx: thiết kế 7 field, SQL có 7 cột</t>
        </is>
      </c>
      <c r="I416"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16" s="48" t="inlineStr">
        <is>
          <t>026. OCB_GOLD_TCKH_V_P_REGION_CPHD_UPL_PHAT.xlsx [Script: V_P_REGION_CPHD_UPL]</t>
        </is>
      </c>
    </row>
    <row r="417">
      <c r="A417" s="48" t="inlineStr">
        <is>
          <t>TCKH.V_P_REGION_CPHD_UPL</t>
        </is>
      </c>
      <c r="B417" s="48" t="inlineStr">
        <is>
          <t>UPLOAD_VIEW</t>
        </is>
      </c>
      <c r="C417" s="48" t="inlineStr">
        <is>
          <t>1.2</t>
        </is>
      </c>
      <c r="D417" s="48" t="inlineStr">
        <is>
          <t>Nhom 1 - Mapping</t>
        </is>
      </c>
      <c r="E417" s="48" t="inlineStr">
        <is>
          <t>Danh sách bảng/view Gold khớp tài liệu thiết kế đã duyệt</t>
        </is>
      </c>
      <c r="F417" s="49" t="inlineStr">
        <is>
          <t>PASS</t>
        </is>
      </c>
      <c r="G417" s="48" t="inlineStr">
        <is>
          <t>Pass</t>
        </is>
      </c>
      <c r="H417" s="50" t="inlineStr">
        <is>
          <t>V_P_REGION_CPHD_UPL có workbook thiết kế: 026. OCB_GOLD_TCKH_V_P_REGION_CPHD_UPL_PHAT.xlsx</t>
        </is>
      </c>
      <c r="I417" s="50" t="inlineStr">
        <is>
          <t>Đảm bảo object có workbook thiết kế tương ứng trong thư mục --mapping-dir. Muốn đối chiếu với danh sách đã duyệt thì chạy thêm tham số --gold-list "&lt;file danh sách Gold&gt;.xlsx".</t>
        </is>
      </c>
      <c r="J417" s="48" t="inlineStr">
        <is>
          <t>026. OCB_GOLD_TCKH_V_P_REGION_CPHD_UPL_PHAT.xlsx [Script: V_P_REGION_CPHD_UPL]</t>
        </is>
      </c>
    </row>
    <row r="418">
      <c r="A418" s="48" t="inlineStr">
        <is>
          <t>TCKH.V_P_REGION_CPHD_UPL</t>
        </is>
      </c>
      <c r="B418" s="48" t="inlineStr">
        <is>
          <t>UPLOAD_VIEW</t>
        </is>
      </c>
      <c r="C418" s="48" t="inlineStr">
        <is>
          <t>2.1</t>
        </is>
      </c>
      <c r="D418" s="48" t="inlineStr">
        <is>
          <t>Nhom 2 - Logic</t>
        </is>
      </c>
      <c r="E418" s="48" t="inlineStr">
        <is>
          <t>Chỉ lấy bản ghi active, loại bản ghi đã xóa (qua sts_hub)</t>
        </is>
      </c>
      <c r="F418" s="48" t="inlineStr">
        <is>
          <t>N-A</t>
        </is>
      </c>
      <c r="G418" s="48" t="inlineStr">
        <is>
          <t>Pass</t>
        </is>
      </c>
      <c r="H418" s="50" t="inlineStr">
        <is>
          <t>khong ap dung cho profile UPLOAD_VIEW</t>
        </is>
      </c>
      <c r="I418"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18" s="48" t="inlineStr">
        <is>
          <t>026. OCB_GOLD_TCKH_V_P_REGION_CPHD_UPL_PHAT.xlsx [Script: V_P_REGION_CPHD_UPL]</t>
        </is>
      </c>
    </row>
    <row r="419">
      <c r="A419" s="48" t="inlineStr">
        <is>
          <t>TCKH.V_P_REGION_CPHD_UPL</t>
        </is>
      </c>
      <c r="B419" s="48" t="inlineStr">
        <is>
          <t>UPLOAD_VIEW</t>
        </is>
      </c>
      <c r="C419" s="48" t="inlineStr">
        <is>
          <t>2.2</t>
        </is>
      </c>
      <c r="D419" s="48" t="inlineStr">
        <is>
          <t>Nhom 2 - Logic</t>
        </is>
      </c>
      <c r="E419" s="48" t="inlineStr">
        <is>
          <t>Thống nhất MỘT pattern duy nhất xác định bản ghi active mới nhất</t>
        </is>
      </c>
      <c r="F419" s="48" t="inlineStr">
        <is>
          <t>N-A</t>
        </is>
      </c>
      <c r="G419" s="48" t="inlineStr">
        <is>
          <t>Pass</t>
        </is>
      </c>
      <c r="H419" s="50" t="inlineStr">
        <is>
          <t>khong ap dung cho profile UPLOAD_VIEW</t>
        </is>
      </c>
      <c r="I419"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19" s="48" t="inlineStr">
        <is>
          <t>026. OCB_GOLD_TCKH_V_P_REGION_CPHD_UPL_PHAT.xlsx [Script: V_P_REGION_CPHD_UPL]</t>
        </is>
      </c>
    </row>
    <row r="420">
      <c r="A420" s="48" t="inlineStr">
        <is>
          <t>TCKH.V_P_REGION_CPHD_UPL</t>
        </is>
      </c>
      <c r="B420" s="48" t="inlineStr">
        <is>
          <t>UPLOAD_VIEW</t>
        </is>
      </c>
      <c r="C420" s="48" t="inlineStr">
        <is>
          <t>2.3</t>
        </is>
      </c>
      <c r="D420" s="48" t="inlineStr">
        <is>
          <t>Nhom 2 - Logic</t>
        </is>
      </c>
      <c r="E420" s="48" t="inlineStr">
        <is>
          <t>Điều kiện lọc trạng thái đặt SAU khi xác định bản ghi mới nhất</t>
        </is>
      </c>
      <c r="F420" s="48" t="inlineStr">
        <is>
          <t>N-A</t>
        </is>
      </c>
      <c r="G420" s="48" t="inlineStr">
        <is>
          <t>Pass</t>
        </is>
      </c>
      <c r="H420" s="50" t="inlineStr">
        <is>
          <t>khong ap dung cho profile UPLOAD_VIEW</t>
        </is>
      </c>
      <c r="I420"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20" s="48" t="inlineStr">
        <is>
          <t>026. OCB_GOLD_TCKH_V_P_REGION_CPHD_UPL_PHAT.xlsx [Script: V_P_REGION_CPHD_UPL]</t>
        </is>
      </c>
    </row>
    <row r="421">
      <c r="A421" s="48" t="inlineStr">
        <is>
          <t>TCKH.V_P_REGION_CPHD_UPL</t>
        </is>
      </c>
      <c r="B421" s="48" t="inlineStr">
        <is>
          <t>UPLOAD_VIEW</t>
        </is>
      </c>
      <c r="C421" s="48" t="inlineStr">
        <is>
          <t>2.4</t>
        </is>
      </c>
      <c r="D421" s="48" t="inlineStr">
        <is>
          <t>Nhom 2 - Logic</t>
        </is>
      </c>
      <c r="E421" s="48" t="inlineStr">
        <is>
          <t>source_event_date áp dụng đúng dạng theo loại bảng</t>
        </is>
      </c>
      <c r="F421" s="48" t="inlineStr">
        <is>
          <t>N-A</t>
        </is>
      </c>
      <c r="G421" s="48" t="inlineStr">
        <is>
          <t>Pass</t>
        </is>
      </c>
      <c r="H421" s="50" t="inlineStr">
        <is>
          <t>khong ap dung cho profile UPLOAD_VIEW</t>
        </is>
      </c>
      <c r="I421"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21" s="48" t="inlineStr">
        <is>
          <t>026. OCB_GOLD_TCKH_V_P_REGION_CPHD_UPL_PHAT.xlsx [Script: V_P_REGION_CPHD_UPL]</t>
        </is>
      </c>
    </row>
    <row r="422">
      <c r="A422" s="48" t="inlineStr">
        <is>
          <t>TCKH.V_P_REGION_CPHD_UPL</t>
        </is>
      </c>
      <c r="B422" s="48" t="inlineStr">
        <is>
          <t>UPLOAD_VIEW</t>
        </is>
      </c>
      <c r="C422" s="48" t="inlineStr">
        <is>
          <t>2.5</t>
        </is>
      </c>
      <c r="D422" s="48" t="inlineStr">
        <is>
          <t>Nhom 2 - Logic</t>
        </is>
      </c>
      <c r="E422" s="48" t="inlineStr">
        <is>
          <t>Không lặp lại lỗi logic cũ đã được DA Data Vault fix</t>
        </is>
      </c>
      <c r="F422" s="49" t="inlineStr">
        <is>
          <t>PASS</t>
        </is>
      </c>
      <c r="G422" s="48" t="inlineStr">
        <is>
          <t>Pass</t>
        </is>
      </c>
      <c r="H422" s="50" t="inlineStr">
        <is>
          <t>không trùng lỗi nào trong Issue log của DA Data Vault</t>
        </is>
      </c>
      <c r="I422"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22" s="48" t="inlineStr">
        <is>
          <t>026. OCB_GOLD_TCKH_V_P_REGION_CPHD_UPL_PHAT.xlsx [Script: V_P_REGION_CPHD_UPL]</t>
        </is>
      </c>
    </row>
    <row r="423">
      <c r="A423" s="48" t="inlineStr">
        <is>
          <t>TCKH.V_P_REGION_CPHD_UPL</t>
        </is>
      </c>
      <c r="B423" s="48" t="inlineStr">
        <is>
          <t>UPLOAD_VIEW</t>
        </is>
      </c>
      <c r="C423" s="48" t="inlineStr">
        <is>
          <t>2.6</t>
        </is>
      </c>
      <c r="D423" s="48" t="inlineStr">
        <is>
          <t>Nhom 2 - Logic</t>
        </is>
      </c>
      <c r="E423" s="48" t="inlineStr">
        <is>
          <t>SCD Type 2 cho bảng DIM áp dụng đúng kỹ thuật đã thống nhất</t>
        </is>
      </c>
      <c r="F423" s="48" t="inlineStr">
        <is>
          <t>N-A</t>
        </is>
      </c>
      <c r="G423" s="48" t="inlineStr">
        <is>
          <t>Pass</t>
        </is>
      </c>
      <c r="H423" s="50" t="inlineStr">
        <is>
          <t>object không phải bảng DIM nên không áp dụng SCD Type 2</t>
        </is>
      </c>
      <c r="I423"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23" s="48" t="inlineStr">
        <is>
          <t>026. OCB_GOLD_TCKH_V_P_REGION_CPHD_UPL_PHAT.xlsx [Script: V_P_REGION_CPHD_UPL]</t>
        </is>
      </c>
    </row>
    <row r="424">
      <c r="A424" s="48" t="inlineStr">
        <is>
          <t>TCKH.V_P_REGION_CPHD_UPL</t>
        </is>
      </c>
      <c r="B424" s="48" t="inlineStr">
        <is>
          <t>UPLOAD_VIEW</t>
        </is>
      </c>
      <c r="C424" s="48" t="inlineStr">
        <is>
          <t>2.7</t>
        </is>
      </c>
      <c r="D424" s="48" t="inlineStr">
        <is>
          <t>Nhom 2 - Logic</t>
        </is>
      </c>
      <c r="E424" s="48" t="inlineStr">
        <is>
          <t>CASE WHEN cover đủ nhánh như job on-prem</t>
        </is>
      </c>
      <c r="F424" s="48" t="inlineStr">
        <is>
          <t>N-A</t>
        </is>
      </c>
      <c r="G424" s="48" t="inlineStr">
        <is>
          <t>Pass</t>
        </is>
      </c>
      <c r="H424" s="50" t="inlineStr">
        <is>
          <t>script không có CASE WHEN nào</t>
        </is>
      </c>
      <c r="I424" s="50" t="inlineStr">
        <is>
          <t>Mở job on-prem tương ứng (DataStage DSX hoặc SQL cũ), đối chiếu từng nhánh WHEN và cả nhánh ELSE. CASE không có ELSE sẽ trả NULL âm thầm — xác nhận đó là ý muốn hay thiếu nhánh.</t>
        </is>
      </c>
      <c r="J424" s="48" t="inlineStr">
        <is>
          <t>026. OCB_GOLD_TCKH_V_P_REGION_CPHD_UPL_PHAT.xlsx [Script: V_P_REGION_CPHD_UPL]</t>
        </is>
      </c>
    </row>
    <row r="425">
      <c r="A425" s="48" t="inlineStr">
        <is>
          <t>TCKH.V_P_REGION_CPHD_UPL</t>
        </is>
      </c>
      <c r="B425" s="48" t="inlineStr">
        <is>
          <t>UPLOAD_VIEW</t>
        </is>
      </c>
      <c r="C425" s="48" t="inlineStr">
        <is>
          <t>2.8</t>
        </is>
      </c>
      <c r="D425" s="48" t="inlineStr">
        <is>
          <t>Nhom 2 - Logic</t>
        </is>
      </c>
      <c r="E425" s="48" t="inlineStr">
        <is>
          <t>Cột SUM/COUNT được COALESCE/NVL hợp lý</t>
        </is>
      </c>
      <c r="F425" s="49" t="inlineStr">
        <is>
          <t>PASS</t>
        </is>
      </c>
      <c r="G425" s="48" t="inlineStr">
        <is>
          <t>Pass</t>
        </is>
      </c>
      <c r="H425" s="50" t="inlineStr">
        <is>
          <t>mọi SUM/COUNT đều đã coalesce (trực tiếp hoặc ở lớp ngoài)</t>
        </is>
      </c>
      <c r="I425"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25" s="48" t="inlineStr">
        <is>
          <t>026. OCB_GOLD_TCKH_V_P_REGION_CPHD_UPL_PHAT.xlsx [Script: V_P_REGION_CPHD_UPL]</t>
        </is>
      </c>
    </row>
    <row r="426">
      <c r="A426" s="48" t="inlineStr">
        <is>
          <t>TCKH.V_P_REGION_CPHD_UPL</t>
        </is>
      </c>
      <c r="B426" s="48" t="inlineStr">
        <is>
          <t>UPLOAD_VIEW</t>
        </is>
      </c>
      <c r="C426" s="48" t="inlineStr">
        <is>
          <t>2.9</t>
        </is>
      </c>
      <c r="D426" s="48" t="inlineStr">
        <is>
          <t>Nhom 2 - Logic</t>
        </is>
      </c>
      <c r="E426" s="48" t="inlineStr">
        <is>
          <t>Subquery / custom function / điều kiện LIKE đúng ý nghĩa nghiệp vụ</t>
        </is>
      </c>
      <c r="F426" s="48" t="inlineStr">
        <is>
          <t>N-A</t>
        </is>
      </c>
      <c r="G426" s="48" t="inlineStr">
        <is>
          <t>Pass</t>
        </is>
      </c>
      <c r="H426" s="50" t="inlineStr">
        <is>
          <t>script không có điều kiện LIKE hay scalar subquery nào</t>
        </is>
      </c>
      <c r="I426" s="50" t="inlineStr">
        <is>
          <t>Đọc lại từng điều kiện LIKE và từng subquery, đối chiếu ý nghĩa nghiệp vụ với on-prem — đúng cú pháp không đủ. Chú ý pattern LIKE có ký tự % ở đầu/cuối và phân biệt chữ hoa/thường.</t>
        </is>
      </c>
      <c r="J426" s="48" t="inlineStr">
        <is>
          <t>026. OCB_GOLD_TCKH_V_P_REGION_CPHD_UPL_PHAT.xlsx [Script: V_P_REGION_CPHD_UPL]</t>
        </is>
      </c>
    </row>
    <row r="427">
      <c r="A427" s="48" t="inlineStr">
        <is>
          <t>TCKH.V_P_REGION_CPHD_UPL</t>
        </is>
      </c>
      <c r="B427" s="48" t="inlineStr">
        <is>
          <t>UPLOAD_VIEW</t>
        </is>
      </c>
      <c r="C427" s="48" t="inlineStr">
        <is>
          <t>2.10</t>
        </is>
      </c>
      <c r="D427" s="48" t="inlineStr">
        <is>
          <t>Nhom 2 - Logic</t>
        </is>
      </c>
      <c r="E427" s="48" t="inlineStr">
        <is>
          <t>Aggregation kèm filter date range chính xác</t>
        </is>
      </c>
      <c r="F427" s="49" t="inlineStr">
        <is>
          <t>PASS</t>
        </is>
      </c>
      <c r="G427" s="48" t="inlineStr">
        <is>
          <t>Pass</t>
        </is>
      </c>
      <c r="H427" s="50" t="inlineStr">
        <is>
          <t>mọi khối tổng hợp đều có điều kiện theo kỳ dữ liệu</t>
        </is>
      </c>
      <c r="I427" s="50" t="inlineStr">
        <is>
          <t>Mỗi khối SUM/COUNT/AVG phải có điều kiện lọc theo kỳ dữ liệu (CDR_DT_ID, DATA_DATE, :DATADT…). Nếu điều kiện nằm ở CTE nguồn thì ghi rõ trong comment để người review không phải truy ngược.</t>
        </is>
      </c>
      <c r="J427" s="48" t="inlineStr">
        <is>
          <t>026. OCB_GOLD_TCKH_V_P_REGION_CPHD_UPL_PHAT.xlsx [Script: V_P_REGION_CPHD_UPL]</t>
        </is>
      </c>
    </row>
    <row r="428">
      <c r="A428" s="48" t="inlineStr">
        <is>
          <t>TCKH.V_P_REGION_CPHD_UPL</t>
        </is>
      </c>
      <c r="B428" s="48" t="inlineStr">
        <is>
          <t>UPLOAD_VIEW</t>
        </is>
      </c>
      <c r="C428" s="48" t="inlineStr">
        <is>
          <t>2.11</t>
        </is>
      </c>
      <c r="D428" s="48" t="inlineStr">
        <is>
          <t>Nhom 2 - Logic</t>
        </is>
      </c>
      <c r="E428" s="48" t="inlineStr">
        <is>
          <t>Join dùng key hợp lý, không lạm dụng UNION ALL + EXISTS/NOT EXISTS</t>
        </is>
      </c>
      <c r="F428" s="49" t="inlineStr">
        <is>
          <t>PASS</t>
        </is>
      </c>
      <c r="G428" s="48" t="inlineStr">
        <is>
          <t>Pass</t>
        </is>
      </c>
      <c r="H428" s="50" t="inlineStr">
        <is>
          <t>join đều theo điều kiện bằng, không lạm dụng UNION ALL + EXISTS</t>
        </is>
      </c>
      <c r="I428" s="50" t="inlineStr">
        <is>
          <t>Ưu tiên LEFT JOIN theo business key hoặc hashkey. Xem lại các chỗ dùng UNION ALL kết hợp EXISTS/NOT EXISTS — thường thay được bằng một LEFT JOIN. Join không có điều kiện bằng (=) dễ tạo tích Descartes.</t>
        </is>
      </c>
      <c r="J428" s="48" t="inlineStr">
        <is>
          <t>026. OCB_GOLD_TCKH_V_P_REGION_CPHD_UPL_PHAT.xlsx [Script: V_P_REGION_CPHD_UPL]</t>
        </is>
      </c>
    </row>
    <row r="429">
      <c r="A429" s="48" t="inlineStr">
        <is>
          <t>TCKH.V_P_REGION_CPHD_UPL</t>
        </is>
      </c>
      <c r="B429" s="48" t="inlineStr">
        <is>
          <t>UPLOAD_VIEW</t>
        </is>
      </c>
      <c r="C429" s="48" t="inlineStr">
        <is>
          <t>2.12</t>
        </is>
      </c>
      <c r="D429" s="48" t="inlineStr">
        <is>
          <t>Nhom 2 - Logic</t>
        </is>
      </c>
      <c r="E429" s="48" t="inlineStr">
        <is>
          <t>Build Gold từ CTE snapshot Silver, không build nhiều tầng chồng chéo</t>
        </is>
      </c>
      <c r="F429" s="48" t="inlineStr">
        <is>
          <t>N-A</t>
        </is>
      </c>
      <c r="G429" s="48" t="inlineStr">
        <is>
          <t>Pass</t>
        </is>
      </c>
      <c r="H429" s="50" t="inlineStr">
        <is>
          <t>khong ap dung cho profile UPLOAD_VIEW</t>
        </is>
      </c>
      <c r="I429"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29" s="48" t="inlineStr">
        <is>
          <t>026. OCB_GOLD_TCKH_V_P_REGION_CPHD_UPL_PHAT.xlsx [Script: V_P_REGION_CPHD_UPL]</t>
        </is>
      </c>
    </row>
    <row r="430">
      <c r="A430" s="48" t="inlineStr">
        <is>
          <t>TCKH.V_P_REGION_CPHD_UPL</t>
        </is>
      </c>
      <c r="B430" s="48" t="inlineStr">
        <is>
          <t>UPLOAD_VIEW</t>
        </is>
      </c>
      <c r="C430" s="48" t="inlineStr">
        <is>
          <t>3.1</t>
        </is>
      </c>
      <c r="D430" s="48" t="inlineStr">
        <is>
          <t>Nhom 3 - Optimization</t>
        </is>
      </c>
      <c r="E430" s="48" t="inlineStr">
        <is>
          <t>Không SELECT *</t>
        </is>
      </c>
      <c r="F430" s="49" t="inlineStr">
        <is>
          <t>PASS</t>
        </is>
      </c>
      <c r="G430" s="48" t="inlineStr">
        <is>
          <t>Pass</t>
        </is>
      </c>
      <c r="H430" s="50" t="inlineStr">
        <is>
          <t>không dùng SELECT * ở đâu</t>
        </is>
      </c>
      <c r="I430" s="50" t="inlineStr">
        <is>
          <t>Liệt kê tường minh các cột cần dùng, kể cả trong CTE trung gian. SELECT * làm tăng IO/memory và vỡ script khi bảng nguồn thêm cột.</t>
        </is>
      </c>
      <c r="J430" s="48" t="inlineStr">
        <is>
          <t>026. OCB_GOLD_TCKH_V_P_REGION_CPHD_UPL_PHAT.xlsx [Script: V_P_REGION_CPHD_UPL]</t>
        </is>
      </c>
    </row>
    <row r="431">
      <c r="A431" s="48" t="inlineStr">
        <is>
          <t>TCKH.V_P_REGION_CPHD_UPL</t>
        </is>
      </c>
      <c r="B431" s="48" t="inlineStr">
        <is>
          <t>UPLOAD_VIEW</t>
        </is>
      </c>
      <c r="C431" s="48" t="inlineStr">
        <is>
          <t>3.2</t>
        </is>
      </c>
      <c r="D431" s="48" t="inlineStr">
        <is>
          <t>Nhom 3 - Optimization</t>
        </is>
      </c>
      <c r="E431" s="48" t="inlineStr">
        <is>
          <t>CTE không bị scan lại nhiều lần</t>
        </is>
      </c>
      <c r="F431" s="49" t="inlineStr">
        <is>
          <t>PASS</t>
        </is>
      </c>
      <c r="G431" s="48" t="inlineStr">
        <is>
          <t>Pass</t>
        </is>
      </c>
      <c r="H431" s="50" t="inlineStr">
        <is>
          <t>không có CTE nào bị gọi lại</t>
        </is>
      </c>
      <c r="I431" s="50" t="inlineStr">
        <is>
          <t>Với CTE nặng (đọc nhiều bảng Silver) bị tham chiếu từ 2 chỗ trở lên: gom lại còn một lần dùng, hoặc vật chất hóa (CACHE / bảng tạm). CTE nhẹ chỉ chứa tham số thì bỏ qua được — tự tick Pass.</t>
        </is>
      </c>
      <c r="J431" s="48" t="inlineStr">
        <is>
          <t>026. OCB_GOLD_TCKH_V_P_REGION_CPHD_UPL_PHAT.xlsx [Script: V_P_REGION_CPHD_UPL]</t>
        </is>
      </c>
    </row>
    <row r="432">
      <c r="A432" s="48" t="inlineStr">
        <is>
          <t>TCKH.V_P_REGION_CPHD_UPL</t>
        </is>
      </c>
      <c r="B432" s="48" t="inlineStr">
        <is>
          <t>UPLOAD_VIEW</t>
        </is>
      </c>
      <c r="C432" s="48" t="inlineStr">
        <is>
          <t>3.3</t>
        </is>
      </c>
      <c r="D432" s="48" t="inlineStr">
        <is>
          <t>Nhom 3 - Optimization</t>
        </is>
      </c>
      <c r="E432" s="48" t="inlineStr">
        <is>
          <t>Filter trước khi join, tận dụng partition pruning</t>
        </is>
      </c>
      <c r="F432" s="48" t="inlineStr">
        <is>
          <t>N-A</t>
        </is>
      </c>
      <c r="G432" s="48" t="inlineStr">
        <is>
          <t>Pass</t>
        </is>
      </c>
      <c r="H432" s="50" t="inlineStr">
        <is>
          <t>khong ap dung cho profile UPLOAD_VIEW</t>
        </is>
      </c>
      <c r="I432" s="50" t="inlineStr">
        <is>
          <t>Đưa điều kiện lọc (ngày dữ liệu, trạng thái) vào subquery của từng bảng TRƯỚC khi join, để tận dụng partition pruning. Bảng dim nhỏ không partition thì không cần — tự tick Pass.</t>
        </is>
      </c>
      <c r="J432" s="48" t="inlineStr">
        <is>
          <t>026. OCB_GOLD_TCKH_V_P_REGION_CPHD_UPL_PHAT.xlsx [Script: V_P_REGION_CPHD_UPL]</t>
        </is>
      </c>
    </row>
    <row r="433">
      <c r="A433" s="48" t="inlineStr">
        <is>
          <t>TCKH.V_P_REGION_CPHD_UPL</t>
        </is>
      </c>
      <c r="B433" s="48" t="inlineStr">
        <is>
          <t>UPLOAD_VIEW</t>
        </is>
      </c>
      <c r="C433" s="48" t="inlineStr">
        <is>
          <t>3.4</t>
        </is>
      </c>
      <c r="D433" s="48" t="inlineStr">
        <is>
          <t>Nhom 3 - Optimization</t>
        </is>
      </c>
      <c r="E433" s="48" t="inlineStr">
        <is>
          <t>Sử dụng CACHE cho query lặp lại trong cùng luồng</t>
        </is>
      </c>
      <c r="F433" s="48" t="inlineStr">
        <is>
          <t>N-A</t>
        </is>
      </c>
      <c r="G433" s="48" t="inlineStr">
        <is>
          <t>Pass</t>
        </is>
      </c>
      <c r="H433" s="50" t="inlineStr">
        <is>
          <t>không có kết quả nào được dùng lại nhiều lần nên chưa cần CACHE</t>
        </is>
      </c>
      <c r="I433" s="50" t="inlineStr">
        <is>
          <t>Nếu một kết quả nặng được dùng lại nhiều bước trong cùng luồng, thêm CACHE TABLE / CACHE SELECT. Kết quả nhỏ thì cache còn chậm hơn — tự tick Pass.</t>
        </is>
      </c>
      <c r="J433" s="48" t="inlineStr">
        <is>
          <t>026. OCB_GOLD_TCKH_V_P_REGION_CPHD_UPL_PHAT.xlsx [Script: V_P_REGION_CPHD_UPL]</t>
        </is>
      </c>
    </row>
    <row r="434">
      <c r="A434" s="48" t="inlineStr">
        <is>
          <t>TCKH.V_P_REGION_CPHD_UPL</t>
        </is>
      </c>
      <c r="B434" s="48" t="inlineStr">
        <is>
          <t>UPLOAD_VIEW</t>
        </is>
      </c>
      <c r="C434" s="48" t="inlineStr">
        <is>
          <t>3.5</t>
        </is>
      </c>
      <c r="D434" s="48" t="inlineStr">
        <is>
          <t>Nhom 3 - Optimization</t>
        </is>
      </c>
      <c r="E434" s="48" t="inlineStr">
        <is>
          <t>Ưu tiên MAX_BY + QUALIFY thay ROW_NUMBER() + WHERE rn = 1</t>
        </is>
      </c>
      <c r="F434" s="48" t="inlineStr">
        <is>
          <t>N-A</t>
        </is>
      </c>
      <c r="G434" s="48" t="inlineStr">
        <is>
          <t>Pass</t>
        </is>
      </c>
      <c r="H434" s="50" t="inlineStr">
        <is>
          <t>script không dùng ROW_NUMBER</t>
        </is>
      </c>
      <c r="I434"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34" s="48" t="inlineStr">
        <is>
          <t>026. OCB_GOLD_TCKH_V_P_REGION_CPHD_UPL_PHAT.xlsx [Script: V_P_REGION_CPHD_UPL]</t>
        </is>
      </c>
    </row>
    <row r="435">
      <c r="A435" s="48" t="inlineStr">
        <is>
          <t>TCKH.V_P_REGION_CPHD_UPL</t>
        </is>
      </c>
      <c r="B435" s="48" t="inlineStr">
        <is>
          <t>UPLOAD_VIEW</t>
        </is>
      </c>
      <c r="C435" s="48" t="inlineStr">
        <is>
          <t>3.6</t>
        </is>
      </c>
      <c r="D435" s="48" t="inlineStr">
        <is>
          <t>Nhom 3 - Optimization</t>
        </is>
      </c>
      <c r="E435" s="48" t="inlineStr">
        <is>
          <t>Không lạm dụng window function; có comment khi dùng</t>
        </is>
      </c>
      <c r="F435" s="48" t="inlineStr">
        <is>
          <t>N-A</t>
        </is>
      </c>
      <c r="G435" s="48" t="inlineStr">
        <is>
          <t>Pass</t>
        </is>
      </c>
      <c r="H435" s="50" t="inlineStr">
        <is>
          <t>script không dùng window function</t>
        </is>
      </c>
      <c r="I435" s="50" t="inlineStr">
        <is>
          <t>Mỗi window function cần một comment ngay trên khối CTE chứa nó, nói rõ vì sao không dùng được max_by/QUALIFY đơn giản hơn.</t>
        </is>
      </c>
      <c r="J435" s="48" t="inlineStr">
        <is>
          <t>026. OCB_GOLD_TCKH_V_P_REGION_CPHD_UPL_PHAT.xlsx [Script: V_P_REGION_CPHD_UPL]</t>
        </is>
      </c>
    </row>
    <row r="436">
      <c r="A436" s="48" t="inlineStr">
        <is>
          <t>TCKH.V_P_REGION_CPHD_UPL</t>
        </is>
      </c>
      <c r="B436" s="48" t="inlineStr">
        <is>
          <t>UPLOAD_VIEW</t>
        </is>
      </c>
      <c r="C436" s="48" t="inlineStr">
        <is>
          <t>X.1</t>
        </is>
      </c>
      <c r="D436" s="48" t="inlineStr">
        <is>
          <t>Nhom X - Bo sung Raffles</t>
        </is>
      </c>
      <c r="E436" s="48" t="inlineStr">
        <is>
          <t>[Bổ sung] Link phải rút về current trước khi join (chống fan-out)</t>
        </is>
      </c>
      <c r="F436" s="48" t="inlineStr">
        <is>
          <t>N-A</t>
        </is>
      </c>
      <c r="G436" s="48" t="inlineStr">
        <is>
          <t>Pass</t>
        </is>
      </c>
      <c r="H436" s="50" t="inlineStr">
        <is>
          <t>khong ap dung cho profile UPLOAD_VIEW</t>
        </is>
      </c>
      <c r="I436"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36" s="48" t="inlineStr">
        <is>
          <t>026. OCB_GOLD_TCKH_V_P_REGION_CPHD_UPL_PHAT.xlsx [Script: V_P_REGION_CPHD_UPL]</t>
        </is>
      </c>
    </row>
    <row r="437">
      <c r="A437" s="48" t="inlineStr">
        <is>
          <t>TCKH.V_P_REGION_CPHD_UPL</t>
        </is>
      </c>
      <c r="B437" s="48" t="inlineStr">
        <is>
          <t>UPLOAD_VIEW</t>
        </is>
      </c>
      <c r="C437" s="48" t="inlineStr">
        <is>
          <t>X.6</t>
        </is>
      </c>
      <c r="D437" s="48" t="inlineStr">
        <is>
          <t>Nhom X - Bo sung Raffles</t>
        </is>
      </c>
      <c r="E437" s="48" t="inlineStr">
        <is>
          <t>[Bổ sung] Satellite phải LEFT JOIN, không INNER JOIN</t>
        </is>
      </c>
      <c r="F437" s="48" t="inlineStr">
        <is>
          <t>N-A</t>
        </is>
      </c>
      <c r="G437" s="48" t="inlineStr">
        <is>
          <t>Pass</t>
        </is>
      </c>
      <c r="H437" s="50" t="inlineStr">
        <is>
          <t>khong ap dung cho profile UPLOAD_VIEW</t>
        </is>
      </c>
      <c r="I437" s="50" t="inlineStr">
        <is>
          <t>Technical Document III.4.2.2 nguyên tắc 1: làm giàu thuộc tính luôn dùng LEFT JOIN. INNER JOIN satellite sẽ loại mất bản ghi Hub đang còn hiệu lực nhưng chưa có dòng satellite.</t>
        </is>
      </c>
      <c r="J437" s="48" t="inlineStr">
        <is>
          <t>026. OCB_GOLD_TCKH_V_P_REGION_CPHD_UPL_PHAT.xlsx [Script: V_P_REGION_CPHD_UPL]</t>
        </is>
      </c>
    </row>
    <row r="438">
      <c r="A438" s="48" t="inlineStr">
        <is>
          <t>TCKH.V_P_REGION_CPHD_UPL</t>
        </is>
      </c>
      <c r="B438" s="48" t="inlineStr">
        <is>
          <t>UPLOAD_VIEW</t>
        </is>
      </c>
      <c r="C438" s="48" t="inlineStr">
        <is>
          <t>X.7</t>
        </is>
      </c>
      <c r="D438" s="48" t="inlineStr">
        <is>
          <t>Nhom X - Bo sung Raffles</t>
        </is>
      </c>
      <c r="E438" s="48" t="inlineStr">
        <is>
          <t>[Bổ sung] Không hard-code catalog, dùng biến môi trường</t>
        </is>
      </c>
      <c r="F438" s="48" t="inlineStr">
        <is>
          <t>N-A</t>
        </is>
      </c>
      <c r="G438" s="48" t="inlineStr">
        <is>
          <t>Pass</t>
        </is>
      </c>
      <c r="H438" s="50" t="inlineStr">
        <is>
          <t>khong ap dung cho profile UPLOAD_VIEW</t>
        </is>
      </c>
      <c r="I438"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38" s="48" t="inlineStr">
        <is>
          <t>026. OCB_GOLD_TCKH_V_P_REGION_CPHD_UPL_PHAT.xlsx [Script: V_P_REGION_CPHD_UPL]</t>
        </is>
      </c>
    </row>
    <row r="439">
      <c r="A439" s="48" t="inlineStr">
        <is>
          <t>TCKH.V_SBV</t>
        </is>
      </c>
      <c r="B439" s="48" t="inlineStr">
        <is>
          <t>GOLD_DERIVED</t>
        </is>
      </c>
      <c r="C439" s="48" t="inlineStr">
        <is>
          <t>1.1</t>
        </is>
      </c>
      <c r="D439" s="48" t="inlineStr">
        <is>
          <t>Nhom 1 - Mapping</t>
        </is>
      </c>
      <c r="E439" s="48" t="inlineStr">
        <is>
          <t>Đầy đủ mapping từ Silver/manual sang Gold</t>
        </is>
      </c>
      <c r="F439" s="49" t="inlineStr">
        <is>
          <t>PASS</t>
        </is>
      </c>
      <c r="G439" s="48" t="inlineStr">
        <is>
          <t>Pass</t>
        </is>
      </c>
      <c r="H439" s="50" t="inlineStr">
        <is>
          <t>workbook 027. OCB_GOLD_TCKH_V_SBV_BAOANH.xlsx: thiết kế 25 field, SQL có 25 cột</t>
        </is>
      </c>
      <c r="I439"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39" s="48" t="inlineStr">
        <is>
          <t>027. OCB_GOLD_TCKH_V_SBV_BAOANH.xlsx [Script SQL: V_SBV]</t>
        </is>
      </c>
    </row>
    <row r="440">
      <c r="A440" s="48" t="inlineStr">
        <is>
          <t>TCKH.V_SBV</t>
        </is>
      </c>
      <c r="B440" s="48" t="inlineStr">
        <is>
          <t>GOLD_DERIVED</t>
        </is>
      </c>
      <c r="C440" s="48" t="inlineStr">
        <is>
          <t>1.2</t>
        </is>
      </c>
      <c r="D440" s="48" t="inlineStr">
        <is>
          <t>Nhom 1 - Mapping</t>
        </is>
      </c>
      <c r="E440" s="48" t="inlineStr">
        <is>
          <t>Danh sách bảng/view Gold khớp tài liệu thiết kế đã duyệt</t>
        </is>
      </c>
      <c r="F440" s="49" t="inlineStr">
        <is>
          <t>PASS</t>
        </is>
      </c>
      <c r="G440" s="48" t="inlineStr">
        <is>
          <t>Pass</t>
        </is>
      </c>
      <c r="H440" s="50" t="inlineStr">
        <is>
          <t>V_SBV có workbook thiết kế: 027. OCB_GOLD_TCKH_V_SBV_BAOANH.xlsx</t>
        </is>
      </c>
      <c r="I440" s="50" t="inlineStr">
        <is>
          <t>Đảm bảo object có workbook thiết kế tương ứng trong thư mục --mapping-dir. Muốn đối chiếu với danh sách đã duyệt thì chạy thêm tham số --gold-list "&lt;file danh sách Gold&gt;.xlsx".</t>
        </is>
      </c>
      <c r="J440" s="48" t="inlineStr">
        <is>
          <t>027. OCB_GOLD_TCKH_V_SBV_BAOANH.xlsx [Script SQL: V_SBV]</t>
        </is>
      </c>
    </row>
    <row r="441">
      <c r="A441" s="48" t="inlineStr">
        <is>
          <t>TCKH.V_SBV</t>
        </is>
      </c>
      <c r="B441" s="48" t="inlineStr">
        <is>
          <t>GOLD_DERIVED</t>
        </is>
      </c>
      <c r="C441" s="48" t="inlineStr">
        <is>
          <t>2.1</t>
        </is>
      </c>
      <c r="D441" s="48" t="inlineStr">
        <is>
          <t>Nhom 2 - Logic</t>
        </is>
      </c>
      <c r="E441" s="48" t="inlineStr">
        <is>
          <t>Chỉ lấy bản ghi active, loại bản ghi đã xóa (qua sts_hub)</t>
        </is>
      </c>
      <c r="F441" s="48" t="inlineStr">
        <is>
          <t>N-A</t>
        </is>
      </c>
      <c r="G441" s="48" t="inlineStr">
        <is>
          <t>Pass</t>
        </is>
      </c>
      <c r="H441" s="50" t="inlineStr">
        <is>
          <t>khong ap dung cho profile GOLD_DERIVED</t>
        </is>
      </c>
      <c r="I441"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41" s="48" t="inlineStr">
        <is>
          <t>027. OCB_GOLD_TCKH_V_SBV_BAOANH.xlsx [Script SQL: V_SBV]</t>
        </is>
      </c>
    </row>
    <row r="442">
      <c r="A442" s="48" t="inlineStr">
        <is>
          <t>TCKH.V_SBV</t>
        </is>
      </c>
      <c r="B442" s="48" t="inlineStr">
        <is>
          <t>GOLD_DERIVED</t>
        </is>
      </c>
      <c r="C442" s="48" t="inlineStr">
        <is>
          <t>2.2</t>
        </is>
      </c>
      <c r="D442" s="48" t="inlineStr">
        <is>
          <t>Nhom 2 - Logic</t>
        </is>
      </c>
      <c r="E442" s="48" t="inlineStr">
        <is>
          <t>Thống nhất MỘT pattern duy nhất xác định bản ghi active mới nhất</t>
        </is>
      </c>
      <c r="F442" s="48" t="inlineStr">
        <is>
          <t>N-A</t>
        </is>
      </c>
      <c r="G442" s="48" t="inlineStr">
        <is>
          <t>Pass</t>
        </is>
      </c>
      <c r="H442" s="50" t="inlineStr">
        <is>
          <t>khong ap dung cho profile GOLD_DERIVED</t>
        </is>
      </c>
      <c r="I442"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42" s="48" t="inlineStr">
        <is>
          <t>027. OCB_GOLD_TCKH_V_SBV_BAOANH.xlsx [Script SQL: V_SBV]</t>
        </is>
      </c>
    </row>
    <row r="443">
      <c r="A443" s="48" t="inlineStr">
        <is>
          <t>TCKH.V_SBV</t>
        </is>
      </c>
      <c r="B443" s="48" t="inlineStr">
        <is>
          <t>GOLD_DERIVED</t>
        </is>
      </c>
      <c r="C443" s="48" t="inlineStr">
        <is>
          <t>2.3</t>
        </is>
      </c>
      <c r="D443" s="48" t="inlineStr">
        <is>
          <t>Nhom 2 - Logic</t>
        </is>
      </c>
      <c r="E443" s="48" t="inlineStr">
        <is>
          <t>Điều kiện lọc trạng thái đặt SAU khi xác định bản ghi mới nhất</t>
        </is>
      </c>
      <c r="F443" s="49" t="inlineStr">
        <is>
          <t>PASS</t>
        </is>
      </c>
      <c r="G443" s="48" t="inlineStr">
        <is>
          <t>Pass</t>
        </is>
      </c>
      <c r="H443" s="50" t="inlineStr">
        <is>
          <t>không có điều kiện trạng thái nào lồng trong JOIN ON</t>
        </is>
      </c>
      <c r="I443"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43" s="48" t="inlineStr">
        <is>
          <t>027. OCB_GOLD_TCKH_V_SBV_BAOANH.xlsx [Script SQL: V_SBV]</t>
        </is>
      </c>
    </row>
    <row r="444">
      <c r="A444" s="48" t="inlineStr">
        <is>
          <t>TCKH.V_SBV</t>
        </is>
      </c>
      <c r="B444" s="48" t="inlineStr">
        <is>
          <t>GOLD_DERIVED</t>
        </is>
      </c>
      <c r="C444" s="48" t="inlineStr">
        <is>
          <t>2.4</t>
        </is>
      </c>
      <c r="D444" s="48" t="inlineStr">
        <is>
          <t>Nhom 2 - Logic</t>
        </is>
      </c>
      <c r="E444" s="48" t="inlineStr">
        <is>
          <t>source_event_date áp dụng đúng dạng theo loại bảng</t>
        </is>
      </c>
      <c r="F444" s="48" t="inlineStr">
        <is>
          <t>N-A</t>
        </is>
      </c>
      <c r="G444" s="48" t="inlineStr">
        <is>
          <t>Pass</t>
        </is>
      </c>
      <c r="H444" s="50" t="inlineStr">
        <is>
          <t>khong ap dung cho profile GOLD_DERIVED</t>
        </is>
      </c>
      <c r="I444"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44" s="48" t="inlineStr">
        <is>
          <t>027. OCB_GOLD_TCKH_V_SBV_BAOANH.xlsx [Script SQL: V_SBV]</t>
        </is>
      </c>
    </row>
    <row r="445">
      <c r="A445" s="48" t="inlineStr">
        <is>
          <t>TCKH.V_SBV</t>
        </is>
      </c>
      <c r="B445" s="48" t="inlineStr">
        <is>
          <t>GOLD_DERIVED</t>
        </is>
      </c>
      <c r="C445" s="48" t="inlineStr">
        <is>
          <t>2.5</t>
        </is>
      </c>
      <c r="D445" s="48" t="inlineStr">
        <is>
          <t>Nhom 2 - Logic</t>
        </is>
      </c>
      <c r="E445" s="48" t="inlineStr">
        <is>
          <t>Không lặp lại lỗi logic cũ đã được DA Data Vault fix</t>
        </is>
      </c>
      <c r="F445" s="49" t="inlineStr">
        <is>
          <t>PASS</t>
        </is>
      </c>
      <c r="G445" s="48" t="inlineStr">
        <is>
          <t>Pass</t>
        </is>
      </c>
      <c r="H445" s="50" t="inlineStr">
        <is>
          <t>không trùng lỗi nào trong Issue log của DA Data Vault</t>
        </is>
      </c>
      <c r="I445"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45" s="48" t="inlineStr">
        <is>
          <t>027. OCB_GOLD_TCKH_V_SBV_BAOANH.xlsx [Script SQL: V_SBV]</t>
        </is>
      </c>
    </row>
    <row r="446">
      <c r="A446" s="48" t="inlineStr">
        <is>
          <t>TCKH.V_SBV</t>
        </is>
      </c>
      <c r="B446" s="48" t="inlineStr">
        <is>
          <t>GOLD_DERIVED</t>
        </is>
      </c>
      <c r="C446" s="48" t="inlineStr">
        <is>
          <t>2.6</t>
        </is>
      </c>
      <c r="D446" s="48" t="inlineStr">
        <is>
          <t>Nhom 2 - Logic</t>
        </is>
      </c>
      <c r="E446" s="48" t="inlineStr">
        <is>
          <t>SCD Type 2 cho bảng DIM áp dụng đúng kỹ thuật đã thống nhất</t>
        </is>
      </c>
      <c r="F446" s="48" t="inlineStr">
        <is>
          <t>N-A</t>
        </is>
      </c>
      <c r="G446" s="48" t="inlineStr">
        <is>
          <t>Pass</t>
        </is>
      </c>
      <c r="H446" s="50" t="inlineStr">
        <is>
          <t>object không phải bảng DIM nên không áp dụng SCD Type 2</t>
        </is>
      </c>
      <c r="I446"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46" s="48" t="inlineStr">
        <is>
          <t>027. OCB_GOLD_TCKH_V_SBV_BAOANH.xlsx [Script SQL: V_SBV]</t>
        </is>
      </c>
    </row>
    <row r="447">
      <c r="A447" s="48" t="inlineStr">
        <is>
          <t>TCKH.V_SBV</t>
        </is>
      </c>
      <c r="B447" s="48" t="inlineStr">
        <is>
          <t>GOLD_DERIVED</t>
        </is>
      </c>
      <c r="C447" s="48" t="inlineStr">
        <is>
          <t>2.7</t>
        </is>
      </c>
      <c r="D447" s="48" t="inlineStr">
        <is>
          <t>Nhom 2 - Logic</t>
        </is>
      </c>
      <c r="E447" s="48" t="inlineStr">
        <is>
          <t>CASE WHEN cover đủ nhánh như job on-prem</t>
        </is>
      </c>
      <c r="F447" s="49" t="inlineStr">
        <is>
          <t>PASS</t>
        </is>
      </c>
      <c r="G447" s="48" t="inlineStr">
        <is>
          <t>Pass</t>
        </is>
      </c>
      <c r="H447" s="50" t="inlineStr">
        <is>
          <t>cả 4 CASE đều có nhánh ELSE</t>
        </is>
      </c>
      <c r="I447" s="50" t="inlineStr">
        <is>
          <t>Mở job on-prem tương ứng (DataStage DSX hoặc SQL cũ), đối chiếu từng nhánh WHEN và cả nhánh ELSE. CASE không có ELSE sẽ trả NULL âm thầm — xác nhận đó là ý muốn hay thiếu nhánh.</t>
        </is>
      </c>
      <c r="J447" s="48" t="inlineStr">
        <is>
          <t>027. OCB_GOLD_TCKH_V_SBV_BAOANH.xlsx [Script SQL: V_SBV]</t>
        </is>
      </c>
    </row>
    <row r="448">
      <c r="A448" s="48" t="inlineStr">
        <is>
          <t>TCKH.V_SBV</t>
        </is>
      </c>
      <c r="B448" s="48" t="inlineStr">
        <is>
          <t>GOLD_DERIVED</t>
        </is>
      </c>
      <c r="C448" s="48" t="inlineStr">
        <is>
          <t>2.8</t>
        </is>
      </c>
      <c r="D448" s="48" t="inlineStr">
        <is>
          <t>Nhom 2 - Logic</t>
        </is>
      </c>
      <c r="E448" s="48" t="inlineStr">
        <is>
          <t>Cột SUM/COUNT được COALESCE/NVL hợp lý</t>
        </is>
      </c>
      <c r="F448" s="49" t="inlineStr">
        <is>
          <t>PASS</t>
        </is>
      </c>
      <c r="G448" s="48" t="inlineStr">
        <is>
          <t>Pass</t>
        </is>
      </c>
      <c r="H448" s="50" t="inlineStr">
        <is>
          <t>mọi SUM/COUNT đều đã coalesce (trực tiếp hoặc ở lớp ngoài)</t>
        </is>
      </c>
      <c r="I448"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48" s="48" t="inlineStr">
        <is>
          <t>027. OCB_GOLD_TCKH_V_SBV_BAOANH.xlsx [Script SQL: V_SBV]</t>
        </is>
      </c>
    </row>
    <row r="449">
      <c r="A449" s="48" t="inlineStr">
        <is>
          <t>TCKH.V_SBV</t>
        </is>
      </c>
      <c r="B449" s="48" t="inlineStr">
        <is>
          <t>GOLD_DERIVED</t>
        </is>
      </c>
      <c r="C449" s="48" t="inlineStr">
        <is>
          <t>2.9</t>
        </is>
      </c>
      <c r="D449" s="48" t="inlineStr">
        <is>
          <t>Nhom 2 - Logic</t>
        </is>
      </c>
      <c r="E449" s="48" t="inlineStr">
        <is>
          <t>Subquery / custom function / điều kiện LIKE đúng ý nghĩa nghiệp vụ</t>
        </is>
      </c>
      <c r="F449" s="48" t="inlineStr">
        <is>
          <t>N-A</t>
        </is>
      </c>
      <c r="G449" s="48" t="inlineStr">
        <is>
          <t>Pass</t>
        </is>
      </c>
      <c r="H449" s="50" t="inlineStr">
        <is>
          <t>script không có điều kiện LIKE hay scalar subquery nào</t>
        </is>
      </c>
      <c r="I449" s="50" t="inlineStr">
        <is>
          <t>Đọc lại từng điều kiện LIKE và từng subquery, đối chiếu ý nghĩa nghiệp vụ với on-prem — đúng cú pháp không đủ. Chú ý pattern LIKE có ký tự % ở đầu/cuối và phân biệt chữ hoa/thường.</t>
        </is>
      </c>
      <c r="J449" s="48" t="inlineStr">
        <is>
          <t>027. OCB_GOLD_TCKH_V_SBV_BAOANH.xlsx [Script SQL: V_SBV]</t>
        </is>
      </c>
    </row>
    <row r="450">
      <c r="A450" s="48" t="inlineStr">
        <is>
          <t>TCKH.V_SBV</t>
        </is>
      </c>
      <c r="B450" s="48" t="inlineStr">
        <is>
          <t>GOLD_DERIVED</t>
        </is>
      </c>
      <c r="C450" s="48" t="inlineStr">
        <is>
          <t>2.10</t>
        </is>
      </c>
      <c r="D450" s="48" t="inlineStr">
        <is>
          <t>Nhom 2 - Logic</t>
        </is>
      </c>
      <c r="E450" s="48" t="inlineStr">
        <is>
          <t>Aggregation kèm filter date range chính xác</t>
        </is>
      </c>
      <c r="F450" s="49" t="inlineStr">
        <is>
          <t>PASS</t>
        </is>
      </c>
      <c r="G450" s="48" t="inlineStr">
        <is>
          <t>Pass</t>
        </is>
      </c>
      <c r="H450" s="50" t="inlineStr">
        <is>
          <t>mọi khối tổng hợp đều có điều kiện theo kỳ dữ liệu</t>
        </is>
      </c>
      <c r="I450" s="50" t="inlineStr">
        <is>
          <t>Mỗi khối SUM/COUNT/AVG phải có điều kiện lọc theo kỳ dữ liệu (CDR_DT_ID, DATA_DATE, :DATADT…). Nếu điều kiện nằm ở CTE nguồn thì ghi rõ trong comment để người review không phải truy ngược.</t>
        </is>
      </c>
      <c r="J450" s="48" t="inlineStr">
        <is>
          <t>027. OCB_GOLD_TCKH_V_SBV_BAOANH.xlsx [Script SQL: V_SBV]</t>
        </is>
      </c>
    </row>
    <row r="451">
      <c r="A451" s="48" t="inlineStr">
        <is>
          <t>TCKH.V_SBV</t>
        </is>
      </c>
      <c r="B451" s="48" t="inlineStr">
        <is>
          <t>GOLD_DERIVED</t>
        </is>
      </c>
      <c r="C451" s="48" t="inlineStr">
        <is>
          <t>2.11</t>
        </is>
      </c>
      <c r="D451" s="48" t="inlineStr">
        <is>
          <t>Nhom 2 - Logic</t>
        </is>
      </c>
      <c r="E451" s="48" t="inlineStr">
        <is>
          <t>Join dùng key hợp lý, không lạm dụng UNION ALL + EXISTS/NOT EXISTS</t>
        </is>
      </c>
      <c r="F451" s="49" t="inlineStr">
        <is>
          <t>PASS</t>
        </is>
      </c>
      <c r="G451" s="48" t="inlineStr">
        <is>
          <t>Pass</t>
        </is>
      </c>
      <c r="H451" s="50" t="inlineStr">
        <is>
          <t>join đều theo điều kiện bằng, không lạm dụng UNION ALL + EXISTS</t>
        </is>
      </c>
      <c r="I451" s="50" t="inlineStr">
        <is>
          <t>Ưu tiên LEFT JOIN theo business key hoặc hashkey. Xem lại các chỗ dùng UNION ALL kết hợp EXISTS/NOT EXISTS — thường thay được bằng một LEFT JOIN. Join không có điều kiện bằng (=) dễ tạo tích Descartes.</t>
        </is>
      </c>
      <c r="J451" s="48" t="inlineStr">
        <is>
          <t>027. OCB_GOLD_TCKH_V_SBV_BAOANH.xlsx [Script SQL: V_SBV]</t>
        </is>
      </c>
    </row>
    <row r="452">
      <c r="A452" s="48" t="inlineStr">
        <is>
          <t>TCKH.V_SBV</t>
        </is>
      </c>
      <c r="B452" s="48" t="inlineStr">
        <is>
          <t>GOLD_DERIVED</t>
        </is>
      </c>
      <c r="C452" s="48" t="inlineStr">
        <is>
          <t>2.12</t>
        </is>
      </c>
      <c r="D452" s="48" t="inlineStr">
        <is>
          <t>Nhom 2 - Logic</t>
        </is>
      </c>
      <c r="E452" s="48" t="inlineStr">
        <is>
          <t>Build Gold từ CTE snapshot Silver, không build nhiều tầng chồng chéo</t>
        </is>
      </c>
      <c r="F452" s="49" t="inlineStr">
        <is>
          <t>PASS</t>
        </is>
      </c>
      <c r="G452" s="48" t="inlineStr">
        <is>
          <t>Pass</t>
        </is>
      </c>
      <c r="H452" s="50" t="inlineStr">
        <is>
          <t>mỗi bảng nguồn chỉ đọc trong 1 khối SELECT</t>
        </is>
      </c>
      <c r="I452"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52" s="48" t="inlineStr">
        <is>
          <t>027. OCB_GOLD_TCKH_V_SBV_BAOANH.xlsx [Script SQL: V_SBV]</t>
        </is>
      </c>
    </row>
    <row r="453">
      <c r="A453" s="48" t="inlineStr">
        <is>
          <t>TCKH.V_SBV</t>
        </is>
      </c>
      <c r="B453" s="48" t="inlineStr">
        <is>
          <t>GOLD_DERIVED</t>
        </is>
      </c>
      <c r="C453" s="48" t="inlineStr">
        <is>
          <t>3.1</t>
        </is>
      </c>
      <c r="D453" s="48" t="inlineStr">
        <is>
          <t>Nhom 3 - Optimization</t>
        </is>
      </c>
      <c r="E453" s="48" t="inlineStr">
        <is>
          <t>Không SELECT *</t>
        </is>
      </c>
      <c r="F453" s="49" t="inlineStr">
        <is>
          <t>PASS</t>
        </is>
      </c>
      <c r="G453" s="48" t="inlineStr">
        <is>
          <t>Pass</t>
        </is>
      </c>
      <c r="H453" s="50" t="inlineStr">
        <is>
          <t>không dùng SELECT * ở đâu</t>
        </is>
      </c>
      <c r="I453" s="50" t="inlineStr">
        <is>
          <t>Liệt kê tường minh các cột cần dùng, kể cả trong CTE trung gian. SELECT * làm tăng IO/memory và vỡ script khi bảng nguồn thêm cột.</t>
        </is>
      </c>
      <c r="J453" s="48" t="inlineStr">
        <is>
          <t>027. OCB_GOLD_TCKH_V_SBV_BAOANH.xlsx [Script SQL: V_SBV]</t>
        </is>
      </c>
    </row>
    <row r="454">
      <c r="A454" s="48" t="inlineStr">
        <is>
          <t>TCKH.V_SBV</t>
        </is>
      </c>
      <c r="B454" s="48" t="inlineStr">
        <is>
          <t>GOLD_DERIVED</t>
        </is>
      </c>
      <c r="C454" s="48" t="inlineStr">
        <is>
          <t>3.2</t>
        </is>
      </c>
      <c r="D454" s="48" t="inlineStr">
        <is>
          <t>Nhom 3 - Optimization</t>
        </is>
      </c>
      <c r="E454" s="48" t="inlineStr">
        <is>
          <t>CTE không bị scan lại nhiều lần</t>
        </is>
      </c>
      <c r="F454" s="49" t="inlineStr">
        <is>
          <t>PASS</t>
        </is>
      </c>
      <c r="G454" s="48" t="inlineStr">
        <is>
          <t>Pass</t>
        </is>
      </c>
      <c r="H454" s="50" t="inlineStr">
        <is>
          <t>không có CTE nào bị gọi lại</t>
        </is>
      </c>
      <c r="I454" s="50" t="inlineStr">
        <is>
          <t>Với CTE nặng (đọc nhiều bảng Silver) bị tham chiếu từ 2 chỗ trở lên: gom lại còn một lần dùng, hoặc vật chất hóa (CACHE / bảng tạm). CTE nhẹ chỉ chứa tham số thì bỏ qua được — tự tick Pass.</t>
        </is>
      </c>
      <c r="J454" s="48" t="inlineStr">
        <is>
          <t>027. OCB_GOLD_TCKH_V_SBV_BAOANH.xlsx [Script SQL: V_SBV]</t>
        </is>
      </c>
    </row>
    <row r="455">
      <c r="A455" s="48" t="inlineStr">
        <is>
          <t>TCKH.V_SBV</t>
        </is>
      </c>
      <c r="B455" s="48" t="inlineStr">
        <is>
          <t>GOLD_DERIVED</t>
        </is>
      </c>
      <c r="C455" s="48" t="inlineStr">
        <is>
          <t>3.3</t>
        </is>
      </c>
      <c r="D455" s="48" t="inlineStr">
        <is>
          <t>Nhom 3 - Optimization</t>
        </is>
      </c>
      <c r="E455" s="48" t="inlineStr">
        <is>
          <t>Filter trước khi join, tận dụng partition pruning</t>
        </is>
      </c>
      <c r="F455" s="49" t="inlineStr">
        <is>
          <t>PASS</t>
        </is>
      </c>
      <c r="G455" s="48" t="inlineStr">
        <is>
          <t>Pass</t>
        </is>
      </c>
      <c r="H455" s="50" t="inlineStr">
        <is>
          <t>các bảng join đều được filter trước</t>
        </is>
      </c>
      <c r="I455" s="50" t="inlineStr">
        <is>
          <t>Đưa điều kiện lọc (ngày dữ liệu, trạng thái) vào subquery của từng bảng TRƯỚC khi join, để tận dụng partition pruning. Bảng dim nhỏ không partition thì không cần — tự tick Pass.</t>
        </is>
      </c>
      <c r="J455" s="48" t="inlineStr">
        <is>
          <t>027. OCB_GOLD_TCKH_V_SBV_BAOANH.xlsx [Script SQL: V_SBV]</t>
        </is>
      </c>
    </row>
    <row r="456">
      <c r="A456" s="48" t="inlineStr">
        <is>
          <t>TCKH.V_SBV</t>
        </is>
      </c>
      <c r="B456" s="48" t="inlineStr">
        <is>
          <t>GOLD_DERIVED</t>
        </is>
      </c>
      <c r="C456" s="48" t="inlineStr">
        <is>
          <t>3.4</t>
        </is>
      </c>
      <c r="D456" s="48" t="inlineStr">
        <is>
          <t>Nhom 3 - Optimization</t>
        </is>
      </c>
      <c r="E456" s="48" t="inlineStr">
        <is>
          <t>Sử dụng CACHE cho query lặp lại trong cùng luồng</t>
        </is>
      </c>
      <c r="F456" s="48" t="inlineStr">
        <is>
          <t>N-A</t>
        </is>
      </c>
      <c r="G456" s="48" t="inlineStr">
        <is>
          <t>Pass</t>
        </is>
      </c>
      <c r="H456" s="50" t="inlineStr">
        <is>
          <t>không có kết quả nào được dùng lại nhiều lần nên chưa cần CACHE</t>
        </is>
      </c>
      <c r="I456" s="50" t="inlineStr">
        <is>
          <t>Nếu một kết quả nặng được dùng lại nhiều bước trong cùng luồng, thêm CACHE TABLE / CACHE SELECT. Kết quả nhỏ thì cache còn chậm hơn — tự tick Pass.</t>
        </is>
      </c>
      <c r="J456" s="48" t="inlineStr">
        <is>
          <t>027. OCB_GOLD_TCKH_V_SBV_BAOANH.xlsx [Script SQL: V_SBV]</t>
        </is>
      </c>
    </row>
    <row r="457">
      <c r="A457" s="48" t="inlineStr">
        <is>
          <t>TCKH.V_SBV</t>
        </is>
      </c>
      <c r="B457" s="48" t="inlineStr">
        <is>
          <t>GOLD_DERIVED</t>
        </is>
      </c>
      <c r="C457" s="48" t="inlineStr">
        <is>
          <t>3.5</t>
        </is>
      </c>
      <c r="D457" s="48" t="inlineStr">
        <is>
          <t>Nhom 3 - Optimization</t>
        </is>
      </c>
      <c r="E457" s="48" t="inlineStr">
        <is>
          <t>Ưu tiên MAX_BY + QUALIFY thay ROW_NUMBER() + WHERE rn = 1</t>
        </is>
      </c>
      <c r="F457" s="48" t="inlineStr">
        <is>
          <t>N-A</t>
        </is>
      </c>
      <c r="G457" s="48" t="inlineStr">
        <is>
          <t>Pass</t>
        </is>
      </c>
      <c r="H457" s="50" t="inlineStr">
        <is>
          <t>script không dùng ROW_NUMBER</t>
        </is>
      </c>
      <c r="I457"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57" s="48" t="inlineStr">
        <is>
          <t>027. OCB_GOLD_TCKH_V_SBV_BAOANH.xlsx [Script SQL: V_SBV]</t>
        </is>
      </c>
    </row>
    <row r="458">
      <c r="A458" s="48" t="inlineStr">
        <is>
          <t>TCKH.V_SBV</t>
        </is>
      </c>
      <c r="B458" s="48" t="inlineStr">
        <is>
          <t>GOLD_DERIVED</t>
        </is>
      </c>
      <c r="C458" s="48" t="inlineStr">
        <is>
          <t>3.6</t>
        </is>
      </c>
      <c r="D458" s="48" t="inlineStr">
        <is>
          <t>Nhom 3 - Optimization</t>
        </is>
      </c>
      <c r="E458" s="48" t="inlineStr">
        <is>
          <t>Không lạm dụng window function; có comment khi dùng</t>
        </is>
      </c>
      <c r="F458" s="48" t="inlineStr">
        <is>
          <t>N-A</t>
        </is>
      </c>
      <c r="G458" s="48" t="inlineStr">
        <is>
          <t>Pass</t>
        </is>
      </c>
      <c r="H458" s="50" t="inlineStr">
        <is>
          <t>script không dùng window function</t>
        </is>
      </c>
      <c r="I458" s="50" t="inlineStr">
        <is>
          <t>Mỗi window function cần một comment ngay trên khối CTE chứa nó, nói rõ vì sao không dùng được max_by/QUALIFY đơn giản hơn.</t>
        </is>
      </c>
      <c r="J458" s="48" t="inlineStr">
        <is>
          <t>027. OCB_GOLD_TCKH_V_SBV_BAOANH.xlsx [Script SQL: V_SBV]</t>
        </is>
      </c>
    </row>
    <row r="459">
      <c r="A459" s="48" t="inlineStr">
        <is>
          <t>TCKH.V_SBV</t>
        </is>
      </c>
      <c r="B459" s="48" t="inlineStr">
        <is>
          <t>GOLD_DERIVED</t>
        </is>
      </c>
      <c r="C459" s="48" t="inlineStr">
        <is>
          <t>X.1</t>
        </is>
      </c>
      <c r="D459" s="48" t="inlineStr">
        <is>
          <t>Nhom X - Bo sung Raffles</t>
        </is>
      </c>
      <c r="E459" s="48" t="inlineStr">
        <is>
          <t>[Bổ sung] Link phải rút về current trước khi join (chống fan-out)</t>
        </is>
      </c>
      <c r="F459" s="48" t="inlineStr">
        <is>
          <t>N-A</t>
        </is>
      </c>
      <c r="G459" s="48" t="inlineStr">
        <is>
          <t>Pass</t>
        </is>
      </c>
      <c r="H459" s="50" t="inlineStr">
        <is>
          <t>khong ap dung cho profile GOLD_DERIVED</t>
        </is>
      </c>
      <c r="I459"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59" s="48" t="inlineStr">
        <is>
          <t>027. OCB_GOLD_TCKH_V_SBV_BAOANH.xlsx [Script SQL: V_SBV]</t>
        </is>
      </c>
    </row>
    <row r="460">
      <c r="A460" s="48" t="inlineStr">
        <is>
          <t>TCKH.V_SBV</t>
        </is>
      </c>
      <c r="B460" s="48" t="inlineStr">
        <is>
          <t>GOLD_DERIVED</t>
        </is>
      </c>
      <c r="C460" s="48" t="inlineStr">
        <is>
          <t>X.6</t>
        </is>
      </c>
      <c r="D460" s="48" t="inlineStr">
        <is>
          <t>Nhom X - Bo sung Raffles</t>
        </is>
      </c>
      <c r="E460" s="48" t="inlineStr">
        <is>
          <t>[Bổ sung] Satellite phải LEFT JOIN, không INNER JOIN</t>
        </is>
      </c>
      <c r="F460" s="48" t="inlineStr">
        <is>
          <t>N-A</t>
        </is>
      </c>
      <c r="G460" s="48" t="inlineStr">
        <is>
          <t>Pass</t>
        </is>
      </c>
      <c r="H460" s="50" t="inlineStr">
        <is>
          <t>khong ap dung cho profile GOLD_DERIVED</t>
        </is>
      </c>
      <c r="I460" s="50" t="inlineStr">
        <is>
          <t>Technical Document III.4.2.2 nguyên tắc 1: làm giàu thuộc tính luôn dùng LEFT JOIN. INNER JOIN satellite sẽ loại mất bản ghi Hub đang còn hiệu lực nhưng chưa có dòng satellite.</t>
        </is>
      </c>
      <c r="J460" s="48" t="inlineStr">
        <is>
          <t>027. OCB_GOLD_TCKH_V_SBV_BAOANH.xlsx [Script SQL: V_SBV]</t>
        </is>
      </c>
    </row>
    <row r="461">
      <c r="A461" s="48" t="inlineStr">
        <is>
          <t>TCKH.V_SBV</t>
        </is>
      </c>
      <c r="B461" s="48" t="inlineStr">
        <is>
          <t>GOLD_DERIVED</t>
        </is>
      </c>
      <c r="C461" s="48" t="inlineStr">
        <is>
          <t>X.7</t>
        </is>
      </c>
      <c r="D461" s="48" t="inlineStr">
        <is>
          <t>Nhom X - Bo sung Raffles</t>
        </is>
      </c>
      <c r="E461" s="48" t="inlineStr">
        <is>
          <t>[Bổ sung] Không hard-code catalog, dùng biến môi trường</t>
        </is>
      </c>
      <c r="F461" s="49" t="inlineStr">
        <is>
          <t>PASS</t>
        </is>
      </c>
      <c r="G461" s="48" t="inlineStr">
        <is>
          <t>Pass</t>
        </is>
      </c>
      <c r="H461" s="50" t="inlineStr">
        <is>
          <t>dùng biến môi trường cho catalog</t>
        </is>
      </c>
      <c r="I461"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61" s="48" t="inlineStr">
        <is>
          <t>027. OCB_GOLD_TCKH_V_SBV_BAOANH.xlsx [Script SQL: V_SBV]</t>
        </is>
      </c>
    </row>
    <row r="462">
      <c r="A462" s="48" t="inlineStr">
        <is>
          <t>TCKH.V_SLGD</t>
        </is>
      </c>
      <c r="B462" s="48" t="inlineStr">
        <is>
          <t>UPLOAD_VIEW</t>
        </is>
      </c>
      <c r="C462" s="48" t="inlineStr">
        <is>
          <t>1.1</t>
        </is>
      </c>
      <c r="D462" s="48" t="inlineStr">
        <is>
          <t>Nhom 1 - Mapping</t>
        </is>
      </c>
      <c r="E462" s="48" t="inlineStr">
        <is>
          <t>Đầy đủ mapping từ Silver/manual sang Gold</t>
        </is>
      </c>
      <c r="F462" s="49" t="inlineStr">
        <is>
          <t>PASS</t>
        </is>
      </c>
      <c r="G462" s="48" t="inlineStr">
        <is>
          <t>Pass</t>
        </is>
      </c>
      <c r="H462" s="50" t="inlineStr">
        <is>
          <t>workbook 028. OCB_GOLD_TCKH_V_SLGD_HOP.xlsx: thiết kế 6 field, SQL có 6 cột</t>
        </is>
      </c>
      <c r="I46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62" s="48" t="inlineStr">
        <is>
          <t>028. OCB_GOLD_TCKH_V_SLGD_HOP.xlsx [Script: V_SLGD]</t>
        </is>
      </c>
    </row>
    <row r="463">
      <c r="A463" s="48" t="inlineStr">
        <is>
          <t>TCKH.V_SLGD</t>
        </is>
      </c>
      <c r="B463" s="48" t="inlineStr">
        <is>
          <t>UPLOAD_VIEW</t>
        </is>
      </c>
      <c r="C463" s="48" t="inlineStr">
        <is>
          <t>1.2</t>
        </is>
      </c>
      <c r="D463" s="48" t="inlineStr">
        <is>
          <t>Nhom 1 - Mapping</t>
        </is>
      </c>
      <c r="E463" s="48" t="inlineStr">
        <is>
          <t>Danh sách bảng/view Gold khớp tài liệu thiết kế đã duyệt</t>
        </is>
      </c>
      <c r="F463" s="49" t="inlineStr">
        <is>
          <t>PASS</t>
        </is>
      </c>
      <c r="G463" s="48" t="inlineStr">
        <is>
          <t>Pass</t>
        </is>
      </c>
      <c r="H463" s="50" t="inlineStr">
        <is>
          <t>V_SLGD có workbook thiết kế: 028. OCB_GOLD_TCKH_V_SLGD_HOP.xlsx</t>
        </is>
      </c>
      <c r="I463" s="50" t="inlineStr">
        <is>
          <t>Đảm bảo object có workbook thiết kế tương ứng trong thư mục --mapping-dir. Muốn đối chiếu với danh sách đã duyệt thì chạy thêm tham số --gold-list "&lt;file danh sách Gold&gt;.xlsx".</t>
        </is>
      </c>
      <c r="J463" s="48" t="inlineStr">
        <is>
          <t>028. OCB_GOLD_TCKH_V_SLGD_HOP.xlsx [Script: V_SLGD]</t>
        </is>
      </c>
    </row>
    <row r="464">
      <c r="A464" s="48" t="inlineStr">
        <is>
          <t>TCKH.V_SLGD</t>
        </is>
      </c>
      <c r="B464" s="48" t="inlineStr">
        <is>
          <t>UPLOAD_VIEW</t>
        </is>
      </c>
      <c r="C464" s="48" t="inlineStr">
        <is>
          <t>2.1</t>
        </is>
      </c>
      <c r="D464" s="48" t="inlineStr">
        <is>
          <t>Nhom 2 - Logic</t>
        </is>
      </c>
      <c r="E464" s="48" t="inlineStr">
        <is>
          <t>Chỉ lấy bản ghi active, loại bản ghi đã xóa (qua sts_hub)</t>
        </is>
      </c>
      <c r="F464" s="48" t="inlineStr">
        <is>
          <t>N-A</t>
        </is>
      </c>
      <c r="G464" s="48" t="inlineStr">
        <is>
          <t>Pass</t>
        </is>
      </c>
      <c r="H464" s="50" t="inlineStr">
        <is>
          <t>khong ap dung cho profile UPLOAD_VIEW</t>
        </is>
      </c>
      <c r="I46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64" s="48" t="inlineStr">
        <is>
          <t>028. OCB_GOLD_TCKH_V_SLGD_HOP.xlsx [Script: V_SLGD]</t>
        </is>
      </c>
    </row>
    <row r="465">
      <c r="A465" s="48" t="inlineStr">
        <is>
          <t>TCKH.V_SLGD</t>
        </is>
      </c>
      <c r="B465" s="48" t="inlineStr">
        <is>
          <t>UPLOAD_VIEW</t>
        </is>
      </c>
      <c r="C465" s="48" t="inlineStr">
        <is>
          <t>2.2</t>
        </is>
      </c>
      <c r="D465" s="48" t="inlineStr">
        <is>
          <t>Nhom 2 - Logic</t>
        </is>
      </c>
      <c r="E465" s="48" t="inlineStr">
        <is>
          <t>Thống nhất MỘT pattern duy nhất xác định bản ghi active mới nhất</t>
        </is>
      </c>
      <c r="F465" s="48" t="inlineStr">
        <is>
          <t>N-A</t>
        </is>
      </c>
      <c r="G465" s="48" t="inlineStr">
        <is>
          <t>Pass</t>
        </is>
      </c>
      <c r="H465" s="50" t="inlineStr">
        <is>
          <t>khong ap dung cho profile UPLOAD_VIEW</t>
        </is>
      </c>
      <c r="I46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65" s="48" t="inlineStr">
        <is>
          <t>028. OCB_GOLD_TCKH_V_SLGD_HOP.xlsx [Script: V_SLGD]</t>
        </is>
      </c>
    </row>
    <row r="466">
      <c r="A466" s="48" t="inlineStr">
        <is>
          <t>TCKH.V_SLGD</t>
        </is>
      </c>
      <c r="B466" s="48" t="inlineStr">
        <is>
          <t>UPLOAD_VIEW</t>
        </is>
      </c>
      <c r="C466" s="48" t="inlineStr">
        <is>
          <t>2.3</t>
        </is>
      </c>
      <c r="D466" s="48" t="inlineStr">
        <is>
          <t>Nhom 2 - Logic</t>
        </is>
      </c>
      <c r="E466" s="48" t="inlineStr">
        <is>
          <t>Điều kiện lọc trạng thái đặt SAU khi xác định bản ghi mới nhất</t>
        </is>
      </c>
      <c r="F466" s="48" t="inlineStr">
        <is>
          <t>N-A</t>
        </is>
      </c>
      <c r="G466" s="48" t="inlineStr">
        <is>
          <t>Pass</t>
        </is>
      </c>
      <c r="H466" s="50" t="inlineStr">
        <is>
          <t>khong ap dung cho profile UPLOAD_VIEW</t>
        </is>
      </c>
      <c r="I46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66" s="48" t="inlineStr">
        <is>
          <t>028. OCB_GOLD_TCKH_V_SLGD_HOP.xlsx [Script: V_SLGD]</t>
        </is>
      </c>
    </row>
    <row r="467">
      <c r="A467" s="48" t="inlineStr">
        <is>
          <t>TCKH.V_SLGD</t>
        </is>
      </c>
      <c r="B467" s="48" t="inlineStr">
        <is>
          <t>UPLOAD_VIEW</t>
        </is>
      </c>
      <c r="C467" s="48" t="inlineStr">
        <is>
          <t>2.4</t>
        </is>
      </c>
      <c r="D467" s="48" t="inlineStr">
        <is>
          <t>Nhom 2 - Logic</t>
        </is>
      </c>
      <c r="E467" s="48" t="inlineStr">
        <is>
          <t>source_event_date áp dụng đúng dạng theo loại bảng</t>
        </is>
      </c>
      <c r="F467" s="48" t="inlineStr">
        <is>
          <t>N-A</t>
        </is>
      </c>
      <c r="G467" s="48" t="inlineStr">
        <is>
          <t>Pass</t>
        </is>
      </c>
      <c r="H467" s="50" t="inlineStr">
        <is>
          <t>khong ap dung cho profile UPLOAD_VIEW</t>
        </is>
      </c>
      <c r="I46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67" s="48" t="inlineStr">
        <is>
          <t>028. OCB_GOLD_TCKH_V_SLGD_HOP.xlsx [Script: V_SLGD]</t>
        </is>
      </c>
    </row>
    <row r="468">
      <c r="A468" s="48" t="inlineStr">
        <is>
          <t>TCKH.V_SLGD</t>
        </is>
      </c>
      <c r="B468" s="48" t="inlineStr">
        <is>
          <t>UPLOAD_VIEW</t>
        </is>
      </c>
      <c r="C468" s="48" t="inlineStr">
        <is>
          <t>2.5</t>
        </is>
      </c>
      <c r="D468" s="48" t="inlineStr">
        <is>
          <t>Nhom 2 - Logic</t>
        </is>
      </c>
      <c r="E468" s="48" t="inlineStr">
        <is>
          <t>Không lặp lại lỗi logic cũ đã được DA Data Vault fix</t>
        </is>
      </c>
      <c r="F468" s="49" t="inlineStr">
        <is>
          <t>PASS</t>
        </is>
      </c>
      <c r="G468" s="48" t="inlineStr">
        <is>
          <t>Pass</t>
        </is>
      </c>
      <c r="H468" s="50" t="inlineStr">
        <is>
          <t>không trùng lỗi nào trong Issue log của DA Data Vault</t>
        </is>
      </c>
      <c r="I46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68" s="48" t="inlineStr">
        <is>
          <t>028. OCB_GOLD_TCKH_V_SLGD_HOP.xlsx [Script: V_SLGD]</t>
        </is>
      </c>
    </row>
    <row r="469">
      <c r="A469" s="48" t="inlineStr">
        <is>
          <t>TCKH.V_SLGD</t>
        </is>
      </c>
      <c r="B469" s="48" t="inlineStr">
        <is>
          <t>UPLOAD_VIEW</t>
        </is>
      </c>
      <c r="C469" s="48" t="inlineStr">
        <is>
          <t>2.6</t>
        </is>
      </c>
      <c r="D469" s="48" t="inlineStr">
        <is>
          <t>Nhom 2 - Logic</t>
        </is>
      </c>
      <c r="E469" s="48" t="inlineStr">
        <is>
          <t>SCD Type 2 cho bảng DIM áp dụng đúng kỹ thuật đã thống nhất</t>
        </is>
      </c>
      <c r="F469" s="48" t="inlineStr">
        <is>
          <t>N-A</t>
        </is>
      </c>
      <c r="G469" s="48" t="inlineStr">
        <is>
          <t>Pass</t>
        </is>
      </c>
      <c r="H469" s="50" t="inlineStr">
        <is>
          <t>object không phải bảng DIM nên không áp dụng SCD Type 2</t>
        </is>
      </c>
      <c r="I46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69" s="48" t="inlineStr">
        <is>
          <t>028. OCB_GOLD_TCKH_V_SLGD_HOP.xlsx [Script: V_SLGD]</t>
        </is>
      </c>
    </row>
    <row r="470">
      <c r="A470" s="48" t="inlineStr">
        <is>
          <t>TCKH.V_SLGD</t>
        </is>
      </c>
      <c r="B470" s="48" t="inlineStr">
        <is>
          <t>UPLOAD_VIEW</t>
        </is>
      </c>
      <c r="C470" s="48" t="inlineStr">
        <is>
          <t>2.7</t>
        </is>
      </c>
      <c r="D470" s="48" t="inlineStr">
        <is>
          <t>Nhom 2 - Logic</t>
        </is>
      </c>
      <c r="E470" s="48" t="inlineStr">
        <is>
          <t>CASE WHEN cover đủ nhánh như job on-prem</t>
        </is>
      </c>
      <c r="F470" s="48" t="inlineStr">
        <is>
          <t>N-A</t>
        </is>
      </c>
      <c r="G470" s="48" t="inlineStr">
        <is>
          <t>Pass</t>
        </is>
      </c>
      <c r="H470" s="50" t="inlineStr">
        <is>
          <t>script không có CASE WHEN nào</t>
        </is>
      </c>
      <c r="I470" s="50" t="inlineStr">
        <is>
          <t>Mở job on-prem tương ứng (DataStage DSX hoặc SQL cũ), đối chiếu từng nhánh WHEN và cả nhánh ELSE. CASE không có ELSE sẽ trả NULL âm thầm — xác nhận đó là ý muốn hay thiếu nhánh.</t>
        </is>
      </c>
      <c r="J470" s="48" t="inlineStr">
        <is>
          <t>028. OCB_GOLD_TCKH_V_SLGD_HOP.xlsx [Script: V_SLGD]</t>
        </is>
      </c>
    </row>
    <row r="471">
      <c r="A471" s="48" t="inlineStr">
        <is>
          <t>TCKH.V_SLGD</t>
        </is>
      </c>
      <c r="B471" s="48" t="inlineStr">
        <is>
          <t>UPLOAD_VIEW</t>
        </is>
      </c>
      <c r="C471" s="48" t="inlineStr">
        <is>
          <t>2.8</t>
        </is>
      </c>
      <c r="D471" s="48" t="inlineStr">
        <is>
          <t>Nhom 2 - Logic</t>
        </is>
      </c>
      <c r="E471" s="48" t="inlineStr">
        <is>
          <t>Cột SUM/COUNT được COALESCE/NVL hợp lý</t>
        </is>
      </c>
      <c r="F471" s="51" t="inlineStr">
        <is>
          <t>WARN</t>
        </is>
      </c>
      <c r="G471" s="48" t="inlineStr">
        <is>
          <t>WARN</t>
        </is>
      </c>
      <c r="H471" s="50" t="inlineStr">
        <is>
          <t>1 biểu thức tổng hợp chưa coalesce: TOTAL_SLGD = SUM(SO_LUONG_GD); khi đối soát với hệ thống cũ phải bọc NVL/ISNULL CẢ HAI phía để không lệch khi trừ (Checklist RVN-OCB #11)</t>
        </is>
      </c>
      <c r="I47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71" s="48" t="inlineStr">
        <is>
          <t>028. OCB_GOLD_TCKH_V_SLGD_HOP.xlsx [Script: V_SLGD]</t>
        </is>
      </c>
    </row>
    <row r="472">
      <c r="A472" s="48" t="inlineStr">
        <is>
          <t>TCKH.V_SLGD</t>
        </is>
      </c>
      <c r="B472" s="48" t="inlineStr">
        <is>
          <t>UPLOAD_VIEW</t>
        </is>
      </c>
      <c r="C472" s="48" t="inlineStr">
        <is>
          <t>2.9</t>
        </is>
      </c>
      <c r="D472" s="48" t="inlineStr">
        <is>
          <t>Nhom 2 - Logic</t>
        </is>
      </c>
      <c r="E472" s="48" t="inlineStr">
        <is>
          <t>Subquery / custom function / điều kiện LIKE đúng ý nghĩa nghiệp vụ</t>
        </is>
      </c>
      <c r="F472" s="48" t="inlineStr">
        <is>
          <t>N-A</t>
        </is>
      </c>
      <c r="G472" s="48" t="inlineStr">
        <is>
          <t>Pass</t>
        </is>
      </c>
      <c r="H472" s="50" t="inlineStr">
        <is>
          <t>script không có điều kiện LIKE hay scalar subquery nào</t>
        </is>
      </c>
      <c r="I472" s="50" t="inlineStr">
        <is>
          <t>Đọc lại từng điều kiện LIKE và từng subquery, đối chiếu ý nghĩa nghiệp vụ với on-prem — đúng cú pháp không đủ. Chú ý pattern LIKE có ký tự % ở đầu/cuối và phân biệt chữ hoa/thường.</t>
        </is>
      </c>
      <c r="J472" s="48" t="inlineStr">
        <is>
          <t>028. OCB_GOLD_TCKH_V_SLGD_HOP.xlsx [Script: V_SLGD]</t>
        </is>
      </c>
    </row>
    <row r="473">
      <c r="A473" s="48" t="inlineStr">
        <is>
          <t>TCKH.V_SLGD</t>
        </is>
      </c>
      <c r="B473" s="48" t="inlineStr">
        <is>
          <t>UPLOAD_VIEW</t>
        </is>
      </c>
      <c r="C473" s="48" t="inlineStr">
        <is>
          <t>2.10</t>
        </is>
      </c>
      <c r="D473" s="48" t="inlineStr">
        <is>
          <t>Nhom 2 - Logic</t>
        </is>
      </c>
      <c r="E473" s="48" t="inlineStr">
        <is>
          <t>Aggregation kèm filter date range chính xác</t>
        </is>
      </c>
      <c r="F473" s="49" t="inlineStr">
        <is>
          <t>PASS</t>
        </is>
      </c>
      <c r="G473" s="48" t="inlineStr">
        <is>
          <t>Pass</t>
        </is>
      </c>
      <c r="H473" s="50" t="inlineStr">
        <is>
          <t>mọi khối tổng hợp đều có điều kiện theo kỳ dữ liệu</t>
        </is>
      </c>
      <c r="I473" s="50" t="inlineStr">
        <is>
          <t>Mỗi khối SUM/COUNT/AVG phải có điều kiện lọc theo kỳ dữ liệu (CDR_DT_ID, DATA_DATE, :DATADT…). Nếu điều kiện nằm ở CTE nguồn thì ghi rõ trong comment để người review không phải truy ngược.</t>
        </is>
      </c>
      <c r="J473" s="48" t="inlineStr">
        <is>
          <t>028. OCB_GOLD_TCKH_V_SLGD_HOP.xlsx [Script: V_SLGD]</t>
        </is>
      </c>
    </row>
    <row r="474">
      <c r="A474" s="48" t="inlineStr">
        <is>
          <t>TCKH.V_SLGD</t>
        </is>
      </c>
      <c r="B474" s="48" t="inlineStr">
        <is>
          <t>UPLOAD_VIEW</t>
        </is>
      </c>
      <c r="C474" s="48" t="inlineStr">
        <is>
          <t>2.11</t>
        </is>
      </c>
      <c r="D474" s="48" t="inlineStr">
        <is>
          <t>Nhom 2 - Logic</t>
        </is>
      </c>
      <c r="E474" s="48" t="inlineStr">
        <is>
          <t>Join dùng key hợp lý, không lạm dụng UNION ALL + EXISTS/NOT EXISTS</t>
        </is>
      </c>
      <c r="F474" s="49" t="inlineStr">
        <is>
          <t>PASS</t>
        </is>
      </c>
      <c r="G474" s="48" t="inlineStr">
        <is>
          <t>Pass</t>
        </is>
      </c>
      <c r="H474" s="50" t="inlineStr">
        <is>
          <t>join đều theo điều kiện bằng, không lạm dụng UNION ALL + EXISTS</t>
        </is>
      </c>
      <c r="I474" s="50" t="inlineStr">
        <is>
          <t>Ưu tiên LEFT JOIN theo business key hoặc hashkey. Xem lại các chỗ dùng UNION ALL kết hợp EXISTS/NOT EXISTS — thường thay được bằng một LEFT JOIN. Join không có điều kiện bằng (=) dễ tạo tích Descartes.</t>
        </is>
      </c>
      <c r="J474" s="48" t="inlineStr">
        <is>
          <t>028. OCB_GOLD_TCKH_V_SLGD_HOP.xlsx [Script: V_SLGD]</t>
        </is>
      </c>
    </row>
    <row r="475">
      <c r="A475" s="48" t="inlineStr">
        <is>
          <t>TCKH.V_SLGD</t>
        </is>
      </c>
      <c r="B475" s="48" t="inlineStr">
        <is>
          <t>UPLOAD_VIEW</t>
        </is>
      </c>
      <c r="C475" s="48" t="inlineStr">
        <is>
          <t>2.12</t>
        </is>
      </c>
      <c r="D475" s="48" t="inlineStr">
        <is>
          <t>Nhom 2 - Logic</t>
        </is>
      </c>
      <c r="E475" s="48" t="inlineStr">
        <is>
          <t>Build Gold từ CTE snapshot Silver, không build nhiều tầng chồng chéo</t>
        </is>
      </c>
      <c r="F475" s="48" t="inlineStr">
        <is>
          <t>N-A</t>
        </is>
      </c>
      <c r="G475" s="48" t="inlineStr">
        <is>
          <t>Pass</t>
        </is>
      </c>
      <c r="H475" s="50" t="inlineStr">
        <is>
          <t>khong ap dung cho profile UPLOAD_VIEW</t>
        </is>
      </c>
      <c r="I47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75" s="48" t="inlineStr">
        <is>
          <t>028. OCB_GOLD_TCKH_V_SLGD_HOP.xlsx [Script: V_SLGD]</t>
        </is>
      </c>
    </row>
    <row r="476">
      <c r="A476" s="48" t="inlineStr">
        <is>
          <t>TCKH.V_SLGD</t>
        </is>
      </c>
      <c r="B476" s="48" t="inlineStr">
        <is>
          <t>UPLOAD_VIEW</t>
        </is>
      </c>
      <c r="C476" s="48" t="inlineStr">
        <is>
          <t>3.1</t>
        </is>
      </c>
      <c r="D476" s="48" t="inlineStr">
        <is>
          <t>Nhom 3 - Optimization</t>
        </is>
      </c>
      <c r="E476" s="48" t="inlineStr">
        <is>
          <t>Không SELECT *</t>
        </is>
      </c>
      <c r="F476" s="49" t="inlineStr">
        <is>
          <t>PASS</t>
        </is>
      </c>
      <c r="G476" s="48" t="inlineStr">
        <is>
          <t>Pass</t>
        </is>
      </c>
      <c r="H476" s="50" t="inlineStr">
        <is>
          <t>không dùng SELECT * ở đâu</t>
        </is>
      </c>
      <c r="I476" s="50" t="inlineStr">
        <is>
          <t>Liệt kê tường minh các cột cần dùng, kể cả trong CTE trung gian. SELECT * làm tăng IO/memory và vỡ script khi bảng nguồn thêm cột.</t>
        </is>
      </c>
      <c r="J476" s="48" t="inlineStr">
        <is>
          <t>028. OCB_GOLD_TCKH_V_SLGD_HOP.xlsx [Script: V_SLGD]</t>
        </is>
      </c>
    </row>
    <row r="477">
      <c r="A477" s="48" t="inlineStr">
        <is>
          <t>TCKH.V_SLGD</t>
        </is>
      </c>
      <c r="B477" s="48" t="inlineStr">
        <is>
          <t>UPLOAD_VIEW</t>
        </is>
      </c>
      <c r="C477" s="48" t="inlineStr">
        <is>
          <t>3.2</t>
        </is>
      </c>
      <c r="D477" s="48" t="inlineStr">
        <is>
          <t>Nhom 3 - Optimization</t>
        </is>
      </c>
      <c r="E477" s="48" t="inlineStr">
        <is>
          <t>CTE không bị scan lại nhiều lần</t>
        </is>
      </c>
      <c r="F477" s="49" t="inlineStr">
        <is>
          <t>PASS</t>
        </is>
      </c>
      <c r="G477" s="48" t="inlineStr">
        <is>
          <t>Pass</t>
        </is>
      </c>
      <c r="H477" s="50" t="inlineStr">
        <is>
          <t>không có CTE nào bị gọi lại</t>
        </is>
      </c>
      <c r="I477" s="50" t="inlineStr">
        <is>
          <t>Với CTE nặng (đọc nhiều bảng Silver) bị tham chiếu từ 2 chỗ trở lên: gom lại còn một lần dùng, hoặc vật chất hóa (CACHE / bảng tạm). CTE nhẹ chỉ chứa tham số thì bỏ qua được — tự tick Pass.</t>
        </is>
      </c>
      <c r="J477" s="48" t="inlineStr">
        <is>
          <t>028. OCB_GOLD_TCKH_V_SLGD_HOP.xlsx [Script: V_SLGD]</t>
        </is>
      </c>
    </row>
    <row r="478">
      <c r="A478" s="48" t="inlineStr">
        <is>
          <t>TCKH.V_SLGD</t>
        </is>
      </c>
      <c r="B478" s="48" t="inlineStr">
        <is>
          <t>UPLOAD_VIEW</t>
        </is>
      </c>
      <c r="C478" s="48" t="inlineStr">
        <is>
          <t>3.3</t>
        </is>
      </c>
      <c r="D478" s="48" t="inlineStr">
        <is>
          <t>Nhom 3 - Optimization</t>
        </is>
      </c>
      <c r="E478" s="48" t="inlineStr">
        <is>
          <t>Filter trước khi join, tận dụng partition pruning</t>
        </is>
      </c>
      <c r="F478" s="48" t="inlineStr">
        <is>
          <t>N-A</t>
        </is>
      </c>
      <c r="G478" s="48" t="inlineStr">
        <is>
          <t>Pass</t>
        </is>
      </c>
      <c r="H478" s="50" t="inlineStr">
        <is>
          <t>khong ap dung cho profile UPLOAD_VIEW</t>
        </is>
      </c>
      <c r="I478" s="50" t="inlineStr">
        <is>
          <t>Đưa điều kiện lọc (ngày dữ liệu, trạng thái) vào subquery của từng bảng TRƯỚC khi join, để tận dụng partition pruning. Bảng dim nhỏ không partition thì không cần — tự tick Pass.</t>
        </is>
      </c>
      <c r="J478" s="48" t="inlineStr">
        <is>
          <t>028. OCB_GOLD_TCKH_V_SLGD_HOP.xlsx [Script: V_SLGD]</t>
        </is>
      </c>
    </row>
    <row r="479">
      <c r="A479" s="48" t="inlineStr">
        <is>
          <t>TCKH.V_SLGD</t>
        </is>
      </c>
      <c r="B479" s="48" t="inlineStr">
        <is>
          <t>UPLOAD_VIEW</t>
        </is>
      </c>
      <c r="C479" s="48" t="inlineStr">
        <is>
          <t>3.4</t>
        </is>
      </c>
      <c r="D479" s="48" t="inlineStr">
        <is>
          <t>Nhom 3 - Optimization</t>
        </is>
      </c>
      <c r="E479" s="48" t="inlineStr">
        <is>
          <t>Sử dụng CACHE cho query lặp lại trong cùng luồng</t>
        </is>
      </c>
      <c r="F479" s="48" t="inlineStr">
        <is>
          <t>N-A</t>
        </is>
      </c>
      <c r="G479" s="48" t="inlineStr">
        <is>
          <t>Pass</t>
        </is>
      </c>
      <c r="H479" s="50" t="inlineStr">
        <is>
          <t>không có kết quả nào được dùng lại nhiều lần nên chưa cần CACHE</t>
        </is>
      </c>
      <c r="I479" s="50" t="inlineStr">
        <is>
          <t>Nếu một kết quả nặng được dùng lại nhiều bước trong cùng luồng, thêm CACHE TABLE / CACHE SELECT. Kết quả nhỏ thì cache còn chậm hơn — tự tick Pass.</t>
        </is>
      </c>
      <c r="J479" s="48" t="inlineStr">
        <is>
          <t>028. OCB_GOLD_TCKH_V_SLGD_HOP.xlsx [Script: V_SLGD]</t>
        </is>
      </c>
    </row>
    <row r="480">
      <c r="A480" s="48" t="inlineStr">
        <is>
          <t>TCKH.V_SLGD</t>
        </is>
      </c>
      <c r="B480" s="48" t="inlineStr">
        <is>
          <t>UPLOAD_VIEW</t>
        </is>
      </c>
      <c r="C480" s="48" t="inlineStr">
        <is>
          <t>3.5</t>
        </is>
      </c>
      <c r="D480" s="48" t="inlineStr">
        <is>
          <t>Nhom 3 - Optimization</t>
        </is>
      </c>
      <c r="E480" s="48" t="inlineStr">
        <is>
          <t>Ưu tiên MAX_BY + QUALIFY thay ROW_NUMBER() + WHERE rn = 1</t>
        </is>
      </c>
      <c r="F480" s="48" t="inlineStr">
        <is>
          <t>N-A</t>
        </is>
      </c>
      <c r="G480" s="48" t="inlineStr">
        <is>
          <t>Pass</t>
        </is>
      </c>
      <c r="H480" s="50" t="inlineStr">
        <is>
          <t>script không dùng ROW_NUMBER</t>
        </is>
      </c>
      <c r="I48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80" s="48" t="inlineStr">
        <is>
          <t>028. OCB_GOLD_TCKH_V_SLGD_HOP.xlsx [Script: V_SLGD]</t>
        </is>
      </c>
    </row>
    <row r="481">
      <c r="A481" s="48" t="inlineStr">
        <is>
          <t>TCKH.V_SLGD</t>
        </is>
      </c>
      <c r="B481" s="48" t="inlineStr">
        <is>
          <t>UPLOAD_VIEW</t>
        </is>
      </c>
      <c r="C481" s="48" t="inlineStr">
        <is>
          <t>3.6</t>
        </is>
      </c>
      <c r="D481" s="48" t="inlineStr">
        <is>
          <t>Nhom 3 - Optimization</t>
        </is>
      </c>
      <c r="E481" s="48" t="inlineStr">
        <is>
          <t>Không lạm dụng window function; có comment khi dùng</t>
        </is>
      </c>
      <c r="F481" s="48" t="inlineStr">
        <is>
          <t>N-A</t>
        </is>
      </c>
      <c r="G481" s="48" t="inlineStr">
        <is>
          <t>Pass</t>
        </is>
      </c>
      <c r="H481" s="50" t="inlineStr">
        <is>
          <t>script không dùng window function</t>
        </is>
      </c>
      <c r="I481" s="50" t="inlineStr">
        <is>
          <t>Mỗi window function cần một comment ngay trên khối CTE chứa nó, nói rõ vì sao không dùng được max_by/QUALIFY đơn giản hơn.</t>
        </is>
      </c>
      <c r="J481" s="48" t="inlineStr">
        <is>
          <t>028. OCB_GOLD_TCKH_V_SLGD_HOP.xlsx [Script: V_SLGD]</t>
        </is>
      </c>
    </row>
    <row r="482">
      <c r="A482" s="48" t="inlineStr">
        <is>
          <t>TCKH.V_SLGD</t>
        </is>
      </c>
      <c r="B482" s="48" t="inlineStr">
        <is>
          <t>UPLOAD_VIEW</t>
        </is>
      </c>
      <c r="C482" s="48" t="inlineStr">
        <is>
          <t>X.1</t>
        </is>
      </c>
      <c r="D482" s="48" t="inlineStr">
        <is>
          <t>Nhom X - Bo sung Raffles</t>
        </is>
      </c>
      <c r="E482" s="48" t="inlineStr">
        <is>
          <t>[Bổ sung] Link phải rút về current trước khi join (chống fan-out)</t>
        </is>
      </c>
      <c r="F482" s="48" t="inlineStr">
        <is>
          <t>N-A</t>
        </is>
      </c>
      <c r="G482" s="48" t="inlineStr">
        <is>
          <t>Pass</t>
        </is>
      </c>
      <c r="H482" s="50" t="inlineStr">
        <is>
          <t>khong ap dung cho profile UPLOAD_VIEW</t>
        </is>
      </c>
      <c r="I48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82" s="48" t="inlineStr">
        <is>
          <t>028. OCB_GOLD_TCKH_V_SLGD_HOP.xlsx [Script: V_SLGD]</t>
        </is>
      </c>
    </row>
    <row r="483">
      <c r="A483" s="48" t="inlineStr">
        <is>
          <t>TCKH.V_SLGD</t>
        </is>
      </c>
      <c r="B483" s="48" t="inlineStr">
        <is>
          <t>UPLOAD_VIEW</t>
        </is>
      </c>
      <c r="C483" s="48" t="inlineStr">
        <is>
          <t>X.6</t>
        </is>
      </c>
      <c r="D483" s="48" t="inlineStr">
        <is>
          <t>Nhom X - Bo sung Raffles</t>
        </is>
      </c>
      <c r="E483" s="48" t="inlineStr">
        <is>
          <t>[Bổ sung] Satellite phải LEFT JOIN, không INNER JOIN</t>
        </is>
      </c>
      <c r="F483" s="48" t="inlineStr">
        <is>
          <t>N-A</t>
        </is>
      </c>
      <c r="G483" s="48" t="inlineStr">
        <is>
          <t>Pass</t>
        </is>
      </c>
      <c r="H483" s="50" t="inlineStr">
        <is>
          <t>khong ap dung cho profile UPLOAD_VIEW</t>
        </is>
      </c>
      <c r="I483" s="50" t="inlineStr">
        <is>
          <t>Technical Document III.4.2.2 nguyên tắc 1: làm giàu thuộc tính luôn dùng LEFT JOIN. INNER JOIN satellite sẽ loại mất bản ghi Hub đang còn hiệu lực nhưng chưa có dòng satellite.</t>
        </is>
      </c>
      <c r="J483" s="48" t="inlineStr">
        <is>
          <t>028. OCB_GOLD_TCKH_V_SLGD_HOP.xlsx [Script: V_SLGD]</t>
        </is>
      </c>
    </row>
    <row r="484">
      <c r="A484" s="48" t="inlineStr">
        <is>
          <t>TCKH.V_SLGD</t>
        </is>
      </c>
      <c r="B484" s="48" t="inlineStr">
        <is>
          <t>UPLOAD_VIEW</t>
        </is>
      </c>
      <c r="C484" s="48" t="inlineStr">
        <is>
          <t>X.7</t>
        </is>
      </c>
      <c r="D484" s="48" t="inlineStr">
        <is>
          <t>Nhom X - Bo sung Raffles</t>
        </is>
      </c>
      <c r="E484" s="48" t="inlineStr">
        <is>
          <t>[Bổ sung] Không hard-code catalog, dùng biến môi trường</t>
        </is>
      </c>
      <c r="F484" s="48" t="inlineStr">
        <is>
          <t>N-A</t>
        </is>
      </c>
      <c r="G484" s="48" t="inlineStr">
        <is>
          <t>Pass</t>
        </is>
      </c>
      <c r="H484" s="50" t="inlineStr">
        <is>
          <t>khong ap dung cho profile UPLOAD_VIEW</t>
        </is>
      </c>
      <c r="I48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84" s="48" t="inlineStr">
        <is>
          <t>028. OCB_GOLD_TCKH_V_SLGD_HOP.xlsx [Script: V_SLGD]</t>
        </is>
      </c>
    </row>
    <row r="485">
      <c r="A485" s="48" t="inlineStr">
        <is>
          <t>TCKH.V_SLNV_UPL</t>
        </is>
      </c>
      <c r="B485" s="48" t="inlineStr">
        <is>
          <t>UPLOAD_VIEW</t>
        </is>
      </c>
      <c r="C485" s="48" t="inlineStr">
        <is>
          <t>1.1</t>
        </is>
      </c>
      <c r="D485" s="48" t="inlineStr">
        <is>
          <t>Nhom 1 - Mapping</t>
        </is>
      </c>
      <c r="E485" s="48" t="inlineStr">
        <is>
          <t>Đầy đủ mapping từ Silver/manual sang Gold</t>
        </is>
      </c>
      <c r="F485" s="49" t="inlineStr">
        <is>
          <t>PASS</t>
        </is>
      </c>
      <c r="G485" s="48" t="inlineStr">
        <is>
          <t>Pass</t>
        </is>
      </c>
      <c r="H485" s="50" t="inlineStr">
        <is>
          <t>workbook 029. OCB_GOLD_TCKH_V_SLNV_UPL_HOP.xlsx: thiết kế 11 field, SQL có 11 cột</t>
        </is>
      </c>
      <c r="I485"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85" s="48" t="inlineStr">
        <is>
          <t>029. OCB_GOLD_TCKH_V_SLNV_UPL_HOP.xlsx [script: V_SLNV_UPL]</t>
        </is>
      </c>
    </row>
    <row r="486">
      <c r="A486" s="48" t="inlineStr">
        <is>
          <t>TCKH.V_SLNV_UPL</t>
        </is>
      </c>
      <c r="B486" s="48" t="inlineStr">
        <is>
          <t>UPLOAD_VIEW</t>
        </is>
      </c>
      <c r="C486" s="48" t="inlineStr">
        <is>
          <t>1.2</t>
        </is>
      </c>
      <c r="D486" s="48" t="inlineStr">
        <is>
          <t>Nhom 1 - Mapping</t>
        </is>
      </c>
      <c r="E486" s="48" t="inlineStr">
        <is>
          <t>Danh sách bảng/view Gold khớp tài liệu thiết kế đã duyệt</t>
        </is>
      </c>
      <c r="F486" s="49" t="inlineStr">
        <is>
          <t>PASS</t>
        </is>
      </c>
      <c r="G486" s="48" t="inlineStr">
        <is>
          <t>Pass</t>
        </is>
      </c>
      <c r="H486" s="50" t="inlineStr">
        <is>
          <t>V_SLNV_UPL có workbook thiết kế: 029. OCB_GOLD_TCKH_V_SLNV_UPL_HOP.xlsx</t>
        </is>
      </c>
      <c r="I486" s="50" t="inlineStr">
        <is>
          <t>Đảm bảo object có workbook thiết kế tương ứng trong thư mục --mapping-dir. Muốn đối chiếu với danh sách đã duyệt thì chạy thêm tham số --gold-list "&lt;file danh sách Gold&gt;.xlsx".</t>
        </is>
      </c>
      <c r="J486" s="48" t="inlineStr">
        <is>
          <t>029. OCB_GOLD_TCKH_V_SLNV_UPL_HOP.xlsx [script: V_SLNV_UPL]</t>
        </is>
      </c>
    </row>
    <row r="487">
      <c r="A487" s="48" t="inlineStr">
        <is>
          <t>TCKH.V_SLNV_UPL</t>
        </is>
      </c>
      <c r="B487" s="48" t="inlineStr">
        <is>
          <t>UPLOAD_VIEW</t>
        </is>
      </c>
      <c r="C487" s="48" t="inlineStr">
        <is>
          <t>2.1</t>
        </is>
      </c>
      <c r="D487" s="48" t="inlineStr">
        <is>
          <t>Nhom 2 - Logic</t>
        </is>
      </c>
      <c r="E487" s="48" t="inlineStr">
        <is>
          <t>Chỉ lấy bản ghi active, loại bản ghi đã xóa (qua sts_hub)</t>
        </is>
      </c>
      <c r="F487" s="48" t="inlineStr">
        <is>
          <t>N-A</t>
        </is>
      </c>
      <c r="G487" s="48" t="inlineStr">
        <is>
          <t>Pass</t>
        </is>
      </c>
      <c r="H487" s="50" t="inlineStr">
        <is>
          <t>khong ap dung cho profile UPLOAD_VIEW</t>
        </is>
      </c>
      <c r="I487"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87" s="48" t="inlineStr">
        <is>
          <t>029. OCB_GOLD_TCKH_V_SLNV_UPL_HOP.xlsx [script: V_SLNV_UPL]</t>
        </is>
      </c>
    </row>
    <row r="488">
      <c r="A488" s="48" t="inlineStr">
        <is>
          <t>TCKH.V_SLNV_UPL</t>
        </is>
      </c>
      <c r="B488" s="48" t="inlineStr">
        <is>
          <t>UPLOAD_VIEW</t>
        </is>
      </c>
      <c r="C488" s="48" t="inlineStr">
        <is>
          <t>2.2</t>
        </is>
      </c>
      <c r="D488" s="48" t="inlineStr">
        <is>
          <t>Nhom 2 - Logic</t>
        </is>
      </c>
      <c r="E488" s="48" t="inlineStr">
        <is>
          <t>Thống nhất MỘT pattern duy nhất xác định bản ghi active mới nhất</t>
        </is>
      </c>
      <c r="F488" s="48" t="inlineStr">
        <is>
          <t>N-A</t>
        </is>
      </c>
      <c r="G488" s="48" t="inlineStr">
        <is>
          <t>Pass</t>
        </is>
      </c>
      <c r="H488" s="50" t="inlineStr">
        <is>
          <t>khong ap dung cho profile UPLOAD_VIEW</t>
        </is>
      </c>
      <c r="I488"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88" s="48" t="inlineStr">
        <is>
          <t>029. OCB_GOLD_TCKH_V_SLNV_UPL_HOP.xlsx [script: V_SLNV_UPL]</t>
        </is>
      </c>
    </row>
    <row r="489">
      <c r="A489" s="48" t="inlineStr">
        <is>
          <t>TCKH.V_SLNV_UPL</t>
        </is>
      </c>
      <c r="B489" s="48" t="inlineStr">
        <is>
          <t>UPLOAD_VIEW</t>
        </is>
      </c>
      <c r="C489" s="48" t="inlineStr">
        <is>
          <t>2.3</t>
        </is>
      </c>
      <c r="D489" s="48" t="inlineStr">
        <is>
          <t>Nhom 2 - Logic</t>
        </is>
      </c>
      <c r="E489" s="48" t="inlineStr">
        <is>
          <t>Điều kiện lọc trạng thái đặt SAU khi xác định bản ghi mới nhất</t>
        </is>
      </c>
      <c r="F489" s="48" t="inlineStr">
        <is>
          <t>N-A</t>
        </is>
      </c>
      <c r="G489" s="48" t="inlineStr">
        <is>
          <t>Pass</t>
        </is>
      </c>
      <c r="H489" s="50" t="inlineStr">
        <is>
          <t>khong ap dung cho profile UPLOAD_VIEW</t>
        </is>
      </c>
      <c r="I489"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89" s="48" t="inlineStr">
        <is>
          <t>029. OCB_GOLD_TCKH_V_SLNV_UPL_HOP.xlsx [script: V_SLNV_UPL]</t>
        </is>
      </c>
    </row>
    <row r="490">
      <c r="A490" s="48" t="inlineStr">
        <is>
          <t>TCKH.V_SLNV_UPL</t>
        </is>
      </c>
      <c r="B490" s="48" t="inlineStr">
        <is>
          <t>UPLOAD_VIEW</t>
        </is>
      </c>
      <c r="C490" s="48" t="inlineStr">
        <is>
          <t>2.4</t>
        </is>
      </c>
      <c r="D490" s="48" t="inlineStr">
        <is>
          <t>Nhom 2 - Logic</t>
        </is>
      </c>
      <c r="E490" s="48" t="inlineStr">
        <is>
          <t>source_event_date áp dụng đúng dạng theo loại bảng</t>
        </is>
      </c>
      <c r="F490" s="48" t="inlineStr">
        <is>
          <t>N-A</t>
        </is>
      </c>
      <c r="G490" s="48" t="inlineStr">
        <is>
          <t>Pass</t>
        </is>
      </c>
      <c r="H490" s="50" t="inlineStr">
        <is>
          <t>khong ap dung cho profile UPLOAD_VIEW</t>
        </is>
      </c>
      <c r="I490"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90" s="48" t="inlineStr">
        <is>
          <t>029. OCB_GOLD_TCKH_V_SLNV_UPL_HOP.xlsx [script: V_SLNV_UPL]</t>
        </is>
      </c>
    </row>
    <row r="491">
      <c r="A491" s="48" t="inlineStr">
        <is>
          <t>TCKH.V_SLNV_UPL</t>
        </is>
      </c>
      <c r="B491" s="48" t="inlineStr">
        <is>
          <t>UPLOAD_VIEW</t>
        </is>
      </c>
      <c r="C491" s="48" t="inlineStr">
        <is>
          <t>2.5</t>
        </is>
      </c>
      <c r="D491" s="48" t="inlineStr">
        <is>
          <t>Nhom 2 - Logic</t>
        </is>
      </c>
      <c r="E491" s="48" t="inlineStr">
        <is>
          <t>Không lặp lại lỗi logic cũ đã được DA Data Vault fix</t>
        </is>
      </c>
      <c r="F491" s="49" t="inlineStr">
        <is>
          <t>PASS</t>
        </is>
      </c>
      <c r="G491" s="48" t="inlineStr">
        <is>
          <t>Pass</t>
        </is>
      </c>
      <c r="H491" s="50" t="inlineStr">
        <is>
          <t>không trùng lỗi nào trong Issue log của DA Data Vault</t>
        </is>
      </c>
      <c r="I491"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91" s="48" t="inlineStr">
        <is>
          <t>029. OCB_GOLD_TCKH_V_SLNV_UPL_HOP.xlsx [script: V_SLNV_UPL]</t>
        </is>
      </c>
    </row>
    <row r="492">
      <c r="A492" s="48" t="inlineStr">
        <is>
          <t>TCKH.V_SLNV_UPL</t>
        </is>
      </c>
      <c r="B492" s="48" t="inlineStr">
        <is>
          <t>UPLOAD_VIEW</t>
        </is>
      </c>
      <c r="C492" s="48" t="inlineStr">
        <is>
          <t>2.6</t>
        </is>
      </c>
      <c r="D492" s="48" t="inlineStr">
        <is>
          <t>Nhom 2 - Logic</t>
        </is>
      </c>
      <c r="E492" s="48" t="inlineStr">
        <is>
          <t>SCD Type 2 cho bảng DIM áp dụng đúng kỹ thuật đã thống nhất</t>
        </is>
      </c>
      <c r="F492" s="48" t="inlineStr">
        <is>
          <t>N-A</t>
        </is>
      </c>
      <c r="G492" s="48" t="inlineStr">
        <is>
          <t>Pass</t>
        </is>
      </c>
      <c r="H492" s="50" t="inlineStr">
        <is>
          <t>object không phải bảng DIM nên không áp dụng SCD Type 2</t>
        </is>
      </c>
      <c r="I492"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92" s="48" t="inlineStr">
        <is>
          <t>029. OCB_GOLD_TCKH_V_SLNV_UPL_HOP.xlsx [script: V_SLNV_UPL]</t>
        </is>
      </c>
    </row>
    <row r="493">
      <c r="A493" s="48" t="inlineStr">
        <is>
          <t>TCKH.V_SLNV_UPL</t>
        </is>
      </c>
      <c r="B493" s="48" t="inlineStr">
        <is>
          <t>UPLOAD_VIEW</t>
        </is>
      </c>
      <c r="C493" s="48" t="inlineStr">
        <is>
          <t>2.7</t>
        </is>
      </c>
      <c r="D493" s="48" t="inlineStr">
        <is>
          <t>Nhom 2 - Logic</t>
        </is>
      </c>
      <c r="E493" s="48" t="inlineStr">
        <is>
          <t>CASE WHEN cover đủ nhánh như job on-prem</t>
        </is>
      </c>
      <c r="F493" s="49" t="inlineStr">
        <is>
          <t>PASS</t>
        </is>
      </c>
      <c r="G493" s="48" t="inlineStr">
        <is>
          <t>Pass</t>
        </is>
      </c>
      <c r="H493" s="50" t="inlineStr">
        <is>
          <t>cả 2 CASE đều có nhánh ELSE</t>
        </is>
      </c>
      <c r="I493" s="50" t="inlineStr">
        <is>
          <t>Mở job on-prem tương ứng (DataStage DSX hoặc SQL cũ), đối chiếu từng nhánh WHEN và cả nhánh ELSE. CASE không có ELSE sẽ trả NULL âm thầm — xác nhận đó là ý muốn hay thiếu nhánh.</t>
        </is>
      </c>
      <c r="J493" s="48" t="inlineStr">
        <is>
          <t>029. OCB_GOLD_TCKH_V_SLNV_UPL_HOP.xlsx [script: V_SLNV_UPL]</t>
        </is>
      </c>
    </row>
    <row r="494">
      <c r="A494" s="48" t="inlineStr">
        <is>
          <t>TCKH.V_SLNV_UPL</t>
        </is>
      </c>
      <c r="B494" s="48" t="inlineStr">
        <is>
          <t>UPLOAD_VIEW</t>
        </is>
      </c>
      <c r="C494" s="48" t="inlineStr">
        <is>
          <t>2.8</t>
        </is>
      </c>
      <c r="D494" s="48" t="inlineStr">
        <is>
          <t>Nhom 2 - Logic</t>
        </is>
      </c>
      <c r="E494" s="48" t="inlineStr">
        <is>
          <t>Cột SUM/COUNT được COALESCE/NVL hợp lý</t>
        </is>
      </c>
      <c r="F494" s="51" t="inlineStr">
        <is>
          <t>WARN</t>
        </is>
      </c>
      <c r="G494" s="48" t="inlineStr">
        <is>
          <t>WARN</t>
        </is>
      </c>
      <c r="H494" s="50" t="inlineStr">
        <is>
          <t>4 biểu thức tổng hợp chưa coalesce: TotalByBranchCode = SUM(S.SO_LUONG); TotalByKVQL = SUM(S.SO_LUONG); TotalByPRNCode = SUM(S.SO_LUONG); TotalByPhong = SUM(S.SO_LUONG); khi đối soát với hệ thống cũ phải bọc NVL/ISNULL CẢ HAI phía để không lệch khi trừ (Checklist RVN-OCB #11)</t>
        </is>
      </c>
      <c r="I494"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94" s="48" t="inlineStr">
        <is>
          <t>029. OCB_GOLD_TCKH_V_SLNV_UPL_HOP.xlsx [script: V_SLNV_UPL]</t>
        </is>
      </c>
    </row>
    <row r="495">
      <c r="A495" s="48" t="inlineStr">
        <is>
          <t>TCKH.V_SLNV_UPL</t>
        </is>
      </c>
      <c r="B495" s="48" t="inlineStr">
        <is>
          <t>UPLOAD_VIEW</t>
        </is>
      </c>
      <c r="C495" s="48" t="inlineStr">
        <is>
          <t>2.9</t>
        </is>
      </c>
      <c r="D495" s="48" t="inlineStr">
        <is>
          <t>Nhom 2 - Logic</t>
        </is>
      </c>
      <c r="E495" s="48" t="inlineStr">
        <is>
          <t>Subquery / custom function / điều kiện LIKE đúng ý nghĩa nghiệp vụ</t>
        </is>
      </c>
      <c r="F495" s="48" t="inlineStr">
        <is>
          <t>N-A</t>
        </is>
      </c>
      <c r="G495" s="48" t="inlineStr">
        <is>
          <t>Pass</t>
        </is>
      </c>
      <c r="H495" s="50" t="inlineStr">
        <is>
          <t>script không có điều kiện LIKE hay scalar subquery nào</t>
        </is>
      </c>
      <c r="I495" s="50" t="inlineStr">
        <is>
          <t>Đọc lại từng điều kiện LIKE và từng subquery, đối chiếu ý nghĩa nghiệp vụ với on-prem — đúng cú pháp không đủ. Chú ý pattern LIKE có ký tự % ở đầu/cuối và phân biệt chữ hoa/thường.</t>
        </is>
      </c>
      <c r="J495" s="48" t="inlineStr">
        <is>
          <t>029. OCB_GOLD_TCKH_V_SLNV_UPL_HOP.xlsx [script: V_SLNV_UPL]</t>
        </is>
      </c>
    </row>
    <row r="496">
      <c r="A496" s="48" t="inlineStr">
        <is>
          <t>TCKH.V_SLNV_UPL</t>
        </is>
      </c>
      <c r="B496" s="48" t="inlineStr">
        <is>
          <t>UPLOAD_VIEW</t>
        </is>
      </c>
      <c r="C496" s="48" t="inlineStr">
        <is>
          <t>2.10</t>
        </is>
      </c>
      <c r="D496" s="48" t="inlineStr">
        <is>
          <t>Nhom 2 - Logic</t>
        </is>
      </c>
      <c r="E496" s="48" t="inlineStr">
        <is>
          <t>Aggregation kèm filter date range chính xác</t>
        </is>
      </c>
      <c r="F496" s="49" t="inlineStr">
        <is>
          <t>PASS</t>
        </is>
      </c>
      <c r="G496" s="48" t="inlineStr">
        <is>
          <t>Pass</t>
        </is>
      </c>
      <c r="H496" s="50" t="inlineStr">
        <is>
          <t>mọi khối tổng hợp đều có điều kiện theo kỳ dữ liệu</t>
        </is>
      </c>
      <c r="I496" s="50" t="inlineStr">
        <is>
          <t>Mỗi khối SUM/COUNT/AVG phải có điều kiện lọc theo kỳ dữ liệu (CDR_DT_ID, DATA_DATE, :DATADT…). Nếu điều kiện nằm ở CTE nguồn thì ghi rõ trong comment để người review không phải truy ngược.</t>
        </is>
      </c>
      <c r="J496" s="48" t="inlineStr">
        <is>
          <t>029. OCB_GOLD_TCKH_V_SLNV_UPL_HOP.xlsx [script: V_SLNV_UPL]</t>
        </is>
      </c>
    </row>
    <row r="497">
      <c r="A497" s="48" t="inlineStr">
        <is>
          <t>TCKH.V_SLNV_UPL</t>
        </is>
      </c>
      <c r="B497" s="48" t="inlineStr">
        <is>
          <t>UPLOAD_VIEW</t>
        </is>
      </c>
      <c r="C497" s="48" t="inlineStr">
        <is>
          <t>2.11</t>
        </is>
      </c>
      <c r="D497" s="48" t="inlineStr">
        <is>
          <t>Nhom 2 - Logic</t>
        </is>
      </c>
      <c r="E497" s="48" t="inlineStr">
        <is>
          <t>Join dùng key hợp lý, không lạm dụng UNION ALL + EXISTS/NOT EXISTS</t>
        </is>
      </c>
      <c r="F497" s="49" t="inlineStr">
        <is>
          <t>PASS</t>
        </is>
      </c>
      <c r="G497" s="48" t="inlineStr">
        <is>
          <t>Pass</t>
        </is>
      </c>
      <c r="H497" s="50" t="inlineStr">
        <is>
          <t>join đều theo điều kiện bằng, không lạm dụng UNION ALL + EXISTS</t>
        </is>
      </c>
      <c r="I497" s="50" t="inlineStr">
        <is>
          <t>Ưu tiên LEFT JOIN theo business key hoặc hashkey. Xem lại các chỗ dùng UNION ALL kết hợp EXISTS/NOT EXISTS — thường thay được bằng một LEFT JOIN. Join không có điều kiện bằng (=) dễ tạo tích Descartes.</t>
        </is>
      </c>
      <c r="J497" s="48" t="inlineStr">
        <is>
          <t>029. OCB_GOLD_TCKH_V_SLNV_UPL_HOP.xlsx [script: V_SLNV_UPL]</t>
        </is>
      </c>
    </row>
    <row r="498">
      <c r="A498" s="48" t="inlineStr">
        <is>
          <t>TCKH.V_SLNV_UPL</t>
        </is>
      </c>
      <c r="B498" s="48" t="inlineStr">
        <is>
          <t>UPLOAD_VIEW</t>
        </is>
      </c>
      <c r="C498" s="48" t="inlineStr">
        <is>
          <t>2.12</t>
        </is>
      </c>
      <c r="D498" s="48" t="inlineStr">
        <is>
          <t>Nhom 2 - Logic</t>
        </is>
      </c>
      <c r="E498" s="48" t="inlineStr">
        <is>
          <t>Build Gold từ CTE snapshot Silver, không build nhiều tầng chồng chéo</t>
        </is>
      </c>
      <c r="F498" s="48" t="inlineStr">
        <is>
          <t>N-A</t>
        </is>
      </c>
      <c r="G498" s="48" t="inlineStr">
        <is>
          <t>Pass</t>
        </is>
      </c>
      <c r="H498" s="50" t="inlineStr">
        <is>
          <t>khong ap dung cho profile UPLOAD_VIEW</t>
        </is>
      </c>
      <c r="I498"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98" s="48" t="inlineStr">
        <is>
          <t>029. OCB_GOLD_TCKH_V_SLNV_UPL_HOP.xlsx [script: V_SLNV_UPL]</t>
        </is>
      </c>
    </row>
    <row r="499">
      <c r="A499" s="48" t="inlineStr">
        <is>
          <t>TCKH.V_SLNV_UPL</t>
        </is>
      </c>
      <c r="B499" s="48" t="inlineStr">
        <is>
          <t>UPLOAD_VIEW</t>
        </is>
      </c>
      <c r="C499" s="48" t="inlineStr">
        <is>
          <t>3.1</t>
        </is>
      </c>
      <c r="D499" s="48" t="inlineStr">
        <is>
          <t>Nhom 3 - Optimization</t>
        </is>
      </c>
      <c r="E499" s="48" t="inlineStr">
        <is>
          <t>Không SELECT *</t>
        </is>
      </c>
      <c r="F499" s="49" t="inlineStr">
        <is>
          <t>PASS</t>
        </is>
      </c>
      <c r="G499" s="48" t="inlineStr">
        <is>
          <t>Pass</t>
        </is>
      </c>
      <c r="H499" s="50" t="inlineStr">
        <is>
          <t>không dùng SELECT * ở đâu</t>
        </is>
      </c>
      <c r="I499" s="50" t="inlineStr">
        <is>
          <t>Liệt kê tường minh các cột cần dùng, kể cả trong CTE trung gian. SELECT * làm tăng IO/memory và vỡ script khi bảng nguồn thêm cột.</t>
        </is>
      </c>
      <c r="J499" s="48" t="inlineStr">
        <is>
          <t>029. OCB_GOLD_TCKH_V_SLNV_UPL_HOP.xlsx [script: V_SLNV_UPL]</t>
        </is>
      </c>
    </row>
    <row r="500">
      <c r="A500" s="48" t="inlineStr">
        <is>
          <t>TCKH.V_SLNV_UPL</t>
        </is>
      </c>
      <c r="B500" s="48" t="inlineStr">
        <is>
          <t>UPLOAD_VIEW</t>
        </is>
      </c>
      <c r="C500" s="48" t="inlineStr">
        <is>
          <t>3.2</t>
        </is>
      </c>
      <c r="D500" s="48" t="inlineStr">
        <is>
          <t>Nhom 3 - Optimization</t>
        </is>
      </c>
      <c r="E500" s="48" t="inlineStr">
        <is>
          <t>CTE không bị scan lại nhiều lần</t>
        </is>
      </c>
      <c r="F500" s="49" t="inlineStr">
        <is>
          <t>PASS</t>
        </is>
      </c>
      <c r="G500" s="48" t="inlineStr">
        <is>
          <t>Pass</t>
        </is>
      </c>
      <c r="H500" s="50" t="inlineStr">
        <is>
          <t>không có CTE nào bị gọi lại</t>
        </is>
      </c>
      <c r="I500" s="50" t="inlineStr">
        <is>
          <t>Với CTE nặng (đọc nhiều bảng Silver) bị tham chiếu từ 2 chỗ trở lên: gom lại còn một lần dùng, hoặc vật chất hóa (CACHE / bảng tạm). CTE nhẹ chỉ chứa tham số thì bỏ qua được — tự tick Pass.</t>
        </is>
      </c>
      <c r="J500" s="48" t="inlineStr">
        <is>
          <t>029. OCB_GOLD_TCKH_V_SLNV_UPL_HOP.xlsx [script: V_SLNV_UPL]</t>
        </is>
      </c>
    </row>
    <row r="501">
      <c r="A501" s="48" t="inlineStr">
        <is>
          <t>TCKH.V_SLNV_UPL</t>
        </is>
      </c>
      <c r="B501" s="48" t="inlineStr">
        <is>
          <t>UPLOAD_VIEW</t>
        </is>
      </c>
      <c r="C501" s="48" t="inlineStr">
        <is>
          <t>3.3</t>
        </is>
      </c>
      <c r="D501" s="48" t="inlineStr">
        <is>
          <t>Nhom 3 - Optimization</t>
        </is>
      </c>
      <c r="E501" s="48" t="inlineStr">
        <is>
          <t>Filter trước khi join, tận dụng partition pruning</t>
        </is>
      </c>
      <c r="F501" s="48" t="inlineStr">
        <is>
          <t>N-A</t>
        </is>
      </c>
      <c r="G501" s="48" t="inlineStr">
        <is>
          <t>Pass</t>
        </is>
      </c>
      <c r="H501" s="50" t="inlineStr">
        <is>
          <t>khong ap dung cho profile UPLOAD_VIEW</t>
        </is>
      </c>
      <c r="I501" s="50" t="inlineStr">
        <is>
          <t>Đưa điều kiện lọc (ngày dữ liệu, trạng thái) vào subquery của từng bảng TRƯỚC khi join, để tận dụng partition pruning. Bảng dim nhỏ không partition thì không cần — tự tick Pass.</t>
        </is>
      </c>
      <c r="J501" s="48" t="inlineStr">
        <is>
          <t>029. OCB_GOLD_TCKH_V_SLNV_UPL_HOP.xlsx [script: V_SLNV_UPL]</t>
        </is>
      </c>
    </row>
    <row r="502">
      <c r="A502" s="48" t="inlineStr">
        <is>
          <t>TCKH.V_SLNV_UPL</t>
        </is>
      </c>
      <c r="B502" s="48" t="inlineStr">
        <is>
          <t>UPLOAD_VIEW</t>
        </is>
      </c>
      <c r="C502" s="48" t="inlineStr">
        <is>
          <t>3.4</t>
        </is>
      </c>
      <c r="D502" s="48" t="inlineStr">
        <is>
          <t>Nhom 3 - Optimization</t>
        </is>
      </c>
      <c r="E502" s="48" t="inlineStr">
        <is>
          <t>Sử dụng CACHE cho query lặp lại trong cùng luồng</t>
        </is>
      </c>
      <c r="F502" s="48" t="inlineStr">
        <is>
          <t>N-A</t>
        </is>
      </c>
      <c r="G502" s="48" t="inlineStr">
        <is>
          <t>Pass</t>
        </is>
      </c>
      <c r="H502" s="50" t="inlineStr">
        <is>
          <t>không có kết quả nào được dùng lại nhiều lần nên chưa cần CACHE</t>
        </is>
      </c>
      <c r="I502" s="50" t="inlineStr">
        <is>
          <t>Nếu một kết quả nặng được dùng lại nhiều bước trong cùng luồng, thêm CACHE TABLE / CACHE SELECT. Kết quả nhỏ thì cache còn chậm hơn — tự tick Pass.</t>
        </is>
      </c>
      <c r="J502" s="48" t="inlineStr">
        <is>
          <t>029. OCB_GOLD_TCKH_V_SLNV_UPL_HOP.xlsx [script: V_SLNV_UPL]</t>
        </is>
      </c>
    </row>
    <row r="503">
      <c r="A503" s="48" t="inlineStr">
        <is>
          <t>TCKH.V_SLNV_UPL</t>
        </is>
      </c>
      <c r="B503" s="48" t="inlineStr">
        <is>
          <t>UPLOAD_VIEW</t>
        </is>
      </c>
      <c r="C503" s="48" t="inlineStr">
        <is>
          <t>3.5</t>
        </is>
      </c>
      <c r="D503" s="48" t="inlineStr">
        <is>
          <t>Nhom 3 - Optimization</t>
        </is>
      </c>
      <c r="E503" s="48" t="inlineStr">
        <is>
          <t>Ưu tiên MAX_BY + QUALIFY thay ROW_NUMBER() + WHERE rn = 1</t>
        </is>
      </c>
      <c r="F503" s="48" t="inlineStr">
        <is>
          <t>N-A</t>
        </is>
      </c>
      <c r="G503" s="48" t="inlineStr">
        <is>
          <t>Pass</t>
        </is>
      </c>
      <c r="H503" s="50" t="inlineStr">
        <is>
          <t>script không dùng ROW_NUMBER</t>
        </is>
      </c>
      <c r="I503"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03" s="48" t="inlineStr">
        <is>
          <t>029. OCB_GOLD_TCKH_V_SLNV_UPL_HOP.xlsx [script: V_SLNV_UPL]</t>
        </is>
      </c>
    </row>
    <row r="504">
      <c r="A504" s="48" t="inlineStr">
        <is>
          <t>TCKH.V_SLNV_UPL</t>
        </is>
      </c>
      <c r="B504" s="48" t="inlineStr">
        <is>
          <t>UPLOAD_VIEW</t>
        </is>
      </c>
      <c r="C504" s="48" t="inlineStr">
        <is>
          <t>3.6</t>
        </is>
      </c>
      <c r="D504" s="48" t="inlineStr">
        <is>
          <t>Nhom 3 - Optimization</t>
        </is>
      </c>
      <c r="E504" s="48" t="inlineStr">
        <is>
          <t>Không lạm dụng window function; có comment khi dùng</t>
        </is>
      </c>
      <c r="F504" s="48" t="inlineStr">
        <is>
          <t>N-A</t>
        </is>
      </c>
      <c r="G504" s="48" t="inlineStr">
        <is>
          <t>Pass</t>
        </is>
      </c>
      <c r="H504" s="50" t="inlineStr">
        <is>
          <t>script không dùng window function</t>
        </is>
      </c>
      <c r="I504" s="50" t="inlineStr">
        <is>
          <t>Mỗi window function cần một comment ngay trên khối CTE chứa nó, nói rõ vì sao không dùng được max_by/QUALIFY đơn giản hơn.</t>
        </is>
      </c>
      <c r="J504" s="48" t="inlineStr">
        <is>
          <t>029. OCB_GOLD_TCKH_V_SLNV_UPL_HOP.xlsx [script: V_SLNV_UPL]</t>
        </is>
      </c>
    </row>
    <row r="505">
      <c r="A505" s="48" t="inlineStr">
        <is>
          <t>TCKH.V_SLNV_UPL</t>
        </is>
      </c>
      <c r="B505" s="48" t="inlineStr">
        <is>
          <t>UPLOAD_VIEW</t>
        </is>
      </c>
      <c r="C505" s="48" t="inlineStr">
        <is>
          <t>X.1</t>
        </is>
      </c>
      <c r="D505" s="48" t="inlineStr">
        <is>
          <t>Nhom X - Bo sung Raffles</t>
        </is>
      </c>
      <c r="E505" s="48" t="inlineStr">
        <is>
          <t>[Bổ sung] Link phải rút về current trước khi join (chống fan-out)</t>
        </is>
      </c>
      <c r="F505" s="48" t="inlineStr">
        <is>
          <t>N-A</t>
        </is>
      </c>
      <c r="G505" s="48" t="inlineStr">
        <is>
          <t>Pass</t>
        </is>
      </c>
      <c r="H505" s="50" t="inlineStr">
        <is>
          <t>khong ap dung cho profile UPLOAD_VIEW</t>
        </is>
      </c>
      <c r="I505"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05" s="48" t="inlineStr">
        <is>
          <t>029. OCB_GOLD_TCKH_V_SLNV_UPL_HOP.xlsx [script: V_SLNV_UPL]</t>
        </is>
      </c>
    </row>
    <row r="506">
      <c r="A506" s="48" t="inlineStr">
        <is>
          <t>TCKH.V_SLNV_UPL</t>
        </is>
      </c>
      <c r="B506" s="48" t="inlineStr">
        <is>
          <t>UPLOAD_VIEW</t>
        </is>
      </c>
      <c r="C506" s="48" t="inlineStr">
        <is>
          <t>X.6</t>
        </is>
      </c>
      <c r="D506" s="48" t="inlineStr">
        <is>
          <t>Nhom X - Bo sung Raffles</t>
        </is>
      </c>
      <c r="E506" s="48" t="inlineStr">
        <is>
          <t>[Bổ sung] Satellite phải LEFT JOIN, không INNER JOIN</t>
        </is>
      </c>
      <c r="F506" s="48" t="inlineStr">
        <is>
          <t>N-A</t>
        </is>
      </c>
      <c r="G506" s="48" t="inlineStr">
        <is>
          <t>Pass</t>
        </is>
      </c>
      <c r="H506" s="50" t="inlineStr">
        <is>
          <t>khong ap dung cho profile UPLOAD_VIEW</t>
        </is>
      </c>
      <c r="I506" s="50" t="inlineStr">
        <is>
          <t>Technical Document III.4.2.2 nguyên tắc 1: làm giàu thuộc tính luôn dùng LEFT JOIN. INNER JOIN satellite sẽ loại mất bản ghi Hub đang còn hiệu lực nhưng chưa có dòng satellite.</t>
        </is>
      </c>
      <c r="J506" s="48" t="inlineStr">
        <is>
          <t>029. OCB_GOLD_TCKH_V_SLNV_UPL_HOP.xlsx [script: V_SLNV_UPL]</t>
        </is>
      </c>
    </row>
    <row r="507">
      <c r="A507" s="48" t="inlineStr">
        <is>
          <t>TCKH.V_SLNV_UPL</t>
        </is>
      </c>
      <c r="B507" s="48" t="inlineStr">
        <is>
          <t>UPLOAD_VIEW</t>
        </is>
      </c>
      <c r="C507" s="48" t="inlineStr">
        <is>
          <t>X.7</t>
        </is>
      </c>
      <c r="D507" s="48" t="inlineStr">
        <is>
          <t>Nhom X - Bo sung Raffles</t>
        </is>
      </c>
      <c r="E507" s="48" t="inlineStr">
        <is>
          <t>[Bổ sung] Không hard-code catalog, dùng biến môi trường</t>
        </is>
      </c>
      <c r="F507" s="48" t="inlineStr">
        <is>
          <t>N-A</t>
        </is>
      </c>
      <c r="G507" s="48" t="inlineStr">
        <is>
          <t>Pass</t>
        </is>
      </c>
      <c r="H507" s="50" t="inlineStr">
        <is>
          <t>khong ap dung cho profile UPLOAD_VIEW</t>
        </is>
      </c>
      <c r="I507"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07" s="48" t="inlineStr">
        <is>
          <t>029. OCB_GOLD_TCKH_V_SLNV_UPL_HOP.xlsx [script: V_SLNV_UPL]</t>
        </is>
      </c>
    </row>
    <row r="508">
      <c r="A508" s="48" t="inlineStr">
        <is>
          <t>TCKH.V_T24_CRB_FULLLIST</t>
        </is>
      </c>
      <c r="B508" s="48" t="inlineStr">
        <is>
          <t>SILVER_CONSUMER</t>
        </is>
      </c>
      <c r="C508" s="48" t="inlineStr">
        <is>
          <t>1.1</t>
        </is>
      </c>
      <c r="D508" s="48" t="inlineStr">
        <is>
          <t>Nhom 1 - Mapping</t>
        </is>
      </c>
      <c r="E508" s="48" t="inlineStr">
        <is>
          <t>Đầy đủ mapping từ Silver/manual sang Gold</t>
        </is>
      </c>
      <c r="F508" s="49" t="inlineStr">
        <is>
          <t>PASS</t>
        </is>
      </c>
      <c r="G508" s="48" t="inlineStr">
        <is>
          <t>Pass</t>
        </is>
      </c>
      <c r="H508" s="50" t="inlineStr">
        <is>
          <t>workbook 030. OCB_GOLD_TCKH_V_T24_CRB_FULLLIST_PHAT.xlsx: thiết kế 18 field, SQL có 18 cột</t>
        </is>
      </c>
      <c r="I508"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08" s="48" t="inlineStr">
        <is>
          <t>030. OCB_GOLD_TCKH_V_T24_CRB_FULLLIST_PHAT.xlsx [Script: V_T24_CRB_FULLLIST]</t>
        </is>
      </c>
    </row>
    <row r="509">
      <c r="A509" s="48" t="inlineStr">
        <is>
          <t>TCKH.V_T24_CRB_FULLLIST</t>
        </is>
      </c>
      <c r="B509" s="48" t="inlineStr">
        <is>
          <t>SILVER_CONSUMER</t>
        </is>
      </c>
      <c r="C509" s="48" t="inlineStr">
        <is>
          <t>1.2</t>
        </is>
      </c>
      <c r="D509" s="48" t="inlineStr">
        <is>
          <t>Nhom 1 - Mapping</t>
        </is>
      </c>
      <c r="E509" s="48" t="inlineStr">
        <is>
          <t>Danh sách bảng/view Gold khớp tài liệu thiết kế đã duyệt</t>
        </is>
      </c>
      <c r="F509" s="49" t="inlineStr">
        <is>
          <t>PASS</t>
        </is>
      </c>
      <c r="G509" s="48" t="inlineStr">
        <is>
          <t>Pass</t>
        </is>
      </c>
      <c r="H509" s="50" t="inlineStr">
        <is>
          <t>V_T24_CRB_FULLLIST có workbook thiết kế: 030. OCB_GOLD_TCKH_V_T24_CRB_FULLLIST_PHAT.xlsx</t>
        </is>
      </c>
      <c r="I509" s="50" t="inlineStr">
        <is>
          <t>Đảm bảo object có workbook thiết kế tương ứng trong thư mục --mapping-dir. Muốn đối chiếu với danh sách đã duyệt thì chạy thêm tham số --gold-list "&lt;file danh sách Gold&gt;.xlsx".</t>
        </is>
      </c>
      <c r="J509" s="48" t="inlineStr">
        <is>
          <t>030. OCB_GOLD_TCKH_V_T24_CRB_FULLLIST_PHAT.xlsx [Script: V_T24_CRB_FULLLIST]</t>
        </is>
      </c>
    </row>
    <row r="510">
      <c r="A510" s="48" t="inlineStr">
        <is>
          <t>TCKH.V_T24_CRB_FULLLIST</t>
        </is>
      </c>
      <c r="B510" s="48" t="inlineStr">
        <is>
          <t>SILVER_CONSUMER</t>
        </is>
      </c>
      <c r="C510" s="48" t="inlineStr">
        <is>
          <t>2.1</t>
        </is>
      </c>
      <c r="D510" s="48" t="inlineStr">
        <is>
          <t>Nhom 2 - Logic</t>
        </is>
      </c>
      <c r="E510" s="48" t="inlineStr">
        <is>
          <t>Chỉ lấy bản ghi active, loại bản ghi đã xóa (qua sts_hub)</t>
        </is>
      </c>
      <c r="F510" s="49" t="inlineStr">
        <is>
          <t>PASS</t>
        </is>
      </c>
      <c r="G510" s="48" t="inlineStr">
        <is>
          <t>Pass</t>
        </is>
      </c>
      <c r="H510" s="50" t="inlineStr">
        <is>
          <t>1 sts_hub_* đọc đúng format</t>
        </is>
      </c>
      <c r="I510"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10" s="48" t="inlineStr">
        <is>
          <t>030. OCB_GOLD_TCKH_V_T24_CRB_FULLLIST_PHAT.xlsx [Script: V_T24_CRB_FULLLIST]</t>
        </is>
      </c>
    </row>
    <row r="511">
      <c r="A511" s="48" t="inlineStr">
        <is>
          <t>TCKH.V_T24_CRB_FULLLIST</t>
        </is>
      </c>
      <c r="B511" s="48" t="inlineStr">
        <is>
          <t>SILVER_CONSUMER</t>
        </is>
      </c>
      <c r="C511" s="48" t="inlineStr">
        <is>
          <t>2.2</t>
        </is>
      </c>
      <c r="D511" s="48" t="inlineStr">
        <is>
          <t>Nhom 2 - Logic</t>
        </is>
      </c>
      <c r="E511" s="48" t="inlineStr">
        <is>
          <t>Thống nhất MỘT pattern duy nhất xác định bản ghi active mới nhất</t>
        </is>
      </c>
      <c r="F511" s="49" t="inlineStr">
        <is>
          <t>PASS</t>
        </is>
      </c>
      <c r="G511" s="48" t="inlineStr">
        <is>
          <t>Pass</t>
        </is>
      </c>
      <c r="H511" s="50" t="inlineStr">
        <is>
          <t>file này dùng: ['MAX_BY']; toàn batch dùng: ['MAX_BY']</t>
        </is>
      </c>
      <c r="I511"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11" s="48" t="inlineStr">
        <is>
          <t>030. OCB_GOLD_TCKH_V_T24_CRB_FULLLIST_PHAT.xlsx [Script: V_T24_CRB_FULLLIST]</t>
        </is>
      </c>
    </row>
    <row r="512">
      <c r="A512" s="48" t="inlineStr">
        <is>
          <t>TCKH.V_T24_CRB_FULLLIST</t>
        </is>
      </c>
      <c r="B512" s="48" t="inlineStr">
        <is>
          <t>SILVER_CONSUMER</t>
        </is>
      </c>
      <c r="C512" s="48" t="inlineStr">
        <is>
          <t>2.3</t>
        </is>
      </c>
      <c r="D512" s="48" t="inlineStr">
        <is>
          <t>Nhom 2 - Logic</t>
        </is>
      </c>
      <c r="E512" s="48" t="inlineStr">
        <is>
          <t>Điều kiện lọc trạng thái đặt SAU khi xác định bản ghi mới nhất</t>
        </is>
      </c>
      <c r="F512" s="49" t="inlineStr">
        <is>
          <t>PASS</t>
        </is>
      </c>
      <c r="G512" s="48" t="inlineStr">
        <is>
          <t>Pass</t>
        </is>
      </c>
      <c r="H512" s="50" t="inlineStr">
        <is>
          <t>không có điều kiện trạng thái nào lồng trong JOIN ON</t>
        </is>
      </c>
      <c r="I512"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12" s="48" t="inlineStr">
        <is>
          <t>030. OCB_GOLD_TCKH_V_T24_CRB_FULLLIST_PHAT.xlsx [Script: V_T24_CRB_FULLLIST]</t>
        </is>
      </c>
    </row>
    <row r="513">
      <c r="A513" s="48" t="inlineStr">
        <is>
          <t>TCKH.V_T24_CRB_FULLLIST</t>
        </is>
      </c>
      <c r="B513" s="48" t="inlineStr">
        <is>
          <t>SILVER_CONSUMER</t>
        </is>
      </c>
      <c r="C513" s="48" t="inlineStr">
        <is>
          <t>2.4</t>
        </is>
      </c>
      <c r="D513" s="48" t="inlineStr">
        <is>
          <t>Nhom 2 - Logic</t>
        </is>
      </c>
      <c r="E513" s="48" t="inlineStr">
        <is>
          <t>source_event_date áp dụng đúng dạng theo loại bảng</t>
        </is>
      </c>
      <c r="F513" s="49" t="inlineStr">
        <is>
          <t>PASS</t>
        </is>
      </c>
      <c r="G513" s="48" t="inlineStr">
        <is>
          <t>Pass</t>
        </is>
      </c>
      <c r="H513" s="50" t="inlineStr">
        <is>
          <t>1 satellite đều đúng dạng điều kiện source_event_date</t>
        </is>
      </c>
      <c r="I513"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13" s="48" t="inlineStr">
        <is>
          <t>030. OCB_GOLD_TCKH_V_T24_CRB_FULLLIST_PHAT.xlsx [Script: V_T24_CRB_FULLLIST]</t>
        </is>
      </c>
    </row>
    <row r="514">
      <c r="A514" s="48" t="inlineStr">
        <is>
          <t>TCKH.V_T24_CRB_FULLLIST</t>
        </is>
      </c>
      <c r="B514" s="48" t="inlineStr">
        <is>
          <t>SILVER_CONSUMER</t>
        </is>
      </c>
      <c r="C514" s="48" t="inlineStr">
        <is>
          <t>2.5</t>
        </is>
      </c>
      <c r="D514" s="48" t="inlineStr">
        <is>
          <t>Nhom 2 - Logic</t>
        </is>
      </c>
      <c r="E514" s="48" t="inlineStr">
        <is>
          <t>Không lặp lại lỗi logic cũ đã được DA Data Vault fix</t>
        </is>
      </c>
      <c r="F514" s="49" t="inlineStr">
        <is>
          <t>PASS</t>
        </is>
      </c>
      <c r="G514" s="48" t="inlineStr">
        <is>
          <t>Pass</t>
        </is>
      </c>
      <c r="H514" s="50" t="inlineStr">
        <is>
          <t>không trùng lỗi nào trong Issue log của DA Data Vault</t>
        </is>
      </c>
      <c r="I514"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14" s="48" t="inlineStr">
        <is>
          <t>030. OCB_GOLD_TCKH_V_T24_CRB_FULLLIST_PHAT.xlsx [Script: V_T24_CRB_FULLLIST]</t>
        </is>
      </c>
    </row>
    <row r="515">
      <c r="A515" s="48" t="inlineStr">
        <is>
          <t>TCKH.V_T24_CRB_FULLLIST</t>
        </is>
      </c>
      <c r="B515" s="48" t="inlineStr">
        <is>
          <t>SILVER_CONSUMER</t>
        </is>
      </c>
      <c r="C515" s="48" t="inlineStr">
        <is>
          <t>2.6</t>
        </is>
      </c>
      <c r="D515" s="48" t="inlineStr">
        <is>
          <t>Nhom 2 - Logic</t>
        </is>
      </c>
      <c r="E515" s="48" t="inlineStr">
        <is>
          <t>SCD Type 2 cho bảng DIM áp dụng đúng kỹ thuật đã thống nhất</t>
        </is>
      </c>
      <c r="F515" s="48" t="inlineStr">
        <is>
          <t>N-A</t>
        </is>
      </c>
      <c r="G515" s="48" t="inlineStr">
        <is>
          <t>Pass</t>
        </is>
      </c>
      <c r="H515" s="50" t="inlineStr">
        <is>
          <t>object không phải bảng DIM nên không áp dụng SCD Type 2</t>
        </is>
      </c>
      <c r="I515"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15" s="48" t="inlineStr">
        <is>
          <t>030. OCB_GOLD_TCKH_V_T24_CRB_FULLLIST_PHAT.xlsx [Script: V_T24_CRB_FULLLIST]</t>
        </is>
      </c>
    </row>
    <row r="516">
      <c r="A516" s="48" t="inlineStr">
        <is>
          <t>TCKH.V_T24_CRB_FULLLIST</t>
        </is>
      </c>
      <c r="B516" s="48" t="inlineStr">
        <is>
          <t>SILVER_CONSUMER</t>
        </is>
      </c>
      <c r="C516" s="48" t="inlineStr">
        <is>
          <t>2.7</t>
        </is>
      </c>
      <c r="D516" s="48" t="inlineStr">
        <is>
          <t>Nhom 2 - Logic</t>
        </is>
      </c>
      <c r="E516" s="48" t="inlineStr">
        <is>
          <t>CASE WHEN cover đủ nhánh như job on-prem</t>
        </is>
      </c>
      <c r="F516" s="48" t="inlineStr">
        <is>
          <t>N-A</t>
        </is>
      </c>
      <c r="G516" s="48" t="inlineStr">
        <is>
          <t>Pass</t>
        </is>
      </c>
      <c r="H516" s="50" t="inlineStr">
        <is>
          <t>script không có CASE WHEN nào</t>
        </is>
      </c>
      <c r="I516" s="50" t="inlineStr">
        <is>
          <t>Mở job on-prem tương ứng (DataStage DSX hoặc SQL cũ), đối chiếu từng nhánh WHEN và cả nhánh ELSE. CASE không có ELSE sẽ trả NULL âm thầm — xác nhận đó là ý muốn hay thiếu nhánh.</t>
        </is>
      </c>
      <c r="J516" s="48" t="inlineStr">
        <is>
          <t>030. OCB_GOLD_TCKH_V_T24_CRB_FULLLIST_PHAT.xlsx [Script: V_T24_CRB_FULLLIST]</t>
        </is>
      </c>
    </row>
    <row r="517">
      <c r="A517" s="48" t="inlineStr">
        <is>
          <t>TCKH.V_T24_CRB_FULLLIST</t>
        </is>
      </c>
      <c r="B517" s="48" t="inlineStr">
        <is>
          <t>SILVER_CONSUMER</t>
        </is>
      </c>
      <c r="C517" s="48" t="inlineStr">
        <is>
          <t>2.8</t>
        </is>
      </c>
      <c r="D517" s="48" t="inlineStr">
        <is>
          <t>Nhom 2 - Logic</t>
        </is>
      </c>
      <c r="E517" s="48" t="inlineStr">
        <is>
          <t>Cột SUM/COUNT được COALESCE/NVL hợp lý</t>
        </is>
      </c>
      <c r="F517" s="49" t="inlineStr">
        <is>
          <t>PASS</t>
        </is>
      </c>
      <c r="G517" s="48" t="inlineStr">
        <is>
          <t>Pass</t>
        </is>
      </c>
      <c r="H517" s="50" t="inlineStr">
        <is>
          <t>mọi SUM/COUNT đều đã coalesce (trực tiếp hoặc ở lớp ngoài)</t>
        </is>
      </c>
      <c r="I517"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17" s="48" t="inlineStr">
        <is>
          <t>030. OCB_GOLD_TCKH_V_T24_CRB_FULLLIST_PHAT.xlsx [Script: V_T24_CRB_FULLLIST]</t>
        </is>
      </c>
    </row>
    <row r="518">
      <c r="A518" s="48" t="inlineStr">
        <is>
          <t>TCKH.V_T24_CRB_FULLLIST</t>
        </is>
      </c>
      <c r="B518" s="48" t="inlineStr">
        <is>
          <t>SILVER_CONSUMER</t>
        </is>
      </c>
      <c r="C518" s="48" t="inlineStr">
        <is>
          <t>2.9</t>
        </is>
      </c>
      <c r="D518" s="48" t="inlineStr">
        <is>
          <t>Nhom 2 - Logic</t>
        </is>
      </c>
      <c r="E518" s="48" t="inlineStr">
        <is>
          <t>Subquery / custom function / điều kiện LIKE đúng ý nghĩa nghiệp vụ</t>
        </is>
      </c>
      <c r="F518" s="48" t="inlineStr">
        <is>
          <t>N-A</t>
        </is>
      </c>
      <c r="G518" s="48" t="inlineStr">
        <is>
          <t>Pass</t>
        </is>
      </c>
      <c r="H518" s="50" t="inlineStr">
        <is>
          <t>script không có điều kiện LIKE hay scalar subquery nào</t>
        </is>
      </c>
      <c r="I518" s="50" t="inlineStr">
        <is>
          <t>Đọc lại từng điều kiện LIKE và từng subquery, đối chiếu ý nghĩa nghiệp vụ với on-prem — đúng cú pháp không đủ. Chú ý pattern LIKE có ký tự % ở đầu/cuối và phân biệt chữ hoa/thường.</t>
        </is>
      </c>
      <c r="J518" s="48" t="inlineStr">
        <is>
          <t>030. OCB_GOLD_TCKH_V_T24_CRB_FULLLIST_PHAT.xlsx [Script: V_T24_CRB_FULLLIST]</t>
        </is>
      </c>
    </row>
    <row r="519">
      <c r="A519" s="48" t="inlineStr">
        <is>
          <t>TCKH.V_T24_CRB_FULLLIST</t>
        </is>
      </c>
      <c r="B519" s="48" t="inlineStr">
        <is>
          <t>SILVER_CONSUMER</t>
        </is>
      </c>
      <c r="C519" s="48" t="inlineStr">
        <is>
          <t>2.10</t>
        </is>
      </c>
      <c r="D519" s="48" t="inlineStr">
        <is>
          <t>Nhom 2 - Logic</t>
        </is>
      </c>
      <c r="E519" s="48" t="inlineStr">
        <is>
          <t>Aggregation kèm filter date range chính xác</t>
        </is>
      </c>
      <c r="F519" s="49" t="inlineStr">
        <is>
          <t>PASS</t>
        </is>
      </c>
      <c r="G519" s="48" t="inlineStr">
        <is>
          <t>Pass</t>
        </is>
      </c>
      <c r="H519" s="50" t="inlineStr">
        <is>
          <t>mọi khối tổng hợp đều có điều kiện theo kỳ dữ liệu</t>
        </is>
      </c>
      <c r="I519" s="50" t="inlineStr">
        <is>
          <t>Mỗi khối SUM/COUNT/AVG phải có điều kiện lọc theo kỳ dữ liệu (CDR_DT_ID, DATA_DATE, :DATADT…). Nếu điều kiện nằm ở CTE nguồn thì ghi rõ trong comment để người review không phải truy ngược.</t>
        </is>
      </c>
      <c r="J519" s="48" t="inlineStr">
        <is>
          <t>030. OCB_GOLD_TCKH_V_T24_CRB_FULLLIST_PHAT.xlsx [Script: V_T24_CRB_FULLLIST]</t>
        </is>
      </c>
    </row>
    <row r="520">
      <c r="A520" s="48" t="inlineStr">
        <is>
          <t>TCKH.V_T24_CRB_FULLLIST</t>
        </is>
      </c>
      <c r="B520" s="48" t="inlineStr">
        <is>
          <t>SILVER_CONSUMER</t>
        </is>
      </c>
      <c r="C520" s="48" t="inlineStr">
        <is>
          <t>2.11</t>
        </is>
      </c>
      <c r="D520" s="48" t="inlineStr">
        <is>
          <t>Nhom 2 - Logic</t>
        </is>
      </c>
      <c r="E520" s="48" t="inlineStr">
        <is>
          <t>Join dùng key hợp lý, không lạm dụng UNION ALL + EXISTS/NOT EXISTS</t>
        </is>
      </c>
      <c r="F520" s="49" t="inlineStr">
        <is>
          <t>PASS</t>
        </is>
      </c>
      <c r="G520" s="48" t="inlineStr">
        <is>
          <t>Pass</t>
        </is>
      </c>
      <c r="H520" s="50" t="inlineStr">
        <is>
          <t>join đều theo điều kiện bằng, không lạm dụng UNION ALL + EXISTS</t>
        </is>
      </c>
      <c r="I520" s="50" t="inlineStr">
        <is>
          <t>Ưu tiên LEFT JOIN theo business key hoặc hashkey. Xem lại các chỗ dùng UNION ALL kết hợp EXISTS/NOT EXISTS — thường thay được bằng một LEFT JOIN. Join không có điều kiện bằng (=) dễ tạo tích Descartes.</t>
        </is>
      </c>
      <c r="J520" s="48" t="inlineStr">
        <is>
          <t>030. OCB_GOLD_TCKH_V_T24_CRB_FULLLIST_PHAT.xlsx [Script: V_T24_CRB_FULLLIST]</t>
        </is>
      </c>
    </row>
    <row r="521">
      <c r="A521" s="48" t="inlineStr">
        <is>
          <t>TCKH.V_T24_CRB_FULLLIST</t>
        </is>
      </c>
      <c r="B521" s="48" t="inlineStr">
        <is>
          <t>SILVER_CONSUMER</t>
        </is>
      </c>
      <c r="C521" s="48" t="inlineStr">
        <is>
          <t>2.12</t>
        </is>
      </c>
      <c r="D521" s="48" t="inlineStr">
        <is>
          <t>Nhom 2 - Logic</t>
        </is>
      </c>
      <c r="E521" s="48" t="inlineStr">
        <is>
          <t>Build Gold từ CTE snapshot Silver, không build nhiều tầng chồng chéo</t>
        </is>
      </c>
      <c r="F521" s="49" t="inlineStr">
        <is>
          <t>PASS</t>
        </is>
      </c>
      <c r="G521" s="48" t="inlineStr">
        <is>
          <t>Pass</t>
        </is>
      </c>
      <c r="H521" s="50" t="inlineStr">
        <is>
          <t>mỗi bảng nguồn chỉ đọc trong 1 khối SELECT</t>
        </is>
      </c>
      <c r="I521"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21" s="48" t="inlineStr">
        <is>
          <t>030. OCB_GOLD_TCKH_V_T24_CRB_FULLLIST_PHAT.xlsx [Script: V_T24_CRB_FULLLIST]</t>
        </is>
      </c>
    </row>
    <row r="522">
      <c r="A522" s="48" t="inlineStr">
        <is>
          <t>TCKH.V_T24_CRB_FULLLIST</t>
        </is>
      </c>
      <c r="B522" s="48" t="inlineStr">
        <is>
          <t>SILVER_CONSUMER</t>
        </is>
      </c>
      <c r="C522" s="48" t="inlineStr">
        <is>
          <t>3.1</t>
        </is>
      </c>
      <c r="D522" s="48" t="inlineStr">
        <is>
          <t>Nhom 3 - Optimization</t>
        </is>
      </c>
      <c r="E522" s="48" t="inlineStr">
        <is>
          <t>Không SELECT *</t>
        </is>
      </c>
      <c r="F522" s="49" t="inlineStr">
        <is>
          <t>PASS</t>
        </is>
      </c>
      <c r="G522" s="48" t="inlineStr">
        <is>
          <t>Pass</t>
        </is>
      </c>
      <c r="H522" s="50" t="inlineStr">
        <is>
          <t>không dùng SELECT * ở đâu</t>
        </is>
      </c>
      <c r="I522" s="50" t="inlineStr">
        <is>
          <t>Liệt kê tường minh các cột cần dùng, kể cả trong CTE trung gian. SELECT * làm tăng IO/memory và vỡ script khi bảng nguồn thêm cột.</t>
        </is>
      </c>
      <c r="J522" s="48" t="inlineStr">
        <is>
          <t>030. OCB_GOLD_TCKH_V_T24_CRB_FULLLIST_PHAT.xlsx [Script: V_T24_CRB_FULLLIST]</t>
        </is>
      </c>
    </row>
    <row r="523">
      <c r="A523" s="48" t="inlineStr">
        <is>
          <t>TCKH.V_T24_CRB_FULLLIST</t>
        </is>
      </c>
      <c r="B523" s="48" t="inlineStr">
        <is>
          <t>SILVER_CONSUMER</t>
        </is>
      </c>
      <c r="C523" s="48" t="inlineStr">
        <is>
          <t>3.2</t>
        </is>
      </c>
      <c r="D523" s="48" t="inlineStr">
        <is>
          <t>Nhom 3 - Optimization</t>
        </is>
      </c>
      <c r="E523" s="48" t="inlineStr">
        <is>
          <t>CTE không bị scan lại nhiều lần</t>
        </is>
      </c>
      <c r="F523" s="51" t="inlineStr">
        <is>
          <t>WARN</t>
        </is>
      </c>
      <c r="G523" s="48" t="inlineStr">
        <is>
          <t>WARN</t>
        </is>
      </c>
      <c r="H523" s="50" t="inlineStr">
        <is>
          <t>CTE bị tham chiếu lại nhiều lần: security_sts_del x2</t>
        </is>
      </c>
      <c r="I523" s="50" t="inlineStr">
        <is>
          <t>Với CTE nặng (đọc nhiều bảng Silver) bị tham chiếu từ 2 chỗ trở lên: gom lại còn một lần dùng, hoặc vật chất hóa (CACHE / bảng tạm). CTE nhẹ chỉ chứa tham số thì bỏ qua được — tự tick Pass.</t>
        </is>
      </c>
      <c r="J523" s="48" t="inlineStr">
        <is>
          <t>030. OCB_GOLD_TCKH_V_T24_CRB_FULLLIST_PHAT.xlsx [Script: V_T24_CRB_FULLLIST]</t>
        </is>
      </c>
    </row>
    <row r="524">
      <c r="A524" s="48" t="inlineStr">
        <is>
          <t>TCKH.V_T24_CRB_FULLLIST</t>
        </is>
      </c>
      <c r="B524" s="48" t="inlineStr">
        <is>
          <t>SILVER_CONSUMER</t>
        </is>
      </c>
      <c r="C524" s="48" t="inlineStr">
        <is>
          <t>3.3</t>
        </is>
      </c>
      <c r="D524" s="48" t="inlineStr">
        <is>
          <t>Nhom 3 - Optimization</t>
        </is>
      </c>
      <c r="E524" s="48" t="inlineStr">
        <is>
          <t>Filter trước khi join, tận dụng partition pruning</t>
        </is>
      </c>
      <c r="F524" s="51" t="inlineStr">
        <is>
          <t>WARN</t>
        </is>
      </c>
      <c r="G524" s="48" t="inlineStr">
        <is>
          <t>WARN</t>
        </is>
      </c>
      <c r="H524" s="50" t="inlineStr">
        <is>
          <t>1 bảng join trực tiếp mà không có filter riêng: branch_list (C)</t>
        </is>
      </c>
      <c r="I524" s="50" t="inlineStr">
        <is>
          <t>Đưa điều kiện lọc (ngày dữ liệu, trạng thái) vào subquery của từng bảng TRƯỚC khi join, để tận dụng partition pruning. Bảng dim nhỏ không partition thì không cần — tự tick Pass.</t>
        </is>
      </c>
      <c r="J524" s="48" t="inlineStr">
        <is>
          <t>030. OCB_GOLD_TCKH_V_T24_CRB_FULLLIST_PHAT.xlsx [Script: V_T24_CRB_FULLLIST]</t>
        </is>
      </c>
    </row>
    <row r="525">
      <c r="A525" s="48" t="inlineStr">
        <is>
          <t>TCKH.V_T24_CRB_FULLLIST</t>
        </is>
      </c>
      <c r="B525" s="48" t="inlineStr">
        <is>
          <t>SILVER_CONSUMER</t>
        </is>
      </c>
      <c r="C525" s="48" t="inlineStr">
        <is>
          <t>3.4</t>
        </is>
      </c>
      <c r="D525" s="48" t="inlineStr">
        <is>
          <t>Nhom 3 - Optimization</t>
        </is>
      </c>
      <c r="E525" s="48" t="inlineStr">
        <is>
          <t>Sử dụng CACHE cho query lặp lại trong cùng luồng</t>
        </is>
      </c>
      <c r="F525" s="51" t="inlineStr">
        <is>
          <t>WARN</t>
        </is>
      </c>
      <c r="G525" s="48" t="inlineStr">
        <is>
          <t>WARN</t>
        </is>
      </c>
      <c r="H525" s="50" t="inlineStr">
        <is>
          <t>1 CTE nặng dùng lại &gt;= 2 lần mà không có CACHE: security_sts_del</t>
        </is>
      </c>
      <c r="I525" s="50" t="inlineStr">
        <is>
          <t>Nếu một kết quả nặng được dùng lại nhiều bước trong cùng luồng, thêm CACHE TABLE / CACHE SELECT. Kết quả nhỏ thì cache còn chậm hơn — tự tick Pass.</t>
        </is>
      </c>
      <c r="J525" s="48" t="inlineStr">
        <is>
          <t>030. OCB_GOLD_TCKH_V_T24_CRB_FULLLIST_PHAT.xlsx [Script: V_T24_CRB_FULLLIST]</t>
        </is>
      </c>
    </row>
    <row r="526">
      <c r="A526" s="48" t="inlineStr">
        <is>
          <t>TCKH.V_T24_CRB_FULLLIST</t>
        </is>
      </c>
      <c r="B526" s="48" t="inlineStr">
        <is>
          <t>SILVER_CONSUMER</t>
        </is>
      </c>
      <c r="C526" s="48" t="inlineStr">
        <is>
          <t>3.5</t>
        </is>
      </c>
      <c r="D526" s="48" t="inlineStr">
        <is>
          <t>Nhom 3 - Optimization</t>
        </is>
      </c>
      <c r="E526" s="48" t="inlineStr">
        <is>
          <t>Ưu tiên MAX_BY + QUALIFY thay ROW_NUMBER() + WHERE rn = 1</t>
        </is>
      </c>
      <c r="F526" s="48" t="inlineStr">
        <is>
          <t>N-A</t>
        </is>
      </c>
      <c r="G526" s="48" t="inlineStr">
        <is>
          <t>Pass</t>
        </is>
      </c>
      <c r="H526" s="50" t="inlineStr">
        <is>
          <t>script không dùng ROW_NUMBER</t>
        </is>
      </c>
      <c r="I526"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26" s="48" t="inlineStr">
        <is>
          <t>030. OCB_GOLD_TCKH_V_T24_CRB_FULLLIST_PHAT.xlsx [Script: V_T24_CRB_FULLLIST]</t>
        </is>
      </c>
    </row>
    <row r="527">
      <c r="A527" s="48" t="inlineStr">
        <is>
          <t>TCKH.V_T24_CRB_FULLLIST</t>
        </is>
      </c>
      <c r="B527" s="48" t="inlineStr">
        <is>
          <t>SILVER_CONSUMER</t>
        </is>
      </c>
      <c r="C527" s="48" t="inlineStr">
        <is>
          <t>3.6</t>
        </is>
      </c>
      <c r="D527" s="48" t="inlineStr">
        <is>
          <t>Nhom 3 - Optimization</t>
        </is>
      </c>
      <c r="E527" s="48" t="inlineStr">
        <is>
          <t>Không lạm dụng window function; có comment khi dùng</t>
        </is>
      </c>
      <c r="F527" s="48" t="inlineStr">
        <is>
          <t>N-A</t>
        </is>
      </c>
      <c r="G527" s="48" t="inlineStr">
        <is>
          <t>Pass</t>
        </is>
      </c>
      <c r="H527" s="50" t="inlineStr">
        <is>
          <t>script không dùng window function</t>
        </is>
      </c>
      <c r="I527" s="50" t="inlineStr">
        <is>
          <t>Mỗi window function cần một comment ngay trên khối CTE chứa nó, nói rõ vì sao không dùng được max_by/QUALIFY đơn giản hơn.</t>
        </is>
      </c>
      <c r="J527" s="48" t="inlineStr">
        <is>
          <t>030. OCB_GOLD_TCKH_V_T24_CRB_FULLLIST_PHAT.xlsx [Script: V_T24_CRB_FULLLIST]</t>
        </is>
      </c>
    </row>
    <row r="528">
      <c r="A528" s="48" t="inlineStr">
        <is>
          <t>TCKH.V_T24_CRB_FULLLIST</t>
        </is>
      </c>
      <c r="B528" s="48" t="inlineStr">
        <is>
          <t>SILVER_CONSUMER</t>
        </is>
      </c>
      <c r="C528" s="48" t="inlineStr">
        <is>
          <t>X.1</t>
        </is>
      </c>
      <c r="D528" s="48" t="inlineStr">
        <is>
          <t>Nhom X - Bo sung Raffles</t>
        </is>
      </c>
      <c r="E528" s="48" t="inlineStr">
        <is>
          <t>[Bổ sung] Link phải rút về current trước khi join (chống fan-out)</t>
        </is>
      </c>
      <c r="F528" s="49" t="inlineStr">
        <is>
          <t>PASS</t>
        </is>
      </c>
      <c r="G528" s="48" t="inlineStr">
        <is>
          <t>Pass</t>
        </is>
      </c>
      <c r="H528" s="50" t="inlineStr">
        <is>
          <t>các bảng link_* đều được rút về current trước khi join</t>
        </is>
      </c>
      <c r="I528"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28" s="48" t="inlineStr">
        <is>
          <t>030. OCB_GOLD_TCKH_V_T24_CRB_FULLLIST_PHAT.xlsx [Script: V_T24_CRB_FULLLIST]</t>
        </is>
      </c>
    </row>
    <row r="529">
      <c r="A529" s="48" t="inlineStr">
        <is>
          <t>TCKH.V_T24_CRB_FULLLIST</t>
        </is>
      </c>
      <c r="B529" s="48" t="inlineStr">
        <is>
          <t>SILVER_CONSUMER</t>
        </is>
      </c>
      <c r="C529" s="48" t="inlineStr">
        <is>
          <t>X.6</t>
        </is>
      </c>
      <c r="D529" s="48" t="inlineStr">
        <is>
          <t>Nhom X - Bo sung Raffles</t>
        </is>
      </c>
      <c r="E529" s="48" t="inlineStr">
        <is>
          <t>[Bổ sung] Satellite phải LEFT JOIN, không INNER JOIN</t>
        </is>
      </c>
      <c r="F529" s="49" t="inlineStr">
        <is>
          <t>PASS</t>
        </is>
      </c>
      <c r="G529" s="48" t="inlineStr">
        <is>
          <t>Pass</t>
        </is>
      </c>
      <c r="H529" s="50" t="inlineStr">
        <is>
          <t>các satellite đều LEFT JOIN</t>
        </is>
      </c>
      <c r="I529" s="50" t="inlineStr">
        <is>
          <t>Technical Document III.4.2.2 nguyên tắc 1: làm giàu thuộc tính luôn dùng LEFT JOIN. INNER JOIN satellite sẽ loại mất bản ghi Hub đang còn hiệu lực nhưng chưa có dòng satellite.</t>
        </is>
      </c>
      <c r="J529" s="48" t="inlineStr">
        <is>
          <t>030. OCB_GOLD_TCKH_V_T24_CRB_FULLLIST_PHAT.xlsx [Script: V_T24_CRB_FULLLIST]</t>
        </is>
      </c>
    </row>
    <row r="530">
      <c r="A530" s="48" t="inlineStr">
        <is>
          <t>TCKH.V_T24_CRB_FULLLIST</t>
        </is>
      </c>
      <c r="B530" s="48" t="inlineStr">
        <is>
          <t>SILVER_CONSUMER</t>
        </is>
      </c>
      <c r="C530" s="48" t="inlineStr">
        <is>
          <t>X.7</t>
        </is>
      </c>
      <c r="D530" s="48" t="inlineStr">
        <is>
          <t>Nhom X - Bo sung Raffles</t>
        </is>
      </c>
      <c r="E530" s="48" t="inlineStr">
        <is>
          <t>[Bổ sung] Không hard-code catalog, dùng biến môi trường</t>
        </is>
      </c>
      <c r="F530" s="49" t="inlineStr">
        <is>
          <t>PASS</t>
        </is>
      </c>
      <c r="G530" s="48" t="inlineStr">
        <is>
          <t>Pass</t>
        </is>
      </c>
      <c r="H530" s="50" t="inlineStr">
        <is>
          <t>dùng biến môi trường cho catalog</t>
        </is>
      </c>
      <c r="I530"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30" s="48" t="inlineStr">
        <is>
          <t>030. OCB_GOLD_TCKH_V_T24_CRB_FULLLIST_PHAT.xlsx [Script: V_T24_CRB_FULLLIST]</t>
        </is>
      </c>
    </row>
    <row r="531">
      <c r="A531" s="48" t="inlineStr">
        <is>
          <t>TCKH.V_T24_CUSTOMER_NEW</t>
        </is>
      </c>
      <c r="B531" s="48" t="inlineStr">
        <is>
          <t>GOLD_DERIVED</t>
        </is>
      </c>
      <c r="C531" s="48" t="inlineStr">
        <is>
          <t>1.1</t>
        </is>
      </c>
      <c r="D531" s="48" t="inlineStr">
        <is>
          <t>Nhom 1 - Mapping</t>
        </is>
      </c>
      <c r="E531" s="48" t="inlineStr">
        <is>
          <t>Đầy đủ mapping từ Silver/manual sang Gold</t>
        </is>
      </c>
      <c r="F531" s="49" t="inlineStr">
        <is>
          <t>PASS</t>
        </is>
      </c>
      <c r="G531" s="48" t="inlineStr">
        <is>
          <t>Pass</t>
        </is>
      </c>
      <c r="H531" s="50" t="inlineStr">
        <is>
          <t>workbook 031. OCB_GOLD_TCKH_V_T24_CUSTOMER_NEW_BAOANH.xlsx: thiết kế 43 field, SQL có 43 cột</t>
        </is>
      </c>
      <c r="I531"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31" s="48" t="inlineStr">
        <is>
          <t>031. OCB_GOLD_TCKH_V_T24_CUSTOMER_NEW_BAOANH.xlsx [Script SQL: V_T24_CUSTOMER_NEW]</t>
        </is>
      </c>
    </row>
    <row r="532">
      <c r="A532" s="48" t="inlineStr">
        <is>
          <t>TCKH.V_T24_CUSTOMER_NEW</t>
        </is>
      </c>
      <c r="B532" s="48" t="inlineStr">
        <is>
          <t>GOLD_DERIVED</t>
        </is>
      </c>
      <c r="C532" s="48" t="inlineStr">
        <is>
          <t>1.2</t>
        </is>
      </c>
      <c r="D532" s="48" t="inlineStr">
        <is>
          <t>Nhom 1 - Mapping</t>
        </is>
      </c>
      <c r="E532" s="48" t="inlineStr">
        <is>
          <t>Danh sách bảng/view Gold khớp tài liệu thiết kế đã duyệt</t>
        </is>
      </c>
      <c r="F532" s="49" t="inlineStr">
        <is>
          <t>PASS</t>
        </is>
      </c>
      <c r="G532" s="48" t="inlineStr">
        <is>
          <t>Pass</t>
        </is>
      </c>
      <c r="H532" s="50" t="inlineStr">
        <is>
          <t>V_T24_CUSTOMER_NEW có workbook thiết kế: 031. OCB_GOLD_TCKH_V_T24_CUSTOMER_NEW_BAOANH.xlsx</t>
        </is>
      </c>
      <c r="I532" s="50" t="inlineStr">
        <is>
          <t>Đảm bảo object có workbook thiết kế tương ứng trong thư mục --mapping-dir. Muốn đối chiếu với danh sách đã duyệt thì chạy thêm tham số --gold-list "&lt;file danh sách Gold&gt;.xlsx".</t>
        </is>
      </c>
      <c r="J532" s="48" t="inlineStr">
        <is>
          <t>031. OCB_GOLD_TCKH_V_T24_CUSTOMER_NEW_BAOANH.xlsx [Script SQL: V_T24_CUSTOMER_NEW]</t>
        </is>
      </c>
    </row>
    <row r="533">
      <c r="A533" s="48" t="inlineStr">
        <is>
          <t>TCKH.V_T24_CUSTOMER_NEW</t>
        </is>
      </c>
      <c r="B533" s="48" t="inlineStr">
        <is>
          <t>GOLD_DERIVED</t>
        </is>
      </c>
      <c r="C533" s="48" t="inlineStr">
        <is>
          <t>2.1</t>
        </is>
      </c>
      <c r="D533" s="48" t="inlineStr">
        <is>
          <t>Nhom 2 - Logic</t>
        </is>
      </c>
      <c r="E533" s="48" t="inlineStr">
        <is>
          <t>Chỉ lấy bản ghi active, loại bản ghi đã xóa (qua sts_hub)</t>
        </is>
      </c>
      <c r="F533" s="48" t="inlineStr">
        <is>
          <t>N-A</t>
        </is>
      </c>
      <c r="G533" s="48" t="inlineStr">
        <is>
          <t>Pass</t>
        </is>
      </c>
      <c r="H533" s="50" t="inlineStr">
        <is>
          <t>khong ap dung cho profile GOLD_DERIVED</t>
        </is>
      </c>
      <c r="I533"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33" s="48" t="inlineStr">
        <is>
          <t>031. OCB_GOLD_TCKH_V_T24_CUSTOMER_NEW_BAOANH.xlsx [Script SQL: V_T24_CUSTOMER_NEW]</t>
        </is>
      </c>
    </row>
    <row r="534">
      <c r="A534" s="48" t="inlineStr">
        <is>
          <t>TCKH.V_T24_CUSTOMER_NEW</t>
        </is>
      </c>
      <c r="B534" s="48" t="inlineStr">
        <is>
          <t>GOLD_DERIVED</t>
        </is>
      </c>
      <c r="C534" s="48" t="inlineStr">
        <is>
          <t>2.2</t>
        </is>
      </c>
      <c r="D534" s="48" t="inlineStr">
        <is>
          <t>Nhom 2 - Logic</t>
        </is>
      </c>
      <c r="E534" s="48" t="inlineStr">
        <is>
          <t>Thống nhất MỘT pattern duy nhất xác định bản ghi active mới nhất</t>
        </is>
      </c>
      <c r="F534" s="48" t="inlineStr">
        <is>
          <t>N-A</t>
        </is>
      </c>
      <c r="G534" s="48" t="inlineStr">
        <is>
          <t>Pass</t>
        </is>
      </c>
      <c r="H534" s="50" t="inlineStr">
        <is>
          <t>khong ap dung cho profile GOLD_DERIVED</t>
        </is>
      </c>
      <c r="I534"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34" s="48" t="inlineStr">
        <is>
          <t>031. OCB_GOLD_TCKH_V_T24_CUSTOMER_NEW_BAOANH.xlsx [Script SQL: V_T24_CUSTOMER_NEW]</t>
        </is>
      </c>
    </row>
    <row r="535">
      <c r="A535" s="48" t="inlineStr">
        <is>
          <t>TCKH.V_T24_CUSTOMER_NEW</t>
        </is>
      </c>
      <c r="B535" s="48" t="inlineStr">
        <is>
          <t>GOLD_DERIVED</t>
        </is>
      </c>
      <c r="C535" s="48" t="inlineStr">
        <is>
          <t>2.3</t>
        </is>
      </c>
      <c r="D535" s="48" t="inlineStr">
        <is>
          <t>Nhom 2 - Logic</t>
        </is>
      </c>
      <c r="E535" s="48" t="inlineStr">
        <is>
          <t>Điều kiện lọc trạng thái đặt SAU khi xác định bản ghi mới nhất</t>
        </is>
      </c>
      <c r="F535" s="49" t="inlineStr">
        <is>
          <t>PASS</t>
        </is>
      </c>
      <c r="G535" s="48" t="inlineStr">
        <is>
          <t>Pass</t>
        </is>
      </c>
      <c r="H535" s="50" t="inlineStr">
        <is>
          <t>không có điều kiện trạng thái nào lồng trong JOIN ON</t>
        </is>
      </c>
      <c r="I535"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35" s="48" t="inlineStr">
        <is>
          <t>031. OCB_GOLD_TCKH_V_T24_CUSTOMER_NEW_BAOANH.xlsx [Script SQL: V_T24_CUSTOMER_NEW]</t>
        </is>
      </c>
    </row>
    <row r="536">
      <c r="A536" s="48" t="inlineStr">
        <is>
          <t>TCKH.V_T24_CUSTOMER_NEW</t>
        </is>
      </c>
      <c r="B536" s="48" t="inlineStr">
        <is>
          <t>GOLD_DERIVED</t>
        </is>
      </c>
      <c r="C536" s="48" t="inlineStr">
        <is>
          <t>2.4</t>
        </is>
      </c>
      <c r="D536" s="48" t="inlineStr">
        <is>
          <t>Nhom 2 - Logic</t>
        </is>
      </c>
      <c r="E536" s="48" t="inlineStr">
        <is>
          <t>source_event_date áp dụng đúng dạng theo loại bảng</t>
        </is>
      </c>
      <c r="F536" s="48" t="inlineStr">
        <is>
          <t>N-A</t>
        </is>
      </c>
      <c r="G536" s="48" t="inlineStr">
        <is>
          <t>Pass</t>
        </is>
      </c>
      <c r="H536" s="50" t="inlineStr">
        <is>
          <t>khong ap dung cho profile GOLD_DERIVED</t>
        </is>
      </c>
      <c r="I536"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36" s="48" t="inlineStr">
        <is>
          <t>031. OCB_GOLD_TCKH_V_T24_CUSTOMER_NEW_BAOANH.xlsx [Script SQL: V_T24_CUSTOMER_NEW]</t>
        </is>
      </c>
    </row>
    <row r="537">
      <c r="A537" s="48" t="inlineStr">
        <is>
          <t>TCKH.V_T24_CUSTOMER_NEW</t>
        </is>
      </c>
      <c r="B537" s="48" t="inlineStr">
        <is>
          <t>GOLD_DERIVED</t>
        </is>
      </c>
      <c r="C537" s="48" t="inlineStr">
        <is>
          <t>2.5</t>
        </is>
      </c>
      <c r="D537" s="48" t="inlineStr">
        <is>
          <t>Nhom 2 - Logic</t>
        </is>
      </c>
      <c r="E537" s="48" t="inlineStr">
        <is>
          <t>Không lặp lại lỗi logic cũ đã được DA Data Vault fix</t>
        </is>
      </c>
      <c r="F537" s="49" t="inlineStr">
        <is>
          <t>PASS</t>
        </is>
      </c>
      <c r="G537" s="48" t="inlineStr">
        <is>
          <t>Pass</t>
        </is>
      </c>
      <c r="H537" s="50" t="inlineStr">
        <is>
          <t>không trùng lỗi nào trong Issue log của DA Data Vault</t>
        </is>
      </c>
      <c r="I537"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37" s="48" t="inlineStr">
        <is>
          <t>031. OCB_GOLD_TCKH_V_T24_CUSTOMER_NEW_BAOANH.xlsx [Script SQL: V_T24_CUSTOMER_NEW]</t>
        </is>
      </c>
    </row>
    <row r="538">
      <c r="A538" s="48" t="inlineStr">
        <is>
          <t>TCKH.V_T24_CUSTOMER_NEW</t>
        </is>
      </c>
      <c r="B538" s="48" t="inlineStr">
        <is>
          <t>GOLD_DERIVED</t>
        </is>
      </c>
      <c r="C538" s="48" t="inlineStr">
        <is>
          <t>2.6</t>
        </is>
      </c>
      <c r="D538" s="48" t="inlineStr">
        <is>
          <t>Nhom 2 - Logic</t>
        </is>
      </c>
      <c r="E538" s="48" t="inlineStr">
        <is>
          <t>SCD Type 2 cho bảng DIM áp dụng đúng kỹ thuật đã thống nhất</t>
        </is>
      </c>
      <c r="F538" s="48" t="inlineStr">
        <is>
          <t>N-A</t>
        </is>
      </c>
      <c r="G538" s="48" t="inlineStr">
        <is>
          <t>Pass</t>
        </is>
      </c>
      <c r="H538" s="50" t="inlineStr">
        <is>
          <t>object không phải bảng DIM nên không áp dụng SCD Type 2</t>
        </is>
      </c>
      <c r="I538"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38" s="48" t="inlineStr">
        <is>
          <t>031. OCB_GOLD_TCKH_V_T24_CUSTOMER_NEW_BAOANH.xlsx [Script SQL: V_T24_CUSTOMER_NEW]</t>
        </is>
      </c>
    </row>
    <row r="539">
      <c r="A539" s="48" t="inlineStr">
        <is>
          <t>TCKH.V_T24_CUSTOMER_NEW</t>
        </is>
      </c>
      <c r="B539" s="48" t="inlineStr">
        <is>
          <t>GOLD_DERIVED</t>
        </is>
      </c>
      <c r="C539" s="48" t="inlineStr">
        <is>
          <t>2.7</t>
        </is>
      </c>
      <c r="D539" s="48" t="inlineStr">
        <is>
          <t>Nhom 2 - Logic</t>
        </is>
      </c>
      <c r="E539" s="48" t="inlineStr">
        <is>
          <t>CASE WHEN cover đủ nhánh như job on-prem</t>
        </is>
      </c>
      <c r="F539" s="48" t="inlineStr">
        <is>
          <t>N-A</t>
        </is>
      </c>
      <c r="G539" s="48" t="inlineStr">
        <is>
          <t>Pass</t>
        </is>
      </c>
      <c r="H539" s="50" t="inlineStr">
        <is>
          <t>script không có CASE WHEN nào</t>
        </is>
      </c>
      <c r="I539" s="50" t="inlineStr">
        <is>
          <t>Mở job on-prem tương ứng (DataStage DSX hoặc SQL cũ), đối chiếu từng nhánh WHEN và cả nhánh ELSE. CASE không có ELSE sẽ trả NULL âm thầm — xác nhận đó là ý muốn hay thiếu nhánh.</t>
        </is>
      </c>
      <c r="J539" s="48" t="inlineStr">
        <is>
          <t>031. OCB_GOLD_TCKH_V_T24_CUSTOMER_NEW_BAOANH.xlsx [Script SQL: V_T24_CUSTOMER_NEW]</t>
        </is>
      </c>
    </row>
    <row r="540">
      <c r="A540" s="48" t="inlineStr">
        <is>
          <t>TCKH.V_T24_CUSTOMER_NEW</t>
        </is>
      </c>
      <c r="B540" s="48" t="inlineStr">
        <is>
          <t>GOLD_DERIVED</t>
        </is>
      </c>
      <c r="C540" s="48" t="inlineStr">
        <is>
          <t>2.8</t>
        </is>
      </c>
      <c r="D540" s="48" t="inlineStr">
        <is>
          <t>Nhom 2 - Logic</t>
        </is>
      </c>
      <c r="E540" s="48" t="inlineStr">
        <is>
          <t>Cột SUM/COUNT được COALESCE/NVL hợp lý</t>
        </is>
      </c>
      <c r="F540" s="49" t="inlineStr">
        <is>
          <t>PASS</t>
        </is>
      </c>
      <c r="G540" s="48" t="inlineStr">
        <is>
          <t>Pass</t>
        </is>
      </c>
      <c r="H540" s="50" t="inlineStr">
        <is>
          <t>mọi SUM/COUNT đều đã coalesce (trực tiếp hoặc ở lớp ngoài)</t>
        </is>
      </c>
      <c r="I540"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40" s="48" t="inlineStr">
        <is>
          <t>031. OCB_GOLD_TCKH_V_T24_CUSTOMER_NEW_BAOANH.xlsx [Script SQL: V_T24_CUSTOMER_NEW]</t>
        </is>
      </c>
    </row>
    <row r="541">
      <c r="A541" s="48" t="inlineStr">
        <is>
          <t>TCKH.V_T24_CUSTOMER_NEW</t>
        </is>
      </c>
      <c r="B541" s="48" t="inlineStr">
        <is>
          <t>GOLD_DERIVED</t>
        </is>
      </c>
      <c r="C541" s="48" t="inlineStr">
        <is>
          <t>2.9</t>
        </is>
      </c>
      <c r="D541" s="48" t="inlineStr">
        <is>
          <t>Nhom 2 - Logic</t>
        </is>
      </c>
      <c r="E541" s="48" t="inlineStr">
        <is>
          <t>Subquery / custom function / điều kiện LIKE đúng ý nghĩa nghiệp vụ</t>
        </is>
      </c>
      <c r="F541" s="48" t="inlineStr">
        <is>
          <t>N-A</t>
        </is>
      </c>
      <c r="G541" s="48" t="inlineStr">
        <is>
          <t>Pass</t>
        </is>
      </c>
      <c r="H541" s="50" t="inlineStr">
        <is>
          <t>script không có điều kiện LIKE hay scalar subquery nào</t>
        </is>
      </c>
      <c r="I541" s="50" t="inlineStr">
        <is>
          <t>Đọc lại từng điều kiện LIKE và từng subquery, đối chiếu ý nghĩa nghiệp vụ với on-prem — đúng cú pháp không đủ. Chú ý pattern LIKE có ký tự % ở đầu/cuối và phân biệt chữ hoa/thường.</t>
        </is>
      </c>
      <c r="J541" s="48" t="inlineStr">
        <is>
          <t>031. OCB_GOLD_TCKH_V_T24_CUSTOMER_NEW_BAOANH.xlsx [Script SQL: V_T24_CUSTOMER_NEW]</t>
        </is>
      </c>
    </row>
    <row r="542">
      <c r="A542" s="48" t="inlineStr">
        <is>
          <t>TCKH.V_T24_CUSTOMER_NEW</t>
        </is>
      </c>
      <c r="B542" s="48" t="inlineStr">
        <is>
          <t>GOLD_DERIVED</t>
        </is>
      </c>
      <c r="C542" s="48" t="inlineStr">
        <is>
          <t>2.10</t>
        </is>
      </c>
      <c r="D542" s="48" t="inlineStr">
        <is>
          <t>Nhom 2 - Logic</t>
        </is>
      </c>
      <c r="E542" s="48" t="inlineStr">
        <is>
          <t>Aggregation kèm filter date range chính xác</t>
        </is>
      </c>
      <c r="F542" s="49" t="inlineStr">
        <is>
          <t>PASS</t>
        </is>
      </c>
      <c r="G542" s="48" t="inlineStr">
        <is>
          <t>Pass</t>
        </is>
      </c>
      <c r="H542" s="50" t="inlineStr">
        <is>
          <t>mọi khối tổng hợp đều có điều kiện theo kỳ dữ liệu</t>
        </is>
      </c>
      <c r="I542" s="50" t="inlineStr">
        <is>
          <t>Mỗi khối SUM/COUNT/AVG phải có điều kiện lọc theo kỳ dữ liệu (CDR_DT_ID, DATA_DATE, :DATADT…). Nếu điều kiện nằm ở CTE nguồn thì ghi rõ trong comment để người review không phải truy ngược.</t>
        </is>
      </c>
      <c r="J542" s="48" t="inlineStr">
        <is>
          <t>031. OCB_GOLD_TCKH_V_T24_CUSTOMER_NEW_BAOANH.xlsx [Script SQL: V_T24_CUSTOMER_NEW]</t>
        </is>
      </c>
    </row>
    <row r="543">
      <c r="A543" s="48" t="inlineStr">
        <is>
          <t>TCKH.V_T24_CUSTOMER_NEW</t>
        </is>
      </c>
      <c r="B543" s="48" t="inlineStr">
        <is>
          <t>GOLD_DERIVED</t>
        </is>
      </c>
      <c r="C543" s="48" t="inlineStr">
        <is>
          <t>2.11</t>
        </is>
      </c>
      <c r="D543" s="48" t="inlineStr">
        <is>
          <t>Nhom 2 - Logic</t>
        </is>
      </c>
      <c r="E543" s="48" t="inlineStr">
        <is>
          <t>Join dùng key hợp lý, không lạm dụng UNION ALL + EXISTS/NOT EXISTS</t>
        </is>
      </c>
      <c r="F543" s="49" t="inlineStr">
        <is>
          <t>PASS</t>
        </is>
      </c>
      <c r="G543" s="48" t="inlineStr">
        <is>
          <t>Pass</t>
        </is>
      </c>
      <c r="H543" s="50" t="inlineStr">
        <is>
          <t>join đều theo điều kiện bằng, không lạm dụng UNION ALL + EXISTS</t>
        </is>
      </c>
      <c r="I543" s="50" t="inlineStr">
        <is>
          <t>Ưu tiên LEFT JOIN theo business key hoặc hashkey. Xem lại các chỗ dùng UNION ALL kết hợp EXISTS/NOT EXISTS — thường thay được bằng một LEFT JOIN. Join không có điều kiện bằng (=) dễ tạo tích Descartes.</t>
        </is>
      </c>
      <c r="J543" s="48" t="inlineStr">
        <is>
          <t>031. OCB_GOLD_TCKH_V_T24_CUSTOMER_NEW_BAOANH.xlsx [Script SQL: V_T24_CUSTOMER_NEW]</t>
        </is>
      </c>
    </row>
    <row r="544">
      <c r="A544" s="48" t="inlineStr">
        <is>
          <t>TCKH.V_T24_CUSTOMER_NEW</t>
        </is>
      </c>
      <c r="B544" s="48" t="inlineStr">
        <is>
          <t>GOLD_DERIVED</t>
        </is>
      </c>
      <c r="C544" s="48" t="inlineStr">
        <is>
          <t>2.12</t>
        </is>
      </c>
      <c r="D544" s="48" t="inlineStr">
        <is>
          <t>Nhom 2 - Logic</t>
        </is>
      </c>
      <c r="E544" s="48" t="inlineStr">
        <is>
          <t>Build Gold từ CTE snapshot Silver, không build nhiều tầng chồng chéo</t>
        </is>
      </c>
      <c r="F544" s="49" t="inlineStr">
        <is>
          <t>PASS</t>
        </is>
      </c>
      <c r="G544" s="48" t="inlineStr">
        <is>
          <t>Pass</t>
        </is>
      </c>
      <c r="H544" s="50" t="inlineStr">
        <is>
          <t>mỗi bảng nguồn chỉ đọc trong 1 khối SELECT</t>
        </is>
      </c>
      <c r="I544"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44" s="48" t="inlineStr">
        <is>
          <t>031. OCB_GOLD_TCKH_V_T24_CUSTOMER_NEW_BAOANH.xlsx [Script SQL: V_T24_CUSTOMER_NEW]</t>
        </is>
      </c>
    </row>
    <row r="545">
      <c r="A545" s="48" t="inlineStr">
        <is>
          <t>TCKH.V_T24_CUSTOMER_NEW</t>
        </is>
      </c>
      <c r="B545" s="48" t="inlineStr">
        <is>
          <t>GOLD_DERIVED</t>
        </is>
      </c>
      <c r="C545" s="48" t="inlineStr">
        <is>
          <t>3.1</t>
        </is>
      </c>
      <c r="D545" s="48" t="inlineStr">
        <is>
          <t>Nhom 3 - Optimization</t>
        </is>
      </c>
      <c r="E545" s="48" t="inlineStr">
        <is>
          <t>Không SELECT *</t>
        </is>
      </c>
      <c r="F545" s="49" t="inlineStr">
        <is>
          <t>PASS</t>
        </is>
      </c>
      <c r="G545" s="48" t="inlineStr">
        <is>
          <t>Pass</t>
        </is>
      </c>
      <c r="H545" s="50" t="inlineStr">
        <is>
          <t>không dùng SELECT * ở đâu</t>
        </is>
      </c>
      <c r="I545" s="50" t="inlineStr">
        <is>
          <t>Liệt kê tường minh các cột cần dùng, kể cả trong CTE trung gian. SELECT * làm tăng IO/memory và vỡ script khi bảng nguồn thêm cột.</t>
        </is>
      </c>
      <c r="J545" s="48" t="inlineStr">
        <is>
          <t>031. OCB_GOLD_TCKH_V_T24_CUSTOMER_NEW_BAOANH.xlsx [Script SQL: V_T24_CUSTOMER_NEW]</t>
        </is>
      </c>
    </row>
    <row r="546">
      <c r="A546" s="48" t="inlineStr">
        <is>
          <t>TCKH.V_T24_CUSTOMER_NEW</t>
        </is>
      </c>
      <c r="B546" s="48" t="inlineStr">
        <is>
          <t>GOLD_DERIVED</t>
        </is>
      </c>
      <c r="C546" s="48" t="inlineStr">
        <is>
          <t>3.2</t>
        </is>
      </c>
      <c r="D546" s="48" t="inlineStr">
        <is>
          <t>Nhom 3 - Optimization</t>
        </is>
      </c>
      <c r="E546" s="48" t="inlineStr">
        <is>
          <t>CTE không bị scan lại nhiều lần</t>
        </is>
      </c>
      <c r="F546" s="49" t="inlineStr">
        <is>
          <t>PASS</t>
        </is>
      </c>
      <c r="G546" s="48" t="inlineStr">
        <is>
          <t>Pass</t>
        </is>
      </c>
      <c r="H546" s="50" t="inlineStr">
        <is>
          <t>không có CTE nào bị gọi lại</t>
        </is>
      </c>
      <c r="I546" s="50" t="inlineStr">
        <is>
          <t>Với CTE nặng (đọc nhiều bảng Silver) bị tham chiếu từ 2 chỗ trở lên: gom lại còn một lần dùng, hoặc vật chất hóa (CACHE / bảng tạm). CTE nhẹ chỉ chứa tham số thì bỏ qua được — tự tick Pass.</t>
        </is>
      </c>
      <c r="J546" s="48" t="inlineStr">
        <is>
          <t>031. OCB_GOLD_TCKH_V_T24_CUSTOMER_NEW_BAOANH.xlsx [Script SQL: V_T24_CUSTOMER_NEW]</t>
        </is>
      </c>
    </row>
    <row r="547">
      <c r="A547" s="48" t="inlineStr">
        <is>
          <t>TCKH.V_T24_CUSTOMER_NEW</t>
        </is>
      </c>
      <c r="B547" s="48" t="inlineStr">
        <is>
          <t>GOLD_DERIVED</t>
        </is>
      </c>
      <c r="C547" s="48" t="inlineStr">
        <is>
          <t>3.3</t>
        </is>
      </c>
      <c r="D547" s="48" t="inlineStr">
        <is>
          <t>Nhom 3 - Optimization</t>
        </is>
      </c>
      <c r="E547" s="48" t="inlineStr">
        <is>
          <t>Filter trước khi join, tận dụng partition pruning</t>
        </is>
      </c>
      <c r="F547" s="49" t="inlineStr">
        <is>
          <t>PASS</t>
        </is>
      </c>
      <c r="G547" s="48" t="inlineStr">
        <is>
          <t>Pass</t>
        </is>
      </c>
      <c r="H547" s="50" t="inlineStr">
        <is>
          <t>các bảng join đều được filter trước</t>
        </is>
      </c>
      <c r="I547" s="50" t="inlineStr">
        <is>
          <t>Đưa điều kiện lọc (ngày dữ liệu, trạng thái) vào subquery của từng bảng TRƯỚC khi join, để tận dụng partition pruning. Bảng dim nhỏ không partition thì không cần — tự tick Pass.</t>
        </is>
      </c>
      <c r="J547" s="48" t="inlineStr">
        <is>
          <t>031. OCB_GOLD_TCKH_V_T24_CUSTOMER_NEW_BAOANH.xlsx [Script SQL: V_T24_CUSTOMER_NEW]</t>
        </is>
      </c>
    </row>
    <row r="548">
      <c r="A548" s="48" t="inlineStr">
        <is>
          <t>TCKH.V_T24_CUSTOMER_NEW</t>
        </is>
      </c>
      <c r="B548" s="48" t="inlineStr">
        <is>
          <t>GOLD_DERIVED</t>
        </is>
      </c>
      <c r="C548" s="48" t="inlineStr">
        <is>
          <t>3.4</t>
        </is>
      </c>
      <c r="D548" s="48" t="inlineStr">
        <is>
          <t>Nhom 3 - Optimization</t>
        </is>
      </c>
      <c r="E548" s="48" t="inlineStr">
        <is>
          <t>Sử dụng CACHE cho query lặp lại trong cùng luồng</t>
        </is>
      </c>
      <c r="F548" s="48" t="inlineStr">
        <is>
          <t>N-A</t>
        </is>
      </c>
      <c r="G548" s="48" t="inlineStr">
        <is>
          <t>Pass</t>
        </is>
      </c>
      <c r="H548" s="50" t="inlineStr">
        <is>
          <t>không có kết quả nào được dùng lại nhiều lần nên chưa cần CACHE</t>
        </is>
      </c>
      <c r="I548" s="50" t="inlineStr">
        <is>
          <t>Nếu một kết quả nặng được dùng lại nhiều bước trong cùng luồng, thêm CACHE TABLE / CACHE SELECT. Kết quả nhỏ thì cache còn chậm hơn — tự tick Pass.</t>
        </is>
      </c>
      <c r="J548" s="48" t="inlineStr">
        <is>
          <t>031. OCB_GOLD_TCKH_V_T24_CUSTOMER_NEW_BAOANH.xlsx [Script SQL: V_T24_CUSTOMER_NEW]</t>
        </is>
      </c>
    </row>
    <row r="549">
      <c r="A549" s="48" t="inlineStr">
        <is>
          <t>TCKH.V_T24_CUSTOMER_NEW</t>
        </is>
      </c>
      <c r="B549" s="48" t="inlineStr">
        <is>
          <t>GOLD_DERIVED</t>
        </is>
      </c>
      <c r="C549" s="48" t="inlineStr">
        <is>
          <t>3.5</t>
        </is>
      </c>
      <c r="D549" s="48" t="inlineStr">
        <is>
          <t>Nhom 3 - Optimization</t>
        </is>
      </c>
      <c r="E549" s="48" t="inlineStr">
        <is>
          <t>Ưu tiên MAX_BY + QUALIFY thay ROW_NUMBER() + WHERE rn = 1</t>
        </is>
      </c>
      <c r="F549" s="48" t="inlineStr">
        <is>
          <t>N-A</t>
        </is>
      </c>
      <c r="G549" s="48" t="inlineStr">
        <is>
          <t>Pass</t>
        </is>
      </c>
      <c r="H549" s="50" t="inlineStr">
        <is>
          <t>script không dùng ROW_NUMBER</t>
        </is>
      </c>
      <c r="I549"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49" s="48" t="inlineStr">
        <is>
          <t>031. OCB_GOLD_TCKH_V_T24_CUSTOMER_NEW_BAOANH.xlsx [Script SQL: V_T24_CUSTOMER_NEW]</t>
        </is>
      </c>
    </row>
    <row r="550">
      <c r="A550" s="48" t="inlineStr">
        <is>
          <t>TCKH.V_T24_CUSTOMER_NEW</t>
        </is>
      </c>
      <c r="B550" s="48" t="inlineStr">
        <is>
          <t>GOLD_DERIVED</t>
        </is>
      </c>
      <c r="C550" s="48" t="inlineStr">
        <is>
          <t>3.6</t>
        </is>
      </c>
      <c r="D550" s="48" t="inlineStr">
        <is>
          <t>Nhom 3 - Optimization</t>
        </is>
      </c>
      <c r="E550" s="48" t="inlineStr">
        <is>
          <t>Không lạm dụng window function; có comment khi dùng</t>
        </is>
      </c>
      <c r="F550" s="48" t="inlineStr">
        <is>
          <t>N-A</t>
        </is>
      </c>
      <c r="G550" s="48" t="inlineStr">
        <is>
          <t>Pass</t>
        </is>
      </c>
      <c r="H550" s="50" t="inlineStr">
        <is>
          <t>script không dùng window function</t>
        </is>
      </c>
      <c r="I550" s="50" t="inlineStr">
        <is>
          <t>Mỗi window function cần một comment ngay trên khối CTE chứa nó, nói rõ vì sao không dùng được max_by/QUALIFY đơn giản hơn.</t>
        </is>
      </c>
      <c r="J550" s="48" t="inlineStr">
        <is>
          <t>031. OCB_GOLD_TCKH_V_T24_CUSTOMER_NEW_BAOANH.xlsx [Script SQL: V_T24_CUSTOMER_NEW]</t>
        </is>
      </c>
    </row>
    <row r="551">
      <c r="A551" s="48" t="inlineStr">
        <is>
          <t>TCKH.V_T24_CUSTOMER_NEW</t>
        </is>
      </c>
      <c r="B551" s="48" t="inlineStr">
        <is>
          <t>GOLD_DERIVED</t>
        </is>
      </c>
      <c r="C551" s="48" t="inlineStr">
        <is>
          <t>X.1</t>
        </is>
      </c>
      <c r="D551" s="48" t="inlineStr">
        <is>
          <t>Nhom X - Bo sung Raffles</t>
        </is>
      </c>
      <c r="E551" s="48" t="inlineStr">
        <is>
          <t>[Bổ sung] Link phải rút về current trước khi join (chống fan-out)</t>
        </is>
      </c>
      <c r="F551" s="48" t="inlineStr">
        <is>
          <t>N-A</t>
        </is>
      </c>
      <c r="G551" s="48" t="inlineStr">
        <is>
          <t>Pass</t>
        </is>
      </c>
      <c r="H551" s="50" t="inlineStr">
        <is>
          <t>khong ap dung cho profile GOLD_DERIVED</t>
        </is>
      </c>
      <c r="I551"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51" s="48" t="inlineStr">
        <is>
          <t>031. OCB_GOLD_TCKH_V_T24_CUSTOMER_NEW_BAOANH.xlsx [Script SQL: V_T24_CUSTOMER_NEW]</t>
        </is>
      </c>
    </row>
    <row r="552">
      <c r="A552" s="48" t="inlineStr">
        <is>
          <t>TCKH.V_T24_CUSTOMER_NEW</t>
        </is>
      </c>
      <c r="B552" s="48" t="inlineStr">
        <is>
          <t>GOLD_DERIVED</t>
        </is>
      </c>
      <c r="C552" s="48" t="inlineStr">
        <is>
          <t>X.6</t>
        </is>
      </c>
      <c r="D552" s="48" t="inlineStr">
        <is>
          <t>Nhom X - Bo sung Raffles</t>
        </is>
      </c>
      <c r="E552" s="48" t="inlineStr">
        <is>
          <t>[Bổ sung] Satellite phải LEFT JOIN, không INNER JOIN</t>
        </is>
      </c>
      <c r="F552" s="48" t="inlineStr">
        <is>
          <t>N-A</t>
        </is>
      </c>
      <c r="G552" s="48" t="inlineStr">
        <is>
          <t>Pass</t>
        </is>
      </c>
      <c r="H552" s="50" t="inlineStr">
        <is>
          <t>khong ap dung cho profile GOLD_DERIVED</t>
        </is>
      </c>
      <c r="I552" s="50" t="inlineStr">
        <is>
          <t>Technical Document III.4.2.2 nguyên tắc 1: làm giàu thuộc tính luôn dùng LEFT JOIN. INNER JOIN satellite sẽ loại mất bản ghi Hub đang còn hiệu lực nhưng chưa có dòng satellite.</t>
        </is>
      </c>
      <c r="J552" s="48" t="inlineStr">
        <is>
          <t>031. OCB_GOLD_TCKH_V_T24_CUSTOMER_NEW_BAOANH.xlsx [Script SQL: V_T24_CUSTOMER_NEW]</t>
        </is>
      </c>
    </row>
    <row r="553">
      <c r="A553" s="48" t="inlineStr">
        <is>
          <t>TCKH.V_T24_CUSTOMER_NEW</t>
        </is>
      </c>
      <c r="B553" s="48" t="inlineStr">
        <is>
          <t>GOLD_DERIVED</t>
        </is>
      </c>
      <c r="C553" s="48" t="inlineStr">
        <is>
          <t>X.7</t>
        </is>
      </c>
      <c r="D553" s="48" t="inlineStr">
        <is>
          <t>Nhom X - Bo sung Raffles</t>
        </is>
      </c>
      <c r="E553" s="48" t="inlineStr">
        <is>
          <t>[Bổ sung] Không hard-code catalog, dùng biến môi trường</t>
        </is>
      </c>
      <c r="F553" s="49" t="inlineStr">
        <is>
          <t>PASS</t>
        </is>
      </c>
      <c r="G553" s="48" t="inlineStr">
        <is>
          <t>Pass</t>
        </is>
      </c>
      <c r="H553" s="50" t="inlineStr">
        <is>
          <t>dùng biến môi trường cho catalog</t>
        </is>
      </c>
      <c r="I553"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53" s="48" t="inlineStr">
        <is>
          <t>031. OCB_GOLD_TCKH_V_T24_CUSTOMER_NEW_BAOANH.xlsx [Script SQL: V_T24_CUSTOMER_NEW]</t>
        </is>
      </c>
    </row>
    <row r="554">
      <c r="A554" s="48" t="inlineStr">
        <is>
          <t>TCKH.V_TB_NIM</t>
        </is>
      </c>
      <c r="B554" s="48" t="inlineStr">
        <is>
          <t>GOLD_DERIVED</t>
        </is>
      </c>
      <c r="C554" s="48" t="inlineStr">
        <is>
          <t>1.1</t>
        </is>
      </c>
      <c r="D554" s="48" t="inlineStr">
        <is>
          <t>Nhom 1 - Mapping</t>
        </is>
      </c>
      <c r="E554" s="48" t="inlineStr">
        <is>
          <t>Đầy đủ mapping từ Silver/manual sang Gold</t>
        </is>
      </c>
      <c r="F554" s="49" t="inlineStr">
        <is>
          <t>PASS</t>
        </is>
      </c>
      <c r="G554" s="48" t="inlineStr">
        <is>
          <t>Pass</t>
        </is>
      </c>
      <c r="H554" s="50" t="inlineStr">
        <is>
          <t>workbook 067. OCB_GOLD_TCKH_AR_DIM_HOP.xlsx: thiết kế 57 field, SQL có 57 cột</t>
        </is>
      </c>
      <c r="I554"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54" s="48" t="inlineStr">
        <is>
          <t>036. OCB_GOLD_TCKH_V_TB_NIM_HOP.xlsx [SCRIPT: V_TB_NIM]</t>
        </is>
      </c>
    </row>
    <row r="555">
      <c r="A555" s="48" t="inlineStr">
        <is>
          <t>TCKH.V_TB_NIM</t>
        </is>
      </c>
      <c r="B555" s="48" t="inlineStr">
        <is>
          <t>GOLD_DERIVED</t>
        </is>
      </c>
      <c r="C555" s="48" t="inlineStr">
        <is>
          <t>1.2</t>
        </is>
      </c>
      <c r="D555" s="48" t="inlineStr">
        <is>
          <t>Nhom 1 - Mapping</t>
        </is>
      </c>
      <c r="E555" s="48" t="inlineStr">
        <is>
          <t>Danh sách bảng/view Gold khớp tài liệu thiết kế đã duyệt</t>
        </is>
      </c>
      <c r="F555" s="49" t="inlineStr">
        <is>
          <t>PASS</t>
        </is>
      </c>
      <c r="G555" s="48" t="inlineStr">
        <is>
          <t>Pass</t>
        </is>
      </c>
      <c r="H555" s="50" t="inlineStr">
        <is>
          <t>V_TB_NIM có workbook thiết kế: 067. OCB_GOLD_TCKH_AR_DIM_HOP.xlsx</t>
        </is>
      </c>
      <c r="I555" s="50" t="inlineStr">
        <is>
          <t>Đảm bảo object có workbook thiết kế tương ứng trong thư mục --mapping-dir. Muốn đối chiếu với danh sách đã duyệt thì chạy thêm tham số --gold-list "&lt;file danh sách Gold&gt;.xlsx".</t>
        </is>
      </c>
      <c r="J555" s="48" t="inlineStr">
        <is>
          <t>036. OCB_GOLD_TCKH_V_TB_NIM_HOP.xlsx [SCRIPT: V_TB_NIM]</t>
        </is>
      </c>
    </row>
    <row r="556">
      <c r="A556" s="48" t="inlineStr">
        <is>
          <t>TCKH.V_TB_NIM</t>
        </is>
      </c>
      <c r="B556" s="48" t="inlineStr">
        <is>
          <t>GOLD_DERIVED</t>
        </is>
      </c>
      <c r="C556" s="48" t="inlineStr">
        <is>
          <t>2.1</t>
        </is>
      </c>
      <c r="D556" s="48" t="inlineStr">
        <is>
          <t>Nhom 2 - Logic</t>
        </is>
      </c>
      <c r="E556" s="48" t="inlineStr">
        <is>
          <t>Chỉ lấy bản ghi active, loại bản ghi đã xóa (qua sts_hub)</t>
        </is>
      </c>
      <c r="F556" s="48" t="inlineStr">
        <is>
          <t>N-A</t>
        </is>
      </c>
      <c r="G556" s="48" t="inlineStr">
        <is>
          <t>Pass</t>
        </is>
      </c>
      <c r="H556" s="50" t="inlineStr">
        <is>
          <t>khong ap dung cho profile GOLD_DERIVED</t>
        </is>
      </c>
      <c r="I556"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56" s="48" t="inlineStr">
        <is>
          <t>036. OCB_GOLD_TCKH_V_TB_NIM_HOP.xlsx [SCRIPT: V_TB_NIM]</t>
        </is>
      </c>
    </row>
    <row r="557">
      <c r="A557" s="48" t="inlineStr">
        <is>
          <t>TCKH.V_TB_NIM</t>
        </is>
      </c>
      <c r="B557" s="48" t="inlineStr">
        <is>
          <t>GOLD_DERIVED</t>
        </is>
      </c>
      <c r="C557" s="48" t="inlineStr">
        <is>
          <t>2.2</t>
        </is>
      </c>
      <c r="D557" s="48" t="inlineStr">
        <is>
          <t>Nhom 2 - Logic</t>
        </is>
      </c>
      <c r="E557" s="48" t="inlineStr">
        <is>
          <t>Thống nhất MỘT pattern duy nhất xác định bản ghi active mới nhất</t>
        </is>
      </c>
      <c r="F557" s="48" t="inlineStr">
        <is>
          <t>N-A</t>
        </is>
      </c>
      <c r="G557" s="48" t="inlineStr">
        <is>
          <t>Pass</t>
        </is>
      </c>
      <c r="H557" s="50" t="inlineStr">
        <is>
          <t>khong ap dung cho profile GOLD_DERIVED</t>
        </is>
      </c>
      <c r="I557"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7" s="48" t="inlineStr">
        <is>
          <t>036. OCB_GOLD_TCKH_V_TB_NIM_HOP.xlsx [SCRIPT: V_TB_NIM]</t>
        </is>
      </c>
    </row>
    <row r="558">
      <c r="A558" s="48" t="inlineStr">
        <is>
          <t>TCKH.V_TB_NIM</t>
        </is>
      </c>
      <c r="B558" s="48" t="inlineStr">
        <is>
          <t>GOLD_DERIVED</t>
        </is>
      </c>
      <c r="C558" s="48" t="inlineStr">
        <is>
          <t>2.3</t>
        </is>
      </c>
      <c r="D558" s="48" t="inlineStr">
        <is>
          <t>Nhom 2 - Logic</t>
        </is>
      </c>
      <c r="E558" s="48" t="inlineStr">
        <is>
          <t>Điều kiện lọc trạng thái đặt SAU khi xác định bản ghi mới nhất</t>
        </is>
      </c>
      <c r="F558" s="49" t="inlineStr">
        <is>
          <t>PASS</t>
        </is>
      </c>
      <c r="G558" s="48" t="inlineStr">
        <is>
          <t>Pass</t>
        </is>
      </c>
      <c r="H558" s="50" t="inlineStr">
        <is>
          <t>không có điều kiện trạng thái nào lồng trong JOIN ON</t>
        </is>
      </c>
      <c r="I558"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58" s="48" t="inlineStr">
        <is>
          <t>036. OCB_GOLD_TCKH_V_TB_NIM_HOP.xlsx [SCRIPT: V_TB_NIM]</t>
        </is>
      </c>
    </row>
    <row r="559">
      <c r="A559" s="48" t="inlineStr">
        <is>
          <t>TCKH.V_TB_NIM</t>
        </is>
      </c>
      <c r="B559" s="48" t="inlineStr">
        <is>
          <t>GOLD_DERIVED</t>
        </is>
      </c>
      <c r="C559" s="48" t="inlineStr">
        <is>
          <t>2.4</t>
        </is>
      </c>
      <c r="D559" s="48" t="inlineStr">
        <is>
          <t>Nhom 2 - Logic</t>
        </is>
      </c>
      <c r="E559" s="48" t="inlineStr">
        <is>
          <t>source_event_date áp dụng đúng dạng theo loại bảng</t>
        </is>
      </c>
      <c r="F559" s="48" t="inlineStr">
        <is>
          <t>N-A</t>
        </is>
      </c>
      <c r="G559" s="48" t="inlineStr">
        <is>
          <t>Pass</t>
        </is>
      </c>
      <c r="H559" s="50" t="inlineStr">
        <is>
          <t>khong ap dung cho profile GOLD_DERIVED</t>
        </is>
      </c>
      <c r="I559"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59" s="48" t="inlineStr">
        <is>
          <t>036. OCB_GOLD_TCKH_V_TB_NIM_HOP.xlsx [SCRIPT: V_TB_NIM]</t>
        </is>
      </c>
    </row>
    <row r="560">
      <c r="A560" s="48" t="inlineStr">
        <is>
          <t>TCKH.V_TB_NIM</t>
        </is>
      </c>
      <c r="B560" s="48" t="inlineStr">
        <is>
          <t>GOLD_DERIVED</t>
        </is>
      </c>
      <c r="C560" s="48" t="inlineStr">
        <is>
          <t>2.5</t>
        </is>
      </c>
      <c r="D560" s="48" t="inlineStr">
        <is>
          <t>Nhom 2 - Logic</t>
        </is>
      </c>
      <c r="E560" s="48" t="inlineStr">
        <is>
          <t>Không lặp lại lỗi logic cũ đã được DA Data Vault fix</t>
        </is>
      </c>
      <c r="F560" s="49" t="inlineStr">
        <is>
          <t>PASS</t>
        </is>
      </c>
      <c r="G560" s="48" t="inlineStr">
        <is>
          <t>Pass</t>
        </is>
      </c>
      <c r="H560" s="50" t="inlineStr">
        <is>
          <t>không trùng lỗi nào trong Issue log của DA Data Vault</t>
        </is>
      </c>
      <c r="I560"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60" s="48" t="inlineStr">
        <is>
          <t>036. OCB_GOLD_TCKH_V_TB_NIM_HOP.xlsx [SCRIPT: V_TB_NIM]</t>
        </is>
      </c>
    </row>
    <row r="561">
      <c r="A561" s="48" t="inlineStr">
        <is>
          <t>TCKH.V_TB_NIM</t>
        </is>
      </c>
      <c r="B561" s="48" t="inlineStr">
        <is>
          <t>GOLD_DERIVED</t>
        </is>
      </c>
      <c r="C561" s="48" t="inlineStr">
        <is>
          <t>2.6</t>
        </is>
      </c>
      <c r="D561" s="48" t="inlineStr">
        <is>
          <t>Nhom 2 - Logic</t>
        </is>
      </c>
      <c r="E561" s="48" t="inlineStr">
        <is>
          <t>SCD Type 2 cho bảng DIM áp dụng đúng kỹ thuật đã thống nhất</t>
        </is>
      </c>
      <c r="F561" s="48" t="inlineStr">
        <is>
          <t>N-A</t>
        </is>
      </c>
      <c r="G561" s="48" t="inlineStr">
        <is>
          <t>Pass</t>
        </is>
      </c>
      <c r="H561" s="50" t="inlineStr">
        <is>
          <t>object không phải bảng DIM nên không áp dụng SCD Type 2</t>
        </is>
      </c>
      <c r="I561"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61" s="48" t="inlineStr">
        <is>
          <t>036. OCB_GOLD_TCKH_V_TB_NIM_HOP.xlsx [SCRIPT: V_TB_NIM]</t>
        </is>
      </c>
    </row>
    <row r="562">
      <c r="A562" s="48" t="inlineStr">
        <is>
          <t>TCKH.V_TB_NIM</t>
        </is>
      </c>
      <c r="B562" s="48" t="inlineStr">
        <is>
          <t>GOLD_DERIVED</t>
        </is>
      </c>
      <c r="C562" s="48" t="inlineStr">
        <is>
          <t>2.7</t>
        </is>
      </c>
      <c r="D562" s="48" t="inlineStr">
        <is>
          <t>Nhom 2 - Logic</t>
        </is>
      </c>
      <c r="E562" s="48" t="inlineStr">
        <is>
          <t>CASE WHEN cover đủ nhánh như job on-prem</t>
        </is>
      </c>
      <c r="F562" s="49" t="inlineStr">
        <is>
          <t>PASS</t>
        </is>
      </c>
      <c r="G562" s="48" t="inlineStr">
        <is>
          <t>Pass</t>
        </is>
      </c>
      <c r="H562" s="50" t="inlineStr">
        <is>
          <t>cả 1 CASE đều có nhánh ELSE</t>
        </is>
      </c>
      <c r="I562" s="50" t="inlineStr">
        <is>
          <t>Mở job on-prem tương ứng (DataStage DSX hoặc SQL cũ), đối chiếu từng nhánh WHEN và cả nhánh ELSE. CASE không có ELSE sẽ trả NULL âm thầm — xác nhận đó là ý muốn hay thiếu nhánh.</t>
        </is>
      </c>
      <c r="J562" s="48" t="inlineStr">
        <is>
          <t>036. OCB_GOLD_TCKH_V_TB_NIM_HOP.xlsx [SCRIPT: V_TB_NIM]</t>
        </is>
      </c>
    </row>
    <row r="563">
      <c r="A563" s="48" t="inlineStr">
        <is>
          <t>TCKH.V_TB_NIM</t>
        </is>
      </c>
      <c r="B563" s="48" t="inlineStr">
        <is>
          <t>GOLD_DERIVED</t>
        </is>
      </c>
      <c r="C563" s="48" t="inlineStr">
        <is>
          <t>2.8</t>
        </is>
      </c>
      <c r="D563" s="48" t="inlineStr">
        <is>
          <t>Nhom 2 - Logic</t>
        </is>
      </c>
      <c r="E563" s="48" t="inlineStr">
        <is>
          <t>Cột SUM/COUNT được COALESCE/NVL hợp lý</t>
        </is>
      </c>
      <c r="F563" s="49" t="inlineStr">
        <is>
          <t>PASS</t>
        </is>
      </c>
      <c r="G563" s="48" t="inlineStr">
        <is>
          <t>Pass</t>
        </is>
      </c>
      <c r="H563" s="50" t="inlineStr">
        <is>
          <t>mọi SUM/COUNT đều đã coalesce (trực tiếp hoặc ở lớp ngoài)</t>
        </is>
      </c>
      <c r="I563"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63" s="48" t="inlineStr">
        <is>
          <t>036. OCB_GOLD_TCKH_V_TB_NIM_HOP.xlsx [SCRIPT: V_TB_NIM]</t>
        </is>
      </c>
    </row>
    <row r="564">
      <c r="A564" s="48" t="inlineStr">
        <is>
          <t>TCKH.V_TB_NIM</t>
        </is>
      </c>
      <c r="B564" s="48" t="inlineStr">
        <is>
          <t>GOLD_DERIVED</t>
        </is>
      </c>
      <c r="C564" s="48" t="inlineStr">
        <is>
          <t>2.9</t>
        </is>
      </c>
      <c r="D564" s="48" t="inlineStr">
        <is>
          <t>Nhom 2 - Logic</t>
        </is>
      </c>
      <c r="E564" s="48" t="inlineStr">
        <is>
          <t>Subquery / custom function / điều kiện LIKE đúng ý nghĩa nghiệp vụ</t>
        </is>
      </c>
      <c r="F564" s="48" t="inlineStr">
        <is>
          <t>N-A</t>
        </is>
      </c>
      <c r="G564" s="48" t="inlineStr">
        <is>
          <t>Pass</t>
        </is>
      </c>
      <c r="H564" s="50" t="inlineStr">
        <is>
          <t>script không có điều kiện LIKE hay scalar subquery nào</t>
        </is>
      </c>
      <c r="I564" s="50" t="inlineStr">
        <is>
          <t>Đọc lại từng điều kiện LIKE và từng subquery, đối chiếu ý nghĩa nghiệp vụ với on-prem — đúng cú pháp không đủ. Chú ý pattern LIKE có ký tự % ở đầu/cuối và phân biệt chữ hoa/thường.</t>
        </is>
      </c>
      <c r="J564" s="48" t="inlineStr">
        <is>
          <t>036. OCB_GOLD_TCKH_V_TB_NIM_HOP.xlsx [SCRIPT: V_TB_NIM]</t>
        </is>
      </c>
    </row>
    <row r="565">
      <c r="A565" s="48" t="inlineStr">
        <is>
          <t>TCKH.V_TB_NIM</t>
        </is>
      </c>
      <c r="B565" s="48" t="inlineStr">
        <is>
          <t>GOLD_DERIVED</t>
        </is>
      </c>
      <c r="C565" s="48" t="inlineStr">
        <is>
          <t>2.10</t>
        </is>
      </c>
      <c r="D565" s="48" t="inlineStr">
        <is>
          <t>Nhom 2 - Logic</t>
        </is>
      </c>
      <c r="E565" s="48" t="inlineStr">
        <is>
          <t>Aggregation kèm filter date range chính xác</t>
        </is>
      </c>
      <c r="F565" s="49" t="inlineStr">
        <is>
          <t>PASS</t>
        </is>
      </c>
      <c r="G565" s="48" t="inlineStr">
        <is>
          <t>Pass</t>
        </is>
      </c>
      <c r="H565" s="50" t="inlineStr">
        <is>
          <t>mọi khối tổng hợp đều có điều kiện theo kỳ dữ liệu</t>
        </is>
      </c>
      <c r="I565" s="50" t="inlineStr">
        <is>
          <t>Mỗi khối SUM/COUNT/AVG phải có điều kiện lọc theo kỳ dữ liệu (CDR_DT_ID, DATA_DATE, :DATADT…). Nếu điều kiện nằm ở CTE nguồn thì ghi rõ trong comment để người review không phải truy ngược.</t>
        </is>
      </c>
      <c r="J565" s="48" t="inlineStr">
        <is>
          <t>036. OCB_GOLD_TCKH_V_TB_NIM_HOP.xlsx [SCRIPT: V_TB_NIM]</t>
        </is>
      </c>
    </row>
    <row r="566">
      <c r="A566" s="48" t="inlineStr">
        <is>
          <t>TCKH.V_TB_NIM</t>
        </is>
      </c>
      <c r="B566" s="48" t="inlineStr">
        <is>
          <t>GOLD_DERIVED</t>
        </is>
      </c>
      <c r="C566" s="48" t="inlineStr">
        <is>
          <t>2.11</t>
        </is>
      </c>
      <c r="D566" s="48" t="inlineStr">
        <is>
          <t>Nhom 2 - Logic</t>
        </is>
      </c>
      <c r="E566" s="48" t="inlineStr">
        <is>
          <t>Join dùng key hợp lý, không lạm dụng UNION ALL + EXISTS/NOT EXISTS</t>
        </is>
      </c>
      <c r="F566" s="49" t="inlineStr">
        <is>
          <t>PASS</t>
        </is>
      </c>
      <c r="G566" s="48" t="inlineStr">
        <is>
          <t>Pass</t>
        </is>
      </c>
      <c r="H566" s="50" t="inlineStr">
        <is>
          <t>join đều theo điều kiện bằng, không lạm dụng UNION ALL + EXISTS</t>
        </is>
      </c>
      <c r="I566" s="50" t="inlineStr">
        <is>
          <t>Ưu tiên LEFT JOIN theo business key hoặc hashkey. Xem lại các chỗ dùng UNION ALL kết hợp EXISTS/NOT EXISTS — thường thay được bằng một LEFT JOIN. Join không có điều kiện bằng (=) dễ tạo tích Descartes.</t>
        </is>
      </c>
      <c r="J566" s="48" t="inlineStr">
        <is>
          <t>036. OCB_GOLD_TCKH_V_TB_NIM_HOP.xlsx [SCRIPT: V_TB_NIM]</t>
        </is>
      </c>
    </row>
    <row r="567">
      <c r="A567" s="48" t="inlineStr">
        <is>
          <t>TCKH.V_TB_NIM</t>
        </is>
      </c>
      <c r="B567" s="48" t="inlineStr">
        <is>
          <t>GOLD_DERIVED</t>
        </is>
      </c>
      <c r="C567" s="48" t="inlineStr">
        <is>
          <t>2.12</t>
        </is>
      </c>
      <c r="D567" s="48" t="inlineStr">
        <is>
          <t>Nhom 2 - Logic</t>
        </is>
      </c>
      <c r="E567" s="48" t="inlineStr">
        <is>
          <t>Build Gold từ CTE snapshot Silver, không build nhiều tầng chồng chéo</t>
        </is>
      </c>
      <c r="F567" s="49" t="inlineStr">
        <is>
          <t>PASS</t>
        </is>
      </c>
      <c r="G567" s="48" t="inlineStr">
        <is>
          <t>Pass</t>
        </is>
      </c>
      <c r="H567" s="50" t="inlineStr">
        <is>
          <t>mỗi bảng nguồn chỉ đọc trong 1 khối SELECT</t>
        </is>
      </c>
      <c r="I567"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67" s="48" t="inlineStr">
        <is>
          <t>036. OCB_GOLD_TCKH_V_TB_NIM_HOP.xlsx [SCRIPT: V_TB_NIM]</t>
        </is>
      </c>
    </row>
    <row r="568">
      <c r="A568" s="48" t="inlineStr">
        <is>
          <t>TCKH.V_TB_NIM</t>
        </is>
      </c>
      <c r="B568" s="48" t="inlineStr">
        <is>
          <t>GOLD_DERIVED</t>
        </is>
      </c>
      <c r="C568" s="48" t="inlineStr">
        <is>
          <t>3.1</t>
        </is>
      </c>
      <c r="D568" s="48" t="inlineStr">
        <is>
          <t>Nhom 3 - Optimization</t>
        </is>
      </c>
      <c r="E568" s="48" t="inlineStr">
        <is>
          <t>Không SELECT *</t>
        </is>
      </c>
      <c r="F568" s="49" t="inlineStr">
        <is>
          <t>PASS</t>
        </is>
      </c>
      <c r="G568" s="48" t="inlineStr">
        <is>
          <t>Pass</t>
        </is>
      </c>
      <c r="H568" s="50" t="inlineStr">
        <is>
          <t>không dùng SELECT * ở đâu</t>
        </is>
      </c>
      <c r="I568" s="50" t="inlineStr">
        <is>
          <t>Liệt kê tường minh các cột cần dùng, kể cả trong CTE trung gian. SELECT * làm tăng IO/memory và vỡ script khi bảng nguồn thêm cột.</t>
        </is>
      </c>
      <c r="J568" s="48" t="inlineStr">
        <is>
          <t>036. OCB_GOLD_TCKH_V_TB_NIM_HOP.xlsx [SCRIPT: V_TB_NIM]</t>
        </is>
      </c>
    </row>
    <row r="569">
      <c r="A569" s="48" t="inlineStr">
        <is>
          <t>TCKH.V_TB_NIM</t>
        </is>
      </c>
      <c r="B569" s="48" t="inlineStr">
        <is>
          <t>GOLD_DERIVED</t>
        </is>
      </c>
      <c r="C569" s="48" t="inlineStr">
        <is>
          <t>3.2</t>
        </is>
      </c>
      <c r="D569" s="48" t="inlineStr">
        <is>
          <t>Nhom 3 - Optimization</t>
        </is>
      </c>
      <c r="E569" s="48" t="inlineStr">
        <is>
          <t>CTE không bị scan lại nhiều lần</t>
        </is>
      </c>
      <c r="F569" s="49" t="inlineStr">
        <is>
          <t>PASS</t>
        </is>
      </c>
      <c r="G569" s="48" t="inlineStr">
        <is>
          <t>Pass</t>
        </is>
      </c>
      <c r="H569" s="50" t="inlineStr">
        <is>
          <t>không có CTE nào bị gọi lại</t>
        </is>
      </c>
      <c r="I569" s="50" t="inlineStr">
        <is>
          <t>Với CTE nặng (đọc nhiều bảng Silver) bị tham chiếu từ 2 chỗ trở lên: gom lại còn một lần dùng, hoặc vật chất hóa (CACHE / bảng tạm). CTE nhẹ chỉ chứa tham số thì bỏ qua được — tự tick Pass.</t>
        </is>
      </c>
      <c r="J569" s="48" t="inlineStr">
        <is>
          <t>036. OCB_GOLD_TCKH_V_TB_NIM_HOP.xlsx [SCRIPT: V_TB_NIM]</t>
        </is>
      </c>
    </row>
    <row r="570">
      <c r="A570" s="48" t="inlineStr">
        <is>
          <t>TCKH.V_TB_NIM</t>
        </is>
      </c>
      <c r="B570" s="48" t="inlineStr">
        <is>
          <t>GOLD_DERIVED</t>
        </is>
      </c>
      <c r="C570" s="48" t="inlineStr">
        <is>
          <t>3.3</t>
        </is>
      </c>
      <c r="D570" s="48" t="inlineStr">
        <is>
          <t>Nhom 3 - Optimization</t>
        </is>
      </c>
      <c r="E570" s="48" t="inlineStr">
        <is>
          <t>Filter trước khi join, tận dụng partition pruning</t>
        </is>
      </c>
      <c r="F570" s="49" t="inlineStr">
        <is>
          <t>PASS</t>
        </is>
      </c>
      <c r="G570" s="48" t="inlineStr">
        <is>
          <t>Pass</t>
        </is>
      </c>
      <c r="H570" s="50" t="inlineStr">
        <is>
          <t>các bảng join đều được filter trước</t>
        </is>
      </c>
      <c r="I570" s="50" t="inlineStr">
        <is>
          <t>Đưa điều kiện lọc (ngày dữ liệu, trạng thái) vào subquery của từng bảng TRƯỚC khi join, để tận dụng partition pruning. Bảng dim nhỏ không partition thì không cần — tự tick Pass.</t>
        </is>
      </c>
      <c r="J570" s="48" t="inlineStr">
        <is>
          <t>036. OCB_GOLD_TCKH_V_TB_NIM_HOP.xlsx [SCRIPT: V_TB_NIM]</t>
        </is>
      </c>
    </row>
    <row r="571">
      <c r="A571" s="48" t="inlineStr">
        <is>
          <t>TCKH.V_TB_NIM</t>
        </is>
      </c>
      <c r="B571" s="48" t="inlineStr">
        <is>
          <t>GOLD_DERIVED</t>
        </is>
      </c>
      <c r="C571" s="48" t="inlineStr">
        <is>
          <t>3.4</t>
        </is>
      </c>
      <c r="D571" s="48" t="inlineStr">
        <is>
          <t>Nhom 3 - Optimization</t>
        </is>
      </c>
      <c r="E571" s="48" t="inlineStr">
        <is>
          <t>Sử dụng CACHE cho query lặp lại trong cùng luồng</t>
        </is>
      </c>
      <c r="F571" s="48" t="inlineStr">
        <is>
          <t>N-A</t>
        </is>
      </c>
      <c r="G571" s="48" t="inlineStr">
        <is>
          <t>Pass</t>
        </is>
      </c>
      <c r="H571" s="50" t="inlineStr">
        <is>
          <t>không có kết quả nào được dùng lại nhiều lần nên chưa cần CACHE</t>
        </is>
      </c>
      <c r="I571" s="50" t="inlineStr">
        <is>
          <t>Nếu một kết quả nặng được dùng lại nhiều bước trong cùng luồng, thêm CACHE TABLE / CACHE SELECT. Kết quả nhỏ thì cache còn chậm hơn — tự tick Pass.</t>
        </is>
      </c>
      <c r="J571" s="48" t="inlineStr">
        <is>
          <t>036. OCB_GOLD_TCKH_V_TB_NIM_HOP.xlsx [SCRIPT: V_TB_NIM]</t>
        </is>
      </c>
    </row>
    <row r="572">
      <c r="A572" s="48" t="inlineStr">
        <is>
          <t>TCKH.V_TB_NIM</t>
        </is>
      </c>
      <c r="B572" s="48" t="inlineStr">
        <is>
          <t>GOLD_DERIVED</t>
        </is>
      </c>
      <c r="C572" s="48" t="inlineStr">
        <is>
          <t>3.5</t>
        </is>
      </c>
      <c r="D572" s="48" t="inlineStr">
        <is>
          <t>Nhom 3 - Optimization</t>
        </is>
      </c>
      <c r="E572" s="48" t="inlineStr">
        <is>
          <t>Ưu tiên MAX_BY + QUALIFY thay ROW_NUMBER() + WHERE rn = 1</t>
        </is>
      </c>
      <c r="F572" s="48" t="inlineStr">
        <is>
          <t>N-A</t>
        </is>
      </c>
      <c r="G572" s="48" t="inlineStr">
        <is>
          <t>Pass</t>
        </is>
      </c>
      <c r="H572" s="50" t="inlineStr">
        <is>
          <t>script không dùng ROW_NUMBER</t>
        </is>
      </c>
      <c r="I572"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72" s="48" t="inlineStr">
        <is>
          <t>036. OCB_GOLD_TCKH_V_TB_NIM_HOP.xlsx [SCRIPT: V_TB_NIM]</t>
        </is>
      </c>
    </row>
    <row r="573">
      <c r="A573" s="48" t="inlineStr">
        <is>
          <t>TCKH.V_TB_NIM</t>
        </is>
      </c>
      <c r="B573" s="48" t="inlineStr">
        <is>
          <t>GOLD_DERIVED</t>
        </is>
      </c>
      <c r="C573" s="48" t="inlineStr">
        <is>
          <t>3.6</t>
        </is>
      </c>
      <c r="D573" s="48" t="inlineStr">
        <is>
          <t>Nhom 3 - Optimization</t>
        </is>
      </c>
      <c r="E573" s="48" t="inlineStr">
        <is>
          <t>Không lạm dụng window function; có comment khi dùng</t>
        </is>
      </c>
      <c r="F573" s="48" t="inlineStr">
        <is>
          <t>N-A</t>
        </is>
      </c>
      <c r="G573" s="48" t="inlineStr">
        <is>
          <t>Pass</t>
        </is>
      </c>
      <c r="H573" s="50" t="inlineStr">
        <is>
          <t>script không dùng window function</t>
        </is>
      </c>
      <c r="I573" s="50" t="inlineStr">
        <is>
          <t>Mỗi window function cần một comment ngay trên khối CTE chứa nó, nói rõ vì sao không dùng được max_by/QUALIFY đơn giản hơn.</t>
        </is>
      </c>
      <c r="J573" s="48" t="inlineStr">
        <is>
          <t>036. OCB_GOLD_TCKH_V_TB_NIM_HOP.xlsx [SCRIPT: V_TB_NIM]</t>
        </is>
      </c>
    </row>
    <row r="574">
      <c r="A574" s="48" t="inlineStr">
        <is>
          <t>TCKH.V_TB_NIM</t>
        </is>
      </c>
      <c r="B574" s="48" t="inlineStr">
        <is>
          <t>GOLD_DERIVED</t>
        </is>
      </c>
      <c r="C574" s="48" t="inlineStr">
        <is>
          <t>X.1</t>
        </is>
      </c>
      <c r="D574" s="48" t="inlineStr">
        <is>
          <t>Nhom X - Bo sung Raffles</t>
        </is>
      </c>
      <c r="E574" s="48" t="inlineStr">
        <is>
          <t>[Bổ sung] Link phải rút về current trước khi join (chống fan-out)</t>
        </is>
      </c>
      <c r="F574" s="48" t="inlineStr">
        <is>
          <t>N-A</t>
        </is>
      </c>
      <c r="G574" s="48" t="inlineStr">
        <is>
          <t>Pass</t>
        </is>
      </c>
      <c r="H574" s="50" t="inlineStr">
        <is>
          <t>khong ap dung cho profile GOLD_DERIVED</t>
        </is>
      </c>
      <c r="I574"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74" s="48" t="inlineStr">
        <is>
          <t>036. OCB_GOLD_TCKH_V_TB_NIM_HOP.xlsx [SCRIPT: V_TB_NIM]</t>
        </is>
      </c>
    </row>
    <row r="575">
      <c r="A575" s="48" t="inlineStr">
        <is>
          <t>TCKH.V_TB_NIM</t>
        </is>
      </c>
      <c r="B575" s="48" t="inlineStr">
        <is>
          <t>GOLD_DERIVED</t>
        </is>
      </c>
      <c r="C575" s="48" t="inlineStr">
        <is>
          <t>X.6</t>
        </is>
      </c>
      <c r="D575" s="48" t="inlineStr">
        <is>
          <t>Nhom X - Bo sung Raffles</t>
        </is>
      </c>
      <c r="E575" s="48" t="inlineStr">
        <is>
          <t>[Bổ sung] Satellite phải LEFT JOIN, không INNER JOIN</t>
        </is>
      </c>
      <c r="F575" s="48" t="inlineStr">
        <is>
          <t>N-A</t>
        </is>
      </c>
      <c r="G575" s="48" t="inlineStr">
        <is>
          <t>Pass</t>
        </is>
      </c>
      <c r="H575" s="50" t="inlineStr">
        <is>
          <t>khong ap dung cho profile GOLD_DERIVED</t>
        </is>
      </c>
      <c r="I575" s="50" t="inlineStr">
        <is>
          <t>Technical Document III.4.2.2 nguyên tắc 1: làm giàu thuộc tính luôn dùng LEFT JOIN. INNER JOIN satellite sẽ loại mất bản ghi Hub đang còn hiệu lực nhưng chưa có dòng satellite.</t>
        </is>
      </c>
      <c r="J575" s="48" t="inlineStr">
        <is>
          <t>036. OCB_GOLD_TCKH_V_TB_NIM_HOP.xlsx [SCRIPT: V_TB_NIM]</t>
        </is>
      </c>
    </row>
    <row r="576">
      <c r="A576" s="48" t="inlineStr">
        <is>
          <t>TCKH.V_TB_NIM</t>
        </is>
      </c>
      <c r="B576" s="48" t="inlineStr">
        <is>
          <t>GOLD_DERIVED</t>
        </is>
      </c>
      <c r="C576" s="48" t="inlineStr">
        <is>
          <t>X.7</t>
        </is>
      </c>
      <c r="D576" s="48" t="inlineStr">
        <is>
          <t>Nhom X - Bo sung Raffles</t>
        </is>
      </c>
      <c r="E576" s="48" t="inlineStr">
        <is>
          <t>[Bổ sung] Không hard-code catalog, dùng biến môi trường</t>
        </is>
      </c>
      <c r="F576" s="49" t="inlineStr">
        <is>
          <t>PASS</t>
        </is>
      </c>
      <c r="G576" s="48" t="inlineStr">
        <is>
          <t>Pass</t>
        </is>
      </c>
      <c r="H576" s="50" t="inlineStr">
        <is>
          <t>dùng biến môi trường cho catalog</t>
        </is>
      </c>
      <c r="I576"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76" s="48" t="inlineStr">
        <is>
          <t>036. OCB_GOLD_TCKH_V_TB_NIM_HOP.xlsx [SCRIPT: V_TB_NIM]</t>
        </is>
      </c>
    </row>
    <row r="577">
      <c r="A577" s="48" t="inlineStr">
        <is>
          <t>TCKH.V_USD_RATE</t>
        </is>
      </c>
      <c r="B577" s="48" t="inlineStr">
        <is>
          <t>SILVER_CONSUMER</t>
        </is>
      </c>
      <c r="C577" s="48" t="inlineStr">
        <is>
          <t>1.1</t>
        </is>
      </c>
      <c r="D577" s="48" t="inlineStr">
        <is>
          <t>Nhom 1 - Mapping</t>
        </is>
      </c>
      <c r="E577" s="48" t="inlineStr">
        <is>
          <t>Đầy đủ mapping từ Silver/manual sang Gold</t>
        </is>
      </c>
      <c r="F577" s="49" t="inlineStr">
        <is>
          <t>PASS</t>
        </is>
      </c>
      <c r="G577" s="48" t="inlineStr">
        <is>
          <t>Pass</t>
        </is>
      </c>
      <c r="H577" s="50" t="inlineStr">
        <is>
          <t>workbook 037. OCB_GOLD_TCKH_V_USD_RATE_QUANG.xlsx: thiết kế 3 field, SQL có 3 cột</t>
        </is>
      </c>
      <c r="I5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77" s="48" t="inlineStr">
        <is>
          <t>037. OCB_GOLD_TCKH_V_USD_RATE_QUANG.xlsx [Script SQL: V_USD_RATE]</t>
        </is>
      </c>
    </row>
    <row r="578">
      <c r="A578" s="48" t="inlineStr">
        <is>
          <t>TCKH.V_USD_RATE</t>
        </is>
      </c>
      <c r="B578" s="48" t="inlineStr">
        <is>
          <t>SILVER_CONSUMER</t>
        </is>
      </c>
      <c r="C578" s="48" t="inlineStr">
        <is>
          <t>1.2</t>
        </is>
      </c>
      <c r="D578" s="48" t="inlineStr">
        <is>
          <t>Nhom 1 - Mapping</t>
        </is>
      </c>
      <c r="E578" s="48" t="inlineStr">
        <is>
          <t>Danh sách bảng/view Gold khớp tài liệu thiết kế đã duyệt</t>
        </is>
      </c>
      <c r="F578" s="49" t="inlineStr">
        <is>
          <t>PASS</t>
        </is>
      </c>
      <c r="G578" s="48" t="inlineStr">
        <is>
          <t>Pass</t>
        </is>
      </c>
      <c r="H578" s="50" t="inlineStr">
        <is>
          <t>V_USD_RATE có workbook thiết kế: 037. OCB_GOLD_TCKH_V_USD_RATE_QUANG.xlsx</t>
        </is>
      </c>
      <c r="I578" s="50" t="inlineStr">
        <is>
          <t>Đảm bảo object có workbook thiết kế tương ứng trong thư mục --mapping-dir. Muốn đối chiếu với danh sách đã duyệt thì chạy thêm tham số --gold-list "&lt;file danh sách Gold&gt;.xlsx".</t>
        </is>
      </c>
      <c r="J578" s="48" t="inlineStr">
        <is>
          <t>037. OCB_GOLD_TCKH_V_USD_RATE_QUANG.xlsx [Script SQL: V_USD_RATE]</t>
        </is>
      </c>
    </row>
    <row r="579">
      <c r="A579" s="48" t="inlineStr">
        <is>
          <t>TCKH.V_USD_RATE</t>
        </is>
      </c>
      <c r="B579" s="48" t="inlineStr">
        <is>
          <t>SILVER_CONSUMER</t>
        </is>
      </c>
      <c r="C579" s="48" t="inlineStr">
        <is>
          <t>2.1</t>
        </is>
      </c>
      <c r="D579" s="48" t="inlineStr">
        <is>
          <t>Nhom 2 - Logic</t>
        </is>
      </c>
      <c r="E579" s="48" t="inlineStr">
        <is>
          <t>Chỉ lấy bản ghi active, loại bản ghi đã xóa (qua sts_hub)</t>
        </is>
      </c>
      <c r="F579" s="48" t="inlineStr">
        <is>
          <t>N-A</t>
        </is>
      </c>
      <c r="G579" s="48" t="inlineStr">
        <is>
          <t>Pass</t>
        </is>
      </c>
      <c r="H579" s="50" t="inlineStr">
        <is>
          <t>script không đọc sts_hub/satellite nào nên không có bản ghi xóa để lọc</t>
        </is>
      </c>
      <c r="I5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79" s="48" t="inlineStr">
        <is>
          <t>037. OCB_GOLD_TCKH_V_USD_RATE_QUANG.xlsx [Script SQL: V_USD_RATE]</t>
        </is>
      </c>
    </row>
    <row r="580">
      <c r="A580" s="48" t="inlineStr">
        <is>
          <t>TCKH.V_USD_RATE</t>
        </is>
      </c>
      <c r="B580" s="48" t="inlineStr">
        <is>
          <t>SILVER_CONSUMER</t>
        </is>
      </c>
      <c r="C580" s="48" t="inlineStr">
        <is>
          <t>2.2</t>
        </is>
      </c>
      <c r="D580" s="48" t="inlineStr">
        <is>
          <t>Nhom 2 - Logic</t>
        </is>
      </c>
      <c r="E580" s="48" t="inlineStr">
        <is>
          <t>Thống nhất MỘT pattern duy nhất xác định bản ghi active mới nhất</t>
        </is>
      </c>
      <c r="F580" s="48" t="inlineStr">
        <is>
          <t>N-A</t>
        </is>
      </c>
      <c r="G580" s="48" t="inlineStr">
        <is>
          <t>Pass</t>
        </is>
      </c>
      <c r="H580" s="50" t="inlineStr">
        <is>
          <t>script không có bước lấy bản ghi mới nhất từ satellite</t>
        </is>
      </c>
      <c r="I5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80" s="48" t="inlineStr">
        <is>
          <t>037. OCB_GOLD_TCKH_V_USD_RATE_QUANG.xlsx [Script SQL: V_USD_RATE]</t>
        </is>
      </c>
    </row>
    <row r="581">
      <c r="A581" s="48" t="inlineStr">
        <is>
          <t>TCKH.V_USD_RATE</t>
        </is>
      </c>
      <c r="B581" s="48" t="inlineStr">
        <is>
          <t>SILVER_CONSUMER</t>
        </is>
      </c>
      <c r="C581" s="48" t="inlineStr">
        <is>
          <t>2.3</t>
        </is>
      </c>
      <c r="D581" s="48" t="inlineStr">
        <is>
          <t>Nhom 2 - Logic</t>
        </is>
      </c>
      <c r="E581" s="48" t="inlineStr">
        <is>
          <t>Điều kiện lọc trạng thái đặt SAU khi xác định bản ghi mới nhất</t>
        </is>
      </c>
      <c r="F581" s="49" t="inlineStr">
        <is>
          <t>PASS</t>
        </is>
      </c>
      <c r="G581" s="48" t="inlineStr">
        <is>
          <t>Pass</t>
        </is>
      </c>
      <c r="H581" s="50" t="inlineStr">
        <is>
          <t>không có điều kiện trạng thái nào lồng trong JOIN ON</t>
        </is>
      </c>
      <c r="I5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81" s="48" t="inlineStr">
        <is>
          <t>037. OCB_GOLD_TCKH_V_USD_RATE_QUANG.xlsx [Script SQL: V_USD_RATE]</t>
        </is>
      </c>
    </row>
    <row r="582">
      <c r="A582" s="48" t="inlineStr">
        <is>
          <t>TCKH.V_USD_RATE</t>
        </is>
      </c>
      <c r="B582" s="48" t="inlineStr">
        <is>
          <t>SILVER_CONSUMER</t>
        </is>
      </c>
      <c r="C582" s="48" t="inlineStr">
        <is>
          <t>2.4</t>
        </is>
      </c>
      <c r="D582" s="48" t="inlineStr">
        <is>
          <t>Nhom 2 - Logic</t>
        </is>
      </c>
      <c r="E582" s="48" t="inlineStr">
        <is>
          <t>source_event_date áp dụng đúng dạng theo loại bảng</t>
        </is>
      </c>
      <c r="F582" s="48" t="inlineStr">
        <is>
          <t>N-A</t>
        </is>
      </c>
      <c r="G582" s="48" t="inlineStr">
        <is>
          <t>Pass</t>
        </is>
      </c>
      <c r="H582" s="50" t="inlineStr">
        <is>
          <t>script không đọc satellite nào</t>
        </is>
      </c>
      <c r="I5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82" s="48" t="inlineStr">
        <is>
          <t>037. OCB_GOLD_TCKH_V_USD_RATE_QUANG.xlsx [Script SQL: V_USD_RATE]</t>
        </is>
      </c>
    </row>
    <row r="583">
      <c r="A583" s="48" t="inlineStr">
        <is>
          <t>TCKH.V_USD_RATE</t>
        </is>
      </c>
      <c r="B583" s="48" t="inlineStr">
        <is>
          <t>SILVER_CONSUMER</t>
        </is>
      </c>
      <c r="C583" s="48" t="inlineStr">
        <is>
          <t>2.5</t>
        </is>
      </c>
      <c r="D583" s="48" t="inlineStr">
        <is>
          <t>Nhom 2 - Logic</t>
        </is>
      </c>
      <c r="E583" s="48" t="inlineStr">
        <is>
          <t>Không lặp lại lỗi logic cũ đã được DA Data Vault fix</t>
        </is>
      </c>
      <c r="F583" s="49" t="inlineStr">
        <is>
          <t>PASS</t>
        </is>
      </c>
      <c r="G583" s="48" t="inlineStr">
        <is>
          <t>Pass</t>
        </is>
      </c>
      <c r="H583" s="50" t="inlineStr">
        <is>
          <t>không trùng lỗi nào trong Issue log của DA Data Vault</t>
        </is>
      </c>
      <c r="I5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3" s="48" t="inlineStr">
        <is>
          <t>037. OCB_GOLD_TCKH_V_USD_RATE_QUANG.xlsx [Script SQL: V_USD_RATE]</t>
        </is>
      </c>
    </row>
    <row r="584">
      <c r="A584" s="48" t="inlineStr">
        <is>
          <t>TCKH.V_USD_RATE</t>
        </is>
      </c>
      <c r="B584" s="48" t="inlineStr">
        <is>
          <t>SILVER_CONSUMER</t>
        </is>
      </c>
      <c r="C584" s="48" t="inlineStr">
        <is>
          <t>2.6</t>
        </is>
      </c>
      <c r="D584" s="48" t="inlineStr">
        <is>
          <t>Nhom 2 - Logic</t>
        </is>
      </c>
      <c r="E584" s="48" t="inlineStr">
        <is>
          <t>SCD Type 2 cho bảng DIM áp dụng đúng kỹ thuật đã thống nhất</t>
        </is>
      </c>
      <c r="F584" s="48" t="inlineStr">
        <is>
          <t>N-A</t>
        </is>
      </c>
      <c r="G584" s="48" t="inlineStr">
        <is>
          <t>Pass</t>
        </is>
      </c>
      <c r="H584" s="50" t="inlineStr">
        <is>
          <t>object không phải bảng DIM nên không áp dụng SCD Type 2</t>
        </is>
      </c>
      <c r="I5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84" s="48" t="inlineStr">
        <is>
          <t>037. OCB_GOLD_TCKH_V_USD_RATE_QUANG.xlsx [Script SQL: V_USD_RATE]</t>
        </is>
      </c>
    </row>
    <row r="585">
      <c r="A585" s="48" t="inlineStr">
        <is>
          <t>TCKH.V_USD_RATE</t>
        </is>
      </c>
      <c r="B585" s="48" t="inlineStr">
        <is>
          <t>SILVER_CONSUMER</t>
        </is>
      </c>
      <c r="C585" s="48" t="inlineStr">
        <is>
          <t>2.7</t>
        </is>
      </c>
      <c r="D585" s="48" t="inlineStr">
        <is>
          <t>Nhom 2 - Logic</t>
        </is>
      </c>
      <c r="E585" s="48" t="inlineStr">
        <is>
          <t>CASE WHEN cover đủ nhánh như job on-prem</t>
        </is>
      </c>
      <c r="F585" s="48" t="inlineStr">
        <is>
          <t>N-A</t>
        </is>
      </c>
      <c r="G585" s="48" t="inlineStr">
        <is>
          <t>Pass</t>
        </is>
      </c>
      <c r="H585" s="50" t="inlineStr">
        <is>
          <t>script không có CASE WHEN nào</t>
        </is>
      </c>
      <c r="I585" s="50" t="inlineStr">
        <is>
          <t>Mở job on-prem tương ứng (DataStage DSX hoặc SQL cũ), đối chiếu từng nhánh WHEN và cả nhánh ELSE. CASE không có ELSE sẽ trả NULL âm thầm — xác nhận đó là ý muốn hay thiếu nhánh.</t>
        </is>
      </c>
      <c r="J585" s="48" t="inlineStr">
        <is>
          <t>037. OCB_GOLD_TCKH_V_USD_RATE_QUANG.xlsx [Script SQL: V_USD_RATE]</t>
        </is>
      </c>
    </row>
    <row r="586">
      <c r="A586" s="48" t="inlineStr">
        <is>
          <t>TCKH.V_USD_RATE</t>
        </is>
      </c>
      <c r="B586" s="48" t="inlineStr">
        <is>
          <t>SILVER_CONSUMER</t>
        </is>
      </c>
      <c r="C586" s="48" t="inlineStr">
        <is>
          <t>2.8</t>
        </is>
      </c>
      <c r="D586" s="48" t="inlineStr">
        <is>
          <t>Nhom 2 - Logic</t>
        </is>
      </c>
      <c r="E586" s="48" t="inlineStr">
        <is>
          <t>Cột SUM/COUNT được COALESCE/NVL hợp lý</t>
        </is>
      </c>
      <c r="F586" s="49" t="inlineStr">
        <is>
          <t>PASS</t>
        </is>
      </c>
      <c r="G586" s="48" t="inlineStr">
        <is>
          <t>Pass</t>
        </is>
      </c>
      <c r="H586" s="50" t="inlineStr">
        <is>
          <t>mọi SUM/COUNT đều đã coalesce (trực tiếp hoặc ở lớp ngoài)</t>
        </is>
      </c>
      <c r="I5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86" s="48" t="inlineStr">
        <is>
          <t>037. OCB_GOLD_TCKH_V_USD_RATE_QUANG.xlsx [Script SQL: V_USD_RATE]</t>
        </is>
      </c>
    </row>
    <row r="587">
      <c r="A587" s="48" t="inlineStr">
        <is>
          <t>TCKH.V_USD_RATE</t>
        </is>
      </c>
      <c r="B587" s="48" t="inlineStr">
        <is>
          <t>SILVER_CONSUMER</t>
        </is>
      </c>
      <c r="C587" s="48" t="inlineStr">
        <is>
          <t>2.9</t>
        </is>
      </c>
      <c r="D587" s="48" t="inlineStr">
        <is>
          <t>Nhom 2 - Logic</t>
        </is>
      </c>
      <c r="E587" s="48" t="inlineStr">
        <is>
          <t>Subquery / custom function / điều kiện LIKE đúng ý nghĩa nghiệp vụ</t>
        </is>
      </c>
      <c r="F587" s="48" t="inlineStr">
        <is>
          <t>N-A</t>
        </is>
      </c>
      <c r="G587" s="48" t="inlineStr">
        <is>
          <t>Pass</t>
        </is>
      </c>
      <c r="H587" s="50" t="inlineStr">
        <is>
          <t>script không có điều kiện LIKE hay scalar subquery nào</t>
        </is>
      </c>
      <c r="I587" s="50" t="inlineStr">
        <is>
          <t>Đọc lại từng điều kiện LIKE và từng subquery, đối chiếu ý nghĩa nghiệp vụ với on-prem — đúng cú pháp không đủ. Chú ý pattern LIKE có ký tự % ở đầu/cuối và phân biệt chữ hoa/thường.</t>
        </is>
      </c>
      <c r="J587" s="48" t="inlineStr">
        <is>
          <t>037. OCB_GOLD_TCKH_V_USD_RATE_QUANG.xlsx [Script SQL: V_USD_RATE]</t>
        </is>
      </c>
    </row>
    <row r="588">
      <c r="A588" s="48" t="inlineStr">
        <is>
          <t>TCKH.V_USD_RATE</t>
        </is>
      </c>
      <c r="B588" s="48" t="inlineStr">
        <is>
          <t>SILVER_CONSUMER</t>
        </is>
      </c>
      <c r="C588" s="48" t="inlineStr">
        <is>
          <t>2.10</t>
        </is>
      </c>
      <c r="D588" s="48" t="inlineStr">
        <is>
          <t>Nhom 2 - Logic</t>
        </is>
      </c>
      <c r="E588" s="48" t="inlineStr">
        <is>
          <t>Aggregation kèm filter date range chính xác</t>
        </is>
      </c>
      <c r="F588" s="49" t="inlineStr">
        <is>
          <t>PASS</t>
        </is>
      </c>
      <c r="G588" s="48" t="inlineStr">
        <is>
          <t>Pass</t>
        </is>
      </c>
      <c r="H588" s="50" t="inlineStr">
        <is>
          <t>mọi khối tổng hợp đều có điều kiện theo kỳ dữ liệu</t>
        </is>
      </c>
      <c r="I588" s="50" t="inlineStr">
        <is>
          <t>Mỗi khối SUM/COUNT/AVG phải có điều kiện lọc theo kỳ dữ liệu (CDR_DT_ID, DATA_DATE, :DATADT…). Nếu điều kiện nằm ở CTE nguồn thì ghi rõ trong comment để người review không phải truy ngược.</t>
        </is>
      </c>
      <c r="J588" s="48" t="inlineStr">
        <is>
          <t>037. OCB_GOLD_TCKH_V_USD_RATE_QUANG.xlsx [Script SQL: V_USD_RATE]</t>
        </is>
      </c>
    </row>
    <row r="589">
      <c r="A589" s="48" t="inlineStr">
        <is>
          <t>TCKH.V_USD_RATE</t>
        </is>
      </c>
      <c r="B589" s="48" t="inlineStr">
        <is>
          <t>SILVER_CONSUMER</t>
        </is>
      </c>
      <c r="C589" s="48" t="inlineStr">
        <is>
          <t>2.11</t>
        </is>
      </c>
      <c r="D589" s="48" t="inlineStr">
        <is>
          <t>Nhom 2 - Logic</t>
        </is>
      </c>
      <c r="E589" s="48" t="inlineStr">
        <is>
          <t>Join dùng key hợp lý, không lạm dụng UNION ALL + EXISTS/NOT EXISTS</t>
        </is>
      </c>
      <c r="F589" s="49" t="inlineStr">
        <is>
          <t>PASS</t>
        </is>
      </c>
      <c r="G589" s="48" t="inlineStr">
        <is>
          <t>Pass</t>
        </is>
      </c>
      <c r="H589" s="50" t="inlineStr">
        <is>
          <t>join đều theo điều kiện bằng, không lạm dụng UNION ALL + EXISTS</t>
        </is>
      </c>
      <c r="I589" s="50" t="inlineStr">
        <is>
          <t>Ưu tiên LEFT JOIN theo business key hoặc hashkey. Xem lại các chỗ dùng UNION ALL kết hợp EXISTS/NOT EXISTS — thường thay được bằng một LEFT JOIN. Join không có điều kiện bằng (=) dễ tạo tích Descartes.</t>
        </is>
      </c>
      <c r="J589" s="48" t="inlineStr">
        <is>
          <t>037. OCB_GOLD_TCKH_V_USD_RATE_QUANG.xlsx [Script SQL: V_USD_RATE]</t>
        </is>
      </c>
    </row>
    <row r="590">
      <c r="A590" s="48" t="inlineStr">
        <is>
          <t>TCKH.V_USD_RATE</t>
        </is>
      </c>
      <c r="B590" s="48" t="inlineStr">
        <is>
          <t>SILVER_CONSUMER</t>
        </is>
      </c>
      <c r="C590" s="48" t="inlineStr">
        <is>
          <t>2.12</t>
        </is>
      </c>
      <c r="D590" s="48" t="inlineStr">
        <is>
          <t>Nhom 2 - Logic</t>
        </is>
      </c>
      <c r="E590" s="48" t="inlineStr">
        <is>
          <t>Build Gold từ CTE snapshot Silver, không build nhiều tầng chồng chéo</t>
        </is>
      </c>
      <c r="F590" s="49" t="inlineStr">
        <is>
          <t>PASS</t>
        </is>
      </c>
      <c r="G590" s="48" t="inlineStr">
        <is>
          <t>Pass</t>
        </is>
      </c>
      <c r="H590" s="50" t="inlineStr">
        <is>
          <t>mỗi bảng nguồn chỉ đọc trong 1 khối SELECT</t>
        </is>
      </c>
      <c r="I5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90" s="48" t="inlineStr">
        <is>
          <t>037. OCB_GOLD_TCKH_V_USD_RATE_QUANG.xlsx [Script SQL: V_USD_RATE]</t>
        </is>
      </c>
    </row>
    <row r="591">
      <c r="A591" s="48" t="inlineStr">
        <is>
          <t>TCKH.V_USD_RATE</t>
        </is>
      </c>
      <c r="B591" s="48" t="inlineStr">
        <is>
          <t>SILVER_CONSUMER</t>
        </is>
      </c>
      <c r="C591" s="48" t="inlineStr">
        <is>
          <t>3.1</t>
        </is>
      </c>
      <c r="D591" s="48" t="inlineStr">
        <is>
          <t>Nhom 3 - Optimization</t>
        </is>
      </c>
      <c r="E591" s="48" t="inlineStr">
        <is>
          <t>Không SELECT *</t>
        </is>
      </c>
      <c r="F591" s="49" t="inlineStr">
        <is>
          <t>PASS</t>
        </is>
      </c>
      <c r="G591" s="48" t="inlineStr">
        <is>
          <t>Pass</t>
        </is>
      </c>
      <c r="H591" s="50" t="inlineStr">
        <is>
          <t>không dùng SELECT * ở đâu</t>
        </is>
      </c>
      <c r="I591" s="50" t="inlineStr">
        <is>
          <t>Liệt kê tường minh các cột cần dùng, kể cả trong CTE trung gian. SELECT * làm tăng IO/memory và vỡ script khi bảng nguồn thêm cột.</t>
        </is>
      </c>
      <c r="J591" s="48" t="inlineStr">
        <is>
          <t>037. OCB_GOLD_TCKH_V_USD_RATE_QUANG.xlsx [Script SQL: V_USD_RATE]</t>
        </is>
      </c>
    </row>
    <row r="592">
      <c r="A592" s="48" t="inlineStr">
        <is>
          <t>TCKH.V_USD_RATE</t>
        </is>
      </c>
      <c r="B592" s="48" t="inlineStr">
        <is>
          <t>SILVER_CONSUMER</t>
        </is>
      </c>
      <c r="C592" s="48" t="inlineStr">
        <is>
          <t>3.2</t>
        </is>
      </c>
      <c r="D592" s="48" t="inlineStr">
        <is>
          <t>Nhom 3 - Optimization</t>
        </is>
      </c>
      <c r="E592" s="48" t="inlineStr">
        <is>
          <t>CTE không bị scan lại nhiều lần</t>
        </is>
      </c>
      <c r="F592" s="49" t="inlineStr">
        <is>
          <t>PASS</t>
        </is>
      </c>
      <c r="G592" s="48" t="inlineStr">
        <is>
          <t>Pass</t>
        </is>
      </c>
      <c r="H592" s="50" t="inlineStr">
        <is>
          <t>không có CTE nào bị gọi lại</t>
        </is>
      </c>
      <c r="I592" s="50" t="inlineStr">
        <is>
          <t>Với CTE nặng (đọc nhiều bảng Silver) bị tham chiếu từ 2 chỗ trở lên: gom lại còn một lần dùng, hoặc vật chất hóa (CACHE / bảng tạm). CTE nhẹ chỉ chứa tham số thì bỏ qua được — tự tick Pass.</t>
        </is>
      </c>
      <c r="J592" s="48" t="inlineStr">
        <is>
          <t>037. OCB_GOLD_TCKH_V_USD_RATE_QUANG.xlsx [Script SQL: V_USD_RATE]</t>
        </is>
      </c>
    </row>
    <row r="593">
      <c r="A593" s="48" t="inlineStr">
        <is>
          <t>TCKH.V_USD_RATE</t>
        </is>
      </c>
      <c r="B593" s="48" t="inlineStr">
        <is>
          <t>SILVER_CONSUMER</t>
        </is>
      </c>
      <c r="C593" s="48" t="inlineStr">
        <is>
          <t>3.3</t>
        </is>
      </c>
      <c r="D593" s="48" t="inlineStr">
        <is>
          <t>Nhom 3 - Optimization</t>
        </is>
      </c>
      <c r="E593" s="48" t="inlineStr">
        <is>
          <t>Filter trước khi join, tận dụng partition pruning</t>
        </is>
      </c>
      <c r="F593" s="49" t="inlineStr">
        <is>
          <t>PASS</t>
        </is>
      </c>
      <c r="G593" s="48" t="inlineStr">
        <is>
          <t>Pass</t>
        </is>
      </c>
      <c r="H593" s="50" t="inlineStr">
        <is>
          <t>các bảng join đều được filter trước</t>
        </is>
      </c>
      <c r="I593" s="50" t="inlineStr">
        <is>
          <t>Đưa điều kiện lọc (ngày dữ liệu, trạng thái) vào subquery của từng bảng TRƯỚC khi join, để tận dụng partition pruning. Bảng dim nhỏ không partition thì không cần — tự tick Pass.</t>
        </is>
      </c>
      <c r="J593" s="48" t="inlineStr">
        <is>
          <t>037. OCB_GOLD_TCKH_V_USD_RATE_QUANG.xlsx [Script SQL: V_USD_RATE]</t>
        </is>
      </c>
    </row>
    <row r="594">
      <c r="A594" s="48" t="inlineStr">
        <is>
          <t>TCKH.V_USD_RATE</t>
        </is>
      </c>
      <c r="B594" s="48" t="inlineStr">
        <is>
          <t>SILVER_CONSUMER</t>
        </is>
      </c>
      <c r="C594" s="48" t="inlineStr">
        <is>
          <t>3.4</t>
        </is>
      </c>
      <c r="D594" s="48" t="inlineStr">
        <is>
          <t>Nhom 3 - Optimization</t>
        </is>
      </c>
      <c r="E594" s="48" t="inlineStr">
        <is>
          <t>Sử dụng CACHE cho query lặp lại trong cùng luồng</t>
        </is>
      </c>
      <c r="F594" s="48" t="inlineStr">
        <is>
          <t>N-A</t>
        </is>
      </c>
      <c r="G594" s="48" t="inlineStr">
        <is>
          <t>Pass</t>
        </is>
      </c>
      <c r="H594" s="50" t="inlineStr">
        <is>
          <t>không có kết quả nào được dùng lại nhiều lần nên chưa cần CACHE</t>
        </is>
      </c>
      <c r="I594" s="50" t="inlineStr">
        <is>
          <t>Nếu một kết quả nặng được dùng lại nhiều bước trong cùng luồng, thêm CACHE TABLE / CACHE SELECT. Kết quả nhỏ thì cache còn chậm hơn — tự tick Pass.</t>
        </is>
      </c>
      <c r="J594" s="48" t="inlineStr">
        <is>
          <t>037. OCB_GOLD_TCKH_V_USD_RATE_QUANG.xlsx [Script SQL: V_USD_RATE]</t>
        </is>
      </c>
    </row>
    <row r="595">
      <c r="A595" s="48" t="inlineStr">
        <is>
          <t>TCKH.V_USD_RATE</t>
        </is>
      </c>
      <c r="B595" s="48" t="inlineStr">
        <is>
          <t>SILVER_CONSUMER</t>
        </is>
      </c>
      <c r="C595" s="48" t="inlineStr">
        <is>
          <t>3.5</t>
        </is>
      </c>
      <c r="D595" s="48" t="inlineStr">
        <is>
          <t>Nhom 3 - Optimization</t>
        </is>
      </c>
      <c r="E595" s="48" t="inlineStr">
        <is>
          <t>Ưu tiên MAX_BY + QUALIFY thay ROW_NUMBER() + WHERE rn = 1</t>
        </is>
      </c>
      <c r="F595" s="48" t="inlineStr">
        <is>
          <t>N-A</t>
        </is>
      </c>
      <c r="G595" s="48" t="inlineStr">
        <is>
          <t>Pass</t>
        </is>
      </c>
      <c r="H595" s="50" t="inlineStr">
        <is>
          <t>script không dùng ROW_NUMBER</t>
        </is>
      </c>
      <c r="I5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95" s="48" t="inlineStr">
        <is>
          <t>037. OCB_GOLD_TCKH_V_USD_RATE_QUANG.xlsx [Script SQL: V_USD_RATE]</t>
        </is>
      </c>
    </row>
    <row r="596">
      <c r="A596" s="48" t="inlineStr">
        <is>
          <t>TCKH.V_USD_RATE</t>
        </is>
      </c>
      <c r="B596" s="48" t="inlineStr">
        <is>
          <t>SILVER_CONSUMER</t>
        </is>
      </c>
      <c r="C596" s="48" t="inlineStr">
        <is>
          <t>3.6</t>
        </is>
      </c>
      <c r="D596" s="48" t="inlineStr">
        <is>
          <t>Nhom 3 - Optimization</t>
        </is>
      </c>
      <c r="E596" s="48" t="inlineStr">
        <is>
          <t>Không lạm dụng window function; có comment khi dùng</t>
        </is>
      </c>
      <c r="F596" s="48" t="inlineStr">
        <is>
          <t>N-A</t>
        </is>
      </c>
      <c r="G596" s="48" t="inlineStr">
        <is>
          <t>Pass</t>
        </is>
      </c>
      <c r="H596" s="50" t="inlineStr">
        <is>
          <t>script không dùng window function</t>
        </is>
      </c>
      <c r="I596" s="50" t="inlineStr">
        <is>
          <t>Mỗi window function cần một comment ngay trên khối CTE chứa nó, nói rõ vì sao không dùng được max_by/QUALIFY đơn giản hơn.</t>
        </is>
      </c>
      <c r="J596" s="48" t="inlineStr">
        <is>
          <t>037. OCB_GOLD_TCKH_V_USD_RATE_QUANG.xlsx [Script SQL: V_USD_RATE]</t>
        </is>
      </c>
    </row>
    <row r="597">
      <c r="A597" s="48" t="inlineStr">
        <is>
          <t>TCKH.V_USD_RATE</t>
        </is>
      </c>
      <c r="B597" s="48" t="inlineStr">
        <is>
          <t>SILVER_CONSUMER</t>
        </is>
      </c>
      <c r="C597" s="48" t="inlineStr">
        <is>
          <t>X.1</t>
        </is>
      </c>
      <c r="D597" s="48" t="inlineStr">
        <is>
          <t>Nhom X - Bo sung Raffles</t>
        </is>
      </c>
      <c r="E597" s="48" t="inlineStr">
        <is>
          <t>[Bổ sung] Link phải rút về current trước khi join (chống fan-out)</t>
        </is>
      </c>
      <c r="F597" s="49" t="inlineStr">
        <is>
          <t>PASS</t>
        </is>
      </c>
      <c r="G597" s="48" t="inlineStr">
        <is>
          <t>Pass</t>
        </is>
      </c>
      <c r="H597" s="50" t="inlineStr">
        <is>
          <t>các bảng link_* đều được rút về current trước khi join</t>
        </is>
      </c>
      <c r="I5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97" s="48" t="inlineStr">
        <is>
          <t>037. OCB_GOLD_TCKH_V_USD_RATE_QUANG.xlsx [Script SQL: V_USD_RATE]</t>
        </is>
      </c>
    </row>
    <row r="598">
      <c r="A598" s="48" t="inlineStr">
        <is>
          <t>TCKH.V_USD_RATE</t>
        </is>
      </c>
      <c r="B598" s="48" t="inlineStr">
        <is>
          <t>SILVER_CONSUMER</t>
        </is>
      </c>
      <c r="C598" s="48" t="inlineStr">
        <is>
          <t>X.6</t>
        </is>
      </c>
      <c r="D598" s="48" t="inlineStr">
        <is>
          <t>Nhom X - Bo sung Raffles</t>
        </is>
      </c>
      <c r="E598" s="48" t="inlineStr">
        <is>
          <t>[Bổ sung] Satellite phải LEFT JOIN, không INNER JOIN</t>
        </is>
      </c>
      <c r="F598" s="48" t="inlineStr">
        <is>
          <t>N-A</t>
        </is>
      </c>
      <c r="G598" s="48" t="inlineStr">
        <is>
          <t>Pass</t>
        </is>
      </c>
      <c r="H598" s="50" t="inlineStr">
        <is>
          <t>không join satellite trực tiếp</t>
        </is>
      </c>
      <c r="I598" s="50" t="inlineStr">
        <is>
          <t>Technical Document III.4.2.2 nguyên tắc 1: làm giàu thuộc tính luôn dùng LEFT JOIN. INNER JOIN satellite sẽ loại mất bản ghi Hub đang còn hiệu lực nhưng chưa có dòng satellite.</t>
        </is>
      </c>
      <c r="J598" s="48" t="inlineStr">
        <is>
          <t>037. OCB_GOLD_TCKH_V_USD_RATE_QUANG.xlsx [Script SQL: V_USD_RATE]</t>
        </is>
      </c>
    </row>
    <row r="599">
      <c r="A599" s="48" t="inlineStr">
        <is>
          <t>TCKH.V_USD_RATE</t>
        </is>
      </c>
      <c r="B599" s="48" t="inlineStr">
        <is>
          <t>SILVER_CONSUMER</t>
        </is>
      </c>
      <c r="C599" s="48" t="inlineStr">
        <is>
          <t>X.7</t>
        </is>
      </c>
      <c r="D599" s="48" t="inlineStr">
        <is>
          <t>Nhom X - Bo sung Raffles</t>
        </is>
      </c>
      <c r="E599" s="48" t="inlineStr">
        <is>
          <t>[Bổ sung] Không hard-code catalog, dùng biến môi trường</t>
        </is>
      </c>
      <c r="F599" s="49" t="inlineStr">
        <is>
          <t>PASS</t>
        </is>
      </c>
      <c r="G599" s="48" t="inlineStr">
        <is>
          <t>Pass</t>
        </is>
      </c>
      <c r="H599" s="50" t="inlineStr">
        <is>
          <t>dùng biến môi trường cho catalog</t>
        </is>
      </c>
      <c r="I5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99" s="48" t="inlineStr">
        <is>
          <t>037. OCB_GOLD_TCKH_V_USD_RATE_QUANG.xlsx [Script SQL: V_USD_RATE]</t>
        </is>
      </c>
    </row>
    <row r="600">
      <c r="A600" s="48" t="inlineStr">
        <is>
          <t>TCKH.V_SECTOR_LIST</t>
        </is>
      </c>
      <c r="B600" s="48" t="inlineStr">
        <is>
          <t>SILVER_CONSUMER</t>
        </is>
      </c>
      <c r="C600" s="48" t="inlineStr">
        <is>
          <t>1.1</t>
        </is>
      </c>
      <c r="D600" s="48" t="inlineStr">
        <is>
          <t>Nhom 1 - Mapping</t>
        </is>
      </c>
      <c r="E600" s="48" t="inlineStr">
        <is>
          <t>Đầy đủ mapping từ Silver/manual sang Gold</t>
        </is>
      </c>
      <c r="F600" s="49" t="inlineStr">
        <is>
          <t>PASS</t>
        </is>
      </c>
      <c r="G600" s="48" t="inlineStr">
        <is>
          <t>Pass</t>
        </is>
      </c>
      <c r="H600" s="50" t="inlineStr">
        <is>
          <t>workbook 038. OCB_GOLD_TCKH_V_SECTOR_LIST_HOP.xlsx: thiết kế 3 field, SQL có 3 cột</t>
        </is>
      </c>
      <c r="I600"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00" s="48" t="inlineStr">
        <is>
          <t>038. OCB_GOLD_TCKH_V_SECTOR_LIST_HOP.xlsx [Script: V_SECTOR_LIST]</t>
        </is>
      </c>
    </row>
    <row r="601">
      <c r="A601" s="48" t="inlineStr">
        <is>
          <t>TCKH.V_SECTOR_LIST</t>
        </is>
      </c>
      <c r="B601" s="48" t="inlineStr">
        <is>
          <t>SILVER_CONSUMER</t>
        </is>
      </c>
      <c r="C601" s="48" t="inlineStr">
        <is>
          <t>1.2</t>
        </is>
      </c>
      <c r="D601" s="48" t="inlineStr">
        <is>
          <t>Nhom 1 - Mapping</t>
        </is>
      </c>
      <c r="E601" s="48" t="inlineStr">
        <is>
          <t>Danh sách bảng/view Gold khớp tài liệu thiết kế đã duyệt</t>
        </is>
      </c>
      <c r="F601" s="49" t="inlineStr">
        <is>
          <t>PASS</t>
        </is>
      </c>
      <c r="G601" s="48" t="inlineStr">
        <is>
          <t>Pass</t>
        </is>
      </c>
      <c r="H601" s="50" t="inlineStr">
        <is>
          <t>V_SECTOR_LIST có workbook thiết kế: 038. OCB_GOLD_TCKH_V_SECTOR_LIST_HOP.xlsx</t>
        </is>
      </c>
      <c r="I601" s="50" t="inlineStr">
        <is>
          <t>Đảm bảo object có workbook thiết kế tương ứng trong thư mục --mapping-dir. Muốn đối chiếu với danh sách đã duyệt thì chạy thêm tham số --gold-list "&lt;file danh sách Gold&gt;.xlsx".</t>
        </is>
      </c>
      <c r="J601" s="48" t="inlineStr">
        <is>
          <t>038. OCB_GOLD_TCKH_V_SECTOR_LIST_HOP.xlsx [Script: V_SECTOR_LIST]</t>
        </is>
      </c>
    </row>
    <row r="602">
      <c r="A602" s="48" t="inlineStr">
        <is>
          <t>TCKH.V_SECTOR_LIST</t>
        </is>
      </c>
      <c r="B602" s="48" t="inlineStr">
        <is>
          <t>SILVER_CONSUMER</t>
        </is>
      </c>
      <c r="C602" s="48" t="inlineStr">
        <is>
          <t>2.1</t>
        </is>
      </c>
      <c r="D602" s="48" t="inlineStr">
        <is>
          <t>Nhom 2 - Logic</t>
        </is>
      </c>
      <c r="E602" s="48" t="inlineStr">
        <is>
          <t>Chỉ lấy bản ghi active, loại bản ghi đã xóa (qua sts_hub)</t>
        </is>
      </c>
      <c r="F602" s="48" t="inlineStr">
        <is>
          <t>N-A</t>
        </is>
      </c>
      <c r="G602" s="48" t="inlineStr">
        <is>
          <t>Pass</t>
        </is>
      </c>
      <c r="H602" s="50" t="inlineStr">
        <is>
          <t>script không đọc sts_hub/satellite nào nên không có bản ghi xóa để lọc</t>
        </is>
      </c>
      <c r="I602"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02" s="48" t="inlineStr">
        <is>
          <t>038. OCB_GOLD_TCKH_V_SECTOR_LIST_HOP.xlsx [Script: V_SECTOR_LIST]</t>
        </is>
      </c>
    </row>
    <row r="603">
      <c r="A603" s="48" t="inlineStr">
        <is>
          <t>TCKH.V_SECTOR_LIST</t>
        </is>
      </c>
      <c r="B603" s="48" t="inlineStr">
        <is>
          <t>SILVER_CONSUMER</t>
        </is>
      </c>
      <c r="C603" s="48" t="inlineStr">
        <is>
          <t>2.2</t>
        </is>
      </c>
      <c r="D603" s="48" t="inlineStr">
        <is>
          <t>Nhom 2 - Logic</t>
        </is>
      </c>
      <c r="E603" s="48" t="inlineStr">
        <is>
          <t>Thống nhất MỘT pattern duy nhất xác định bản ghi active mới nhất</t>
        </is>
      </c>
      <c r="F603" s="48" t="inlineStr">
        <is>
          <t>N-A</t>
        </is>
      </c>
      <c r="G603" s="48" t="inlineStr">
        <is>
          <t>Pass</t>
        </is>
      </c>
      <c r="H603" s="50" t="inlineStr">
        <is>
          <t>script không có bước lấy bản ghi mới nhất từ satellite</t>
        </is>
      </c>
      <c r="I603"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03" s="48" t="inlineStr">
        <is>
          <t>038. OCB_GOLD_TCKH_V_SECTOR_LIST_HOP.xlsx [Script: V_SECTOR_LIST]</t>
        </is>
      </c>
    </row>
    <row r="604">
      <c r="A604" s="48" t="inlineStr">
        <is>
          <t>TCKH.V_SECTOR_LIST</t>
        </is>
      </c>
      <c r="B604" s="48" t="inlineStr">
        <is>
          <t>SILVER_CONSUMER</t>
        </is>
      </c>
      <c r="C604" s="48" t="inlineStr">
        <is>
          <t>2.3</t>
        </is>
      </c>
      <c r="D604" s="48" t="inlineStr">
        <is>
          <t>Nhom 2 - Logic</t>
        </is>
      </c>
      <c r="E604" s="48" t="inlineStr">
        <is>
          <t>Điều kiện lọc trạng thái đặt SAU khi xác định bản ghi mới nhất</t>
        </is>
      </c>
      <c r="F604" s="49" t="inlineStr">
        <is>
          <t>PASS</t>
        </is>
      </c>
      <c r="G604" s="48" t="inlineStr">
        <is>
          <t>Pass</t>
        </is>
      </c>
      <c r="H604" s="50" t="inlineStr">
        <is>
          <t>không có điều kiện trạng thái nào lồng trong JOIN ON</t>
        </is>
      </c>
      <c r="I604"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04" s="48" t="inlineStr">
        <is>
          <t>038. OCB_GOLD_TCKH_V_SECTOR_LIST_HOP.xlsx [Script: V_SECTOR_LIST]</t>
        </is>
      </c>
    </row>
    <row r="605">
      <c r="A605" s="48" t="inlineStr">
        <is>
          <t>TCKH.V_SECTOR_LIST</t>
        </is>
      </c>
      <c r="B605" s="48" t="inlineStr">
        <is>
          <t>SILVER_CONSUMER</t>
        </is>
      </c>
      <c r="C605" s="48" t="inlineStr">
        <is>
          <t>2.4</t>
        </is>
      </c>
      <c r="D605" s="48" t="inlineStr">
        <is>
          <t>Nhom 2 - Logic</t>
        </is>
      </c>
      <c r="E605" s="48" t="inlineStr">
        <is>
          <t>source_event_date áp dụng đúng dạng theo loại bảng</t>
        </is>
      </c>
      <c r="F605" s="48" t="inlineStr">
        <is>
          <t>N-A</t>
        </is>
      </c>
      <c r="G605" s="48" t="inlineStr">
        <is>
          <t>Pass</t>
        </is>
      </c>
      <c r="H605" s="50" t="inlineStr">
        <is>
          <t>script không đọc satellite nào</t>
        </is>
      </c>
      <c r="I605"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05" s="48" t="inlineStr">
        <is>
          <t>038. OCB_GOLD_TCKH_V_SECTOR_LIST_HOP.xlsx [Script: V_SECTOR_LIST]</t>
        </is>
      </c>
    </row>
    <row r="606">
      <c r="A606" s="48" t="inlineStr">
        <is>
          <t>TCKH.V_SECTOR_LIST</t>
        </is>
      </c>
      <c r="B606" s="48" t="inlineStr">
        <is>
          <t>SILVER_CONSUMER</t>
        </is>
      </c>
      <c r="C606" s="48" t="inlineStr">
        <is>
          <t>2.5</t>
        </is>
      </c>
      <c r="D606" s="48" t="inlineStr">
        <is>
          <t>Nhom 2 - Logic</t>
        </is>
      </c>
      <c r="E606" s="48" t="inlineStr">
        <is>
          <t>Không lặp lại lỗi logic cũ đã được DA Data Vault fix</t>
        </is>
      </c>
      <c r="F606" s="49" t="inlineStr">
        <is>
          <t>PASS</t>
        </is>
      </c>
      <c r="G606" s="48" t="inlineStr">
        <is>
          <t>Pass</t>
        </is>
      </c>
      <c r="H606" s="50" t="inlineStr">
        <is>
          <t>không trùng lỗi nào trong Issue log của DA Data Vault</t>
        </is>
      </c>
      <c r="I606"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06" s="48" t="inlineStr">
        <is>
          <t>038. OCB_GOLD_TCKH_V_SECTOR_LIST_HOP.xlsx [Script: V_SECTOR_LIST]</t>
        </is>
      </c>
    </row>
    <row r="607">
      <c r="A607" s="48" t="inlineStr">
        <is>
          <t>TCKH.V_SECTOR_LIST</t>
        </is>
      </c>
      <c r="B607" s="48" t="inlineStr">
        <is>
          <t>SILVER_CONSUMER</t>
        </is>
      </c>
      <c r="C607" s="48" t="inlineStr">
        <is>
          <t>2.6</t>
        </is>
      </c>
      <c r="D607" s="48" t="inlineStr">
        <is>
          <t>Nhom 2 - Logic</t>
        </is>
      </c>
      <c r="E607" s="48" t="inlineStr">
        <is>
          <t>SCD Type 2 cho bảng DIM áp dụng đúng kỹ thuật đã thống nhất</t>
        </is>
      </c>
      <c r="F607" s="48" t="inlineStr">
        <is>
          <t>N-A</t>
        </is>
      </c>
      <c r="G607" s="48" t="inlineStr">
        <is>
          <t>Pass</t>
        </is>
      </c>
      <c r="H607" s="50" t="inlineStr">
        <is>
          <t>object không phải bảng DIM nên không áp dụng SCD Type 2</t>
        </is>
      </c>
      <c r="I607"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07" s="48" t="inlineStr">
        <is>
          <t>038. OCB_GOLD_TCKH_V_SECTOR_LIST_HOP.xlsx [Script: V_SECTOR_LIST]</t>
        </is>
      </c>
    </row>
    <row r="608">
      <c r="A608" s="48" t="inlineStr">
        <is>
          <t>TCKH.V_SECTOR_LIST</t>
        </is>
      </c>
      <c r="B608" s="48" t="inlineStr">
        <is>
          <t>SILVER_CONSUMER</t>
        </is>
      </c>
      <c r="C608" s="48" t="inlineStr">
        <is>
          <t>2.7</t>
        </is>
      </c>
      <c r="D608" s="48" t="inlineStr">
        <is>
          <t>Nhom 2 - Logic</t>
        </is>
      </c>
      <c r="E608" s="48" t="inlineStr">
        <is>
          <t>CASE WHEN cover đủ nhánh như job on-prem</t>
        </is>
      </c>
      <c r="F608" s="49" t="inlineStr">
        <is>
          <t>PASS</t>
        </is>
      </c>
      <c r="G608" s="48" t="inlineStr">
        <is>
          <t>Pass</t>
        </is>
      </c>
      <c r="H608" s="50" t="inlineStr">
        <is>
          <t>cả 1 CASE đều có nhánh ELSE</t>
        </is>
      </c>
      <c r="I608" s="50" t="inlineStr">
        <is>
          <t>Mở job on-prem tương ứng (DataStage DSX hoặc SQL cũ), đối chiếu từng nhánh WHEN và cả nhánh ELSE. CASE không có ELSE sẽ trả NULL âm thầm — xác nhận đó là ý muốn hay thiếu nhánh.</t>
        </is>
      </c>
      <c r="J608" s="48" t="inlineStr">
        <is>
          <t>038. OCB_GOLD_TCKH_V_SECTOR_LIST_HOP.xlsx [Script: V_SECTOR_LIST]</t>
        </is>
      </c>
    </row>
    <row r="609">
      <c r="A609" s="48" t="inlineStr">
        <is>
          <t>TCKH.V_SECTOR_LIST</t>
        </is>
      </c>
      <c r="B609" s="48" t="inlineStr">
        <is>
          <t>SILVER_CONSUMER</t>
        </is>
      </c>
      <c r="C609" s="48" t="inlineStr">
        <is>
          <t>2.8</t>
        </is>
      </c>
      <c r="D609" s="48" t="inlineStr">
        <is>
          <t>Nhom 2 - Logic</t>
        </is>
      </c>
      <c r="E609" s="48" t="inlineStr">
        <is>
          <t>Cột SUM/COUNT được COALESCE/NVL hợp lý</t>
        </is>
      </c>
      <c r="F609" s="49" t="inlineStr">
        <is>
          <t>PASS</t>
        </is>
      </c>
      <c r="G609" s="48" t="inlineStr">
        <is>
          <t>Pass</t>
        </is>
      </c>
      <c r="H609" s="50" t="inlineStr">
        <is>
          <t>mọi SUM/COUNT đều đã coalesce (trực tiếp hoặc ở lớp ngoài)</t>
        </is>
      </c>
      <c r="I609"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09" s="48" t="inlineStr">
        <is>
          <t>038. OCB_GOLD_TCKH_V_SECTOR_LIST_HOP.xlsx [Script: V_SECTOR_LIST]</t>
        </is>
      </c>
    </row>
    <row r="610">
      <c r="A610" s="48" t="inlineStr">
        <is>
          <t>TCKH.V_SECTOR_LIST</t>
        </is>
      </c>
      <c r="B610" s="48" t="inlineStr">
        <is>
          <t>SILVER_CONSUMER</t>
        </is>
      </c>
      <c r="C610" s="48" t="inlineStr">
        <is>
          <t>2.9</t>
        </is>
      </c>
      <c r="D610" s="48" t="inlineStr">
        <is>
          <t>Nhom 2 - Logic</t>
        </is>
      </c>
      <c r="E610" s="48" t="inlineStr">
        <is>
          <t>Subquery / custom function / điều kiện LIKE đúng ý nghĩa nghiệp vụ</t>
        </is>
      </c>
      <c r="F610" s="48" t="inlineStr">
        <is>
          <t>N-A</t>
        </is>
      </c>
      <c r="G610" s="48" t="inlineStr">
        <is>
          <t>Pass</t>
        </is>
      </c>
      <c r="H610" s="50" t="inlineStr">
        <is>
          <t>script không có điều kiện LIKE hay scalar subquery nào</t>
        </is>
      </c>
      <c r="I610" s="50" t="inlineStr">
        <is>
          <t>Đọc lại từng điều kiện LIKE và từng subquery, đối chiếu ý nghĩa nghiệp vụ với on-prem — đúng cú pháp không đủ. Chú ý pattern LIKE có ký tự % ở đầu/cuối và phân biệt chữ hoa/thường.</t>
        </is>
      </c>
      <c r="J610" s="48" t="inlineStr">
        <is>
          <t>038. OCB_GOLD_TCKH_V_SECTOR_LIST_HOP.xlsx [Script: V_SECTOR_LIST]</t>
        </is>
      </c>
    </row>
    <row r="611">
      <c r="A611" s="48" t="inlineStr">
        <is>
          <t>TCKH.V_SECTOR_LIST</t>
        </is>
      </c>
      <c r="B611" s="48" t="inlineStr">
        <is>
          <t>SILVER_CONSUMER</t>
        </is>
      </c>
      <c r="C611" s="48" t="inlineStr">
        <is>
          <t>2.10</t>
        </is>
      </c>
      <c r="D611" s="48" t="inlineStr">
        <is>
          <t>Nhom 2 - Logic</t>
        </is>
      </c>
      <c r="E611" s="48" t="inlineStr">
        <is>
          <t>Aggregation kèm filter date range chính xác</t>
        </is>
      </c>
      <c r="F611" s="49" t="inlineStr">
        <is>
          <t>PASS</t>
        </is>
      </c>
      <c r="G611" s="48" t="inlineStr">
        <is>
          <t>Pass</t>
        </is>
      </c>
      <c r="H611" s="50" t="inlineStr">
        <is>
          <t>mọi khối tổng hợp đều có điều kiện theo kỳ dữ liệu</t>
        </is>
      </c>
      <c r="I611" s="50" t="inlineStr">
        <is>
          <t>Mỗi khối SUM/COUNT/AVG phải có điều kiện lọc theo kỳ dữ liệu (CDR_DT_ID, DATA_DATE, :DATADT…). Nếu điều kiện nằm ở CTE nguồn thì ghi rõ trong comment để người review không phải truy ngược.</t>
        </is>
      </c>
      <c r="J611" s="48" t="inlineStr">
        <is>
          <t>038. OCB_GOLD_TCKH_V_SECTOR_LIST_HOP.xlsx [Script: V_SECTOR_LIST]</t>
        </is>
      </c>
    </row>
    <row r="612">
      <c r="A612" s="48" t="inlineStr">
        <is>
          <t>TCKH.V_SECTOR_LIST</t>
        </is>
      </c>
      <c r="B612" s="48" t="inlineStr">
        <is>
          <t>SILVER_CONSUMER</t>
        </is>
      </c>
      <c r="C612" s="48" t="inlineStr">
        <is>
          <t>2.11</t>
        </is>
      </c>
      <c r="D612" s="48" t="inlineStr">
        <is>
          <t>Nhom 2 - Logic</t>
        </is>
      </c>
      <c r="E612" s="48" t="inlineStr">
        <is>
          <t>Join dùng key hợp lý, không lạm dụng UNION ALL + EXISTS/NOT EXISTS</t>
        </is>
      </c>
      <c r="F612" s="49" t="inlineStr">
        <is>
          <t>PASS</t>
        </is>
      </c>
      <c r="G612" s="48" t="inlineStr">
        <is>
          <t>Pass</t>
        </is>
      </c>
      <c r="H612" s="50" t="inlineStr">
        <is>
          <t>join đều theo điều kiện bằng, không lạm dụng UNION ALL + EXISTS</t>
        </is>
      </c>
      <c r="I612" s="50" t="inlineStr">
        <is>
          <t>Ưu tiên LEFT JOIN theo business key hoặc hashkey. Xem lại các chỗ dùng UNION ALL kết hợp EXISTS/NOT EXISTS — thường thay được bằng một LEFT JOIN. Join không có điều kiện bằng (=) dễ tạo tích Descartes.</t>
        </is>
      </c>
      <c r="J612" s="48" t="inlineStr">
        <is>
          <t>038. OCB_GOLD_TCKH_V_SECTOR_LIST_HOP.xlsx [Script: V_SECTOR_LIST]</t>
        </is>
      </c>
    </row>
    <row r="613">
      <c r="A613" s="48" t="inlineStr">
        <is>
          <t>TCKH.V_SECTOR_LIST</t>
        </is>
      </c>
      <c r="B613" s="48" t="inlineStr">
        <is>
          <t>SILVER_CONSUMER</t>
        </is>
      </c>
      <c r="C613" s="48" t="inlineStr">
        <is>
          <t>2.12</t>
        </is>
      </c>
      <c r="D613" s="48" t="inlineStr">
        <is>
          <t>Nhom 2 - Logic</t>
        </is>
      </c>
      <c r="E613" s="48" t="inlineStr">
        <is>
          <t>Build Gold từ CTE snapshot Silver, không build nhiều tầng chồng chéo</t>
        </is>
      </c>
      <c r="F613" s="49" t="inlineStr">
        <is>
          <t>PASS</t>
        </is>
      </c>
      <c r="G613" s="48" t="inlineStr">
        <is>
          <t>Pass</t>
        </is>
      </c>
      <c r="H613" s="50" t="inlineStr">
        <is>
          <t>mỗi bảng nguồn chỉ đọc trong 1 khối SELECT</t>
        </is>
      </c>
      <c r="I613"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13" s="48" t="inlineStr">
        <is>
          <t>038. OCB_GOLD_TCKH_V_SECTOR_LIST_HOP.xlsx [Script: V_SECTOR_LIST]</t>
        </is>
      </c>
    </row>
    <row r="614">
      <c r="A614" s="48" t="inlineStr">
        <is>
          <t>TCKH.V_SECTOR_LIST</t>
        </is>
      </c>
      <c r="B614" s="48" t="inlineStr">
        <is>
          <t>SILVER_CONSUMER</t>
        </is>
      </c>
      <c r="C614" s="48" t="inlineStr">
        <is>
          <t>3.1</t>
        </is>
      </c>
      <c r="D614" s="48" t="inlineStr">
        <is>
          <t>Nhom 3 - Optimization</t>
        </is>
      </c>
      <c r="E614" s="48" t="inlineStr">
        <is>
          <t>Không SELECT *</t>
        </is>
      </c>
      <c r="F614" s="49" t="inlineStr">
        <is>
          <t>PASS</t>
        </is>
      </c>
      <c r="G614" s="48" t="inlineStr">
        <is>
          <t>Pass</t>
        </is>
      </c>
      <c r="H614" s="50" t="inlineStr">
        <is>
          <t>không dùng SELECT * ở đâu</t>
        </is>
      </c>
      <c r="I614" s="50" t="inlineStr">
        <is>
          <t>Liệt kê tường minh các cột cần dùng, kể cả trong CTE trung gian. SELECT * làm tăng IO/memory và vỡ script khi bảng nguồn thêm cột.</t>
        </is>
      </c>
      <c r="J614" s="48" t="inlineStr">
        <is>
          <t>038. OCB_GOLD_TCKH_V_SECTOR_LIST_HOP.xlsx [Script: V_SECTOR_LIST]</t>
        </is>
      </c>
    </row>
    <row r="615">
      <c r="A615" s="48" t="inlineStr">
        <is>
          <t>TCKH.V_SECTOR_LIST</t>
        </is>
      </c>
      <c r="B615" s="48" t="inlineStr">
        <is>
          <t>SILVER_CONSUMER</t>
        </is>
      </c>
      <c r="C615" s="48" t="inlineStr">
        <is>
          <t>3.2</t>
        </is>
      </c>
      <c r="D615" s="48" t="inlineStr">
        <is>
          <t>Nhom 3 - Optimization</t>
        </is>
      </c>
      <c r="E615" s="48" t="inlineStr">
        <is>
          <t>CTE không bị scan lại nhiều lần</t>
        </is>
      </c>
      <c r="F615" s="49" t="inlineStr">
        <is>
          <t>PASS</t>
        </is>
      </c>
      <c r="G615" s="48" t="inlineStr">
        <is>
          <t>Pass</t>
        </is>
      </c>
      <c r="H615" s="50" t="inlineStr">
        <is>
          <t>không có CTE nào bị gọi lại</t>
        </is>
      </c>
      <c r="I615" s="50" t="inlineStr">
        <is>
          <t>Với CTE nặng (đọc nhiều bảng Silver) bị tham chiếu từ 2 chỗ trở lên: gom lại còn một lần dùng, hoặc vật chất hóa (CACHE / bảng tạm). CTE nhẹ chỉ chứa tham số thì bỏ qua được — tự tick Pass.</t>
        </is>
      </c>
      <c r="J615" s="48" t="inlineStr">
        <is>
          <t>038. OCB_GOLD_TCKH_V_SECTOR_LIST_HOP.xlsx [Script: V_SECTOR_LIST]</t>
        </is>
      </c>
    </row>
    <row r="616">
      <c r="A616" s="48" t="inlineStr">
        <is>
          <t>TCKH.V_SECTOR_LIST</t>
        </is>
      </c>
      <c r="B616" s="48" t="inlineStr">
        <is>
          <t>SILVER_CONSUMER</t>
        </is>
      </c>
      <c r="C616" s="48" t="inlineStr">
        <is>
          <t>3.3</t>
        </is>
      </c>
      <c r="D616" s="48" t="inlineStr">
        <is>
          <t>Nhom 3 - Optimization</t>
        </is>
      </c>
      <c r="E616" s="48" t="inlineStr">
        <is>
          <t>Filter trước khi join, tận dụng partition pruning</t>
        </is>
      </c>
      <c r="F616" s="49" t="inlineStr">
        <is>
          <t>PASS</t>
        </is>
      </c>
      <c r="G616" s="48" t="inlineStr">
        <is>
          <t>Pass</t>
        </is>
      </c>
      <c r="H616" s="50" t="inlineStr">
        <is>
          <t>các bảng join đều được filter trước</t>
        </is>
      </c>
      <c r="I616" s="50" t="inlineStr">
        <is>
          <t>Đưa điều kiện lọc (ngày dữ liệu, trạng thái) vào subquery của từng bảng TRƯỚC khi join, để tận dụng partition pruning. Bảng dim nhỏ không partition thì không cần — tự tick Pass.</t>
        </is>
      </c>
      <c r="J616" s="48" t="inlineStr">
        <is>
          <t>038. OCB_GOLD_TCKH_V_SECTOR_LIST_HOP.xlsx [Script: V_SECTOR_LIST]</t>
        </is>
      </c>
    </row>
    <row r="617">
      <c r="A617" s="48" t="inlineStr">
        <is>
          <t>TCKH.V_SECTOR_LIST</t>
        </is>
      </c>
      <c r="B617" s="48" t="inlineStr">
        <is>
          <t>SILVER_CONSUMER</t>
        </is>
      </c>
      <c r="C617" s="48" t="inlineStr">
        <is>
          <t>3.4</t>
        </is>
      </c>
      <c r="D617" s="48" t="inlineStr">
        <is>
          <t>Nhom 3 - Optimization</t>
        </is>
      </c>
      <c r="E617" s="48" t="inlineStr">
        <is>
          <t>Sử dụng CACHE cho query lặp lại trong cùng luồng</t>
        </is>
      </c>
      <c r="F617" s="48" t="inlineStr">
        <is>
          <t>N-A</t>
        </is>
      </c>
      <c r="G617" s="48" t="inlineStr">
        <is>
          <t>Pass</t>
        </is>
      </c>
      <c r="H617" s="50" t="inlineStr">
        <is>
          <t>không có kết quả nào được dùng lại nhiều lần nên chưa cần CACHE</t>
        </is>
      </c>
      <c r="I617" s="50" t="inlineStr">
        <is>
          <t>Nếu một kết quả nặng được dùng lại nhiều bước trong cùng luồng, thêm CACHE TABLE / CACHE SELECT. Kết quả nhỏ thì cache còn chậm hơn — tự tick Pass.</t>
        </is>
      </c>
      <c r="J617" s="48" t="inlineStr">
        <is>
          <t>038. OCB_GOLD_TCKH_V_SECTOR_LIST_HOP.xlsx [Script: V_SECTOR_LIST]</t>
        </is>
      </c>
    </row>
    <row r="618">
      <c r="A618" s="48" t="inlineStr">
        <is>
          <t>TCKH.V_SECTOR_LIST</t>
        </is>
      </c>
      <c r="B618" s="48" t="inlineStr">
        <is>
          <t>SILVER_CONSUMER</t>
        </is>
      </c>
      <c r="C618" s="48" t="inlineStr">
        <is>
          <t>3.5</t>
        </is>
      </c>
      <c r="D618" s="48" t="inlineStr">
        <is>
          <t>Nhom 3 - Optimization</t>
        </is>
      </c>
      <c r="E618" s="48" t="inlineStr">
        <is>
          <t>Ưu tiên MAX_BY + QUALIFY thay ROW_NUMBER() + WHERE rn = 1</t>
        </is>
      </c>
      <c r="F618" s="48" t="inlineStr">
        <is>
          <t>N-A</t>
        </is>
      </c>
      <c r="G618" s="48" t="inlineStr">
        <is>
          <t>Pass</t>
        </is>
      </c>
      <c r="H618" s="50" t="inlineStr">
        <is>
          <t>script không dùng ROW_NUMBER</t>
        </is>
      </c>
      <c r="I618"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18" s="48" t="inlineStr">
        <is>
          <t>038. OCB_GOLD_TCKH_V_SECTOR_LIST_HOP.xlsx [Script: V_SECTOR_LIST]</t>
        </is>
      </c>
    </row>
    <row r="619">
      <c r="A619" s="48" t="inlineStr">
        <is>
          <t>TCKH.V_SECTOR_LIST</t>
        </is>
      </c>
      <c r="B619" s="48" t="inlineStr">
        <is>
          <t>SILVER_CONSUMER</t>
        </is>
      </c>
      <c r="C619" s="48" t="inlineStr">
        <is>
          <t>3.6</t>
        </is>
      </c>
      <c r="D619" s="48" t="inlineStr">
        <is>
          <t>Nhom 3 - Optimization</t>
        </is>
      </c>
      <c r="E619" s="48" t="inlineStr">
        <is>
          <t>Không lạm dụng window function; có comment khi dùng</t>
        </is>
      </c>
      <c r="F619" s="48" t="inlineStr">
        <is>
          <t>N-A</t>
        </is>
      </c>
      <c r="G619" s="48" t="inlineStr">
        <is>
          <t>Pass</t>
        </is>
      </c>
      <c r="H619" s="50" t="inlineStr">
        <is>
          <t>script không dùng window function</t>
        </is>
      </c>
      <c r="I619" s="50" t="inlineStr">
        <is>
          <t>Mỗi window function cần một comment ngay trên khối CTE chứa nó, nói rõ vì sao không dùng được max_by/QUALIFY đơn giản hơn.</t>
        </is>
      </c>
      <c r="J619" s="48" t="inlineStr">
        <is>
          <t>038. OCB_GOLD_TCKH_V_SECTOR_LIST_HOP.xlsx [Script: V_SECTOR_LIST]</t>
        </is>
      </c>
    </row>
    <row r="620">
      <c r="A620" s="48" t="inlineStr">
        <is>
          <t>TCKH.V_SECTOR_LIST</t>
        </is>
      </c>
      <c r="B620" s="48" t="inlineStr">
        <is>
          <t>SILVER_CONSUMER</t>
        </is>
      </c>
      <c r="C620" s="48" t="inlineStr">
        <is>
          <t>X.1</t>
        </is>
      </c>
      <c r="D620" s="48" t="inlineStr">
        <is>
          <t>Nhom X - Bo sung Raffles</t>
        </is>
      </c>
      <c r="E620" s="48" t="inlineStr">
        <is>
          <t>[Bổ sung] Link phải rút về current trước khi join (chống fan-out)</t>
        </is>
      </c>
      <c r="F620" s="49" t="inlineStr">
        <is>
          <t>PASS</t>
        </is>
      </c>
      <c r="G620" s="48" t="inlineStr">
        <is>
          <t>Pass</t>
        </is>
      </c>
      <c r="H620" s="50" t="inlineStr">
        <is>
          <t>các bảng link_* đều được rút về current trước khi join</t>
        </is>
      </c>
      <c r="I620"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20" s="48" t="inlineStr">
        <is>
          <t>038. OCB_GOLD_TCKH_V_SECTOR_LIST_HOP.xlsx [Script: V_SECTOR_LIST]</t>
        </is>
      </c>
    </row>
    <row r="621">
      <c r="A621" s="48" t="inlineStr">
        <is>
          <t>TCKH.V_SECTOR_LIST</t>
        </is>
      </c>
      <c r="B621" s="48" t="inlineStr">
        <is>
          <t>SILVER_CONSUMER</t>
        </is>
      </c>
      <c r="C621" s="48" t="inlineStr">
        <is>
          <t>X.6</t>
        </is>
      </c>
      <c r="D621" s="48" t="inlineStr">
        <is>
          <t>Nhom X - Bo sung Raffles</t>
        </is>
      </c>
      <c r="E621" s="48" t="inlineStr">
        <is>
          <t>[Bổ sung] Satellite phải LEFT JOIN, không INNER JOIN</t>
        </is>
      </c>
      <c r="F621" s="48" t="inlineStr">
        <is>
          <t>N-A</t>
        </is>
      </c>
      <c r="G621" s="48" t="inlineStr">
        <is>
          <t>Pass</t>
        </is>
      </c>
      <c r="H621" s="50" t="inlineStr">
        <is>
          <t>không join satellite trực tiếp</t>
        </is>
      </c>
      <c r="I621" s="50" t="inlineStr">
        <is>
          <t>Technical Document III.4.2.2 nguyên tắc 1: làm giàu thuộc tính luôn dùng LEFT JOIN. INNER JOIN satellite sẽ loại mất bản ghi Hub đang còn hiệu lực nhưng chưa có dòng satellite.</t>
        </is>
      </c>
      <c r="J621" s="48" t="inlineStr">
        <is>
          <t>038. OCB_GOLD_TCKH_V_SECTOR_LIST_HOP.xlsx [Script: V_SECTOR_LIST]</t>
        </is>
      </c>
    </row>
    <row r="622">
      <c r="A622" s="48" t="inlineStr">
        <is>
          <t>TCKH.V_SECTOR_LIST</t>
        </is>
      </c>
      <c r="B622" s="48" t="inlineStr">
        <is>
          <t>SILVER_CONSUMER</t>
        </is>
      </c>
      <c r="C622" s="48" t="inlineStr">
        <is>
          <t>X.7</t>
        </is>
      </c>
      <c r="D622" s="48" t="inlineStr">
        <is>
          <t>Nhom X - Bo sung Raffles</t>
        </is>
      </c>
      <c r="E622" s="48" t="inlineStr">
        <is>
          <t>[Bổ sung] Không hard-code catalog, dùng biến môi trường</t>
        </is>
      </c>
      <c r="F622" s="49" t="inlineStr">
        <is>
          <t>PASS</t>
        </is>
      </c>
      <c r="G622" s="48" t="inlineStr">
        <is>
          <t>Pass</t>
        </is>
      </c>
      <c r="H622" s="50" t="inlineStr">
        <is>
          <t>dùng biến môi trường cho catalog</t>
        </is>
      </c>
      <c r="I622"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22" s="48" t="inlineStr">
        <is>
          <t>038. OCB_GOLD_TCKH_V_SECTOR_LIST_HOP.xlsx [Script: V_SECTOR_LIST]</t>
        </is>
      </c>
    </row>
    <row r="623">
      <c r="A623" s="48" t="inlineStr">
        <is>
          <t>TCKH.BRANCH_LIST</t>
        </is>
      </c>
      <c r="B623" s="48" t="inlineStr">
        <is>
          <t>GOLD_DERIVED</t>
        </is>
      </c>
      <c r="C623" s="48" t="inlineStr">
        <is>
          <t>1.1</t>
        </is>
      </c>
      <c r="D623" s="48" t="inlineStr">
        <is>
          <t>Nhom 1 - Mapping</t>
        </is>
      </c>
      <c r="E623" s="48" t="inlineStr">
        <is>
          <t>Đầy đủ mapping từ Silver/manual sang Gold</t>
        </is>
      </c>
      <c r="F623" s="49" t="inlineStr">
        <is>
          <t>PASS</t>
        </is>
      </c>
      <c r="G623" s="48" t="inlineStr">
        <is>
          <t>Pass</t>
        </is>
      </c>
      <c r="H623" s="50" t="inlineStr">
        <is>
          <t>workbook 067. OCB_GOLD_TCKH_AR_DIM_HOP.xlsx: thiết kế 5 field, SQL có 5 cột</t>
        </is>
      </c>
      <c r="I623"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23" s="48" t="inlineStr">
        <is>
          <t>039. OCB_GOLD_TCKH_BRANCH_LIST_HOP.xlsx [SCRIPT: BRANCH_LIST]</t>
        </is>
      </c>
    </row>
    <row r="624">
      <c r="A624" s="48" t="inlineStr">
        <is>
          <t>TCKH.BRANCH_LIST</t>
        </is>
      </c>
      <c r="B624" s="48" t="inlineStr">
        <is>
          <t>GOLD_DERIVED</t>
        </is>
      </c>
      <c r="C624" s="48" t="inlineStr">
        <is>
          <t>1.2</t>
        </is>
      </c>
      <c r="D624" s="48" t="inlineStr">
        <is>
          <t>Nhom 1 - Mapping</t>
        </is>
      </c>
      <c r="E624" s="48" t="inlineStr">
        <is>
          <t>Danh sách bảng/view Gold khớp tài liệu thiết kế đã duyệt</t>
        </is>
      </c>
      <c r="F624" s="49" t="inlineStr">
        <is>
          <t>PASS</t>
        </is>
      </c>
      <c r="G624" s="48" t="inlineStr">
        <is>
          <t>Pass</t>
        </is>
      </c>
      <c r="H624" s="50" t="inlineStr">
        <is>
          <t>BRANCH_LIST có workbook thiết kế: 067. OCB_GOLD_TCKH_AR_DIM_HOP.xlsx</t>
        </is>
      </c>
      <c r="I624" s="50" t="inlineStr">
        <is>
          <t>Đảm bảo object có workbook thiết kế tương ứng trong thư mục --mapping-dir. Muốn đối chiếu với danh sách đã duyệt thì chạy thêm tham số --gold-list "&lt;file danh sách Gold&gt;.xlsx".</t>
        </is>
      </c>
      <c r="J624" s="48" t="inlineStr">
        <is>
          <t>039. OCB_GOLD_TCKH_BRANCH_LIST_HOP.xlsx [SCRIPT: BRANCH_LIST]</t>
        </is>
      </c>
    </row>
    <row r="625">
      <c r="A625" s="48" t="inlineStr">
        <is>
          <t>TCKH.BRANCH_LIST</t>
        </is>
      </c>
      <c r="B625" s="48" t="inlineStr">
        <is>
          <t>GOLD_DERIVED</t>
        </is>
      </c>
      <c r="C625" s="48" t="inlineStr">
        <is>
          <t>2.1</t>
        </is>
      </c>
      <c r="D625" s="48" t="inlineStr">
        <is>
          <t>Nhom 2 - Logic</t>
        </is>
      </c>
      <c r="E625" s="48" t="inlineStr">
        <is>
          <t>Chỉ lấy bản ghi active, loại bản ghi đã xóa (qua sts_hub)</t>
        </is>
      </c>
      <c r="F625" s="48" t="inlineStr">
        <is>
          <t>N-A</t>
        </is>
      </c>
      <c r="G625" s="48" t="inlineStr">
        <is>
          <t>Pass</t>
        </is>
      </c>
      <c r="H625" s="50" t="inlineStr">
        <is>
          <t>khong ap dung cho profile GOLD_DERIVED</t>
        </is>
      </c>
      <c r="I625"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25" s="48" t="inlineStr">
        <is>
          <t>039. OCB_GOLD_TCKH_BRANCH_LIST_HOP.xlsx [SCRIPT: BRANCH_LIST]</t>
        </is>
      </c>
    </row>
    <row r="626">
      <c r="A626" s="48" t="inlineStr">
        <is>
          <t>TCKH.BRANCH_LIST</t>
        </is>
      </c>
      <c r="B626" s="48" t="inlineStr">
        <is>
          <t>GOLD_DERIVED</t>
        </is>
      </c>
      <c r="C626" s="48" t="inlineStr">
        <is>
          <t>2.2</t>
        </is>
      </c>
      <c r="D626" s="48" t="inlineStr">
        <is>
          <t>Nhom 2 - Logic</t>
        </is>
      </c>
      <c r="E626" s="48" t="inlineStr">
        <is>
          <t>Thống nhất MỘT pattern duy nhất xác định bản ghi active mới nhất</t>
        </is>
      </c>
      <c r="F626" s="48" t="inlineStr">
        <is>
          <t>N-A</t>
        </is>
      </c>
      <c r="G626" s="48" t="inlineStr">
        <is>
          <t>Pass</t>
        </is>
      </c>
      <c r="H626" s="50" t="inlineStr">
        <is>
          <t>khong ap dung cho profile GOLD_DERIVED</t>
        </is>
      </c>
      <c r="I626"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26" s="48" t="inlineStr">
        <is>
          <t>039. OCB_GOLD_TCKH_BRANCH_LIST_HOP.xlsx [SCRIPT: BRANCH_LIST]</t>
        </is>
      </c>
    </row>
    <row r="627">
      <c r="A627" s="48" t="inlineStr">
        <is>
          <t>TCKH.BRANCH_LIST</t>
        </is>
      </c>
      <c r="B627" s="48" t="inlineStr">
        <is>
          <t>GOLD_DERIVED</t>
        </is>
      </c>
      <c r="C627" s="48" t="inlineStr">
        <is>
          <t>2.3</t>
        </is>
      </c>
      <c r="D627" s="48" t="inlineStr">
        <is>
          <t>Nhom 2 - Logic</t>
        </is>
      </c>
      <c r="E627" s="48" t="inlineStr">
        <is>
          <t>Điều kiện lọc trạng thái đặt SAU khi xác định bản ghi mới nhất</t>
        </is>
      </c>
      <c r="F627" s="49" t="inlineStr">
        <is>
          <t>PASS</t>
        </is>
      </c>
      <c r="G627" s="48" t="inlineStr">
        <is>
          <t>Pass</t>
        </is>
      </c>
      <c r="H627" s="50" t="inlineStr">
        <is>
          <t>không có điều kiện trạng thái nào lồng trong JOIN ON</t>
        </is>
      </c>
      <c r="I627"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27" s="48" t="inlineStr">
        <is>
          <t>039. OCB_GOLD_TCKH_BRANCH_LIST_HOP.xlsx [SCRIPT: BRANCH_LIST]</t>
        </is>
      </c>
    </row>
    <row r="628">
      <c r="A628" s="48" t="inlineStr">
        <is>
          <t>TCKH.BRANCH_LIST</t>
        </is>
      </c>
      <c r="B628" s="48" t="inlineStr">
        <is>
          <t>GOLD_DERIVED</t>
        </is>
      </c>
      <c r="C628" s="48" t="inlineStr">
        <is>
          <t>2.4</t>
        </is>
      </c>
      <c r="D628" s="48" t="inlineStr">
        <is>
          <t>Nhom 2 - Logic</t>
        </is>
      </c>
      <c r="E628" s="48" t="inlineStr">
        <is>
          <t>source_event_date áp dụng đúng dạng theo loại bảng</t>
        </is>
      </c>
      <c r="F628" s="48" t="inlineStr">
        <is>
          <t>N-A</t>
        </is>
      </c>
      <c r="G628" s="48" t="inlineStr">
        <is>
          <t>Pass</t>
        </is>
      </c>
      <c r="H628" s="50" t="inlineStr">
        <is>
          <t>khong ap dung cho profile GOLD_DERIVED</t>
        </is>
      </c>
      <c r="I628"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28" s="48" t="inlineStr">
        <is>
          <t>039. OCB_GOLD_TCKH_BRANCH_LIST_HOP.xlsx [SCRIPT: BRANCH_LIST]</t>
        </is>
      </c>
    </row>
    <row r="629">
      <c r="A629" s="48" t="inlineStr">
        <is>
          <t>TCKH.BRANCH_LIST</t>
        </is>
      </c>
      <c r="B629" s="48" t="inlineStr">
        <is>
          <t>GOLD_DERIVED</t>
        </is>
      </c>
      <c r="C629" s="48" t="inlineStr">
        <is>
          <t>2.5</t>
        </is>
      </c>
      <c r="D629" s="48" t="inlineStr">
        <is>
          <t>Nhom 2 - Logic</t>
        </is>
      </c>
      <c r="E629" s="48" t="inlineStr">
        <is>
          <t>Không lặp lại lỗi logic cũ đã được DA Data Vault fix</t>
        </is>
      </c>
      <c r="F629" s="49" t="inlineStr">
        <is>
          <t>PASS</t>
        </is>
      </c>
      <c r="G629" s="48" t="inlineStr">
        <is>
          <t>Pass</t>
        </is>
      </c>
      <c r="H629" s="50" t="inlineStr">
        <is>
          <t>không trùng lỗi nào trong Issue log của DA Data Vault</t>
        </is>
      </c>
      <c r="I629"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29" s="48" t="inlineStr">
        <is>
          <t>039. OCB_GOLD_TCKH_BRANCH_LIST_HOP.xlsx [SCRIPT: BRANCH_LIST]</t>
        </is>
      </c>
    </row>
    <row r="630">
      <c r="A630" s="48" t="inlineStr">
        <is>
          <t>TCKH.BRANCH_LIST</t>
        </is>
      </c>
      <c r="B630" s="48" t="inlineStr">
        <is>
          <t>GOLD_DERIVED</t>
        </is>
      </c>
      <c r="C630" s="48" t="inlineStr">
        <is>
          <t>2.6</t>
        </is>
      </c>
      <c r="D630" s="48" t="inlineStr">
        <is>
          <t>Nhom 2 - Logic</t>
        </is>
      </c>
      <c r="E630" s="48" t="inlineStr">
        <is>
          <t>SCD Type 2 cho bảng DIM áp dụng đúng kỹ thuật đã thống nhất</t>
        </is>
      </c>
      <c r="F630" s="48" t="inlineStr">
        <is>
          <t>N-A</t>
        </is>
      </c>
      <c r="G630" s="48" t="inlineStr">
        <is>
          <t>Pass</t>
        </is>
      </c>
      <c r="H630" s="50" t="inlineStr">
        <is>
          <t>object không phải bảng DIM nên không áp dụng SCD Type 2</t>
        </is>
      </c>
      <c r="I630"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30" s="48" t="inlineStr">
        <is>
          <t>039. OCB_GOLD_TCKH_BRANCH_LIST_HOP.xlsx [SCRIPT: BRANCH_LIST]</t>
        </is>
      </c>
    </row>
    <row r="631">
      <c r="A631" s="48" t="inlineStr">
        <is>
          <t>TCKH.BRANCH_LIST</t>
        </is>
      </c>
      <c r="B631" s="48" t="inlineStr">
        <is>
          <t>GOLD_DERIVED</t>
        </is>
      </c>
      <c r="C631" s="48" t="inlineStr">
        <is>
          <t>2.7</t>
        </is>
      </c>
      <c r="D631" s="48" t="inlineStr">
        <is>
          <t>Nhom 2 - Logic</t>
        </is>
      </c>
      <c r="E631" s="48" t="inlineStr">
        <is>
          <t>CASE WHEN cover đủ nhánh như job on-prem</t>
        </is>
      </c>
      <c r="F631" s="48" t="inlineStr">
        <is>
          <t>N-A</t>
        </is>
      </c>
      <c r="G631" s="48" t="inlineStr">
        <is>
          <t>Pass</t>
        </is>
      </c>
      <c r="H631" s="50" t="inlineStr">
        <is>
          <t>script không có CASE WHEN nào</t>
        </is>
      </c>
      <c r="I631" s="50" t="inlineStr">
        <is>
          <t>Mở job on-prem tương ứng (DataStage DSX hoặc SQL cũ), đối chiếu từng nhánh WHEN và cả nhánh ELSE. CASE không có ELSE sẽ trả NULL âm thầm — xác nhận đó là ý muốn hay thiếu nhánh.</t>
        </is>
      </c>
      <c r="J631" s="48" t="inlineStr">
        <is>
          <t>039. OCB_GOLD_TCKH_BRANCH_LIST_HOP.xlsx [SCRIPT: BRANCH_LIST]</t>
        </is>
      </c>
    </row>
    <row r="632">
      <c r="A632" s="48" t="inlineStr">
        <is>
          <t>TCKH.BRANCH_LIST</t>
        </is>
      </c>
      <c r="B632" s="48" t="inlineStr">
        <is>
          <t>GOLD_DERIVED</t>
        </is>
      </c>
      <c r="C632" s="48" t="inlineStr">
        <is>
          <t>2.8</t>
        </is>
      </c>
      <c r="D632" s="48" t="inlineStr">
        <is>
          <t>Nhom 2 - Logic</t>
        </is>
      </c>
      <c r="E632" s="48" t="inlineStr">
        <is>
          <t>Cột SUM/COUNT được COALESCE/NVL hợp lý</t>
        </is>
      </c>
      <c r="F632" s="49" t="inlineStr">
        <is>
          <t>PASS</t>
        </is>
      </c>
      <c r="G632" s="48" t="inlineStr">
        <is>
          <t>Pass</t>
        </is>
      </c>
      <c r="H632" s="50" t="inlineStr">
        <is>
          <t>mọi SUM/COUNT đều đã coalesce (trực tiếp hoặc ở lớp ngoài)</t>
        </is>
      </c>
      <c r="I632"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32" s="48" t="inlineStr">
        <is>
          <t>039. OCB_GOLD_TCKH_BRANCH_LIST_HOP.xlsx [SCRIPT: BRANCH_LIST]</t>
        </is>
      </c>
    </row>
    <row r="633">
      <c r="A633" s="48" t="inlineStr">
        <is>
          <t>TCKH.BRANCH_LIST</t>
        </is>
      </c>
      <c r="B633" s="48" t="inlineStr">
        <is>
          <t>GOLD_DERIVED</t>
        </is>
      </c>
      <c r="C633" s="48" t="inlineStr">
        <is>
          <t>2.9</t>
        </is>
      </c>
      <c r="D633" s="48" t="inlineStr">
        <is>
          <t>Nhom 2 - Logic</t>
        </is>
      </c>
      <c r="E633" s="48" t="inlineStr">
        <is>
          <t>Subquery / custom function / điều kiện LIKE đúng ý nghĩa nghiệp vụ</t>
        </is>
      </c>
      <c r="F633" s="48" t="inlineStr">
        <is>
          <t>N-A</t>
        </is>
      </c>
      <c r="G633" s="48" t="inlineStr">
        <is>
          <t>Pass</t>
        </is>
      </c>
      <c r="H633" s="50" t="inlineStr">
        <is>
          <t>script không có điều kiện LIKE hay scalar subquery nào</t>
        </is>
      </c>
      <c r="I633" s="50" t="inlineStr">
        <is>
          <t>Đọc lại từng điều kiện LIKE và từng subquery, đối chiếu ý nghĩa nghiệp vụ với on-prem — đúng cú pháp không đủ. Chú ý pattern LIKE có ký tự % ở đầu/cuối và phân biệt chữ hoa/thường.</t>
        </is>
      </c>
      <c r="J633" s="48" t="inlineStr">
        <is>
          <t>039. OCB_GOLD_TCKH_BRANCH_LIST_HOP.xlsx [SCRIPT: BRANCH_LIST]</t>
        </is>
      </c>
    </row>
    <row r="634">
      <c r="A634" s="48" t="inlineStr">
        <is>
          <t>TCKH.BRANCH_LIST</t>
        </is>
      </c>
      <c r="B634" s="48" t="inlineStr">
        <is>
          <t>GOLD_DERIVED</t>
        </is>
      </c>
      <c r="C634" s="48" t="inlineStr">
        <is>
          <t>2.10</t>
        </is>
      </c>
      <c r="D634" s="48" t="inlineStr">
        <is>
          <t>Nhom 2 - Logic</t>
        </is>
      </c>
      <c r="E634" s="48" t="inlineStr">
        <is>
          <t>Aggregation kèm filter date range chính xác</t>
        </is>
      </c>
      <c r="F634" s="49" t="inlineStr">
        <is>
          <t>PASS</t>
        </is>
      </c>
      <c r="G634" s="48" t="inlineStr">
        <is>
          <t>Pass</t>
        </is>
      </c>
      <c r="H634" s="50" t="inlineStr">
        <is>
          <t>mọi khối tổng hợp đều có điều kiện theo kỳ dữ liệu</t>
        </is>
      </c>
      <c r="I634" s="50" t="inlineStr">
        <is>
          <t>Mỗi khối SUM/COUNT/AVG phải có điều kiện lọc theo kỳ dữ liệu (CDR_DT_ID, DATA_DATE, :DATADT…). Nếu điều kiện nằm ở CTE nguồn thì ghi rõ trong comment để người review không phải truy ngược.</t>
        </is>
      </c>
      <c r="J634" s="48" t="inlineStr">
        <is>
          <t>039. OCB_GOLD_TCKH_BRANCH_LIST_HOP.xlsx [SCRIPT: BRANCH_LIST]</t>
        </is>
      </c>
    </row>
    <row r="635">
      <c r="A635" s="48" t="inlineStr">
        <is>
          <t>TCKH.BRANCH_LIST</t>
        </is>
      </c>
      <c r="B635" s="48" t="inlineStr">
        <is>
          <t>GOLD_DERIVED</t>
        </is>
      </c>
      <c r="C635" s="48" t="inlineStr">
        <is>
          <t>2.11</t>
        </is>
      </c>
      <c r="D635" s="48" t="inlineStr">
        <is>
          <t>Nhom 2 - Logic</t>
        </is>
      </c>
      <c r="E635" s="48" t="inlineStr">
        <is>
          <t>Join dùng key hợp lý, không lạm dụng UNION ALL + EXISTS/NOT EXISTS</t>
        </is>
      </c>
      <c r="F635" s="49" t="inlineStr">
        <is>
          <t>PASS</t>
        </is>
      </c>
      <c r="G635" s="48" t="inlineStr">
        <is>
          <t>Pass</t>
        </is>
      </c>
      <c r="H635" s="50" t="inlineStr">
        <is>
          <t>join đều theo điều kiện bằng, không lạm dụng UNION ALL + EXISTS</t>
        </is>
      </c>
      <c r="I635" s="50" t="inlineStr">
        <is>
          <t>Ưu tiên LEFT JOIN theo business key hoặc hashkey. Xem lại các chỗ dùng UNION ALL kết hợp EXISTS/NOT EXISTS — thường thay được bằng một LEFT JOIN. Join không có điều kiện bằng (=) dễ tạo tích Descartes.</t>
        </is>
      </c>
      <c r="J635" s="48" t="inlineStr">
        <is>
          <t>039. OCB_GOLD_TCKH_BRANCH_LIST_HOP.xlsx [SCRIPT: BRANCH_LIST]</t>
        </is>
      </c>
    </row>
    <row r="636">
      <c r="A636" s="48" t="inlineStr">
        <is>
          <t>TCKH.BRANCH_LIST</t>
        </is>
      </c>
      <c r="B636" s="48" t="inlineStr">
        <is>
          <t>GOLD_DERIVED</t>
        </is>
      </c>
      <c r="C636" s="48" t="inlineStr">
        <is>
          <t>2.12</t>
        </is>
      </c>
      <c r="D636" s="48" t="inlineStr">
        <is>
          <t>Nhom 2 - Logic</t>
        </is>
      </c>
      <c r="E636" s="48" t="inlineStr">
        <is>
          <t>Build Gold từ CTE snapshot Silver, không build nhiều tầng chồng chéo</t>
        </is>
      </c>
      <c r="F636" s="49" t="inlineStr">
        <is>
          <t>PASS</t>
        </is>
      </c>
      <c r="G636" s="48" t="inlineStr">
        <is>
          <t>Pass</t>
        </is>
      </c>
      <c r="H636" s="50" t="inlineStr">
        <is>
          <t>mỗi bảng nguồn chỉ đọc trong 1 khối SELECT</t>
        </is>
      </c>
      <c r="I636"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36" s="48" t="inlineStr">
        <is>
          <t>039. OCB_GOLD_TCKH_BRANCH_LIST_HOP.xlsx [SCRIPT: BRANCH_LIST]</t>
        </is>
      </c>
    </row>
    <row r="637">
      <c r="A637" s="48" t="inlineStr">
        <is>
          <t>TCKH.BRANCH_LIST</t>
        </is>
      </c>
      <c r="B637" s="48" t="inlineStr">
        <is>
          <t>GOLD_DERIVED</t>
        </is>
      </c>
      <c r="C637" s="48" t="inlineStr">
        <is>
          <t>3.1</t>
        </is>
      </c>
      <c r="D637" s="48" t="inlineStr">
        <is>
          <t>Nhom 3 - Optimization</t>
        </is>
      </c>
      <c r="E637" s="48" t="inlineStr">
        <is>
          <t>Không SELECT *</t>
        </is>
      </c>
      <c r="F637" s="49" t="inlineStr">
        <is>
          <t>PASS</t>
        </is>
      </c>
      <c r="G637" s="48" t="inlineStr">
        <is>
          <t>Pass</t>
        </is>
      </c>
      <c r="H637" s="50" t="inlineStr">
        <is>
          <t>không dùng SELECT * ở đâu</t>
        </is>
      </c>
      <c r="I637" s="50" t="inlineStr">
        <is>
          <t>Liệt kê tường minh các cột cần dùng, kể cả trong CTE trung gian. SELECT * làm tăng IO/memory và vỡ script khi bảng nguồn thêm cột.</t>
        </is>
      </c>
      <c r="J637" s="48" t="inlineStr">
        <is>
          <t>039. OCB_GOLD_TCKH_BRANCH_LIST_HOP.xlsx [SCRIPT: BRANCH_LIST]</t>
        </is>
      </c>
    </row>
    <row r="638">
      <c r="A638" s="48" t="inlineStr">
        <is>
          <t>TCKH.BRANCH_LIST</t>
        </is>
      </c>
      <c r="B638" s="48" t="inlineStr">
        <is>
          <t>GOLD_DERIVED</t>
        </is>
      </c>
      <c r="C638" s="48" t="inlineStr">
        <is>
          <t>3.2</t>
        </is>
      </c>
      <c r="D638" s="48" t="inlineStr">
        <is>
          <t>Nhom 3 - Optimization</t>
        </is>
      </c>
      <c r="E638" s="48" t="inlineStr">
        <is>
          <t>CTE không bị scan lại nhiều lần</t>
        </is>
      </c>
      <c r="F638" s="49" t="inlineStr">
        <is>
          <t>PASS</t>
        </is>
      </c>
      <c r="G638" s="48" t="inlineStr">
        <is>
          <t>Pass</t>
        </is>
      </c>
      <c r="H638" s="50" t="inlineStr">
        <is>
          <t>không có CTE nào bị gọi lại</t>
        </is>
      </c>
      <c r="I638" s="50" t="inlineStr">
        <is>
          <t>Với CTE nặng (đọc nhiều bảng Silver) bị tham chiếu từ 2 chỗ trở lên: gom lại còn một lần dùng, hoặc vật chất hóa (CACHE / bảng tạm). CTE nhẹ chỉ chứa tham số thì bỏ qua được — tự tick Pass.</t>
        </is>
      </c>
      <c r="J638" s="48" t="inlineStr">
        <is>
          <t>039. OCB_GOLD_TCKH_BRANCH_LIST_HOP.xlsx [SCRIPT: BRANCH_LIST]</t>
        </is>
      </c>
    </row>
    <row r="639">
      <c r="A639" s="48" t="inlineStr">
        <is>
          <t>TCKH.BRANCH_LIST</t>
        </is>
      </c>
      <c r="B639" s="48" t="inlineStr">
        <is>
          <t>GOLD_DERIVED</t>
        </is>
      </c>
      <c r="C639" s="48" t="inlineStr">
        <is>
          <t>3.3</t>
        </is>
      </c>
      <c r="D639" s="48" t="inlineStr">
        <is>
          <t>Nhom 3 - Optimization</t>
        </is>
      </c>
      <c r="E639" s="48" t="inlineStr">
        <is>
          <t>Filter trước khi join, tận dụng partition pruning</t>
        </is>
      </c>
      <c r="F639" s="49" t="inlineStr">
        <is>
          <t>PASS</t>
        </is>
      </c>
      <c r="G639" s="48" t="inlineStr">
        <is>
          <t>Pass</t>
        </is>
      </c>
      <c r="H639" s="50" t="inlineStr">
        <is>
          <t>các bảng join đều được filter trước</t>
        </is>
      </c>
      <c r="I639" s="50" t="inlineStr">
        <is>
          <t>Đưa điều kiện lọc (ngày dữ liệu, trạng thái) vào subquery của từng bảng TRƯỚC khi join, để tận dụng partition pruning. Bảng dim nhỏ không partition thì không cần — tự tick Pass.</t>
        </is>
      </c>
      <c r="J639" s="48" t="inlineStr">
        <is>
          <t>039. OCB_GOLD_TCKH_BRANCH_LIST_HOP.xlsx [SCRIPT: BRANCH_LIST]</t>
        </is>
      </c>
    </row>
    <row r="640">
      <c r="A640" s="48" t="inlineStr">
        <is>
          <t>TCKH.BRANCH_LIST</t>
        </is>
      </c>
      <c r="B640" s="48" t="inlineStr">
        <is>
          <t>GOLD_DERIVED</t>
        </is>
      </c>
      <c r="C640" s="48" t="inlineStr">
        <is>
          <t>3.4</t>
        </is>
      </c>
      <c r="D640" s="48" t="inlineStr">
        <is>
          <t>Nhom 3 - Optimization</t>
        </is>
      </c>
      <c r="E640" s="48" t="inlineStr">
        <is>
          <t>Sử dụng CACHE cho query lặp lại trong cùng luồng</t>
        </is>
      </c>
      <c r="F640" s="48" t="inlineStr">
        <is>
          <t>N-A</t>
        </is>
      </c>
      <c r="G640" s="48" t="inlineStr">
        <is>
          <t>Pass</t>
        </is>
      </c>
      <c r="H640" s="50" t="inlineStr">
        <is>
          <t>không có kết quả nào được dùng lại nhiều lần nên chưa cần CACHE</t>
        </is>
      </c>
      <c r="I640" s="50" t="inlineStr">
        <is>
          <t>Nếu một kết quả nặng được dùng lại nhiều bước trong cùng luồng, thêm CACHE TABLE / CACHE SELECT. Kết quả nhỏ thì cache còn chậm hơn — tự tick Pass.</t>
        </is>
      </c>
      <c r="J640" s="48" t="inlineStr">
        <is>
          <t>039. OCB_GOLD_TCKH_BRANCH_LIST_HOP.xlsx [SCRIPT: BRANCH_LIST]</t>
        </is>
      </c>
    </row>
    <row r="641">
      <c r="A641" s="48" t="inlineStr">
        <is>
          <t>TCKH.BRANCH_LIST</t>
        </is>
      </c>
      <c r="B641" s="48" t="inlineStr">
        <is>
          <t>GOLD_DERIVED</t>
        </is>
      </c>
      <c r="C641" s="48" t="inlineStr">
        <is>
          <t>3.5</t>
        </is>
      </c>
      <c r="D641" s="48" t="inlineStr">
        <is>
          <t>Nhom 3 - Optimization</t>
        </is>
      </c>
      <c r="E641" s="48" t="inlineStr">
        <is>
          <t>Ưu tiên MAX_BY + QUALIFY thay ROW_NUMBER() + WHERE rn = 1</t>
        </is>
      </c>
      <c r="F641" s="48" t="inlineStr">
        <is>
          <t>N-A</t>
        </is>
      </c>
      <c r="G641" s="48" t="inlineStr">
        <is>
          <t>Pass</t>
        </is>
      </c>
      <c r="H641" s="50" t="inlineStr">
        <is>
          <t>script không dùng ROW_NUMBER</t>
        </is>
      </c>
      <c r="I641"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41" s="48" t="inlineStr">
        <is>
          <t>039. OCB_GOLD_TCKH_BRANCH_LIST_HOP.xlsx [SCRIPT: BRANCH_LIST]</t>
        </is>
      </c>
    </row>
    <row r="642">
      <c r="A642" s="48" t="inlineStr">
        <is>
          <t>TCKH.BRANCH_LIST</t>
        </is>
      </c>
      <c r="B642" s="48" t="inlineStr">
        <is>
          <t>GOLD_DERIVED</t>
        </is>
      </c>
      <c r="C642" s="48" t="inlineStr">
        <is>
          <t>3.6</t>
        </is>
      </c>
      <c r="D642" s="48" t="inlineStr">
        <is>
          <t>Nhom 3 - Optimization</t>
        </is>
      </c>
      <c r="E642" s="48" t="inlineStr">
        <is>
          <t>Không lạm dụng window function; có comment khi dùng</t>
        </is>
      </c>
      <c r="F642" s="48" t="inlineStr">
        <is>
          <t>N-A</t>
        </is>
      </c>
      <c r="G642" s="48" t="inlineStr">
        <is>
          <t>Pass</t>
        </is>
      </c>
      <c r="H642" s="50" t="inlineStr">
        <is>
          <t>script không dùng window function</t>
        </is>
      </c>
      <c r="I642" s="50" t="inlineStr">
        <is>
          <t>Mỗi window function cần một comment ngay trên khối CTE chứa nó, nói rõ vì sao không dùng được max_by/QUALIFY đơn giản hơn.</t>
        </is>
      </c>
      <c r="J642" s="48" t="inlineStr">
        <is>
          <t>039. OCB_GOLD_TCKH_BRANCH_LIST_HOP.xlsx [SCRIPT: BRANCH_LIST]</t>
        </is>
      </c>
    </row>
    <row r="643">
      <c r="A643" s="48" t="inlineStr">
        <is>
          <t>TCKH.BRANCH_LIST</t>
        </is>
      </c>
      <c r="B643" s="48" t="inlineStr">
        <is>
          <t>GOLD_DERIVED</t>
        </is>
      </c>
      <c r="C643" s="48" t="inlineStr">
        <is>
          <t>X.1</t>
        </is>
      </c>
      <c r="D643" s="48" t="inlineStr">
        <is>
          <t>Nhom X - Bo sung Raffles</t>
        </is>
      </c>
      <c r="E643" s="48" t="inlineStr">
        <is>
          <t>[Bổ sung] Link phải rút về current trước khi join (chống fan-out)</t>
        </is>
      </c>
      <c r="F643" s="48" t="inlineStr">
        <is>
          <t>N-A</t>
        </is>
      </c>
      <c r="G643" s="48" t="inlineStr">
        <is>
          <t>Pass</t>
        </is>
      </c>
      <c r="H643" s="50" t="inlineStr">
        <is>
          <t>khong ap dung cho profile GOLD_DERIVED</t>
        </is>
      </c>
      <c r="I643"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43" s="48" t="inlineStr">
        <is>
          <t>039. OCB_GOLD_TCKH_BRANCH_LIST_HOP.xlsx [SCRIPT: BRANCH_LIST]</t>
        </is>
      </c>
    </row>
    <row r="644">
      <c r="A644" s="48" t="inlineStr">
        <is>
          <t>TCKH.BRANCH_LIST</t>
        </is>
      </c>
      <c r="B644" s="48" t="inlineStr">
        <is>
          <t>GOLD_DERIVED</t>
        </is>
      </c>
      <c r="C644" s="48" t="inlineStr">
        <is>
          <t>X.6</t>
        </is>
      </c>
      <c r="D644" s="48" t="inlineStr">
        <is>
          <t>Nhom X - Bo sung Raffles</t>
        </is>
      </c>
      <c r="E644" s="48" t="inlineStr">
        <is>
          <t>[Bổ sung] Satellite phải LEFT JOIN, không INNER JOIN</t>
        </is>
      </c>
      <c r="F644" s="48" t="inlineStr">
        <is>
          <t>N-A</t>
        </is>
      </c>
      <c r="G644" s="48" t="inlineStr">
        <is>
          <t>Pass</t>
        </is>
      </c>
      <c r="H644" s="50" t="inlineStr">
        <is>
          <t>khong ap dung cho profile GOLD_DERIVED</t>
        </is>
      </c>
      <c r="I644" s="50" t="inlineStr">
        <is>
          <t>Technical Document III.4.2.2 nguyên tắc 1: làm giàu thuộc tính luôn dùng LEFT JOIN. INNER JOIN satellite sẽ loại mất bản ghi Hub đang còn hiệu lực nhưng chưa có dòng satellite.</t>
        </is>
      </c>
      <c r="J644" s="48" t="inlineStr">
        <is>
          <t>039. OCB_GOLD_TCKH_BRANCH_LIST_HOP.xlsx [SCRIPT: BRANCH_LIST]</t>
        </is>
      </c>
    </row>
    <row r="645">
      <c r="A645" s="48" t="inlineStr">
        <is>
          <t>TCKH.BRANCH_LIST</t>
        </is>
      </c>
      <c r="B645" s="48" t="inlineStr">
        <is>
          <t>GOLD_DERIVED</t>
        </is>
      </c>
      <c r="C645" s="48" t="inlineStr">
        <is>
          <t>X.7</t>
        </is>
      </c>
      <c r="D645" s="48" t="inlineStr">
        <is>
          <t>Nhom X - Bo sung Raffles</t>
        </is>
      </c>
      <c r="E645" s="48" t="inlineStr">
        <is>
          <t>[Bổ sung] Không hard-code catalog, dùng biến môi trường</t>
        </is>
      </c>
      <c r="F645" s="49" t="inlineStr">
        <is>
          <t>PASS</t>
        </is>
      </c>
      <c r="G645" s="48" t="inlineStr">
        <is>
          <t>Pass</t>
        </is>
      </c>
      <c r="H645" s="50" t="inlineStr">
        <is>
          <t>dùng biến môi trường cho catalog</t>
        </is>
      </c>
      <c r="I645"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45" s="48" t="inlineStr">
        <is>
          <t>039. OCB_GOLD_TCKH_BRANCH_LIST_HOP.xlsx [SCRIPT: BRANCH_LIST]</t>
        </is>
      </c>
    </row>
    <row r="646">
      <c r="A646" s="48" t="inlineStr">
        <is>
          <t>TCKH.HOLIDAY</t>
        </is>
      </c>
      <c r="B646" s="48" t="inlineStr">
        <is>
          <t>SILVER_CONSUMER</t>
        </is>
      </c>
      <c r="C646" s="48" t="inlineStr">
        <is>
          <t>1.1</t>
        </is>
      </c>
      <c r="D646" s="48" t="inlineStr">
        <is>
          <t>Nhom 1 - Mapping</t>
        </is>
      </c>
      <c r="E646" s="48" t="inlineStr">
        <is>
          <t>Đầy đủ mapping từ Silver/manual sang Gold</t>
        </is>
      </c>
      <c r="F646" s="49" t="inlineStr">
        <is>
          <t>PASS</t>
        </is>
      </c>
      <c r="G646" s="48" t="inlineStr">
        <is>
          <t>Pass</t>
        </is>
      </c>
      <c r="H646" s="50" t="inlineStr">
        <is>
          <t>workbook 067. OCB_GOLD_TCKH_AR_DIM_HOP.xlsx: thiết kế 4 field, SQL có 4 cột</t>
        </is>
      </c>
      <c r="I646"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46" s="48" t="inlineStr">
        <is>
          <t>041. OCB_GOLD_TCKH_HOLIDAY_BAOANH.xlsx [SCRIPT: HOLIDAY]</t>
        </is>
      </c>
    </row>
    <row r="647">
      <c r="A647" s="48" t="inlineStr">
        <is>
          <t>TCKH.HOLIDAY</t>
        </is>
      </c>
      <c r="B647" s="48" t="inlineStr">
        <is>
          <t>SILVER_CONSUMER</t>
        </is>
      </c>
      <c r="C647" s="48" t="inlineStr">
        <is>
          <t>1.2</t>
        </is>
      </c>
      <c r="D647" s="48" t="inlineStr">
        <is>
          <t>Nhom 1 - Mapping</t>
        </is>
      </c>
      <c r="E647" s="48" t="inlineStr">
        <is>
          <t>Danh sách bảng/view Gold khớp tài liệu thiết kế đã duyệt</t>
        </is>
      </c>
      <c r="F647" s="49" t="inlineStr">
        <is>
          <t>PASS</t>
        </is>
      </c>
      <c r="G647" s="48" t="inlineStr">
        <is>
          <t>Pass</t>
        </is>
      </c>
      <c r="H647" s="50" t="inlineStr">
        <is>
          <t>HOLIDAY có workbook thiết kế: 067. OCB_GOLD_TCKH_AR_DIM_HOP.xlsx</t>
        </is>
      </c>
      <c r="I647" s="50" t="inlineStr">
        <is>
          <t>Đảm bảo object có workbook thiết kế tương ứng trong thư mục --mapping-dir. Muốn đối chiếu với danh sách đã duyệt thì chạy thêm tham số --gold-list "&lt;file danh sách Gold&gt;.xlsx".</t>
        </is>
      </c>
      <c r="J647" s="48" t="inlineStr">
        <is>
          <t>041. OCB_GOLD_TCKH_HOLIDAY_BAOANH.xlsx [SCRIPT: HOLIDAY]</t>
        </is>
      </c>
    </row>
    <row r="648">
      <c r="A648" s="48" t="inlineStr">
        <is>
          <t>TCKH.HOLIDAY</t>
        </is>
      </c>
      <c r="B648" s="48" t="inlineStr">
        <is>
          <t>SILVER_CONSUMER</t>
        </is>
      </c>
      <c r="C648" s="48" t="inlineStr">
        <is>
          <t>2.1</t>
        </is>
      </c>
      <c r="D648" s="48" t="inlineStr">
        <is>
          <t>Nhom 2 - Logic</t>
        </is>
      </c>
      <c r="E648" s="48" t="inlineStr">
        <is>
          <t>Chỉ lấy bản ghi active, loại bản ghi đã xóa (qua sts_hub)</t>
        </is>
      </c>
      <c r="F648" s="48" t="inlineStr">
        <is>
          <t>N-A</t>
        </is>
      </c>
      <c r="G648" s="48" t="inlineStr">
        <is>
          <t>Pass</t>
        </is>
      </c>
      <c r="H648" s="50" t="inlineStr">
        <is>
          <t>script không đọc sts_hub/satellite nào nên không có bản ghi xóa để lọc</t>
        </is>
      </c>
      <c r="I648"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48" s="48" t="inlineStr">
        <is>
          <t>041. OCB_GOLD_TCKH_HOLIDAY_BAOANH.xlsx [SCRIPT: HOLIDAY]</t>
        </is>
      </c>
    </row>
    <row r="649">
      <c r="A649" s="48" t="inlineStr">
        <is>
          <t>TCKH.HOLIDAY</t>
        </is>
      </c>
      <c r="B649" s="48" t="inlineStr">
        <is>
          <t>SILVER_CONSUMER</t>
        </is>
      </c>
      <c r="C649" s="48" t="inlineStr">
        <is>
          <t>2.2</t>
        </is>
      </c>
      <c r="D649" s="48" t="inlineStr">
        <is>
          <t>Nhom 2 - Logic</t>
        </is>
      </c>
      <c r="E649" s="48" t="inlineStr">
        <is>
          <t>Thống nhất MỘT pattern duy nhất xác định bản ghi active mới nhất</t>
        </is>
      </c>
      <c r="F649" s="48" t="inlineStr">
        <is>
          <t>N-A</t>
        </is>
      </c>
      <c r="G649" s="48" t="inlineStr">
        <is>
          <t>Pass</t>
        </is>
      </c>
      <c r="H649" s="50" t="inlineStr">
        <is>
          <t>script không có bước lấy bản ghi mới nhất từ satellite</t>
        </is>
      </c>
      <c r="I649"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49" s="48" t="inlineStr">
        <is>
          <t>041. OCB_GOLD_TCKH_HOLIDAY_BAOANH.xlsx [SCRIPT: HOLIDAY]</t>
        </is>
      </c>
    </row>
    <row r="650">
      <c r="A650" s="48" t="inlineStr">
        <is>
          <t>TCKH.HOLIDAY</t>
        </is>
      </c>
      <c r="B650" s="48" t="inlineStr">
        <is>
          <t>SILVER_CONSUMER</t>
        </is>
      </c>
      <c r="C650" s="48" t="inlineStr">
        <is>
          <t>2.3</t>
        </is>
      </c>
      <c r="D650" s="48" t="inlineStr">
        <is>
          <t>Nhom 2 - Logic</t>
        </is>
      </c>
      <c r="E650" s="48" t="inlineStr">
        <is>
          <t>Điều kiện lọc trạng thái đặt SAU khi xác định bản ghi mới nhất</t>
        </is>
      </c>
      <c r="F650" s="49" t="inlineStr">
        <is>
          <t>PASS</t>
        </is>
      </c>
      <c r="G650" s="48" t="inlineStr">
        <is>
          <t>Pass</t>
        </is>
      </c>
      <c r="H650" s="50" t="inlineStr">
        <is>
          <t>không có điều kiện trạng thái nào lồng trong JOIN ON</t>
        </is>
      </c>
      <c r="I650"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50" s="48" t="inlineStr">
        <is>
          <t>041. OCB_GOLD_TCKH_HOLIDAY_BAOANH.xlsx [SCRIPT: HOLIDAY]</t>
        </is>
      </c>
    </row>
    <row r="651">
      <c r="A651" s="48" t="inlineStr">
        <is>
          <t>TCKH.HOLIDAY</t>
        </is>
      </c>
      <c r="B651" s="48" t="inlineStr">
        <is>
          <t>SILVER_CONSUMER</t>
        </is>
      </c>
      <c r="C651" s="48" t="inlineStr">
        <is>
          <t>2.4</t>
        </is>
      </c>
      <c r="D651" s="48" t="inlineStr">
        <is>
          <t>Nhom 2 - Logic</t>
        </is>
      </c>
      <c r="E651" s="48" t="inlineStr">
        <is>
          <t>source_event_date áp dụng đúng dạng theo loại bảng</t>
        </is>
      </c>
      <c r="F651" s="48" t="inlineStr">
        <is>
          <t>N-A</t>
        </is>
      </c>
      <c r="G651" s="48" t="inlineStr">
        <is>
          <t>Pass</t>
        </is>
      </c>
      <c r="H651" s="50" t="inlineStr">
        <is>
          <t>script không đọc satellite nào</t>
        </is>
      </c>
      <c r="I651"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51" s="48" t="inlineStr">
        <is>
          <t>041. OCB_GOLD_TCKH_HOLIDAY_BAOANH.xlsx [SCRIPT: HOLIDAY]</t>
        </is>
      </c>
    </row>
    <row r="652">
      <c r="A652" s="48" t="inlineStr">
        <is>
          <t>TCKH.HOLIDAY</t>
        </is>
      </c>
      <c r="B652" s="48" t="inlineStr">
        <is>
          <t>SILVER_CONSUMER</t>
        </is>
      </c>
      <c r="C652" s="48" t="inlineStr">
        <is>
          <t>2.5</t>
        </is>
      </c>
      <c r="D652" s="48" t="inlineStr">
        <is>
          <t>Nhom 2 - Logic</t>
        </is>
      </c>
      <c r="E652" s="48" t="inlineStr">
        <is>
          <t>Không lặp lại lỗi logic cũ đã được DA Data Vault fix</t>
        </is>
      </c>
      <c r="F652" s="49" t="inlineStr">
        <is>
          <t>PASS</t>
        </is>
      </c>
      <c r="G652" s="48" t="inlineStr">
        <is>
          <t>Pass</t>
        </is>
      </c>
      <c r="H652" s="50" t="inlineStr">
        <is>
          <t>không trùng lỗi nào trong Issue log của DA Data Vault</t>
        </is>
      </c>
      <c r="I652"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52" s="48" t="inlineStr">
        <is>
          <t>041. OCB_GOLD_TCKH_HOLIDAY_BAOANH.xlsx [SCRIPT: HOLIDAY]</t>
        </is>
      </c>
    </row>
    <row r="653">
      <c r="A653" s="48" t="inlineStr">
        <is>
          <t>TCKH.HOLIDAY</t>
        </is>
      </c>
      <c r="B653" s="48" t="inlineStr">
        <is>
          <t>SILVER_CONSUMER</t>
        </is>
      </c>
      <c r="C653" s="48" t="inlineStr">
        <is>
          <t>2.6</t>
        </is>
      </c>
      <c r="D653" s="48" t="inlineStr">
        <is>
          <t>Nhom 2 - Logic</t>
        </is>
      </c>
      <c r="E653" s="48" t="inlineStr">
        <is>
          <t>SCD Type 2 cho bảng DIM áp dụng đúng kỹ thuật đã thống nhất</t>
        </is>
      </c>
      <c r="F653" s="48" t="inlineStr">
        <is>
          <t>N-A</t>
        </is>
      </c>
      <c r="G653" s="48" t="inlineStr">
        <is>
          <t>Pass</t>
        </is>
      </c>
      <c r="H653" s="50" t="inlineStr">
        <is>
          <t>object không phải bảng DIM nên không áp dụng SCD Type 2</t>
        </is>
      </c>
      <c r="I653"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53" s="48" t="inlineStr">
        <is>
          <t>041. OCB_GOLD_TCKH_HOLIDAY_BAOANH.xlsx [SCRIPT: HOLIDAY]</t>
        </is>
      </c>
    </row>
    <row r="654">
      <c r="A654" s="48" t="inlineStr">
        <is>
          <t>TCKH.HOLIDAY</t>
        </is>
      </c>
      <c r="B654" s="48" t="inlineStr">
        <is>
          <t>SILVER_CONSUMER</t>
        </is>
      </c>
      <c r="C654" s="48" t="inlineStr">
        <is>
          <t>2.7</t>
        </is>
      </c>
      <c r="D654" s="48" t="inlineStr">
        <is>
          <t>Nhom 2 - Logic</t>
        </is>
      </c>
      <c r="E654" s="48" t="inlineStr">
        <is>
          <t>CASE WHEN cover đủ nhánh như job on-prem</t>
        </is>
      </c>
      <c r="F654" s="48" t="inlineStr">
        <is>
          <t>N-A</t>
        </is>
      </c>
      <c r="G654" s="48" t="inlineStr">
        <is>
          <t>Pass</t>
        </is>
      </c>
      <c r="H654" s="50" t="inlineStr">
        <is>
          <t>script không có CASE WHEN nào</t>
        </is>
      </c>
      <c r="I654" s="50" t="inlineStr">
        <is>
          <t>Mở job on-prem tương ứng (DataStage DSX hoặc SQL cũ), đối chiếu từng nhánh WHEN và cả nhánh ELSE. CASE không có ELSE sẽ trả NULL âm thầm — xác nhận đó là ý muốn hay thiếu nhánh.</t>
        </is>
      </c>
      <c r="J654" s="48" t="inlineStr">
        <is>
          <t>041. OCB_GOLD_TCKH_HOLIDAY_BAOANH.xlsx [SCRIPT: HOLIDAY]</t>
        </is>
      </c>
    </row>
    <row r="655">
      <c r="A655" s="48" t="inlineStr">
        <is>
          <t>TCKH.HOLIDAY</t>
        </is>
      </c>
      <c r="B655" s="48" t="inlineStr">
        <is>
          <t>SILVER_CONSUMER</t>
        </is>
      </c>
      <c r="C655" s="48" t="inlineStr">
        <is>
          <t>2.8</t>
        </is>
      </c>
      <c r="D655" s="48" t="inlineStr">
        <is>
          <t>Nhom 2 - Logic</t>
        </is>
      </c>
      <c r="E655" s="48" t="inlineStr">
        <is>
          <t>Cột SUM/COUNT được COALESCE/NVL hợp lý</t>
        </is>
      </c>
      <c r="F655" s="49" t="inlineStr">
        <is>
          <t>PASS</t>
        </is>
      </c>
      <c r="G655" s="48" t="inlineStr">
        <is>
          <t>Pass</t>
        </is>
      </c>
      <c r="H655" s="50" t="inlineStr">
        <is>
          <t>mọi SUM/COUNT đều đã coalesce (trực tiếp hoặc ở lớp ngoài)</t>
        </is>
      </c>
      <c r="I655"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55" s="48" t="inlineStr">
        <is>
          <t>041. OCB_GOLD_TCKH_HOLIDAY_BAOANH.xlsx [SCRIPT: HOLIDAY]</t>
        </is>
      </c>
    </row>
    <row r="656">
      <c r="A656" s="48" t="inlineStr">
        <is>
          <t>TCKH.HOLIDAY</t>
        </is>
      </c>
      <c r="B656" s="48" t="inlineStr">
        <is>
          <t>SILVER_CONSUMER</t>
        </is>
      </c>
      <c r="C656" s="48" t="inlineStr">
        <is>
          <t>2.9</t>
        </is>
      </c>
      <c r="D656" s="48" t="inlineStr">
        <is>
          <t>Nhom 2 - Logic</t>
        </is>
      </c>
      <c r="E656" s="48" t="inlineStr">
        <is>
          <t>Subquery / custom function / điều kiện LIKE đúng ý nghĩa nghiệp vụ</t>
        </is>
      </c>
      <c r="F656" s="48" t="inlineStr">
        <is>
          <t>N-A</t>
        </is>
      </c>
      <c r="G656" s="48" t="inlineStr">
        <is>
          <t>Pass</t>
        </is>
      </c>
      <c r="H656" s="50" t="inlineStr">
        <is>
          <t>script không có điều kiện LIKE hay scalar subquery nào</t>
        </is>
      </c>
      <c r="I656" s="50" t="inlineStr">
        <is>
          <t>Đọc lại từng điều kiện LIKE và từng subquery, đối chiếu ý nghĩa nghiệp vụ với on-prem — đúng cú pháp không đủ. Chú ý pattern LIKE có ký tự % ở đầu/cuối và phân biệt chữ hoa/thường.</t>
        </is>
      </c>
      <c r="J656" s="48" t="inlineStr">
        <is>
          <t>041. OCB_GOLD_TCKH_HOLIDAY_BAOANH.xlsx [SCRIPT: HOLIDAY]</t>
        </is>
      </c>
    </row>
    <row r="657">
      <c r="A657" s="48" t="inlineStr">
        <is>
          <t>TCKH.HOLIDAY</t>
        </is>
      </c>
      <c r="B657" s="48" t="inlineStr">
        <is>
          <t>SILVER_CONSUMER</t>
        </is>
      </c>
      <c r="C657" s="48" t="inlineStr">
        <is>
          <t>2.10</t>
        </is>
      </c>
      <c r="D657" s="48" t="inlineStr">
        <is>
          <t>Nhom 2 - Logic</t>
        </is>
      </c>
      <c r="E657" s="48" t="inlineStr">
        <is>
          <t>Aggregation kèm filter date range chính xác</t>
        </is>
      </c>
      <c r="F657" s="49" t="inlineStr">
        <is>
          <t>PASS</t>
        </is>
      </c>
      <c r="G657" s="48" t="inlineStr">
        <is>
          <t>Pass</t>
        </is>
      </c>
      <c r="H657" s="50" t="inlineStr">
        <is>
          <t>mọi khối tổng hợp đều có điều kiện theo kỳ dữ liệu</t>
        </is>
      </c>
      <c r="I657" s="50" t="inlineStr">
        <is>
          <t>Mỗi khối SUM/COUNT/AVG phải có điều kiện lọc theo kỳ dữ liệu (CDR_DT_ID, DATA_DATE, :DATADT…). Nếu điều kiện nằm ở CTE nguồn thì ghi rõ trong comment để người review không phải truy ngược.</t>
        </is>
      </c>
      <c r="J657" s="48" t="inlineStr">
        <is>
          <t>041. OCB_GOLD_TCKH_HOLIDAY_BAOANH.xlsx [SCRIPT: HOLIDAY]</t>
        </is>
      </c>
    </row>
    <row r="658">
      <c r="A658" s="48" t="inlineStr">
        <is>
          <t>TCKH.HOLIDAY</t>
        </is>
      </c>
      <c r="B658" s="48" t="inlineStr">
        <is>
          <t>SILVER_CONSUMER</t>
        </is>
      </c>
      <c r="C658" s="48" t="inlineStr">
        <is>
          <t>2.11</t>
        </is>
      </c>
      <c r="D658" s="48" t="inlineStr">
        <is>
          <t>Nhom 2 - Logic</t>
        </is>
      </c>
      <c r="E658" s="48" t="inlineStr">
        <is>
          <t>Join dùng key hợp lý, không lạm dụng UNION ALL + EXISTS/NOT EXISTS</t>
        </is>
      </c>
      <c r="F658" s="49" t="inlineStr">
        <is>
          <t>PASS</t>
        </is>
      </c>
      <c r="G658" s="48" t="inlineStr">
        <is>
          <t>Pass</t>
        </is>
      </c>
      <c r="H658" s="50" t="inlineStr">
        <is>
          <t>join đều theo điều kiện bằng, không lạm dụng UNION ALL + EXISTS</t>
        </is>
      </c>
      <c r="I658" s="50" t="inlineStr">
        <is>
          <t>Ưu tiên LEFT JOIN theo business key hoặc hashkey. Xem lại các chỗ dùng UNION ALL kết hợp EXISTS/NOT EXISTS — thường thay được bằng một LEFT JOIN. Join không có điều kiện bằng (=) dễ tạo tích Descartes.</t>
        </is>
      </c>
      <c r="J658" s="48" t="inlineStr">
        <is>
          <t>041. OCB_GOLD_TCKH_HOLIDAY_BAOANH.xlsx [SCRIPT: HOLIDAY]</t>
        </is>
      </c>
    </row>
    <row r="659">
      <c r="A659" s="48" t="inlineStr">
        <is>
          <t>TCKH.HOLIDAY</t>
        </is>
      </c>
      <c r="B659" s="48" t="inlineStr">
        <is>
          <t>SILVER_CONSUMER</t>
        </is>
      </c>
      <c r="C659" s="48" t="inlineStr">
        <is>
          <t>2.12</t>
        </is>
      </c>
      <c r="D659" s="48" t="inlineStr">
        <is>
          <t>Nhom 2 - Logic</t>
        </is>
      </c>
      <c r="E659" s="48" t="inlineStr">
        <is>
          <t>Build Gold từ CTE snapshot Silver, không build nhiều tầng chồng chéo</t>
        </is>
      </c>
      <c r="F659" s="49" t="inlineStr">
        <is>
          <t>PASS</t>
        </is>
      </c>
      <c r="G659" s="48" t="inlineStr">
        <is>
          <t>Pass</t>
        </is>
      </c>
      <c r="H659" s="50" t="inlineStr">
        <is>
          <t>mỗi bảng nguồn chỉ đọc trong 1 khối SELECT</t>
        </is>
      </c>
      <c r="I659"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59" s="48" t="inlineStr">
        <is>
          <t>041. OCB_GOLD_TCKH_HOLIDAY_BAOANH.xlsx [SCRIPT: HOLIDAY]</t>
        </is>
      </c>
    </row>
    <row r="660">
      <c r="A660" s="48" t="inlineStr">
        <is>
          <t>TCKH.HOLIDAY</t>
        </is>
      </c>
      <c r="B660" s="48" t="inlineStr">
        <is>
          <t>SILVER_CONSUMER</t>
        </is>
      </c>
      <c r="C660" s="48" t="inlineStr">
        <is>
          <t>3.1</t>
        </is>
      </c>
      <c r="D660" s="48" t="inlineStr">
        <is>
          <t>Nhom 3 - Optimization</t>
        </is>
      </c>
      <c r="E660" s="48" t="inlineStr">
        <is>
          <t>Không SELECT *</t>
        </is>
      </c>
      <c r="F660" s="49" t="inlineStr">
        <is>
          <t>PASS</t>
        </is>
      </c>
      <c r="G660" s="48" t="inlineStr">
        <is>
          <t>Pass</t>
        </is>
      </c>
      <c r="H660" s="50" t="inlineStr">
        <is>
          <t>không dùng SELECT * ở đâu</t>
        </is>
      </c>
      <c r="I660" s="50" t="inlineStr">
        <is>
          <t>Liệt kê tường minh các cột cần dùng, kể cả trong CTE trung gian. SELECT * làm tăng IO/memory và vỡ script khi bảng nguồn thêm cột.</t>
        </is>
      </c>
      <c r="J660" s="48" t="inlineStr">
        <is>
          <t>041. OCB_GOLD_TCKH_HOLIDAY_BAOANH.xlsx [SCRIPT: HOLIDAY]</t>
        </is>
      </c>
    </row>
    <row r="661">
      <c r="A661" s="48" t="inlineStr">
        <is>
          <t>TCKH.HOLIDAY</t>
        </is>
      </c>
      <c r="B661" s="48" t="inlineStr">
        <is>
          <t>SILVER_CONSUMER</t>
        </is>
      </c>
      <c r="C661" s="48" t="inlineStr">
        <is>
          <t>3.2</t>
        </is>
      </c>
      <c r="D661" s="48" t="inlineStr">
        <is>
          <t>Nhom 3 - Optimization</t>
        </is>
      </c>
      <c r="E661" s="48" t="inlineStr">
        <is>
          <t>CTE không bị scan lại nhiều lần</t>
        </is>
      </c>
      <c r="F661" s="49" t="inlineStr">
        <is>
          <t>PASS</t>
        </is>
      </c>
      <c r="G661" s="48" t="inlineStr">
        <is>
          <t>Pass</t>
        </is>
      </c>
      <c r="H661" s="50" t="inlineStr">
        <is>
          <t>không có CTE nào bị gọi lại</t>
        </is>
      </c>
      <c r="I661" s="50" t="inlineStr">
        <is>
          <t>Với CTE nặng (đọc nhiều bảng Silver) bị tham chiếu từ 2 chỗ trở lên: gom lại còn một lần dùng, hoặc vật chất hóa (CACHE / bảng tạm). CTE nhẹ chỉ chứa tham số thì bỏ qua được — tự tick Pass.</t>
        </is>
      </c>
      <c r="J661" s="48" t="inlineStr">
        <is>
          <t>041. OCB_GOLD_TCKH_HOLIDAY_BAOANH.xlsx [SCRIPT: HOLIDAY]</t>
        </is>
      </c>
    </row>
    <row r="662">
      <c r="A662" s="48" t="inlineStr">
        <is>
          <t>TCKH.HOLIDAY</t>
        </is>
      </c>
      <c r="B662" s="48" t="inlineStr">
        <is>
          <t>SILVER_CONSUMER</t>
        </is>
      </c>
      <c r="C662" s="48" t="inlineStr">
        <is>
          <t>3.3</t>
        </is>
      </c>
      <c r="D662" s="48" t="inlineStr">
        <is>
          <t>Nhom 3 - Optimization</t>
        </is>
      </c>
      <c r="E662" s="48" t="inlineStr">
        <is>
          <t>Filter trước khi join, tận dụng partition pruning</t>
        </is>
      </c>
      <c r="F662" s="49" t="inlineStr">
        <is>
          <t>PASS</t>
        </is>
      </c>
      <c r="G662" s="48" t="inlineStr">
        <is>
          <t>Pass</t>
        </is>
      </c>
      <c r="H662" s="50" t="inlineStr">
        <is>
          <t>các bảng join đều được filter trước</t>
        </is>
      </c>
      <c r="I662" s="50" t="inlineStr">
        <is>
          <t>Đưa điều kiện lọc (ngày dữ liệu, trạng thái) vào subquery của từng bảng TRƯỚC khi join, để tận dụng partition pruning. Bảng dim nhỏ không partition thì không cần — tự tick Pass.</t>
        </is>
      </c>
      <c r="J662" s="48" t="inlineStr">
        <is>
          <t>041. OCB_GOLD_TCKH_HOLIDAY_BAOANH.xlsx [SCRIPT: HOLIDAY]</t>
        </is>
      </c>
    </row>
    <row r="663">
      <c r="A663" s="48" t="inlineStr">
        <is>
          <t>TCKH.HOLIDAY</t>
        </is>
      </c>
      <c r="B663" s="48" t="inlineStr">
        <is>
          <t>SILVER_CONSUMER</t>
        </is>
      </c>
      <c r="C663" s="48" t="inlineStr">
        <is>
          <t>3.4</t>
        </is>
      </c>
      <c r="D663" s="48" t="inlineStr">
        <is>
          <t>Nhom 3 - Optimization</t>
        </is>
      </c>
      <c r="E663" s="48" t="inlineStr">
        <is>
          <t>Sử dụng CACHE cho query lặp lại trong cùng luồng</t>
        </is>
      </c>
      <c r="F663" s="48" t="inlineStr">
        <is>
          <t>N-A</t>
        </is>
      </c>
      <c r="G663" s="48" t="inlineStr">
        <is>
          <t>Pass</t>
        </is>
      </c>
      <c r="H663" s="50" t="inlineStr">
        <is>
          <t>không có kết quả nào được dùng lại nhiều lần nên chưa cần CACHE</t>
        </is>
      </c>
      <c r="I663" s="50" t="inlineStr">
        <is>
          <t>Nếu một kết quả nặng được dùng lại nhiều bước trong cùng luồng, thêm CACHE TABLE / CACHE SELECT. Kết quả nhỏ thì cache còn chậm hơn — tự tick Pass.</t>
        </is>
      </c>
      <c r="J663" s="48" t="inlineStr">
        <is>
          <t>041. OCB_GOLD_TCKH_HOLIDAY_BAOANH.xlsx [SCRIPT: HOLIDAY]</t>
        </is>
      </c>
    </row>
    <row r="664">
      <c r="A664" s="48" t="inlineStr">
        <is>
          <t>TCKH.HOLIDAY</t>
        </is>
      </c>
      <c r="B664" s="48" t="inlineStr">
        <is>
          <t>SILVER_CONSUMER</t>
        </is>
      </c>
      <c r="C664" s="48" t="inlineStr">
        <is>
          <t>3.5</t>
        </is>
      </c>
      <c r="D664" s="48" t="inlineStr">
        <is>
          <t>Nhom 3 - Optimization</t>
        </is>
      </c>
      <c r="E664" s="48" t="inlineStr">
        <is>
          <t>Ưu tiên MAX_BY + QUALIFY thay ROW_NUMBER() + WHERE rn = 1</t>
        </is>
      </c>
      <c r="F664" s="48" t="inlineStr">
        <is>
          <t>N-A</t>
        </is>
      </c>
      <c r="G664" s="48" t="inlineStr">
        <is>
          <t>Pass</t>
        </is>
      </c>
      <c r="H664" s="50" t="inlineStr">
        <is>
          <t>script không dùng ROW_NUMBER</t>
        </is>
      </c>
      <c r="I664"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64" s="48" t="inlineStr">
        <is>
          <t>041. OCB_GOLD_TCKH_HOLIDAY_BAOANH.xlsx [SCRIPT: HOLIDAY]</t>
        </is>
      </c>
    </row>
    <row r="665">
      <c r="A665" s="48" t="inlineStr">
        <is>
          <t>TCKH.HOLIDAY</t>
        </is>
      </c>
      <c r="B665" s="48" t="inlineStr">
        <is>
          <t>SILVER_CONSUMER</t>
        </is>
      </c>
      <c r="C665" s="48" t="inlineStr">
        <is>
          <t>3.6</t>
        </is>
      </c>
      <c r="D665" s="48" t="inlineStr">
        <is>
          <t>Nhom 3 - Optimization</t>
        </is>
      </c>
      <c r="E665" s="48" t="inlineStr">
        <is>
          <t>Không lạm dụng window function; có comment khi dùng</t>
        </is>
      </c>
      <c r="F665" s="48" t="inlineStr">
        <is>
          <t>N-A</t>
        </is>
      </c>
      <c r="G665" s="48" t="inlineStr">
        <is>
          <t>Pass</t>
        </is>
      </c>
      <c r="H665" s="50" t="inlineStr">
        <is>
          <t>script không dùng window function</t>
        </is>
      </c>
      <c r="I665" s="50" t="inlineStr">
        <is>
          <t>Mỗi window function cần một comment ngay trên khối CTE chứa nó, nói rõ vì sao không dùng được max_by/QUALIFY đơn giản hơn.</t>
        </is>
      </c>
      <c r="J665" s="48" t="inlineStr">
        <is>
          <t>041. OCB_GOLD_TCKH_HOLIDAY_BAOANH.xlsx [SCRIPT: HOLIDAY]</t>
        </is>
      </c>
    </row>
    <row r="666">
      <c r="A666" s="48" t="inlineStr">
        <is>
          <t>TCKH.HOLIDAY</t>
        </is>
      </c>
      <c r="B666" s="48" t="inlineStr">
        <is>
          <t>SILVER_CONSUMER</t>
        </is>
      </c>
      <c r="C666" s="48" t="inlineStr">
        <is>
          <t>X.1</t>
        </is>
      </c>
      <c r="D666" s="48" t="inlineStr">
        <is>
          <t>Nhom X - Bo sung Raffles</t>
        </is>
      </c>
      <c r="E666" s="48" t="inlineStr">
        <is>
          <t>[Bổ sung] Link phải rút về current trước khi join (chống fan-out)</t>
        </is>
      </c>
      <c r="F666" s="49" t="inlineStr">
        <is>
          <t>PASS</t>
        </is>
      </c>
      <c r="G666" s="48" t="inlineStr">
        <is>
          <t>Pass</t>
        </is>
      </c>
      <c r="H666" s="50" t="inlineStr">
        <is>
          <t>các bảng link_* đều được rút về current trước khi join</t>
        </is>
      </c>
      <c r="I666"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66" s="48" t="inlineStr">
        <is>
          <t>041. OCB_GOLD_TCKH_HOLIDAY_BAOANH.xlsx [SCRIPT: HOLIDAY]</t>
        </is>
      </c>
    </row>
    <row r="667">
      <c r="A667" s="48" t="inlineStr">
        <is>
          <t>TCKH.HOLIDAY</t>
        </is>
      </c>
      <c r="B667" s="48" t="inlineStr">
        <is>
          <t>SILVER_CONSUMER</t>
        </is>
      </c>
      <c r="C667" s="48" t="inlineStr">
        <is>
          <t>X.6</t>
        </is>
      </c>
      <c r="D667" s="48" t="inlineStr">
        <is>
          <t>Nhom X - Bo sung Raffles</t>
        </is>
      </c>
      <c r="E667" s="48" t="inlineStr">
        <is>
          <t>[Bổ sung] Satellite phải LEFT JOIN, không INNER JOIN</t>
        </is>
      </c>
      <c r="F667" s="48" t="inlineStr">
        <is>
          <t>N-A</t>
        </is>
      </c>
      <c r="G667" s="48" t="inlineStr">
        <is>
          <t>Pass</t>
        </is>
      </c>
      <c r="H667" s="50" t="inlineStr">
        <is>
          <t>không join satellite trực tiếp</t>
        </is>
      </c>
      <c r="I667" s="50" t="inlineStr">
        <is>
          <t>Technical Document III.4.2.2 nguyên tắc 1: làm giàu thuộc tính luôn dùng LEFT JOIN. INNER JOIN satellite sẽ loại mất bản ghi Hub đang còn hiệu lực nhưng chưa có dòng satellite.</t>
        </is>
      </c>
      <c r="J667" s="48" t="inlineStr">
        <is>
          <t>041. OCB_GOLD_TCKH_HOLIDAY_BAOANH.xlsx [SCRIPT: HOLIDAY]</t>
        </is>
      </c>
    </row>
    <row r="668">
      <c r="A668" s="48" t="inlineStr">
        <is>
          <t>TCKH.HOLIDAY</t>
        </is>
      </c>
      <c r="B668" s="48" t="inlineStr">
        <is>
          <t>SILVER_CONSUMER</t>
        </is>
      </c>
      <c r="C668" s="48" t="inlineStr">
        <is>
          <t>X.7</t>
        </is>
      </c>
      <c r="D668" s="48" t="inlineStr">
        <is>
          <t>Nhom X - Bo sung Raffles</t>
        </is>
      </c>
      <c r="E668" s="48" t="inlineStr">
        <is>
          <t>[Bổ sung] Không hard-code catalog, dùng biến môi trường</t>
        </is>
      </c>
      <c r="F668" s="49" t="inlineStr">
        <is>
          <t>PASS</t>
        </is>
      </c>
      <c r="G668" s="48" t="inlineStr">
        <is>
          <t>Pass</t>
        </is>
      </c>
      <c r="H668" s="50" t="inlineStr">
        <is>
          <t>dùng biến môi trường cho catalog</t>
        </is>
      </c>
      <c r="I668"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68" s="48" t="inlineStr">
        <is>
          <t>041. OCB_GOLD_TCKH_HOLIDAY_BAOANH.xlsx [SCRIPT: HOLIDAY]</t>
        </is>
      </c>
    </row>
    <row r="669">
      <c r="A669" s="48" t="inlineStr">
        <is>
          <t>TCKH.T24_CRB</t>
        </is>
      </c>
      <c r="B669" s="48" t="inlineStr">
        <is>
          <t>SILVER_CONSUMER</t>
        </is>
      </c>
      <c r="C669" s="48" t="inlineStr">
        <is>
          <t>1.1</t>
        </is>
      </c>
      <c r="D669" s="48" t="inlineStr">
        <is>
          <t>Nhom 1 - Mapping</t>
        </is>
      </c>
      <c r="E669" s="48" t="inlineStr">
        <is>
          <t>Đầy đủ mapping từ Silver/manual sang Gold</t>
        </is>
      </c>
      <c r="F669" s="49" t="inlineStr">
        <is>
          <t>PASS</t>
        </is>
      </c>
      <c r="G669" s="48" t="inlineStr">
        <is>
          <t>Pass</t>
        </is>
      </c>
      <c r="H669" s="50" t="inlineStr">
        <is>
          <t>workbook 043. OCB_GOLD_TCKH_T24_CRB_PHAT.xlsx: thiết kế 20 field, SQL có 20 cột</t>
        </is>
      </c>
      <c r="I669"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69" s="48" t="inlineStr">
        <is>
          <t>043. OCB_GOLD_TCKH_T24_CRB_PHAT.xlsx [Script: T24_CRB]</t>
        </is>
      </c>
    </row>
    <row r="670">
      <c r="A670" s="48" t="inlineStr">
        <is>
          <t>TCKH.T24_CRB</t>
        </is>
      </c>
      <c r="B670" s="48" t="inlineStr">
        <is>
          <t>SILVER_CONSUMER</t>
        </is>
      </c>
      <c r="C670" s="48" t="inlineStr">
        <is>
          <t>1.2</t>
        </is>
      </c>
      <c r="D670" s="48" t="inlineStr">
        <is>
          <t>Nhom 1 - Mapping</t>
        </is>
      </c>
      <c r="E670" s="48" t="inlineStr">
        <is>
          <t>Danh sách bảng/view Gold khớp tài liệu thiết kế đã duyệt</t>
        </is>
      </c>
      <c r="F670" s="49" t="inlineStr">
        <is>
          <t>PASS</t>
        </is>
      </c>
      <c r="G670" s="48" t="inlineStr">
        <is>
          <t>Pass</t>
        </is>
      </c>
      <c r="H670" s="50" t="inlineStr">
        <is>
          <t>T24_CRB có workbook thiết kế: 043. OCB_GOLD_TCKH_T24_CRB_PHAT.xlsx</t>
        </is>
      </c>
      <c r="I670" s="50" t="inlineStr">
        <is>
          <t>Đảm bảo object có workbook thiết kế tương ứng trong thư mục --mapping-dir. Muốn đối chiếu với danh sách đã duyệt thì chạy thêm tham số --gold-list "&lt;file danh sách Gold&gt;.xlsx".</t>
        </is>
      </c>
      <c r="J670" s="48" t="inlineStr">
        <is>
          <t>043. OCB_GOLD_TCKH_T24_CRB_PHAT.xlsx [Script: T24_CRB]</t>
        </is>
      </c>
    </row>
    <row r="671">
      <c r="A671" s="48" t="inlineStr">
        <is>
          <t>TCKH.T24_CRB</t>
        </is>
      </c>
      <c r="B671" s="48" t="inlineStr">
        <is>
          <t>SILVER_CONSUMER</t>
        </is>
      </c>
      <c r="C671" s="48" t="inlineStr">
        <is>
          <t>2.1</t>
        </is>
      </c>
      <c r="D671" s="48" t="inlineStr">
        <is>
          <t>Nhom 2 - Logic</t>
        </is>
      </c>
      <c r="E671" s="48" t="inlineStr">
        <is>
          <t>Chỉ lấy bản ghi active, loại bản ghi đã xóa (qua sts_hub)</t>
        </is>
      </c>
      <c r="F671" s="49" t="inlineStr">
        <is>
          <t>PASS</t>
        </is>
      </c>
      <c r="G671" s="48" t="inlineStr">
        <is>
          <t>Pass</t>
        </is>
      </c>
      <c r="H671" s="50" t="inlineStr">
        <is>
          <t>1 sts_hub_* đọc đúng format</t>
        </is>
      </c>
      <c r="I671"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71" s="48" t="inlineStr">
        <is>
          <t>043. OCB_GOLD_TCKH_T24_CRB_PHAT.xlsx [Script: T24_CRB]</t>
        </is>
      </c>
    </row>
    <row r="672">
      <c r="A672" s="48" t="inlineStr">
        <is>
          <t>TCKH.T24_CRB</t>
        </is>
      </c>
      <c r="B672" s="48" t="inlineStr">
        <is>
          <t>SILVER_CONSUMER</t>
        </is>
      </c>
      <c r="C672" s="48" t="inlineStr">
        <is>
          <t>2.2</t>
        </is>
      </c>
      <c r="D672" s="48" t="inlineStr">
        <is>
          <t>Nhom 2 - Logic</t>
        </is>
      </c>
      <c r="E672" s="48" t="inlineStr">
        <is>
          <t>Thống nhất MỘT pattern duy nhất xác định bản ghi active mới nhất</t>
        </is>
      </c>
      <c r="F672" s="49" t="inlineStr">
        <is>
          <t>PASS</t>
        </is>
      </c>
      <c r="G672" s="48" t="inlineStr">
        <is>
          <t>Pass</t>
        </is>
      </c>
      <c r="H672" s="50" t="inlineStr">
        <is>
          <t>file này dùng: ['MAX_BY']; toàn batch dùng: ['MAX_BY']</t>
        </is>
      </c>
      <c r="I672"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72" s="48" t="inlineStr">
        <is>
          <t>043. OCB_GOLD_TCKH_T24_CRB_PHAT.xlsx [Script: T24_CRB]</t>
        </is>
      </c>
    </row>
    <row r="673">
      <c r="A673" s="48" t="inlineStr">
        <is>
          <t>TCKH.T24_CRB</t>
        </is>
      </c>
      <c r="B673" s="48" t="inlineStr">
        <is>
          <t>SILVER_CONSUMER</t>
        </is>
      </c>
      <c r="C673" s="48" t="inlineStr">
        <is>
          <t>2.3</t>
        </is>
      </c>
      <c r="D673" s="48" t="inlineStr">
        <is>
          <t>Nhom 2 - Logic</t>
        </is>
      </c>
      <c r="E673" s="48" t="inlineStr">
        <is>
          <t>Điều kiện lọc trạng thái đặt SAU khi xác định bản ghi mới nhất</t>
        </is>
      </c>
      <c r="F673" s="49" t="inlineStr">
        <is>
          <t>PASS</t>
        </is>
      </c>
      <c r="G673" s="48" t="inlineStr">
        <is>
          <t>Pass</t>
        </is>
      </c>
      <c r="H673" s="50" t="inlineStr">
        <is>
          <t>không có điều kiện trạng thái nào lồng trong JOIN ON</t>
        </is>
      </c>
      <c r="I673"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73" s="48" t="inlineStr">
        <is>
          <t>043. OCB_GOLD_TCKH_T24_CRB_PHAT.xlsx [Script: T24_CRB]</t>
        </is>
      </c>
    </row>
    <row r="674">
      <c r="A674" s="48" t="inlineStr">
        <is>
          <t>TCKH.T24_CRB</t>
        </is>
      </c>
      <c r="B674" s="48" t="inlineStr">
        <is>
          <t>SILVER_CONSUMER</t>
        </is>
      </c>
      <c r="C674" s="48" t="inlineStr">
        <is>
          <t>2.4</t>
        </is>
      </c>
      <c r="D674" s="48" t="inlineStr">
        <is>
          <t>Nhom 2 - Logic</t>
        </is>
      </c>
      <c r="E674" s="48" t="inlineStr">
        <is>
          <t>source_event_date áp dụng đúng dạng theo loại bảng</t>
        </is>
      </c>
      <c r="F674" s="49" t="inlineStr">
        <is>
          <t>PASS</t>
        </is>
      </c>
      <c r="G674" s="48" t="inlineStr">
        <is>
          <t>Pass</t>
        </is>
      </c>
      <c r="H674" s="50" t="inlineStr">
        <is>
          <t>2 satellite đều đúng dạng điều kiện source_event_date</t>
        </is>
      </c>
      <c r="I674"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74" s="48" t="inlineStr">
        <is>
          <t>043. OCB_GOLD_TCKH_T24_CRB_PHAT.xlsx [Script: T24_CRB]</t>
        </is>
      </c>
    </row>
    <row r="675">
      <c r="A675" s="48" t="inlineStr">
        <is>
          <t>TCKH.T24_CRB</t>
        </is>
      </c>
      <c r="B675" s="48" t="inlineStr">
        <is>
          <t>SILVER_CONSUMER</t>
        </is>
      </c>
      <c r="C675" s="48" t="inlineStr">
        <is>
          <t>2.5</t>
        </is>
      </c>
      <c r="D675" s="48" t="inlineStr">
        <is>
          <t>Nhom 2 - Logic</t>
        </is>
      </c>
      <c r="E675" s="48" t="inlineStr">
        <is>
          <t>Không lặp lại lỗi logic cũ đã được DA Data Vault fix</t>
        </is>
      </c>
      <c r="F675" s="49" t="inlineStr">
        <is>
          <t>PASS</t>
        </is>
      </c>
      <c r="G675" s="48" t="inlineStr">
        <is>
          <t>Pass</t>
        </is>
      </c>
      <c r="H675" s="50" t="inlineStr">
        <is>
          <t>không trùng lỗi nào trong Issue log của DA Data Vault</t>
        </is>
      </c>
      <c r="I675"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75" s="48" t="inlineStr">
        <is>
          <t>043. OCB_GOLD_TCKH_T24_CRB_PHAT.xlsx [Script: T24_CRB]</t>
        </is>
      </c>
    </row>
    <row r="676">
      <c r="A676" s="48" t="inlineStr">
        <is>
          <t>TCKH.T24_CRB</t>
        </is>
      </c>
      <c r="B676" s="48" t="inlineStr">
        <is>
          <t>SILVER_CONSUMER</t>
        </is>
      </c>
      <c r="C676" s="48" t="inlineStr">
        <is>
          <t>2.6</t>
        </is>
      </c>
      <c r="D676" s="48" t="inlineStr">
        <is>
          <t>Nhom 2 - Logic</t>
        </is>
      </c>
      <c r="E676" s="48" t="inlineStr">
        <is>
          <t>SCD Type 2 cho bảng DIM áp dụng đúng kỹ thuật đã thống nhất</t>
        </is>
      </c>
      <c r="F676" s="48" t="inlineStr">
        <is>
          <t>N-A</t>
        </is>
      </c>
      <c r="G676" s="48" t="inlineStr">
        <is>
          <t>Pass</t>
        </is>
      </c>
      <c r="H676" s="50" t="inlineStr">
        <is>
          <t>object không phải bảng DIM nên không áp dụng SCD Type 2</t>
        </is>
      </c>
      <c r="I676"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76" s="48" t="inlineStr">
        <is>
          <t>043. OCB_GOLD_TCKH_T24_CRB_PHAT.xlsx [Script: T24_CRB]</t>
        </is>
      </c>
    </row>
    <row r="677">
      <c r="A677" s="48" t="inlineStr">
        <is>
          <t>TCKH.T24_CRB</t>
        </is>
      </c>
      <c r="B677" s="48" t="inlineStr">
        <is>
          <t>SILVER_CONSUMER</t>
        </is>
      </c>
      <c r="C677" s="48" t="inlineStr">
        <is>
          <t>2.7</t>
        </is>
      </c>
      <c r="D677" s="48" t="inlineStr">
        <is>
          <t>Nhom 2 - Logic</t>
        </is>
      </c>
      <c r="E677" s="48" t="inlineStr">
        <is>
          <t>CASE WHEN cover đủ nhánh như job on-prem</t>
        </is>
      </c>
      <c r="F677" s="48" t="inlineStr">
        <is>
          <t>N-A</t>
        </is>
      </c>
      <c r="G677" s="48" t="inlineStr">
        <is>
          <t>Pass</t>
        </is>
      </c>
      <c r="H677" s="50" t="inlineStr">
        <is>
          <t>script không có CASE WHEN nào</t>
        </is>
      </c>
      <c r="I677" s="50" t="inlineStr">
        <is>
          <t>Mở job on-prem tương ứng (DataStage DSX hoặc SQL cũ), đối chiếu từng nhánh WHEN và cả nhánh ELSE. CASE không có ELSE sẽ trả NULL âm thầm — xác nhận đó là ý muốn hay thiếu nhánh.</t>
        </is>
      </c>
      <c r="J677" s="48" t="inlineStr">
        <is>
          <t>043. OCB_GOLD_TCKH_T24_CRB_PHAT.xlsx [Script: T24_CRB]</t>
        </is>
      </c>
    </row>
    <row r="678">
      <c r="A678" s="48" t="inlineStr">
        <is>
          <t>TCKH.T24_CRB</t>
        </is>
      </c>
      <c r="B678" s="48" t="inlineStr">
        <is>
          <t>SILVER_CONSUMER</t>
        </is>
      </c>
      <c r="C678" s="48" t="inlineStr">
        <is>
          <t>2.8</t>
        </is>
      </c>
      <c r="D678" s="48" t="inlineStr">
        <is>
          <t>Nhom 2 - Logic</t>
        </is>
      </c>
      <c r="E678" s="48" t="inlineStr">
        <is>
          <t>Cột SUM/COUNT được COALESCE/NVL hợp lý</t>
        </is>
      </c>
      <c r="F678" s="49" t="inlineStr">
        <is>
          <t>PASS</t>
        </is>
      </c>
      <c r="G678" s="48" t="inlineStr">
        <is>
          <t>Pass</t>
        </is>
      </c>
      <c r="H678" s="50" t="inlineStr">
        <is>
          <t>mọi SUM/COUNT đều đã coalesce (trực tiếp hoặc ở lớp ngoài)</t>
        </is>
      </c>
      <c r="I678"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78" s="48" t="inlineStr">
        <is>
          <t>043. OCB_GOLD_TCKH_T24_CRB_PHAT.xlsx [Script: T24_CRB]</t>
        </is>
      </c>
    </row>
    <row r="679">
      <c r="A679" s="48" t="inlineStr">
        <is>
          <t>TCKH.T24_CRB</t>
        </is>
      </c>
      <c r="B679" s="48" t="inlineStr">
        <is>
          <t>SILVER_CONSUMER</t>
        </is>
      </c>
      <c r="C679" s="48" t="inlineStr">
        <is>
          <t>2.9</t>
        </is>
      </c>
      <c r="D679" s="48" t="inlineStr">
        <is>
          <t>Nhom 2 - Logic</t>
        </is>
      </c>
      <c r="E679" s="48" t="inlineStr">
        <is>
          <t>Subquery / custom function / điều kiện LIKE đúng ý nghĩa nghiệp vụ</t>
        </is>
      </c>
      <c r="F679" s="48" t="inlineStr">
        <is>
          <t>N-A</t>
        </is>
      </c>
      <c r="G679" s="48" t="inlineStr">
        <is>
          <t>Pass</t>
        </is>
      </c>
      <c r="H679" s="50" t="inlineStr">
        <is>
          <t>script không có điều kiện LIKE hay scalar subquery nào</t>
        </is>
      </c>
      <c r="I679" s="50" t="inlineStr">
        <is>
          <t>Đọc lại từng điều kiện LIKE và từng subquery, đối chiếu ý nghĩa nghiệp vụ với on-prem — đúng cú pháp không đủ. Chú ý pattern LIKE có ký tự % ở đầu/cuối và phân biệt chữ hoa/thường.</t>
        </is>
      </c>
      <c r="J679" s="48" t="inlineStr">
        <is>
          <t>043. OCB_GOLD_TCKH_T24_CRB_PHAT.xlsx [Script: T24_CRB]</t>
        </is>
      </c>
    </row>
    <row r="680">
      <c r="A680" s="48" t="inlineStr">
        <is>
          <t>TCKH.T24_CRB</t>
        </is>
      </c>
      <c r="B680" s="48" t="inlineStr">
        <is>
          <t>SILVER_CONSUMER</t>
        </is>
      </c>
      <c r="C680" s="48" t="inlineStr">
        <is>
          <t>2.10</t>
        </is>
      </c>
      <c r="D680" s="48" t="inlineStr">
        <is>
          <t>Nhom 2 - Logic</t>
        </is>
      </c>
      <c r="E680" s="48" t="inlineStr">
        <is>
          <t>Aggregation kèm filter date range chính xác</t>
        </is>
      </c>
      <c r="F680" s="49" t="inlineStr">
        <is>
          <t>PASS</t>
        </is>
      </c>
      <c r="G680" s="48" t="inlineStr">
        <is>
          <t>Pass</t>
        </is>
      </c>
      <c r="H680" s="50" t="inlineStr">
        <is>
          <t>mọi khối tổng hợp đều có điều kiện theo kỳ dữ liệu</t>
        </is>
      </c>
      <c r="I680" s="50" t="inlineStr">
        <is>
          <t>Mỗi khối SUM/COUNT/AVG phải có điều kiện lọc theo kỳ dữ liệu (CDR_DT_ID, DATA_DATE, :DATADT…). Nếu điều kiện nằm ở CTE nguồn thì ghi rõ trong comment để người review không phải truy ngược.</t>
        </is>
      </c>
      <c r="J680" s="48" t="inlineStr">
        <is>
          <t>043. OCB_GOLD_TCKH_T24_CRB_PHAT.xlsx [Script: T24_CRB]</t>
        </is>
      </c>
    </row>
    <row r="681">
      <c r="A681" s="48" t="inlineStr">
        <is>
          <t>TCKH.T24_CRB</t>
        </is>
      </c>
      <c r="B681" s="48" t="inlineStr">
        <is>
          <t>SILVER_CONSUMER</t>
        </is>
      </c>
      <c r="C681" s="48" t="inlineStr">
        <is>
          <t>2.11</t>
        </is>
      </c>
      <c r="D681" s="48" t="inlineStr">
        <is>
          <t>Nhom 2 - Logic</t>
        </is>
      </c>
      <c r="E681" s="48" t="inlineStr">
        <is>
          <t>Join dùng key hợp lý, không lạm dụng UNION ALL + EXISTS/NOT EXISTS</t>
        </is>
      </c>
      <c r="F681" s="49" t="inlineStr">
        <is>
          <t>PASS</t>
        </is>
      </c>
      <c r="G681" s="48" t="inlineStr">
        <is>
          <t>Pass</t>
        </is>
      </c>
      <c r="H681" s="50" t="inlineStr">
        <is>
          <t>join đều theo điều kiện bằng, không lạm dụng UNION ALL + EXISTS</t>
        </is>
      </c>
      <c r="I681" s="50" t="inlineStr">
        <is>
          <t>Ưu tiên LEFT JOIN theo business key hoặc hashkey. Xem lại các chỗ dùng UNION ALL kết hợp EXISTS/NOT EXISTS — thường thay được bằng một LEFT JOIN. Join không có điều kiện bằng (=) dễ tạo tích Descartes.</t>
        </is>
      </c>
      <c r="J681" s="48" t="inlineStr">
        <is>
          <t>043. OCB_GOLD_TCKH_T24_CRB_PHAT.xlsx [Script: T24_CRB]</t>
        </is>
      </c>
    </row>
    <row r="682">
      <c r="A682" s="48" t="inlineStr">
        <is>
          <t>TCKH.T24_CRB</t>
        </is>
      </c>
      <c r="B682" s="48" t="inlineStr">
        <is>
          <t>SILVER_CONSUMER</t>
        </is>
      </c>
      <c r="C682" s="48" t="inlineStr">
        <is>
          <t>2.12</t>
        </is>
      </c>
      <c r="D682" s="48" t="inlineStr">
        <is>
          <t>Nhom 2 - Logic</t>
        </is>
      </c>
      <c r="E682" s="48" t="inlineStr">
        <is>
          <t>Build Gold từ CTE snapshot Silver, không build nhiều tầng chồng chéo</t>
        </is>
      </c>
      <c r="F682" s="49" t="inlineStr">
        <is>
          <t>PASS</t>
        </is>
      </c>
      <c r="G682" s="48" t="inlineStr">
        <is>
          <t>Pass</t>
        </is>
      </c>
      <c r="H682" s="50" t="inlineStr">
        <is>
          <t>mỗi bảng nguồn chỉ đọc trong 1 khối SELECT</t>
        </is>
      </c>
      <c r="I682"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82" s="48" t="inlineStr">
        <is>
          <t>043. OCB_GOLD_TCKH_T24_CRB_PHAT.xlsx [Script: T24_CRB]</t>
        </is>
      </c>
    </row>
    <row r="683">
      <c r="A683" s="48" t="inlineStr">
        <is>
          <t>TCKH.T24_CRB</t>
        </is>
      </c>
      <c r="B683" s="48" t="inlineStr">
        <is>
          <t>SILVER_CONSUMER</t>
        </is>
      </c>
      <c r="C683" s="48" t="inlineStr">
        <is>
          <t>3.1</t>
        </is>
      </c>
      <c r="D683" s="48" t="inlineStr">
        <is>
          <t>Nhom 3 - Optimization</t>
        </is>
      </c>
      <c r="E683" s="48" t="inlineStr">
        <is>
          <t>Không SELECT *</t>
        </is>
      </c>
      <c r="F683" s="49" t="inlineStr">
        <is>
          <t>PASS</t>
        </is>
      </c>
      <c r="G683" s="48" t="inlineStr">
        <is>
          <t>Pass</t>
        </is>
      </c>
      <c r="H683" s="50" t="inlineStr">
        <is>
          <t>không dùng SELECT * ở đâu</t>
        </is>
      </c>
      <c r="I683" s="50" t="inlineStr">
        <is>
          <t>Liệt kê tường minh các cột cần dùng, kể cả trong CTE trung gian. SELECT * làm tăng IO/memory và vỡ script khi bảng nguồn thêm cột.</t>
        </is>
      </c>
      <c r="J683" s="48" t="inlineStr">
        <is>
          <t>043. OCB_GOLD_TCKH_T24_CRB_PHAT.xlsx [Script: T24_CRB]</t>
        </is>
      </c>
    </row>
    <row r="684">
      <c r="A684" s="48" t="inlineStr">
        <is>
          <t>TCKH.T24_CRB</t>
        </is>
      </c>
      <c r="B684" s="48" t="inlineStr">
        <is>
          <t>SILVER_CONSUMER</t>
        </is>
      </c>
      <c r="C684" s="48" t="inlineStr">
        <is>
          <t>3.2</t>
        </is>
      </c>
      <c r="D684" s="48" t="inlineStr">
        <is>
          <t>Nhom 3 - Optimization</t>
        </is>
      </c>
      <c r="E684" s="48" t="inlineStr">
        <is>
          <t>CTE không bị scan lại nhiều lần</t>
        </is>
      </c>
      <c r="F684" s="51" t="inlineStr">
        <is>
          <t>WARN</t>
        </is>
      </c>
      <c r="G684" s="48" t="inlineStr">
        <is>
          <t>WARN</t>
        </is>
      </c>
      <c r="H684" s="50" t="inlineStr">
        <is>
          <t>CTE bị tham chiếu lại nhiều lần: crb_sts_del x2</t>
        </is>
      </c>
      <c r="I684" s="50" t="inlineStr">
        <is>
          <t>Với CTE nặng (đọc nhiều bảng Silver) bị tham chiếu từ 2 chỗ trở lên: gom lại còn một lần dùng, hoặc vật chất hóa (CACHE / bảng tạm). CTE nhẹ chỉ chứa tham số thì bỏ qua được — tự tick Pass.</t>
        </is>
      </c>
      <c r="J684" s="48" t="inlineStr">
        <is>
          <t>043. OCB_GOLD_TCKH_T24_CRB_PHAT.xlsx [Script: T24_CRB]</t>
        </is>
      </c>
    </row>
    <row r="685">
      <c r="A685" s="48" t="inlineStr">
        <is>
          <t>TCKH.T24_CRB</t>
        </is>
      </c>
      <c r="B685" s="48" t="inlineStr">
        <is>
          <t>SILVER_CONSUMER</t>
        </is>
      </c>
      <c r="C685" s="48" t="inlineStr">
        <is>
          <t>3.3</t>
        </is>
      </c>
      <c r="D685" s="48" t="inlineStr">
        <is>
          <t>Nhom 3 - Optimization</t>
        </is>
      </c>
      <c r="E685" s="48" t="inlineStr">
        <is>
          <t>Filter trước khi join, tận dụng partition pruning</t>
        </is>
      </c>
      <c r="F685" s="51" t="inlineStr">
        <is>
          <t>WARN</t>
        </is>
      </c>
      <c r="G685" s="48" t="inlineStr">
        <is>
          <t>WARN</t>
        </is>
      </c>
      <c r="H685" s="50" t="inlineStr">
        <is>
          <t>2 bảng join trực tiếp mà không có filter riêng: hub_branch (hb), hub_customer (hc)</t>
        </is>
      </c>
      <c r="I685" s="50" t="inlineStr">
        <is>
          <t>Đưa điều kiện lọc (ngày dữ liệu, trạng thái) vào subquery của từng bảng TRƯỚC khi join, để tận dụng partition pruning. Bảng dim nhỏ không partition thì không cần — tự tick Pass.</t>
        </is>
      </c>
      <c r="J685" s="48" t="inlineStr">
        <is>
          <t>043. OCB_GOLD_TCKH_T24_CRB_PHAT.xlsx [Script: T24_CRB]</t>
        </is>
      </c>
    </row>
    <row r="686">
      <c r="A686" s="48" t="inlineStr">
        <is>
          <t>TCKH.T24_CRB</t>
        </is>
      </c>
      <c r="B686" s="48" t="inlineStr">
        <is>
          <t>SILVER_CONSUMER</t>
        </is>
      </c>
      <c r="C686" s="48" t="inlineStr">
        <is>
          <t>3.4</t>
        </is>
      </c>
      <c r="D686" s="48" t="inlineStr">
        <is>
          <t>Nhom 3 - Optimization</t>
        </is>
      </c>
      <c r="E686" s="48" t="inlineStr">
        <is>
          <t>Sử dụng CACHE cho query lặp lại trong cùng luồng</t>
        </is>
      </c>
      <c r="F686" s="51" t="inlineStr">
        <is>
          <t>WARN</t>
        </is>
      </c>
      <c r="G686" s="48" t="inlineStr">
        <is>
          <t>WARN</t>
        </is>
      </c>
      <c r="H686" s="50" t="inlineStr">
        <is>
          <t>1 CTE nặng dùng lại &gt;= 2 lần mà không có CACHE: crb_sts_del</t>
        </is>
      </c>
      <c r="I686" s="50" t="inlineStr">
        <is>
          <t>Nếu một kết quả nặng được dùng lại nhiều bước trong cùng luồng, thêm CACHE TABLE / CACHE SELECT. Kết quả nhỏ thì cache còn chậm hơn — tự tick Pass.</t>
        </is>
      </c>
      <c r="J686" s="48" t="inlineStr">
        <is>
          <t>043. OCB_GOLD_TCKH_T24_CRB_PHAT.xlsx [Script: T24_CRB]</t>
        </is>
      </c>
    </row>
    <row r="687">
      <c r="A687" s="48" t="inlineStr">
        <is>
          <t>TCKH.T24_CRB</t>
        </is>
      </c>
      <c r="B687" s="48" t="inlineStr">
        <is>
          <t>SILVER_CONSUMER</t>
        </is>
      </c>
      <c r="C687" s="48" t="inlineStr">
        <is>
          <t>3.5</t>
        </is>
      </c>
      <c r="D687" s="48" t="inlineStr">
        <is>
          <t>Nhom 3 - Optimization</t>
        </is>
      </c>
      <c r="E687" s="48" t="inlineStr">
        <is>
          <t>Ưu tiên MAX_BY + QUALIFY thay ROW_NUMBER() + WHERE rn = 1</t>
        </is>
      </c>
      <c r="F687" s="48" t="inlineStr">
        <is>
          <t>N-A</t>
        </is>
      </c>
      <c r="G687" s="48" t="inlineStr">
        <is>
          <t>Pass</t>
        </is>
      </c>
      <c r="H687" s="50" t="inlineStr">
        <is>
          <t>script không dùng ROW_NUMBER</t>
        </is>
      </c>
      <c r="I687"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87" s="48" t="inlineStr">
        <is>
          <t>043. OCB_GOLD_TCKH_T24_CRB_PHAT.xlsx [Script: T24_CRB]</t>
        </is>
      </c>
    </row>
    <row r="688">
      <c r="A688" s="48" t="inlineStr">
        <is>
          <t>TCKH.T24_CRB</t>
        </is>
      </c>
      <c r="B688" s="48" t="inlineStr">
        <is>
          <t>SILVER_CONSUMER</t>
        </is>
      </c>
      <c r="C688" s="48" t="inlineStr">
        <is>
          <t>3.6</t>
        </is>
      </c>
      <c r="D688" s="48" t="inlineStr">
        <is>
          <t>Nhom 3 - Optimization</t>
        </is>
      </c>
      <c r="E688" s="48" t="inlineStr">
        <is>
          <t>Không lạm dụng window function; có comment khi dùng</t>
        </is>
      </c>
      <c r="F688" s="48" t="inlineStr">
        <is>
          <t>N-A</t>
        </is>
      </c>
      <c r="G688" s="48" t="inlineStr">
        <is>
          <t>Pass</t>
        </is>
      </c>
      <c r="H688" s="50" t="inlineStr">
        <is>
          <t>script không dùng window function</t>
        </is>
      </c>
      <c r="I688" s="50" t="inlineStr">
        <is>
          <t>Mỗi window function cần một comment ngay trên khối CTE chứa nó, nói rõ vì sao không dùng được max_by/QUALIFY đơn giản hơn.</t>
        </is>
      </c>
      <c r="J688" s="48" t="inlineStr">
        <is>
          <t>043. OCB_GOLD_TCKH_T24_CRB_PHAT.xlsx [Script: T24_CRB]</t>
        </is>
      </c>
    </row>
    <row r="689">
      <c r="A689" s="48" t="inlineStr">
        <is>
          <t>TCKH.T24_CRB</t>
        </is>
      </c>
      <c r="B689" s="48" t="inlineStr">
        <is>
          <t>SILVER_CONSUMER</t>
        </is>
      </c>
      <c r="C689" s="48" t="inlineStr">
        <is>
          <t>X.1</t>
        </is>
      </c>
      <c r="D689" s="48" t="inlineStr">
        <is>
          <t>Nhom X - Bo sung Raffles</t>
        </is>
      </c>
      <c r="E689" s="48" t="inlineStr">
        <is>
          <t>[Bổ sung] Link phải rút về current trước khi join (chống fan-out)</t>
        </is>
      </c>
      <c r="F689" s="49" t="inlineStr">
        <is>
          <t>PASS</t>
        </is>
      </c>
      <c r="G689" s="48" t="inlineStr">
        <is>
          <t>Pass</t>
        </is>
      </c>
      <c r="H689" s="50" t="inlineStr">
        <is>
          <t>các bảng link_* đều được rút về current trước khi join</t>
        </is>
      </c>
      <c r="I689"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89" s="48" t="inlineStr">
        <is>
          <t>043. OCB_GOLD_TCKH_T24_CRB_PHAT.xlsx [Script: T24_CRB]</t>
        </is>
      </c>
    </row>
    <row r="690">
      <c r="A690" s="48" t="inlineStr">
        <is>
          <t>TCKH.T24_CRB</t>
        </is>
      </c>
      <c r="B690" s="48" t="inlineStr">
        <is>
          <t>SILVER_CONSUMER</t>
        </is>
      </c>
      <c r="C690" s="48" t="inlineStr">
        <is>
          <t>X.6</t>
        </is>
      </c>
      <c r="D690" s="48" t="inlineStr">
        <is>
          <t>Nhom X - Bo sung Raffles</t>
        </is>
      </c>
      <c r="E690" s="48" t="inlineStr">
        <is>
          <t>[Bổ sung] Satellite phải LEFT JOIN, không INNER JOIN</t>
        </is>
      </c>
      <c r="F690" s="49" t="inlineStr">
        <is>
          <t>PASS</t>
        </is>
      </c>
      <c r="G690" s="48" t="inlineStr">
        <is>
          <t>Pass</t>
        </is>
      </c>
      <c r="H690" s="50" t="inlineStr">
        <is>
          <t>các satellite đều LEFT JOIN</t>
        </is>
      </c>
      <c r="I690" s="50" t="inlineStr">
        <is>
          <t>Technical Document III.4.2.2 nguyên tắc 1: làm giàu thuộc tính luôn dùng LEFT JOIN. INNER JOIN satellite sẽ loại mất bản ghi Hub đang còn hiệu lực nhưng chưa có dòng satellite.</t>
        </is>
      </c>
      <c r="J690" s="48" t="inlineStr">
        <is>
          <t>043. OCB_GOLD_TCKH_T24_CRB_PHAT.xlsx [Script: T24_CRB]</t>
        </is>
      </c>
    </row>
    <row r="691">
      <c r="A691" s="48" t="inlineStr">
        <is>
          <t>TCKH.T24_CRB</t>
        </is>
      </c>
      <c r="B691" s="48" t="inlineStr">
        <is>
          <t>SILVER_CONSUMER</t>
        </is>
      </c>
      <c r="C691" s="48" t="inlineStr">
        <is>
          <t>X.7</t>
        </is>
      </c>
      <c r="D691" s="48" t="inlineStr">
        <is>
          <t>Nhom X - Bo sung Raffles</t>
        </is>
      </c>
      <c r="E691" s="48" t="inlineStr">
        <is>
          <t>[Bổ sung] Không hard-code catalog, dùng biến môi trường</t>
        </is>
      </c>
      <c r="F691" s="49" t="inlineStr">
        <is>
          <t>PASS</t>
        </is>
      </c>
      <c r="G691" s="48" t="inlineStr">
        <is>
          <t>Pass</t>
        </is>
      </c>
      <c r="H691" s="50" t="inlineStr">
        <is>
          <t>dùng biến môi trường cho catalog</t>
        </is>
      </c>
      <c r="I691"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91" s="48" t="inlineStr">
        <is>
          <t>043. OCB_GOLD_TCKH_T24_CRB_PHAT.xlsx [Script: T24_CRB]</t>
        </is>
      </c>
    </row>
    <row r="692">
      <c r="A692" s="48" t="inlineStr">
        <is>
          <t>TCKH.T24_CUSTOMER</t>
        </is>
      </c>
      <c r="B692" s="48" t="inlineStr">
        <is>
          <t>SILVER_CONSUMER</t>
        </is>
      </c>
      <c r="C692" s="48" t="inlineStr">
        <is>
          <t>1.1</t>
        </is>
      </c>
      <c r="D692" s="48" t="inlineStr">
        <is>
          <t>Nhom 1 - Mapping</t>
        </is>
      </c>
      <c r="E692" s="48" t="inlineStr">
        <is>
          <t>Đầy đủ mapping từ Silver/manual sang Gold</t>
        </is>
      </c>
      <c r="F692" s="49" t="inlineStr">
        <is>
          <t>PASS</t>
        </is>
      </c>
      <c r="G692" s="48" t="inlineStr">
        <is>
          <t>Pass</t>
        </is>
      </c>
      <c r="H692" s="50" t="inlineStr">
        <is>
          <t>workbook 071. OCB_GOLD_TCKH_OPEX_DTL_HOP.xlsx: thiết kế 42 field, SQL có 42 cột</t>
        </is>
      </c>
      <c r="I69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92" s="48" t="inlineStr">
        <is>
          <t>044. OCB_GOLD_TCKH_T24_CUSTOMER_PHAT.xlsx [Script: T24_CUSTOMER]</t>
        </is>
      </c>
    </row>
    <row r="693">
      <c r="A693" s="48" t="inlineStr">
        <is>
          <t>TCKH.T24_CUSTOMER</t>
        </is>
      </c>
      <c r="B693" s="48" t="inlineStr">
        <is>
          <t>SILVER_CONSUMER</t>
        </is>
      </c>
      <c r="C693" s="48" t="inlineStr">
        <is>
          <t>1.2</t>
        </is>
      </c>
      <c r="D693" s="48" t="inlineStr">
        <is>
          <t>Nhom 1 - Mapping</t>
        </is>
      </c>
      <c r="E693" s="48" t="inlineStr">
        <is>
          <t>Danh sách bảng/view Gold khớp tài liệu thiết kế đã duyệt</t>
        </is>
      </c>
      <c r="F693" s="49" t="inlineStr">
        <is>
          <t>PASS</t>
        </is>
      </c>
      <c r="G693" s="48" t="inlineStr">
        <is>
          <t>Pass</t>
        </is>
      </c>
      <c r="H693" s="50" t="inlineStr">
        <is>
          <t>T24_CUSTOMER có workbook thiết kế: 071. OCB_GOLD_TCKH_OPEX_DTL_HOP.xlsx</t>
        </is>
      </c>
      <c r="I693" s="50" t="inlineStr">
        <is>
          <t>Đảm bảo object có workbook thiết kế tương ứng trong thư mục --mapping-dir. Muốn đối chiếu với danh sách đã duyệt thì chạy thêm tham số --gold-list "&lt;file danh sách Gold&gt;.xlsx".</t>
        </is>
      </c>
      <c r="J693" s="48" t="inlineStr">
        <is>
          <t>044. OCB_GOLD_TCKH_T24_CUSTOMER_PHAT.xlsx [Script: T24_CUSTOMER]</t>
        </is>
      </c>
    </row>
    <row r="694">
      <c r="A694" s="48" t="inlineStr">
        <is>
          <t>TCKH.T24_CUSTOMER</t>
        </is>
      </c>
      <c r="B694" s="48" t="inlineStr">
        <is>
          <t>SILVER_CONSUMER</t>
        </is>
      </c>
      <c r="C694" s="48" t="inlineStr">
        <is>
          <t>2.1</t>
        </is>
      </c>
      <c r="D694" s="48" t="inlineStr">
        <is>
          <t>Nhom 2 - Logic</t>
        </is>
      </c>
      <c r="E694" s="48" t="inlineStr">
        <is>
          <t>Chỉ lấy bản ghi active, loại bản ghi đã xóa (qua sts_hub)</t>
        </is>
      </c>
      <c r="F694" s="49" t="inlineStr">
        <is>
          <t>PASS</t>
        </is>
      </c>
      <c r="G694" s="48" t="inlineStr">
        <is>
          <t>Pass</t>
        </is>
      </c>
      <c r="H694" s="50" t="inlineStr">
        <is>
          <t>1 sts_hub_* đọc đúng format</t>
        </is>
      </c>
      <c r="I69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94" s="48" t="inlineStr">
        <is>
          <t>044. OCB_GOLD_TCKH_T24_CUSTOMER_PHAT.xlsx [Script: T24_CUSTOMER]</t>
        </is>
      </c>
    </row>
    <row r="695">
      <c r="A695" s="48" t="inlineStr">
        <is>
          <t>TCKH.T24_CUSTOMER</t>
        </is>
      </c>
      <c r="B695" s="48" t="inlineStr">
        <is>
          <t>SILVER_CONSUMER</t>
        </is>
      </c>
      <c r="C695" s="48" t="inlineStr">
        <is>
          <t>2.2</t>
        </is>
      </c>
      <c r="D695" s="48" t="inlineStr">
        <is>
          <t>Nhom 2 - Logic</t>
        </is>
      </c>
      <c r="E695" s="48" t="inlineStr">
        <is>
          <t>Thống nhất MỘT pattern duy nhất xác định bản ghi active mới nhất</t>
        </is>
      </c>
      <c r="F695" s="49" t="inlineStr">
        <is>
          <t>PASS</t>
        </is>
      </c>
      <c r="G695" s="48" t="inlineStr">
        <is>
          <t>Pass</t>
        </is>
      </c>
      <c r="H695" s="50" t="inlineStr">
        <is>
          <t>file này dùng: ['MAX_BY']; toàn batch dùng: ['MAX_BY']</t>
        </is>
      </c>
      <c r="I69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95" s="48" t="inlineStr">
        <is>
          <t>044. OCB_GOLD_TCKH_T24_CUSTOMER_PHAT.xlsx [Script: T24_CUSTOMER]</t>
        </is>
      </c>
    </row>
    <row r="696">
      <c r="A696" s="48" t="inlineStr">
        <is>
          <t>TCKH.T24_CUSTOMER</t>
        </is>
      </c>
      <c r="B696" s="48" t="inlineStr">
        <is>
          <t>SILVER_CONSUMER</t>
        </is>
      </c>
      <c r="C696" s="48" t="inlineStr">
        <is>
          <t>2.3</t>
        </is>
      </c>
      <c r="D696" s="48" t="inlineStr">
        <is>
          <t>Nhom 2 - Logic</t>
        </is>
      </c>
      <c r="E696" s="48" t="inlineStr">
        <is>
          <t>Điều kiện lọc trạng thái đặt SAU khi xác định bản ghi mới nhất</t>
        </is>
      </c>
      <c r="F696" s="49" t="inlineStr">
        <is>
          <t>PASS</t>
        </is>
      </c>
      <c r="G696" s="48" t="inlineStr">
        <is>
          <t>Pass</t>
        </is>
      </c>
      <c r="H696" s="50" t="inlineStr">
        <is>
          <t>không có điều kiện trạng thái nào lồng trong JOIN ON</t>
        </is>
      </c>
      <c r="I69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96" s="48" t="inlineStr">
        <is>
          <t>044. OCB_GOLD_TCKH_T24_CUSTOMER_PHAT.xlsx [Script: T24_CUSTOMER]</t>
        </is>
      </c>
    </row>
    <row r="697">
      <c r="A697" s="48" t="inlineStr">
        <is>
          <t>TCKH.T24_CUSTOMER</t>
        </is>
      </c>
      <c r="B697" s="48" t="inlineStr">
        <is>
          <t>SILVER_CONSUMER</t>
        </is>
      </c>
      <c r="C697" s="48" t="inlineStr">
        <is>
          <t>2.4</t>
        </is>
      </c>
      <c r="D697" s="48" t="inlineStr">
        <is>
          <t>Nhom 2 - Logic</t>
        </is>
      </c>
      <c r="E697" s="48" t="inlineStr">
        <is>
          <t>source_event_date áp dụng đúng dạng theo loại bảng</t>
        </is>
      </c>
      <c r="F697" s="49" t="inlineStr">
        <is>
          <t>PASS</t>
        </is>
      </c>
      <c r="G697" s="48" t="inlineStr">
        <is>
          <t>Pass</t>
        </is>
      </c>
      <c r="H697" s="50" t="inlineStr">
        <is>
          <t>6 satellite đều đúng dạng điều kiện source_event_date</t>
        </is>
      </c>
      <c r="I69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97" s="48" t="inlineStr">
        <is>
          <t>044. OCB_GOLD_TCKH_T24_CUSTOMER_PHAT.xlsx [Script: T24_CUSTOMER]</t>
        </is>
      </c>
    </row>
    <row r="698">
      <c r="A698" s="48" t="inlineStr">
        <is>
          <t>TCKH.T24_CUSTOMER</t>
        </is>
      </c>
      <c r="B698" s="48" t="inlineStr">
        <is>
          <t>SILVER_CONSUMER</t>
        </is>
      </c>
      <c r="C698" s="48" t="inlineStr">
        <is>
          <t>2.5</t>
        </is>
      </c>
      <c r="D698" s="48" t="inlineStr">
        <is>
          <t>Nhom 2 - Logic</t>
        </is>
      </c>
      <c r="E698" s="48" t="inlineStr">
        <is>
          <t>Không lặp lại lỗi logic cũ đã được DA Data Vault fix</t>
        </is>
      </c>
      <c r="F698" s="49" t="inlineStr">
        <is>
          <t>PASS</t>
        </is>
      </c>
      <c r="G698" s="48" t="inlineStr">
        <is>
          <t>Pass</t>
        </is>
      </c>
      <c r="H698" s="50" t="inlineStr">
        <is>
          <t>không trùng lỗi nào trong Issue log của DA Data Vault</t>
        </is>
      </c>
      <c r="I69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98" s="48" t="inlineStr">
        <is>
          <t>044. OCB_GOLD_TCKH_T24_CUSTOMER_PHAT.xlsx [Script: T24_CUSTOMER]</t>
        </is>
      </c>
    </row>
    <row r="699">
      <c r="A699" s="48" t="inlineStr">
        <is>
          <t>TCKH.T24_CUSTOMER</t>
        </is>
      </c>
      <c r="B699" s="48" t="inlineStr">
        <is>
          <t>SILVER_CONSUMER</t>
        </is>
      </c>
      <c r="C699" s="48" t="inlineStr">
        <is>
          <t>2.6</t>
        </is>
      </c>
      <c r="D699" s="48" t="inlineStr">
        <is>
          <t>Nhom 2 - Logic</t>
        </is>
      </c>
      <c r="E699" s="48" t="inlineStr">
        <is>
          <t>SCD Type 2 cho bảng DIM áp dụng đúng kỹ thuật đã thống nhất</t>
        </is>
      </c>
      <c r="F699" s="48" t="inlineStr">
        <is>
          <t>N-A</t>
        </is>
      </c>
      <c r="G699" s="48" t="inlineStr">
        <is>
          <t>Pass</t>
        </is>
      </c>
      <c r="H699" s="50" t="inlineStr">
        <is>
          <t>object không phải bảng DIM nên không áp dụng SCD Type 2</t>
        </is>
      </c>
      <c r="I69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99" s="48" t="inlineStr">
        <is>
          <t>044. OCB_GOLD_TCKH_T24_CUSTOMER_PHAT.xlsx [Script: T24_CUSTOMER]</t>
        </is>
      </c>
    </row>
    <row r="700">
      <c r="A700" s="48" t="inlineStr">
        <is>
          <t>TCKH.T24_CUSTOMER</t>
        </is>
      </c>
      <c r="B700" s="48" t="inlineStr">
        <is>
          <t>SILVER_CONSUMER</t>
        </is>
      </c>
      <c r="C700" s="48" t="inlineStr">
        <is>
          <t>2.7</t>
        </is>
      </c>
      <c r="D700" s="48" t="inlineStr">
        <is>
          <t>Nhom 2 - Logic</t>
        </is>
      </c>
      <c r="E700" s="48" t="inlineStr">
        <is>
          <t>CASE WHEN cover đủ nhánh như job on-prem</t>
        </is>
      </c>
      <c r="F700" s="48" t="inlineStr">
        <is>
          <t>N-A</t>
        </is>
      </c>
      <c r="G700" s="48" t="inlineStr">
        <is>
          <t>Pass</t>
        </is>
      </c>
      <c r="H700" s="50" t="inlineStr">
        <is>
          <t>script không có CASE WHEN nào</t>
        </is>
      </c>
      <c r="I700" s="50" t="inlineStr">
        <is>
          <t>Mở job on-prem tương ứng (DataStage DSX hoặc SQL cũ), đối chiếu từng nhánh WHEN và cả nhánh ELSE. CASE không có ELSE sẽ trả NULL âm thầm — xác nhận đó là ý muốn hay thiếu nhánh.</t>
        </is>
      </c>
      <c r="J700" s="48" t="inlineStr">
        <is>
          <t>044. OCB_GOLD_TCKH_T24_CUSTOMER_PHAT.xlsx [Script: T24_CUSTOMER]</t>
        </is>
      </c>
    </row>
    <row r="701">
      <c r="A701" s="48" t="inlineStr">
        <is>
          <t>TCKH.T24_CUSTOMER</t>
        </is>
      </c>
      <c r="B701" s="48" t="inlineStr">
        <is>
          <t>SILVER_CONSUMER</t>
        </is>
      </c>
      <c r="C701" s="48" t="inlineStr">
        <is>
          <t>2.8</t>
        </is>
      </c>
      <c r="D701" s="48" t="inlineStr">
        <is>
          <t>Nhom 2 - Logic</t>
        </is>
      </c>
      <c r="E701" s="48" t="inlineStr">
        <is>
          <t>Cột SUM/COUNT được COALESCE/NVL hợp lý</t>
        </is>
      </c>
      <c r="F701" s="49" t="inlineStr">
        <is>
          <t>PASS</t>
        </is>
      </c>
      <c r="G701" s="48" t="inlineStr">
        <is>
          <t>Pass</t>
        </is>
      </c>
      <c r="H701" s="50" t="inlineStr">
        <is>
          <t>mọi SUM/COUNT đều đã coalesce (trực tiếp hoặc ở lớp ngoài)</t>
        </is>
      </c>
      <c r="I70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01" s="48" t="inlineStr">
        <is>
          <t>044. OCB_GOLD_TCKH_T24_CUSTOMER_PHAT.xlsx [Script: T24_CUSTOMER]</t>
        </is>
      </c>
    </row>
    <row r="702">
      <c r="A702" s="48" t="inlineStr">
        <is>
          <t>TCKH.T24_CUSTOMER</t>
        </is>
      </c>
      <c r="B702" s="48" t="inlineStr">
        <is>
          <t>SILVER_CONSUMER</t>
        </is>
      </c>
      <c r="C702" s="48" t="inlineStr">
        <is>
          <t>2.9</t>
        </is>
      </c>
      <c r="D702" s="48" t="inlineStr">
        <is>
          <t>Nhom 2 - Logic</t>
        </is>
      </c>
      <c r="E702" s="48" t="inlineStr">
        <is>
          <t>Subquery / custom function / điều kiện LIKE đúng ý nghĩa nghiệp vụ</t>
        </is>
      </c>
      <c r="F702" s="48" t="inlineStr">
        <is>
          <t>N-A</t>
        </is>
      </c>
      <c r="G702" s="48" t="inlineStr">
        <is>
          <t>Pass</t>
        </is>
      </c>
      <c r="H702" s="50" t="inlineStr">
        <is>
          <t>script không có điều kiện LIKE hay scalar subquery nào</t>
        </is>
      </c>
      <c r="I702" s="50" t="inlineStr">
        <is>
          <t>Đọc lại từng điều kiện LIKE và từng subquery, đối chiếu ý nghĩa nghiệp vụ với on-prem — đúng cú pháp không đủ. Chú ý pattern LIKE có ký tự % ở đầu/cuối và phân biệt chữ hoa/thường.</t>
        </is>
      </c>
      <c r="J702" s="48" t="inlineStr">
        <is>
          <t>044. OCB_GOLD_TCKH_T24_CUSTOMER_PHAT.xlsx [Script: T24_CUSTOMER]</t>
        </is>
      </c>
    </row>
    <row r="703">
      <c r="A703" s="48" t="inlineStr">
        <is>
          <t>TCKH.T24_CUSTOMER</t>
        </is>
      </c>
      <c r="B703" s="48" t="inlineStr">
        <is>
          <t>SILVER_CONSUMER</t>
        </is>
      </c>
      <c r="C703" s="48" t="inlineStr">
        <is>
          <t>2.10</t>
        </is>
      </c>
      <c r="D703" s="48" t="inlineStr">
        <is>
          <t>Nhom 2 - Logic</t>
        </is>
      </c>
      <c r="E703" s="48" t="inlineStr">
        <is>
          <t>Aggregation kèm filter date range chính xác</t>
        </is>
      </c>
      <c r="F703" s="49" t="inlineStr">
        <is>
          <t>PASS</t>
        </is>
      </c>
      <c r="G703" s="48" t="inlineStr">
        <is>
          <t>Pass</t>
        </is>
      </c>
      <c r="H703" s="50" t="inlineStr">
        <is>
          <t>mọi khối tổng hợp đều có điều kiện theo kỳ dữ liệu</t>
        </is>
      </c>
      <c r="I703" s="50" t="inlineStr">
        <is>
          <t>Mỗi khối SUM/COUNT/AVG phải có điều kiện lọc theo kỳ dữ liệu (CDR_DT_ID, DATA_DATE, :DATADT…). Nếu điều kiện nằm ở CTE nguồn thì ghi rõ trong comment để người review không phải truy ngược.</t>
        </is>
      </c>
      <c r="J703" s="48" t="inlineStr">
        <is>
          <t>044. OCB_GOLD_TCKH_T24_CUSTOMER_PHAT.xlsx [Script: T24_CUSTOMER]</t>
        </is>
      </c>
    </row>
    <row r="704">
      <c r="A704" s="48" t="inlineStr">
        <is>
          <t>TCKH.T24_CUSTOMER</t>
        </is>
      </c>
      <c r="B704" s="48" t="inlineStr">
        <is>
          <t>SILVER_CONSUMER</t>
        </is>
      </c>
      <c r="C704" s="48" t="inlineStr">
        <is>
          <t>2.11</t>
        </is>
      </c>
      <c r="D704" s="48" t="inlineStr">
        <is>
          <t>Nhom 2 - Logic</t>
        </is>
      </c>
      <c r="E704" s="48" t="inlineStr">
        <is>
          <t>Join dùng key hợp lý, không lạm dụng UNION ALL + EXISTS/NOT EXISTS</t>
        </is>
      </c>
      <c r="F704" s="49" t="inlineStr">
        <is>
          <t>PASS</t>
        </is>
      </c>
      <c r="G704" s="48" t="inlineStr">
        <is>
          <t>Pass</t>
        </is>
      </c>
      <c r="H704" s="50" t="inlineStr">
        <is>
          <t>join đều theo điều kiện bằng, không lạm dụng UNION ALL + EXISTS</t>
        </is>
      </c>
      <c r="I704" s="50" t="inlineStr">
        <is>
          <t>Ưu tiên LEFT JOIN theo business key hoặc hashkey. Xem lại các chỗ dùng UNION ALL kết hợp EXISTS/NOT EXISTS — thường thay được bằng một LEFT JOIN. Join không có điều kiện bằng (=) dễ tạo tích Descartes.</t>
        </is>
      </c>
      <c r="J704" s="48" t="inlineStr">
        <is>
          <t>044. OCB_GOLD_TCKH_T24_CUSTOMER_PHAT.xlsx [Script: T24_CUSTOMER]</t>
        </is>
      </c>
    </row>
    <row r="705">
      <c r="A705" s="48" t="inlineStr">
        <is>
          <t>TCKH.T24_CUSTOMER</t>
        </is>
      </c>
      <c r="B705" s="48" t="inlineStr">
        <is>
          <t>SILVER_CONSUMER</t>
        </is>
      </c>
      <c r="C705" s="48" t="inlineStr">
        <is>
          <t>2.12</t>
        </is>
      </c>
      <c r="D705" s="48" t="inlineStr">
        <is>
          <t>Nhom 2 - Logic</t>
        </is>
      </c>
      <c r="E705" s="48" t="inlineStr">
        <is>
          <t>Build Gold từ CTE snapshot Silver, không build nhiều tầng chồng chéo</t>
        </is>
      </c>
      <c r="F705" s="49" t="inlineStr">
        <is>
          <t>PASS</t>
        </is>
      </c>
      <c r="G705" s="48" t="inlineStr">
        <is>
          <t>Pass</t>
        </is>
      </c>
      <c r="H705" s="50" t="inlineStr">
        <is>
          <t>mỗi bảng nguồn chỉ đọc trong 1 khối SELECT</t>
        </is>
      </c>
      <c r="I70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05" s="48" t="inlineStr">
        <is>
          <t>044. OCB_GOLD_TCKH_T24_CUSTOMER_PHAT.xlsx [Script: T24_CUSTOMER]</t>
        </is>
      </c>
    </row>
    <row r="706">
      <c r="A706" s="48" t="inlineStr">
        <is>
          <t>TCKH.T24_CUSTOMER</t>
        </is>
      </c>
      <c r="B706" s="48" t="inlineStr">
        <is>
          <t>SILVER_CONSUMER</t>
        </is>
      </c>
      <c r="C706" s="48" t="inlineStr">
        <is>
          <t>3.1</t>
        </is>
      </c>
      <c r="D706" s="48" t="inlineStr">
        <is>
          <t>Nhom 3 - Optimization</t>
        </is>
      </c>
      <c r="E706" s="48" t="inlineStr">
        <is>
          <t>Không SELECT *</t>
        </is>
      </c>
      <c r="F706" s="49" t="inlineStr">
        <is>
          <t>PASS</t>
        </is>
      </c>
      <c r="G706" s="48" t="inlineStr">
        <is>
          <t>Pass</t>
        </is>
      </c>
      <c r="H706" s="50" t="inlineStr">
        <is>
          <t>không dùng SELECT * ở đâu</t>
        </is>
      </c>
      <c r="I706" s="50" t="inlineStr">
        <is>
          <t>Liệt kê tường minh các cột cần dùng, kể cả trong CTE trung gian. SELECT * làm tăng IO/memory và vỡ script khi bảng nguồn thêm cột.</t>
        </is>
      </c>
      <c r="J706" s="48" t="inlineStr">
        <is>
          <t>044. OCB_GOLD_TCKH_T24_CUSTOMER_PHAT.xlsx [Script: T24_CUSTOMER]</t>
        </is>
      </c>
    </row>
    <row r="707">
      <c r="A707" s="48" t="inlineStr">
        <is>
          <t>TCKH.T24_CUSTOMER</t>
        </is>
      </c>
      <c r="B707" s="48" t="inlineStr">
        <is>
          <t>SILVER_CONSUMER</t>
        </is>
      </c>
      <c r="C707" s="48" t="inlineStr">
        <is>
          <t>3.2</t>
        </is>
      </c>
      <c r="D707" s="48" t="inlineStr">
        <is>
          <t>Nhom 3 - Optimization</t>
        </is>
      </c>
      <c r="E707" s="48" t="inlineStr">
        <is>
          <t>CTE không bị scan lại nhiều lần</t>
        </is>
      </c>
      <c r="F707" s="51" t="inlineStr">
        <is>
          <t>WARN</t>
        </is>
      </c>
      <c r="G707" s="48" t="inlineStr">
        <is>
          <t>WARN</t>
        </is>
      </c>
      <c r="H707" s="50" t="inlineStr">
        <is>
          <t>CTE bị tham chiếu lại nhiều lần: cust_sts_del x2</t>
        </is>
      </c>
      <c r="I707" s="50" t="inlineStr">
        <is>
          <t>Với CTE nặng (đọc nhiều bảng Silver) bị tham chiếu từ 2 chỗ trở lên: gom lại còn một lần dùng, hoặc vật chất hóa (CACHE / bảng tạm). CTE nhẹ chỉ chứa tham số thì bỏ qua được — tự tick Pass.</t>
        </is>
      </c>
      <c r="J707" s="48" t="inlineStr">
        <is>
          <t>044. OCB_GOLD_TCKH_T24_CUSTOMER_PHAT.xlsx [Script: T24_CUSTOMER]</t>
        </is>
      </c>
    </row>
    <row r="708">
      <c r="A708" s="48" t="inlineStr">
        <is>
          <t>TCKH.T24_CUSTOMER</t>
        </is>
      </c>
      <c r="B708" s="48" t="inlineStr">
        <is>
          <t>SILVER_CONSUMER</t>
        </is>
      </c>
      <c r="C708" s="48" t="inlineStr">
        <is>
          <t>3.3</t>
        </is>
      </c>
      <c r="D708" s="48" t="inlineStr">
        <is>
          <t>Nhom 3 - Optimization</t>
        </is>
      </c>
      <c r="E708" s="48" t="inlineStr">
        <is>
          <t>Filter trước khi join, tận dụng partition pruning</t>
        </is>
      </c>
      <c r="F708" s="51" t="inlineStr">
        <is>
          <t>WARN</t>
        </is>
      </c>
      <c r="G708" s="48" t="inlineStr">
        <is>
          <t>WARN</t>
        </is>
      </c>
      <c r="H708" s="50" t="inlineStr">
        <is>
          <t>7 bảng join trực tiếp mà không có filter riêng: hub_acct_officer (ha), hub_branch (hb), sat_customer_classification (scl), sat_customer_contact (sc), sat_customer_financial_statement (sf), sat_customer_information (si), sat_customer_kyc (sk)</t>
        </is>
      </c>
      <c r="I708" s="50" t="inlineStr">
        <is>
          <t>Đưa điều kiện lọc (ngày dữ liệu, trạng thái) vào subquery của từng bảng TRƯỚC khi join, để tận dụng partition pruning. Bảng dim nhỏ không partition thì không cần — tự tick Pass.</t>
        </is>
      </c>
      <c r="J708" s="48" t="inlineStr">
        <is>
          <t>044. OCB_GOLD_TCKH_T24_CUSTOMER_PHAT.xlsx [Script: T24_CUSTOMER]</t>
        </is>
      </c>
    </row>
    <row r="709">
      <c r="A709" s="48" t="inlineStr">
        <is>
          <t>TCKH.T24_CUSTOMER</t>
        </is>
      </c>
      <c r="B709" s="48" t="inlineStr">
        <is>
          <t>SILVER_CONSUMER</t>
        </is>
      </c>
      <c r="C709" s="48" t="inlineStr">
        <is>
          <t>3.4</t>
        </is>
      </c>
      <c r="D709" s="48" t="inlineStr">
        <is>
          <t>Nhom 3 - Optimization</t>
        </is>
      </c>
      <c r="E709" s="48" t="inlineStr">
        <is>
          <t>Sử dụng CACHE cho query lặp lại trong cùng luồng</t>
        </is>
      </c>
      <c r="F709" s="51" t="inlineStr">
        <is>
          <t>WARN</t>
        </is>
      </c>
      <c r="G709" s="48" t="inlineStr">
        <is>
          <t>WARN</t>
        </is>
      </c>
      <c r="H709" s="50" t="inlineStr">
        <is>
          <t>1 CTE nặng dùng lại &gt;= 2 lần mà không có CACHE: cust_sts_del</t>
        </is>
      </c>
      <c r="I709" s="50" t="inlineStr">
        <is>
          <t>Nếu một kết quả nặng được dùng lại nhiều bước trong cùng luồng, thêm CACHE TABLE / CACHE SELECT. Kết quả nhỏ thì cache còn chậm hơn — tự tick Pass.</t>
        </is>
      </c>
      <c r="J709" s="48" t="inlineStr">
        <is>
          <t>044. OCB_GOLD_TCKH_T24_CUSTOMER_PHAT.xlsx [Script: T24_CUSTOMER]</t>
        </is>
      </c>
    </row>
    <row r="710">
      <c r="A710" s="48" t="inlineStr">
        <is>
          <t>TCKH.T24_CUSTOMER</t>
        </is>
      </c>
      <c r="B710" s="48" t="inlineStr">
        <is>
          <t>SILVER_CONSUMER</t>
        </is>
      </c>
      <c r="C710" s="48" t="inlineStr">
        <is>
          <t>3.5</t>
        </is>
      </c>
      <c r="D710" s="48" t="inlineStr">
        <is>
          <t>Nhom 3 - Optimization</t>
        </is>
      </c>
      <c r="E710" s="48" t="inlineStr">
        <is>
          <t>Ưu tiên MAX_BY + QUALIFY thay ROW_NUMBER() + WHERE rn = 1</t>
        </is>
      </c>
      <c r="F710" s="48" t="inlineStr">
        <is>
          <t>N-A</t>
        </is>
      </c>
      <c r="G710" s="48" t="inlineStr">
        <is>
          <t>Pass</t>
        </is>
      </c>
      <c r="H710" s="50" t="inlineStr">
        <is>
          <t>script không dùng ROW_NUMBER</t>
        </is>
      </c>
      <c r="I71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10" s="48" t="inlineStr">
        <is>
          <t>044. OCB_GOLD_TCKH_T24_CUSTOMER_PHAT.xlsx [Script: T24_CUSTOMER]</t>
        </is>
      </c>
    </row>
    <row r="711">
      <c r="A711" s="48" t="inlineStr">
        <is>
          <t>TCKH.T24_CUSTOMER</t>
        </is>
      </c>
      <c r="B711" s="48" t="inlineStr">
        <is>
          <t>SILVER_CONSUMER</t>
        </is>
      </c>
      <c r="C711" s="48" t="inlineStr">
        <is>
          <t>3.6</t>
        </is>
      </c>
      <c r="D711" s="48" t="inlineStr">
        <is>
          <t>Nhom 3 - Optimization</t>
        </is>
      </c>
      <c r="E711" s="48" t="inlineStr">
        <is>
          <t>Không lạm dụng window function; có comment khi dùng</t>
        </is>
      </c>
      <c r="F711" s="48" t="inlineStr">
        <is>
          <t>N-A</t>
        </is>
      </c>
      <c r="G711" s="48" t="inlineStr">
        <is>
          <t>Pass</t>
        </is>
      </c>
      <c r="H711" s="50" t="inlineStr">
        <is>
          <t>script không dùng window function</t>
        </is>
      </c>
      <c r="I711" s="50" t="inlineStr">
        <is>
          <t>Mỗi window function cần một comment ngay trên khối CTE chứa nó, nói rõ vì sao không dùng được max_by/QUALIFY đơn giản hơn.</t>
        </is>
      </c>
      <c r="J711" s="48" t="inlineStr">
        <is>
          <t>044. OCB_GOLD_TCKH_T24_CUSTOMER_PHAT.xlsx [Script: T24_CUSTOMER]</t>
        </is>
      </c>
    </row>
    <row r="712">
      <c r="A712" s="48" t="inlineStr">
        <is>
          <t>TCKH.T24_CUSTOMER</t>
        </is>
      </c>
      <c r="B712" s="48" t="inlineStr">
        <is>
          <t>SILVER_CONSUMER</t>
        </is>
      </c>
      <c r="C712" s="48" t="inlineStr">
        <is>
          <t>X.1</t>
        </is>
      </c>
      <c r="D712" s="48" t="inlineStr">
        <is>
          <t>Nhom X - Bo sung Raffles</t>
        </is>
      </c>
      <c r="E712" s="48" t="inlineStr">
        <is>
          <t>[Bổ sung] Link phải rút về current trước khi join (chống fan-out)</t>
        </is>
      </c>
      <c r="F712" s="49" t="inlineStr">
        <is>
          <t>PASS</t>
        </is>
      </c>
      <c r="G712" s="48" t="inlineStr">
        <is>
          <t>Pass</t>
        </is>
      </c>
      <c r="H712" s="50" t="inlineStr">
        <is>
          <t>các bảng link_* đều được rút về current trước khi join</t>
        </is>
      </c>
      <c r="I71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12" s="48" t="inlineStr">
        <is>
          <t>044. OCB_GOLD_TCKH_T24_CUSTOMER_PHAT.xlsx [Script: T24_CUSTOMER]</t>
        </is>
      </c>
    </row>
    <row r="713">
      <c r="A713" s="48" t="inlineStr">
        <is>
          <t>TCKH.T24_CUSTOMER</t>
        </is>
      </c>
      <c r="B713" s="48" t="inlineStr">
        <is>
          <t>SILVER_CONSUMER</t>
        </is>
      </c>
      <c r="C713" s="48" t="inlineStr">
        <is>
          <t>X.6</t>
        </is>
      </c>
      <c r="D713" s="48" t="inlineStr">
        <is>
          <t>Nhom X - Bo sung Raffles</t>
        </is>
      </c>
      <c r="E713" s="48" t="inlineStr">
        <is>
          <t>[Bổ sung] Satellite phải LEFT JOIN, không INNER JOIN</t>
        </is>
      </c>
      <c r="F713" s="49" t="inlineStr">
        <is>
          <t>PASS</t>
        </is>
      </c>
      <c r="G713" s="48" t="inlineStr">
        <is>
          <t>Pass</t>
        </is>
      </c>
      <c r="H713" s="50" t="inlineStr">
        <is>
          <t>các satellite đều LEFT JOIN</t>
        </is>
      </c>
      <c r="I713" s="50" t="inlineStr">
        <is>
          <t>Technical Document III.4.2.2 nguyên tắc 1: làm giàu thuộc tính luôn dùng LEFT JOIN. INNER JOIN satellite sẽ loại mất bản ghi Hub đang còn hiệu lực nhưng chưa có dòng satellite.</t>
        </is>
      </c>
      <c r="J713" s="48" t="inlineStr">
        <is>
          <t>044. OCB_GOLD_TCKH_T24_CUSTOMER_PHAT.xlsx [Script: T24_CUSTOMER]</t>
        </is>
      </c>
    </row>
    <row r="714">
      <c r="A714" s="48" t="inlineStr">
        <is>
          <t>TCKH.T24_CUSTOMER</t>
        </is>
      </c>
      <c r="B714" s="48" t="inlineStr">
        <is>
          <t>SILVER_CONSUMER</t>
        </is>
      </c>
      <c r="C714" s="48" t="inlineStr">
        <is>
          <t>X.7</t>
        </is>
      </c>
      <c r="D714" s="48" t="inlineStr">
        <is>
          <t>Nhom X - Bo sung Raffles</t>
        </is>
      </c>
      <c r="E714" s="48" t="inlineStr">
        <is>
          <t>[Bổ sung] Không hard-code catalog, dùng biến môi trường</t>
        </is>
      </c>
      <c r="F714" s="49" t="inlineStr">
        <is>
          <t>PASS</t>
        </is>
      </c>
      <c r="G714" s="48" t="inlineStr">
        <is>
          <t>Pass</t>
        </is>
      </c>
      <c r="H714" s="50" t="inlineStr">
        <is>
          <t>dùng biến môi trường cho catalog</t>
        </is>
      </c>
      <c r="I71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14" s="48" t="inlineStr">
        <is>
          <t>044. OCB_GOLD_TCKH_T24_CUSTOMER_PHAT.xlsx [Script: T24_CUSTOMER]</t>
        </is>
      </c>
    </row>
    <row r="715">
      <c r="A715" s="48" t="inlineStr">
        <is>
          <t>TCKH.V_CDTK_DAILY_1</t>
        </is>
      </c>
      <c r="B715" s="48" t="inlineStr">
        <is>
          <t>GOLD_DERIVED</t>
        </is>
      </c>
      <c r="C715" s="48" t="inlineStr">
        <is>
          <t>1.1</t>
        </is>
      </c>
      <c r="D715" s="48" t="inlineStr">
        <is>
          <t>Nhom 1 - Mapping</t>
        </is>
      </c>
      <c r="E715" s="48" t="inlineStr">
        <is>
          <t>Đầy đủ mapping từ Silver/manual sang Gold</t>
        </is>
      </c>
      <c r="F715" s="49" t="inlineStr">
        <is>
          <t>PASS</t>
        </is>
      </c>
      <c r="G715" s="48" t="inlineStr">
        <is>
          <t>Pass</t>
        </is>
      </c>
      <c r="H715" s="50" t="inlineStr">
        <is>
          <t>workbook 048. OCB_GOLD_TCKH_V_CDTK_DAILY_1_QUANG.xlsx: thiết kế 16 field, SQL có 16 cột</t>
        </is>
      </c>
      <c r="I715"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15" s="48" t="inlineStr">
        <is>
          <t>048. OCB_GOLD_TCKH_V_CDTK_DAILY_1_QUANG.xlsx [Script SQL: V_CDTK_DAILY_1]</t>
        </is>
      </c>
    </row>
    <row r="716">
      <c r="A716" s="48" t="inlineStr">
        <is>
          <t>TCKH.V_CDTK_DAILY_1</t>
        </is>
      </c>
      <c r="B716" s="48" t="inlineStr">
        <is>
          <t>GOLD_DERIVED</t>
        </is>
      </c>
      <c r="C716" s="48" t="inlineStr">
        <is>
          <t>1.2</t>
        </is>
      </c>
      <c r="D716" s="48" t="inlineStr">
        <is>
          <t>Nhom 1 - Mapping</t>
        </is>
      </c>
      <c r="E716" s="48" t="inlineStr">
        <is>
          <t>Danh sách bảng/view Gold khớp tài liệu thiết kế đã duyệt</t>
        </is>
      </c>
      <c r="F716" s="49" t="inlineStr">
        <is>
          <t>PASS</t>
        </is>
      </c>
      <c r="G716" s="48" t="inlineStr">
        <is>
          <t>Pass</t>
        </is>
      </c>
      <c r="H716" s="50" t="inlineStr">
        <is>
          <t>V_CDTK_DAILY_1 có workbook thiết kế: 048. OCB_GOLD_TCKH_V_CDTK_DAILY_1_QUANG.xlsx</t>
        </is>
      </c>
      <c r="I716" s="50" t="inlineStr">
        <is>
          <t>Đảm bảo object có workbook thiết kế tương ứng trong thư mục --mapping-dir. Muốn đối chiếu với danh sách đã duyệt thì chạy thêm tham số --gold-list "&lt;file danh sách Gold&gt;.xlsx".</t>
        </is>
      </c>
      <c r="J716" s="48" t="inlineStr">
        <is>
          <t>048. OCB_GOLD_TCKH_V_CDTK_DAILY_1_QUANG.xlsx [Script SQL: V_CDTK_DAILY_1]</t>
        </is>
      </c>
    </row>
    <row r="717">
      <c r="A717" s="48" t="inlineStr">
        <is>
          <t>TCKH.V_CDTK_DAILY_1</t>
        </is>
      </c>
      <c r="B717" s="48" t="inlineStr">
        <is>
          <t>GOLD_DERIVED</t>
        </is>
      </c>
      <c r="C717" s="48" t="inlineStr">
        <is>
          <t>2.1</t>
        </is>
      </c>
      <c r="D717" s="48" t="inlineStr">
        <is>
          <t>Nhom 2 - Logic</t>
        </is>
      </c>
      <c r="E717" s="48" t="inlineStr">
        <is>
          <t>Chỉ lấy bản ghi active, loại bản ghi đã xóa (qua sts_hub)</t>
        </is>
      </c>
      <c r="F717" s="48" t="inlineStr">
        <is>
          <t>N-A</t>
        </is>
      </c>
      <c r="G717" s="48" t="inlineStr">
        <is>
          <t>Pass</t>
        </is>
      </c>
      <c r="H717" s="50" t="inlineStr">
        <is>
          <t>khong ap dung cho profile GOLD_DERIVED</t>
        </is>
      </c>
      <c r="I717"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17" s="48" t="inlineStr">
        <is>
          <t>048. OCB_GOLD_TCKH_V_CDTK_DAILY_1_QUANG.xlsx [Script SQL: V_CDTK_DAILY_1]</t>
        </is>
      </c>
    </row>
    <row r="718">
      <c r="A718" s="48" t="inlineStr">
        <is>
          <t>TCKH.V_CDTK_DAILY_1</t>
        </is>
      </c>
      <c r="B718" s="48" t="inlineStr">
        <is>
          <t>GOLD_DERIVED</t>
        </is>
      </c>
      <c r="C718" s="48" t="inlineStr">
        <is>
          <t>2.2</t>
        </is>
      </c>
      <c r="D718" s="48" t="inlineStr">
        <is>
          <t>Nhom 2 - Logic</t>
        </is>
      </c>
      <c r="E718" s="48" t="inlineStr">
        <is>
          <t>Thống nhất MỘT pattern duy nhất xác định bản ghi active mới nhất</t>
        </is>
      </c>
      <c r="F718" s="48" t="inlineStr">
        <is>
          <t>N-A</t>
        </is>
      </c>
      <c r="G718" s="48" t="inlineStr">
        <is>
          <t>Pass</t>
        </is>
      </c>
      <c r="H718" s="50" t="inlineStr">
        <is>
          <t>khong ap dung cho profile GOLD_DERIVED</t>
        </is>
      </c>
      <c r="I718"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18" s="48" t="inlineStr">
        <is>
          <t>048. OCB_GOLD_TCKH_V_CDTK_DAILY_1_QUANG.xlsx [Script SQL: V_CDTK_DAILY_1]</t>
        </is>
      </c>
    </row>
    <row r="719">
      <c r="A719" s="48" t="inlineStr">
        <is>
          <t>TCKH.V_CDTK_DAILY_1</t>
        </is>
      </c>
      <c r="B719" s="48" t="inlineStr">
        <is>
          <t>GOLD_DERIVED</t>
        </is>
      </c>
      <c r="C719" s="48" t="inlineStr">
        <is>
          <t>2.3</t>
        </is>
      </c>
      <c r="D719" s="48" t="inlineStr">
        <is>
          <t>Nhom 2 - Logic</t>
        </is>
      </c>
      <c r="E719" s="48" t="inlineStr">
        <is>
          <t>Điều kiện lọc trạng thái đặt SAU khi xác định bản ghi mới nhất</t>
        </is>
      </c>
      <c r="F719" s="49" t="inlineStr">
        <is>
          <t>PASS</t>
        </is>
      </c>
      <c r="G719" s="48" t="inlineStr">
        <is>
          <t>Pass</t>
        </is>
      </c>
      <c r="H719" s="50" t="inlineStr">
        <is>
          <t>không có điều kiện trạng thái nào lồng trong JOIN ON</t>
        </is>
      </c>
      <c r="I719"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19" s="48" t="inlineStr">
        <is>
          <t>048. OCB_GOLD_TCKH_V_CDTK_DAILY_1_QUANG.xlsx [Script SQL: V_CDTK_DAILY_1]</t>
        </is>
      </c>
    </row>
    <row r="720">
      <c r="A720" s="48" t="inlineStr">
        <is>
          <t>TCKH.V_CDTK_DAILY_1</t>
        </is>
      </c>
      <c r="B720" s="48" t="inlineStr">
        <is>
          <t>GOLD_DERIVED</t>
        </is>
      </c>
      <c r="C720" s="48" t="inlineStr">
        <is>
          <t>2.4</t>
        </is>
      </c>
      <c r="D720" s="48" t="inlineStr">
        <is>
          <t>Nhom 2 - Logic</t>
        </is>
      </c>
      <c r="E720" s="48" t="inlineStr">
        <is>
          <t>source_event_date áp dụng đúng dạng theo loại bảng</t>
        </is>
      </c>
      <c r="F720" s="48" t="inlineStr">
        <is>
          <t>N-A</t>
        </is>
      </c>
      <c r="G720" s="48" t="inlineStr">
        <is>
          <t>Pass</t>
        </is>
      </c>
      <c r="H720" s="50" t="inlineStr">
        <is>
          <t>khong ap dung cho profile GOLD_DERIVED</t>
        </is>
      </c>
      <c r="I720"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20" s="48" t="inlineStr">
        <is>
          <t>048. OCB_GOLD_TCKH_V_CDTK_DAILY_1_QUANG.xlsx [Script SQL: V_CDTK_DAILY_1]</t>
        </is>
      </c>
    </row>
    <row r="721">
      <c r="A721" s="48" t="inlineStr">
        <is>
          <t>TCKH.V_CDTK_DAILY_1</t>
        </is>
      </c>
      <c r="B721" s="48" t="inlineStr">
        <is>
          <t>GOLD_DERIVED</t>
        </is>
      </c>
      <c r="C721" s="48" t="inlineStr">
        <is>
          <t>2.5</t>
        </is>
      </c>
      <c r="D721" s="48" t="inlineStr">
        <is>
          <t>Nhom 2 - Logic</t>
        </is>
      </c>
      <c r="E721" s="48" t="inlineStr">
        <is>
          <t>Không lặp lại lỗi logic cũ đã được DA Data Vault fix</t>
        </is>
      </c>
      <c r="F721" s="49" t="inlineStr">
        <is>
          <t>PASS</t>
        </is>
      </c>
      <c r="G721" s="48" t="inlineStr">
        <is>
          <t>Pass</t>
        </is>
      </c>
      <c r="H721" s="50" t="inlineStr">
        <is>
          <t>không trùng lỗi nào trong Issue log của DA Data Vault</t>
        </is>
      </c>
      <c r="I721"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21" s="48" t="inlineStr">
        <is>
          <t>048. OCB_GOLD_TCKH_V_CDTK_DAILY_1_QUANG.xlsx [Script SQL: V_CDTK_DAILY_1]</t>
        </is>
      </c>
    </row>
    <row r="722">
      <c r="A722" s="48" t="inlineStr">
        <is>
          <t>TCKH.V_CDTK_DAILY_1</t>
        </is>
      </c>
      <c r="B722" s="48" t="inlineStr">
        <is>
          <t>GOLD_DERIVED</t>
        </is>
      </c>
      <c r="C722" s="48" t="inlineStr">
        <is>
          <t>2.6</t>
        </is>
      </c>
      <c r="D722" s="48" t="inlineStr">
        <is>
          <t>Nhom 2 - Logic</t>
        </is>
      </c>
      <c r="E722" s="48" t="inlineStr">
        <is>
          <t>SCD Type 2 cho bảng DIM áp dụng đúng kỹ thuật đã thống nhất</t>
        </is>
      </c>
      <c r="F722" s="48" t="inlineStr">
        <is>
          <t>N-A</t>
        </is>
      </c>
      <c r="G722" s="48" t="inlineStr">
        <is>
          <t>Pass</t>
        </is>
      </c>
      <c r="H722" s="50" t="inlineStr">
        <is>
          <t>object không phải bảng DIM nên không áp dụng SCD Type 2</t>
        </is>
      </c>
      <c r="I722"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22" s="48" t="inlineStr">
        <is>
          <t>048. OCB_GOLD_TCKH_V_CDTK_DAILY_1_QUANG.xlsx [Script SQL: V_CDTK_DAILY_1]</t>
        </is>
      </c>
    </row>
    <row r="723">
      <c r="A723" s="48" t="inlineStr">
        <is>
          <t>TCKH.V_CDTK_DAILY_1</t>
        </is>
      </c>
      <c r="B723" s="48" t="inlineStr">
        <is>
          <t>GOLD_DERIVED</t>
        </is>
      </c>
      <c r="C723" s="48" t="inlineStr">
        <is>
          <t>2.7</t>
        </is>
      </c>
      <c r="D723" s="48" t="inlineStr">
        <is>
          <t>Nhom 2 - Logic</t>
        </is>
      </c>
      <c r="E723" s="48" t="inlineStr">
        <is>
          <t>CASE WHEN cover đủ nhánh như job on-prem</t>
        </is>
      </c>
      <c r="F723" s="48" t="inlineStr">
        <is>
          <t>N-A</t>
        </is>
      </c>
      <c r="G723" s="48" t="inlineStr">
        <is>
          <t>Pass</t>
        </is>
      </c>
      <c r="H723" s="50" t="inlineStr">
        <is>
          <t>script không có CASE WHEN nào</t>
        </is>
      </c>
      <c r="I723" s="50" t="inlineStr">
        <is>
          <t>Mở job on-prem tương ứng (DataStage DSX hoặc SQL cũ), đối chiếu từng nhánh WHEN và cả nhánh ELSE. CASE không có ELSE sẽ trả NULL âm thầm — xác nhận đó là ý muốn hay thiếu nhánh.</t>
        </is>
      </c>
      <c r="J723" s="48" t="inlineStr">
        <is>
          <t>048. OCB_GOLD_TCKH_V_CDTK_DAILY_1_QUANG.xlsx [Script SQL: V_CDTK_DAILY_1]</t>
        </is>
      </c>
    </row>
    <row r="724">
      <c r="A724" s="48" t="inlineStr">
        <is>
          <t>TCKH.V_CDTK_DAILY_1</t>
        </is>
      </c>
      <c r="B724" s="48" t="inlineStr">
        <is>
          <t>GOLD_DERIVED</t>
        </is>
      </c>
      <c r="C724" s="48" t="inlineStr">
        <is>
          <t>2.8</t>
        </is>
      </c>
      <c r="D724" s="48" t="inlineStr">
        <is>
          <t>Nhom 2 - Logic</t>
        </is>
      </c>
      <c r="E724" s="48" t="inlineStr">
        <is>
          <t>Cột SUM/COUNT được COALESCE/NVL hợp lý</t>
        </is>
      </c>
      <c r="F724" s="49" t="inlineStr">
        <is>
          <t>PASS</t>
        </is>
      </c>
      <c r="G724" s="48" t="inlineStr">
        <is>
          <t>Pass</t>
        </is>
      </c>
      <c r="H724" s="50" t="inlineStr">
        <is>
          <t>mọi SUM/COUNT đều đã coalesce (trực tiếp hoặc ở lớp ngoài)</t>
        </is>
      </c>
      <c r="I724"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24" s="48" t="inlineStr">
        <is>
          <t>048. OCB_GOLD_TCKH_V_CDTK_DAILY_1_QUANG.xlsx [Script SQL: V_CDTK_DAILY_1]</t>
        </is>
      </c>
    </row>
    <row r="725">
      <c r="A725" s="48" t="inlineStr">
        <is>
          <t>TCKH.V_CDTK_DAILY_1</t>
        </is>
      </c>
      <c r="B725" s="48" t="inlineStr">
        <is>
          <t>GOLD_DERIVED</t>
        </is>
      </c>
      <c r="C725" s="48" t="inlineStr">
        <is>
          <t>2.9</t>
        </is>
      </c>
      <c r="D725" s="48" t="inlineStr">
        <is>
          <t>Nhom 2 - Logic</t>
        </is>
      </c>
      <c r="E725" s="48" t="inlineStr">
        <is>
          <t>Subquery / custom function / điều kiện LIKE đúng ý nghĩa nghiệp vụ</t>
        </is>
      </c>
      <c r="F725" s="48" t="inlineStr">
        <is>
          <t>N-A</t>
        </is>
      </c>
      <c r="G725" s="48" t="inlineStr">
        <is>
          <t>Pass</t>
        </is>
      </c>
      <c r="H725" s="50" t="inlineStr">
        <is>
          <t>script không có điều kiện LIKE hay scalar subquery nào</t>
        </is>
      </c>
      <c r="I725" s="50" t="inlineStr">
        <is>
          <t>Đọc lại từng điều kiện LIKE và từng subquery, đối chiếu ý nghĩa nghiệp vụ với on-prem — đúng cú pháp không đủ. Chú ý pattern LIKE có ký tự % ở đầu/cuối và phân biệt chữ hoa/thường.</t>
        </is>
      </c>
      <c r="J725" s="48" t="inlineStr">
        <is>
          <t>048. OCB_GOLD_TCKH_V_CDTK_DAILY_1_QUANG.xlsx [Script SQL: V_CDTK_DAILY_1]</t>
        </is>
      </c>
    </row>
    <row r="726">
      <c r="A726" s="48" t="inlineStr">
        <is>
          <t>TCKH.V_CDTK_DAILY_1</t>
        </is>
      </c>
      <c r="B726" s="48" t="inlineStr">
        <is>
          <t>GOLD_DERIVED</t>
        </is>
      </c>
      <c r="C726" s="48" t="inlineStr">
        <is>
          <t>2.10</t>
        </is>
      </c>
      <c r="D726" s="48" t="inlineStr">
        <is>
          <t>Nhom 2 - Logic</t>
        </is>
      </c>
      <c r="E726" s="48" t="inlineStr">
        <is>
          <t>Aggregation kèm filter date range chính xác</t>
        </is>
      </c>
      <c r="F726" s="49" t="inlineStr">
        <is>
          <t>PASS</t>
        </is>
      </c>
      <c r="G726" s="48" t="inlineStr">
        <is>
          <t>Pass</t>
        </is>
      </c>
      <c r="H726" s="50" t="inlineStr">
        <is>
          <t>mọi khối tổng hợp đều có điều kiện theo kỳ dữ liệu</t>
        </is>
      </c>
      <c r="I726" s="50" t="inlineStr">
        <is>
          <t>Mỗi khối SUM/COUNT/AVG phải có điều kiện lọc theo kỳ dữ liệu (CDR_DT_ID, DATA_DATE, :DATADT…). Nếu điều kiện nằm ở CTE nguồn thì ghi rõ trong comment để người review không phải truy ngược.</t>
        </is>
      </c>
      <c r="J726" s="48" t="inlineStr">
        <is>
          <t>048. OCB_GOLD_TCKH_V_CDTK_DAILY_1_QUANG.xlsx [Script SQL: V_CDTK_DAILY_1]</t>
        </is>
      </c>
    </row>
    <row r="727">
      <c r="A727" s="48" t="inlineStr">
        <is>
          <t>TCKH.V_CDTK_DAILY_1</t>
        </is>
      </c>
      <c r="B727" s="48" t="inlineStr">
        <is>
          <t>GOLD_DERIVED</t>
        </is>
      </c>
      <c r="C727" s="48" t="inlineStr">
        <is>
          <t>2.11</t>
        </is>
      </c>
      <c r="D727" s="48" t="inlineStr">
        <is>
          <t>Nhom 2 - Logic</t>
        </is>
      </c>
      <c r="E727" s="48" t="inlineStr">
        <is>
          <t>Join dùng key hợp lý, không lạm dụng UNION ALL + EXISTS/NOT EXISTS</t>
        </is>
      </c>
      <c r="F727" s="49" t="inlineStr">
        <is>
          <t>PASS</t>
        </is>
      </c>
      <c r="G727" s="48" t="inlineStr">
        <is>
          <t>Pass</t>
        </is>
      </c>
      <c r="H727" s="50" t="inlineStr">
        <is>
          <t>join đều theo điều kiện bằng, không lạm dụng UNION ALL + EXISTS</t>
        </is>
      </c>
      <c r="I727" s="50" t="inlineStr">
        <is>
          <t>Ưu tiên LEFT JOIN theo business key hoặc hashkey. Xem lại các chỗ dùng UNION ALL kết hợp EXISTS/NOT EXISTS — thường thay được bằng một LEFT JOIN. Join không có điều kiện bằng (=) dễ tạo tích Descartes.</t>
        </is>
      </c>
      <c r="J727" s="48" t="inlineStr">
        <is>
          <t>048. OCB_GOLD_TCKH_V_CDTK_DAILY_1_QUANG.xlsx [Script SQL: V_CDTK_DAILY_1]</t>
        </is>
      </c>
    </row>
    <row r="728">
      <c r="A728" s="48" t="inlineStr">
        <is>
          <t>TCKH.V_CDTK_DAILY_1</t>
        </is>
      </c>
      <c r="B728" s="48" t="inlineStr">
        <is>
          <t>GOLD_DERIVED</t>
        </is>
      </c>
      <c r="C728" s="48" t="inlineStr">
        <is>
          <t>2.12</t>
        </is>
      </c>
      <c r="D728" s="48" t="inlineStr">
        <is>
          <t>Nhom 2 - Logic</t>
        </is>
      </c>
      <c r="E728" s="48" t="inlineStr">
        <is>
          <t>Build Gold từ CTE snapshot Silver, không build nhiều tầng chồng chéo</t>
        </is>
      </c>
      <c r="F728" s="49" t="inlineStr">
        <is>
          <t>PASS</t>
        </is>
      </c>
      <c r="G728" s="48" t="inlineStr">
        <is>
          <t>Pass</t>
        </is>
      </c>
      <c r="H728" s="50" t="inlineStr">
        <is>
          <t>mỗi bảng nguồn chỉ đọc trong 1 khối SELECT</t>
        </is>
      </c>
      <c r="I728"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28" s="48" t="inlineStr">
        <is>
          <t>048. OCB_GOLD_TCKH_V_CDTK_DAILY_1_QUANG.xlsx [Script SQL: V_CDTK_DAILY_1]</t>
        </is>
      </c>
    </row>
    <row r="729">
      <c r="A729" s="48" t="inlineStr">
        <is>
          <t>TCKH.V_CDTK_DAILY_1</t>
        </is>
      </c>
      <c r="B729" s="48" t="inlineStr">
        <is>
          <t>GOLD_DERIVED</t>
        </is>
      </c>
      <c r="C729" s="48" t="inlineStr">
        <is>
          <t>3.1</t>
        </is>
      </c>
      <c r="D729" s="48" t="inlineStr">
        <is>
          <t>Nhom 3 - Optimization</t>
        </is>
      </c>
      <c r="E729" s="48" t="inlineStr">
        <is>
          <t>Không SELECT *</t>
        </is>
      </c>
      <c r="F729" s="49" t="inlineStr">
        <is>
          <t>PASS</t>
        </is>
      </c>
      <c r="G729" s="48" t="inlineStr">
        <is>
          <t>Pass</t>
        </is>
      </c>
      <c r="H729" s="50" t="inlineStr">
        <is>
          <t>không dùng SELECT * ở đâu</t>
        </is>
      </c>
      <c r="I729" s="50" t="inlineStr">
        <is>
          <t>Liệt kê tường minh các cột cần dùng, kể cả trong CTE trung gian. SELECT * làm tăng IO/memory và vỡ script khi bảng nguồn thêm cột.</t>
        </is>
      </c>
      <c r="J729" s="48" t="inlineStr">
        <is>
          <t>048. OCB_GOLD_TCKH_V_CDTK_DAILY_1_QUANG.xlsx [Script SQL: V_CDTK_DAILY_1]</t>
        </is>
      </c>
    </row>
    <row r="730">
      <c r="A730" s="48" t="inlineStr">
        <is>
          <t>TCKH.V_CDTK_DAILY_1</t>
        </is>
      </c>
      <c r="B730" s="48" t="inlineStr">
        <is>
          <t>GOLD_DERIVED</t>
        </is>
      </c>
      <c r="C730" s="48" t="inlineStr">
        <is>
          <t>3.2</t>
        </is>
      </c>
      <c r="D730" s="48" t="inlineStr">
        <is>
          <t>Nhom 3 - Optimization</t>
        </is>
      </c>
      <c r="E730" s="48" t="inlineStr">
        <is>
          <t>CTE không bị scan lại nhiều lần</t>
        </is>
      </c>
      <c r="F730" s="49" t="inlineStr">
        <is>
          <t>PASS</t>
        </is>
      </c>
      <c r="G730" s="48" t="inlineStr">
        <is>
          <t>Pass</t>
        </is>
      </c>
      <c r="H730" s="50" t="inlineStr">
        <is>
          <t>không có CTE nào bị gọi lại</t>
        </is>
      </c>
      <c r="I730" s="50" t="inlineStr">
        <is>
          <t>Với CTE nặng (đọc nhiều bảng Silver) bị tham chiếu từ 2 chỗ trở lên: gom lại còn một lần dùng, hoặc vật chất hóa (CACHE / bảng tạm). CTE nhẹ chỉ chứa tham số thì bỏ qua được — tự tick Pass.</t>
        </is>
      </c>
      <c r="J730" s="48" t="inlineStr">
        <is>
          <t>048. OCB_GOLD_TCKH_V_CDTK_DAILY_1_QUANG.xlsx [Script SQL: V_CDTK_DAILY_1]</t>
        </is>
      </c>
    </row>
    <row r="731">
      <c r="A731" s="48" t="inlineStr">
        <is>
          <t>TCKH.V_CDTK_DAILY_1</t>
        </is>
      </c>
      <c r="B731" s="48" t="inlineStr">
        <is>
          <t>GOLD_DERIVED</t>
        </is>
      </c>
      <c r="C731" s="48" t="inlineStr">
        <is>
          <t>3.3</t>
        </is>
      </c>
      <c r="D731" s="48" t="inlineStr">
        <is>
          <t>Nhom 3 - Optimization</t>
        </is>
      </c>
      <c r="E731" s="48" t="inlineStr">
        <is>
          <t>Filter trước khi join, tận dụng partition pruning</t>
        </is>
      </c>
      <c r="F731" s="49" t="inlineStr">
        <is>
          <t>PASS</t>
        </is>
      </c>
      <c r="G731" s="48" t="inlineStr">
        <is>
          <t>Pass</t>
        </is>
      </c>
      <c r="H731" s="50" t="inlineStr">
        <is>
          <t>các bảng join đều được filter trước</t>
        </is>
      </c>
      <c r="I731" s="50" t="inlineStr">
        <is>
          <t>Đưa điều kiện lọc (ngày dữ liệu, trạng thái) vào subquery của từng bảng TRƯỚC khi join, để tận dụng partition pruning. Bảng dim nhỏ không partition thì không cần — tự tick Pass.</t>
        </is>
      </c>
      <c r="J731" s="48" t="inlineStr">
        <is>
          <t>048. OCB_GOLD_TCKH_V_CDTK_DAILY_1_QUANG.xlsx [Script SQL: V_CDTK_DAILY_1]</t>
        </is>
      </c>
    </row>
    <row r="732">
      <c r="A732" s="48" t="inlineStr">
        <is>
          <t>TCKH.V_CDTK_DAILY_1</t>
        </is>
      </c>
      <c r="B732" s="48" t="inlineStr">
        <is>
          <t>GOLD_DERIVED</t>
        </is>
      </c>
      <c r="C732" s="48" t="inlineStr">
        <is>
          <t>3.4</t>
        </is>
      </c>
      <c r="D732" s="48" t="inlineStr">
        <is>
          <t>Nhom 3 - Optimization</t>
        </is>
      </c>
      <c r="E732" s="48" t="inlineStr">
        <is>
          <t>Sử dụng CACHE cho query lặp lại trong cùng luồng</t>
        </is>
      </c>
      <c r="F732" s="48" t="inlineStr">
        <is>
          <t>N-A</t>
        </is>
      </c>
      <c r="G732" s="48" t="inlineStr">
        <is>
          <t>Pass</t>
        </is>
      </c>
      <c r="H732" s="50" t="inlineStr">
        <is>
          <t>không có kết quả nào được dùng lại nhiều lần nên chưa cần CACHE</t>
        </is>
      </c>
      <c r="I732" s="50" t="inlineStr">
        <is>
          <t>Nếu một kết quả nặng được dùng lại nhiều bước trong cùng luồng, thêm CACHE TABLE / CACHE SELECT. Kết quả nhỏ thì cache còn chậm hơn — tự tick Pass.</t>
        </is>
      </c>
      <c r="J732" s="48" t="inlineStr">
        <is>
          <t>048. OCB_GOLD_TCKH_V_CDTK_DAILY_1_QUANG.xlsx [Script SQL: V_CDTK_DAILY_1]</t>
        </is>
      </c>
    </row>
    <row r="733">
      <c r="A733" s="48" t="inlineStr">
        <is>
          <t>TCKH.V_CDTK_DAILY_1</t>
        </is>
      </c>
      <c r="B733" s="48" t="inlineStr">
        <is>
          <t>GOLD_DERIVED</t>
        </is>
      </c>
      <c r="C733" s="48" t="inlineStr">
        <is>
          <t>3.5</t>
        </is>
      </c>
      <c r="D733" s="48" t="inlineStr">
        <is>
          <t>Nhom 3 - Optimization</t>
        </is>
      </c>
      <c r="E733" s="48" t="inlineStr">
        <is>
          <t>Ưu tiên MAX_BY + QUALIFY thay ROW_NUMBER() + WHERE rn = 1</t>
        </is>
      </c>
      <c r="F733" s="48" t="inlineStr">
        <is>
          <t>N-A</t>
        </is>
      </c>
      <c r="G733" s="48" t="inlineStr">
        <is>
          <t>Pass</t>
        </is>
      </c>
      <c r="H733" s="50" t="inlineStr">
        <is>
          <t>script không dùng ROW_NUMBER</t>
        </is>
      </c>
      <c r="I733"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33" s="48" t="inlineStr">
        <is>
          <t>048. OCB_GOLD_TCKH_V_CDTK_DAILY_1_QUANG.xlsx [Script SQL: V_CDTK_DAILY_1]</t>
        </is>
      </c>
    </row>
    <row r="734">
      <c r="A734" s="48" t="inlineStr">
        <is>
          <t>TCKH.V_CDTK_DAILY_1</t>
        </is>
      </c>
      <c r="B734" s="48" t="inlineStr">
        <is>
          <t>GOLD_DERIVED</t>
        </is>
      </c>
      <c r="C734" s="48" t="inlineStr">
        <is>
          <t>3.6</t>
        </is>
      </c>
      <c r="D734" s="48" t="inlineStr">
        <is>
          <t>Nhom 3 - Optimization</t>
        </is>
      </c>
      <c r="E734" s="48" t="inlineStr">
        <is>
          <t>Không lạm dụng window function; có comment khi dùng</t>
        </is>
      </c>
      <c r="F734" s="48" t="inlineStr">
        <is>
          <t>N-A</t>
        </is>
      </c>
      <c r="G734" s="48" t="inlineStr">
        <is>
          <t>Pass</t>
        </is>
      </c>
      <c r="H734" s="50" t="inlineStr">
        <is>
          <t>script không dùng window function</t>
        </is>
      </c>
      <c r="I734" s="50" t="inlineStr">
        <is>
          <t>Mỗi window function cần một comment ngay trên khối CTE chứa nó, nói rõ vì sao không dùng được max_by/QUALIFY đơn giản hơn.</t>
        </is>
      </c>
      <c r="J734" s="48" t="inlineStr">
        <is>
          <t>048. OCB_GOLD_TCKH_V_CDTK_DAILY_1_QUANG.xlsx [Script SQL: V_CDTK_DAILY_1]</t>
        </is>
      </c>
    </row>
    <row r="735">
      <c r="A735" s="48" t="inlineStr">
        <is>
          <t>TCKH.V_CDTK_DAILY_1</t>
        </is>
      </c>
      <c r="B735" s="48" t="inlineStr">
        <is>
          <t>GOLD_DERIVED</t>
        </is>
      </c>
      <c r="C735" s="48" t="inlineStr">
        <is>
          <t>X.1</t>
        </is>
      </c>
      <c r="D735" s="48" t="inlineStr">
        <is>
          <t>Nhom X - Bo sung Raffles</t>
        </is>
      </c>
      <c r="E735" s="48" t="inlineStr">
        <is>
          <t>[Bổ sung] Link phải rút về current trước khi join (chống fan-out)</t>
        </is>
      </c>
      <c r="F735" s="48" t="inlineStr">
        <is>
          <t>N-A</t>
        </is>
      </c>
      <c r="G735" s="48" t="inlineStr">
        <is>
          <t>Pass</t>
        </is>
      </c>
      <c r="H735" s="50" t="inlineStr">
        <is>
          <t>khong ap dung cho profile GOLD_DERIVED</t>
        </is>
      </c>
      <c r="I735"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35" s="48" t="inlineStr">
        <is>
          <t>048. OCB_GOLD_TCKH_V_CDTK_DAILY_1_QUANG.xlsx [Script SQL: V_CDTK_DAILY_1]</t>
        </is>
      </c>
    </row>
    <row r="736">
      <c r="A736" s="48" t="inlineStr">
        <is>
          <t>TCKH.V_CDTK_DAILY_1</t>
        </is>
      </c>
      <c r="B736" s="48" t="inlineStr">
        <is>
          <t>GOLD_DERIVED</t>
        </is>
      </c>
      <c r="C736" s="48" t="inlineStr">
        <is>
          <t>X.6</t>
        </is>
      </c>
      <c r="D736" s="48" t="inlineStr">
        <is>
          <t>Nhom X - Bo sung Raffles</t>
        </is>
      </c>
      <c r="E736" s="48" t="inlineStr">
        <is>
          <t>[Bổ sung] Satellite phải LEFT JOIN, không INNER JOIN</t>
        </is>
      </c>
      <c r="F736" s="48" t="inlineStr">
        <is>
          <t>N-A</t>
        </is>
      </c>
      <c r="G736" s="48" t="inlineStr">
        <is>
          <t>Pass</t>
        </is>
      </c>
      <c r="H736" s="50" t="inlineStr">
        <is>
          <t>khong ap dung cho profile GOLD_DERIVED</t>
        </is>
      </c>
      <c r="I736" s="50" t="inlineStr">
        <is>
          <t>Technical Document III.4.2.2 nguyên tắc 1: làm giàu thuộc tính luôn dùng LEFT JOIN. INNER JOIN satellite sẽ loại mất bản ghi Hub đang còn hiệu lực nhưng chưa có dòng satellite.</t>
        </is>
      </c>
      <c r="J736" s="48" t="inlineStr">
        <is>
          <t>048. OCB_GOLD_TCKH_V_CDTK_DAILY_1_QUANG.xlsx [Script SQL: V_CDTK_DAILY_1]</t>
        </is>
      </c>
    </row>
    <row r="737">
      <c r="A737" s="48" t="inlineStr">
        <is>
          <t>TCKH.V_CDTK_DAILY_1</t>
        </is>
      </c>
      <c r="B737" s="48" t="inlineStr">
        <is>
          <t>GOLD_DERIVED</t>
        </is>
      </c>
      <c r="C737" s="48" t="inlineStr">
        <is>
          <t>X.7</t>
        </is>
      </c>
      <c r="D737" s="48" t="inlineStr">
        <is>
          <t>Nhom X - Bo sung Raffles</t>
        </is>
      </c>
      <c r="E737" s="48" t="inlineStr">
        <is>
          <t>[Bổ sung] Không hard-code catalog, dùng biến môi trường</t>
        </is>
      </c>
      <c r="F737" s="49" t="inlineStr">
        <is>
          <t>PASS</t>
        </is>
      </c>
      <c r="G737" s="48" t="inlineStr">
        <is>
          <t>Pass</t>
        </is>
      </c>
      <c r="H737" s="50" t="inlineStr">
        <is>
          <t>dùng biến môi trường cho catalog</t>
        </is>
      </c>
      <c r="I737"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37" s="48" t="inlineStr">
        <is>
          <t>048. OCB_GOLD_TCKH_V_CDTK_DAILY_1_QUANG.xlsx [Script SQL: V_CDTK_DAILY_1]</t>
        </is>
      </c>
    </row>
    <row r="738">
      <c r="A738" s="48" t="inlineStr">
        <is>
          <t>TCKH.V_ENTRY_STMT_QUYMO</t>
        </is>
      </c>
      <c r="B738" s="48" t="inlineStr">
        <is>
          <t>GOLD_DERIVED</t>
        </is>
      </c>
      <c r="C738" s="48" t="inlineStr">
        <is>
          <t>1.1</t>
        </is>
      </c>
      <c r="D738" s="48" t="inlineStr">
        <is>
          <t>Nhom 1 - Mapping</t>
        </is>
      </c>
      <c r="E738" s="48" t="inlineStr">
        <is>
          <t>Đầy đủ mapping từ Silver/manual sang Gold</t>
        </is>
      </c>
      <c r="F738" s="49" t="inlineStr">
        <is>
          <t>PASS</t>
        </is>
      </c>
      <c r="G738" s="48" t="inlineStr">
        <is>
          <t>Pass</t>
        </is>
      </c>
      <c r="H738" s="50" t="inlineStr">
        <is>
          <t>workbook 050. OCB_GOLD_TCKH_V_ENTRY_STMT_QUYMO_QUANG.xlsx: thiết kế 5 field, SQL có 5 cột</t>
        </is>
      </c>
      <c r="I738"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38" s="48" t="inlineStr">
        <is>
          <t>050. OCB_GOLD_TCKH_V_ENTRY_STMT_QUYMO_QUANG.xlsx [Script SQL: V_ENTRY_STMT_QUYMO]</t>
        </is>
      </c>
    </row>
    <row r="739">
      <c r="A739" s="48" t="inlineStr">
        <is>
          <t>TCKH.V_ENTRY_STMT_QUYMO</t>
        </is>
      </c>
      <c r="B739" s="48" t="inlineStr">
        <is>
          <t>GOLD_DERIVED</t>
        </is>
      </c>
      <c r="C739" s="48" t="inlineStr">
        <is>
          <t>1.2</t>
        </is>
      </c>
      <c r="D739" s="48" t="inlineStr">
        <is>
          <t>Nhom 1 - Mapping</t>
        </is>
      </c>
      <c r="E739" s="48" t="inlineStr">
        <is>
          <t>Danh sách bảng/view Gold khớp tài liệu thiết kế đã duyệt</t>
        </is>
      </c>
      <c r="F739" s="49" t="inlineStr">
        <is>
          <t>PASS</t>
        </is>
      </c>
      <c r="G739" s="48" t="inlineStr">
        <is>
          <t>Pass</t>
        </is>
      </c>
      <c r="H739" s="50" t="inlineStr">
        <is>
          <t>V_ENTRY_STMT_QUYMO có workbook thiết kế: 050. OCB_GOLD_TCKH_V_ENTRY_STMT_QUYMO_QUANG.xlsx</t>
        </is>
      </c>
      <c r="I739" s="50" t="inlineStr">
        <is>
          <t>Đảm bảo object có workbook thiết kế tương ứng trong thư mục --mapping-dir. Muốn đối chiếu với danh sách đã duyệt thì chạy thêm tham số --gold-list "&lt;file danh sách Gold&gt;.xlsx".</t>
        </is>
      </c>
      <c r="J739" s="48" t="inlineStr">
        <is>
          <t>050. OCB_GOLD_TCKH_V_ENTRY_STMT_QUYMO_QUANG.xlsx [Script SQL: V_ENTRY_STMT_QUYMO]</t>
        </is>
      </c>
    </row>
    <row r="740">
      <c r="A740" s="48" t="inlineStr">
        <is>
          <t>TCKH.V_ENTRY_STMT_QUYMO</t>
        </is>
      </c>
      <c r="B740" s="48" t="inlineStr">
        <is>
          <t>GOLD_DERIVED</t>
        </is>
      </c>
      <c r="C740" s="48" t="inlineStr">
        <is>
          <t>2.1</t>
        </is>
      </c>
      <c r="D740" s="48" t="inlineStr">
        <is>
          <t>Nhom 2 - Logic</t>
        </is>
      </c>
      <c r="E740" s="48" t="inlineStr">
        <is>
          <t>Chỉ lấy bản ghi active, loại bản ghi đã xóa (qua sts_hub)</t>
        </is>
      </c>
      <c r="F740" s="48" t="inlineStr">
        <is>
          <t>N-A</t>
        </is>
      </c>
      <c r="G740" s="48" t="inlineStr">
        <is>
          <t>Pass</t>
        </is>
      </c>
      <c r="H740" s="50" t="inlineStr">
        <is>
          <t>khong ap dung cho profile GOLD_DERIVED</t>
        </is>
      </c>
      <c r="I740"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40" s="48" t="inlineStr">
        <is>
          <t>050. OCB_GOLD_TCKH_V_ENTRY_STMT_QUYMO_QUANG.xlsx [Script SQL: V_ENTRY_STMT_QUYMO]</t>
        </is>
      </c>
    </row>
    <row r="741">
      <c r="A741" s="48" t="inlineStr">
        <is>
          <t>TCKH.V_ENTRY_STMT_QUYMO</t>
        </is>
      </c>
      <c r="B741" s="48" t="inlineStr">
        <is>
          <t>GOLD_DERIVED</t>
        </is>
      </c>
      <c r="C741" s="48" t="inlineStr">
        <is>
          <t>2.2</t>
        </is>
      </c>
      <c r="D741" s="48" t="inlineStr">
        <is>
          <t>Nhom 2 - Logic</t>
        </is>
      </c>
      <c r="E741" s="48" t="inlineStr">
        <is>
          <t>Thống nhất MỘT pattern duy nhất xác định bản ghi active mới nhất</t>
        </is>
      </c>
      <c r="F741" s="48" t="inlineStr">
        <is>
          <t>N-A</t>
        </is>
      </c>
      <c r="G741" s="48" t="inlineStr">
        <is>
          <t>Pass</t>
        </is>
      </c>
      <c r="H741" s="50" t="inlineStr">
        <is>
          <t>khong ap dung cho profile GOLD_DERIVED</t>
        </is>
      </c>
      <c r="I741"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41" s="48" t="inlineStr">
        <is>
          <t>050. OCB_GOLD_TCKH_V_ENTRY_STMT_QUYMO_QUANG.xlsx [Script SQL: V_ENTRY_STMT_QUYMO]</t>
        </is>
      </c>
    </row>
    <row r="742">
      <c r="A742" s="48" t="inlineStr">
        <is>
          <t>TCKH.V_ENTRY_STMT_QUYMO</t>
        </is>
      </c>
      <c r="B742" s="48" t="inlineStr">
        <is>
          <t>GOLD_DERIVED</t>
        </is>
      </c>
      <c r="C742" s="48" t="inlineStr">
        <is>
          <t>2.3</t>
        </is>
      </c>
      <c r="D742" s="48" t="inlineStr">
        <is>
          <t>Nhom 2 - Logic</t>
        </is>
      </c>
      <c r="E742" s="48" t="inlineStr">
        <is>
          <t>Điều kiện lọc trạng thái đặt SAU khi xác định bản ghi mới nhất</t>
        </is>
      </c>
      <c r="F742" s="49" t="inlineStr">
        <is>
          <t>PASS</t>
        </is>
      </c>
      <c r="G742" s="48" t="inlineStr">
        <is>
          <t>Pass</t>
        </is>
      </c>
      <c r="H742" s="50" t="inlineStr">
        <is>
          <t>không có điều kiện trạng thái nào lồng trong JOIN ON</t>
        </is>
      </c>
      <c r="I742"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42" s="48" t="inlineStr">
        <is>
          <t>050. OCB_GOLD_TCKH_V_ENTRY_STMT_QUYMO_QUANG.xlsx [Script SQL: V_ENTRY_STMT_QUYMO]</t>
        </is>
      </c>
    </row>
    <row r="743">
      <c r="A743" s="48" t="inlineStr">
        <is>
          <t>TCKH.V_ENTRY_STMT_QUYMO</t>
        </is>
      </c>
      <c r="B743" s="48" t="inlineStr">
        <is>
          <t>GOLD_DERIVED</t>
        </is>
      </c>
      <c r="C743" s="48" t="inlineStr">
        <is>
          <t>2.4</t>
        </is>
      </c>
      <c r="D743" s="48" t="inlineStr">
        <is>
          <t>Nhom 2 - Logic</t>
        </is>
      </c>
      <c r="E743" s="48" t="inlineStr">
        <is>
          <t>source_event_date áp dụng đúng dạng theo loại bảng</t>
        </is>
      </c>
      <c r="F743" s="48" t="inlineStr">
        <is>
          <t>N-A</t>
        </is>
      </c>
      <c r="G743" s="48" t="inlineStr">
        <is>
          <t>Pass</t>
        </is>
      </c>
      <c r="H743" s="50" t="inlineStr">
        <is>
          <t>khong ap dung cho profile GOLD_DERIVED</t>
        </is>
      </c>
      <c r="I743"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43" s="48" t="inlineStr">
        <is>
          <t>050. OCB_GOLD_TCKH_V_ENTRY_STMT_QUYMO_QUANG.xlsx [Script SQL: V_ENTRY_STMT_QUYMO]</t>
        </is>
      </c>
    </row>
    <row r="744">
      <c r="A744" s="48" t="inlineStr">
        <is>
          <t>TCKH.V_ENTRY_STMT_QUYMO</t>
        </is>
      </c>
      <c r="B744" s="48" t="inlineStr">
        <is>
          <t>GOLD_DERIVED</t>
        </is>
      </c>
      <c r="C744" s="48" t="inlineStr">
        <is>
          <t>2.5</t>
        </is>
      </c>
      <c r="D744" s="48" t="inlineStr">
        <is>
          <t>Nhom 2 - Logic</t>
        </is>
      </c>
      <c r="E744" s="48" t="inlineStr">
        <is>
          <t>Không lặp lại lỗi logic cũ đã được DA Data Vault fix</t>
        </is>
      </c>
      <c r="F744" s="49" t="inlineStr">
        <is>
          <t>PASS</t>
        </is>
      </c>
      <c r="G744" s="48" t="inlineStr">
        <is>
          <t>Pass</t>
        </is>
      </c>
      <c r="H744" s="50" t="inlineStr">
        <is>
          <t>không trùng lỗi nào trong Issue log của DA Data Vault</t>
        </is>
      </c>
      <c r="I744"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44" s="48" t="inlineStr">
        <is>
          <t>050. OCB_GOLD_TCKH_V_ENTRY_STMT_QUYMO_QUANG.xlsx [Script SQL: V_ENTRY_STMT_QUYMO]</t>
        </is>
      </c>
    </row>
    <row r="745">
      <c r="A745" s="48" t="inlineStr">
        <is>
          <t>TCKH.V_ENTRY_STMT_QUYMO</t>
        </is>
      </c>
      <c r="B745" s="48" t="inlineStr">
        <is>
          <t>GOLD_DERIVED</t>
        </is>
      </c>
      <c r="C745" s="48" t="inlineStr">
        <is>
          <t>2.6</t>
        </is>
      </c>
      <c r="D745" s="48" t="inlineStr">
        <is>
          <t>Nhom 2 - Logic</t>
        </is>
      </c>
      <c r="E745" s="48" t="inlineStr">
        <is>
          <t>SCD Type 2 cho bảng DIM áp dụng đúng kỹ thuật đã thống nhất</t>
        </is>
      </c>
      <c r="F745" s="48" t="inlineStr">
        <is>
          <t>N-A</t>
        </is>
      </c>
      <c r="G745" s="48" t="inlineStr">
        <is>
          <t>Pass</t>
        </is>
      </c>
      <c r="H745" s="50" t="inlineStr">
        <is>
          <t>object không phải bảng DIM nên không áp dụng SCD Type 2</t>
        </is>
      </c>
      <c r="I745"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45" s="48" t="inlineStr">
        <is>
          <t>050. OCB_GOLD_TCKH_V_ENTRY_STMT_QUYMO_QUANG.xlsx [Script SQL: V_ENTRY_STMT_QUYMO]</t>
        </is>
      </c>
    </row>
    <row r="746">
      <c r="A746" s="48" t="inlineStr">
        <is>
          <t>TCKH.V_ENTRY_STMT_QUYMO</t>
        </is>
      </c>
      <c r="B746" s="48" t="inlineStr">
        <is>
          <t>GOLD_DERIVED</t>
        </is>
      </c>
      <c r="C746" s="48" t="inlineStr">
        <is>
          <t>2.7</t>
        </is>
      </c>
      <c r="D746" s="48" t="inlineStr">
        <is>
          <t>Nhom 2 - Logic</t>
        </is>
      </c>
      <c r="E746" s="48" t="inlineStr">
        <is>
          <t>CASE WHEN cover đủ nhánh như job on-prem</t>
        </is>
      </c>
      <c r="F746" s="48" t="inlineStr">
        <is>
          <t>N-A</t>
        </is>
      </c>
      <c r="G746" s="48" t="inlineStr">
        <is>
          <t>Pass</t>
        </is>
      </c>
      <c r="H746" s="50" t="inlineStr">
        <is>
          <t>script không có CASE WHEN nào</t>
        </is>
      </c>
      <c r="I746" s="50" t="inlineStr">
        <is>
          <t>Mở job on-prem tương ứng (DataStage DSX hoặc SQL cũ), đối chiếu từng nhánh WHEN và cả nhánh ELSE. CASE không có ELSE sẽ trả NULL âm thầm — xác nhận đó là ý muốn hay thiếu nhánh.</t>
        </is>
      </c>
      <c r="J746" s="48" t="inlineStr">
        <is>
          <t>050. OCB_GOLD_TCKH_V_ENTRY_STMT_QUYMO_QUANG.xlsx [Script SQL: V_ENTRY_STMT_QUYMO]</t>
        </is>
      </c>
    </row>
    <row r="747">
      <c r="A747" s="48" t="inlineStr">
        <is>
          <t>TCKH.V_ENTRY_STMT_QUYMO</t>
        </is>
      </c>
      <c r="B747" s="48" t="inlineStr">
        <is>
          <t>GOLD_DERIVED</t>
        </is>
      </c>
      <c r="C747" s="48" t="inlineStr">
        <is>
          <t>2.8</t>
        </is>
      </c>
      <c r="D747" s="48" t="inlineStr">
        <is>
          <t>Nhom 2 - Logic</t>
        </is>
      </c>
      <c r="E747" s="48" t="inlineStr">
        <is>
          <t>Cột SUM/COUNT được COALESCE/NVL hợp lý</t>
        </is>
      </c>
      <c r="F747" s="49" t="inlineStr">
        <is>
          <t>PASS</t>
        </is>
      </c>
      <c r="G747" s="48" t="inlineStr">
        <is>
          <t>Pass</t>
        </is>
      </c>
      <c r="H747" s="50" t="inlineStr">
        <is>
          <t>mọi SUM/COUNT đều đã coalesce (trực tiếp hoặc ở lớp ngoài)</t>
        </is>
      </c>
      <c r="I747"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47" s="48" t="inlineStr">
        <is>
          <t>050. OCB_GOLD_TCKH_V_ENTRY_STMT_QUYMO_QUANG.xlsx [Script SQL: V_ENTRY_STMT_QUYMO]</t>
        </is>
      </c>
    </row>
    <row r="748">
      <c r="A748" s="48" t="inlineStr">
        <is>
          <t>TCKH.V_ENTRY_STMT_QUYMO</t>
        </is>
      </c>
      <c r="B748" s="48" t="inlineStr">
        <is>
          <t>GOLD_DERIVED</t>
        </is>
      </c>
      <c r="C748" s="48" t="inlineStr">
        <is>
          <t>2.9</t>
        </is>
      </c>
      <c r="D748" s="48" t="inlineStr">
        <is>
          <t>Nhom 2 - Logic</t>
        </is>
      </c>
      <c r="E748" s="48" t="inlineStr">
        <is>
          <t>Subquery / custom function / điều kiện LIKE đúng ý nghĩa nghiệp vụ</t>
        </is>
      </c>
      <c r="F748" s="48" t="inlineStr">
        <is>
          <t>N-A</t>
        </is>
      </c>
      <c r="G748" s="48" t="inlineStr">
        <is>
          <t>Pass</t>
        </is>
      </c>
      <c r="H748" s="50" t="inlineStr">
        <is>
          <t>script không có điều kiện LIKE hay scalar subquery nào</t>
        </is>
      </c>
      <c r="I748" s="50" t="inlineStr">
        <is>
          <t>Đọc lại từng điều kiện LIKE và từng subquery, đối chiếu ý nghĩa nghiệp vụ với on-prem — đúng cú pháp không đủ. Chú ý pattern LIKE có ký tự % ở đầu/cuối và phân biệt chữ hoa/thường.</t>
        </is>
      </c>
      <c r="J748" s="48" t="inlineStr">
        <is>
          <t>050. OCB_GOLD_TCKH_V_ENTRY_STMT_QUYMO_QUANG.xlsx [Script SQL: V_ENTRY_STMT_QUYMO]</t>
        </is>
      </c>
    </row>
    <row r="749">
      <c r="A749" s="48" t="inlineStr">
        <is>
          <t>TCKH.V_ENTRY_STMT_QUYMO</t>
        </is>
      </c>
      <c r="B749" s="48" t="inlineStr">
        <is>
          <t>GOLD_DERIVED</t>
        </is>
      </c>
      <c r="C749" s="48" t="inlineStr">
        <is>
          <t>2.10</t>
        </is>
      </c>
      <c r="D749" s="48" t="inlineStr">
        <is>
          <t>Nhom 2 - Logic</t>
        </is>
      </c>
      <c r="E749" s="48" t="inlineStr">
        <is>
          <t>Aggregation kèm filter date range chính xác</t>
        </is>
      </c>
      <c r="F749" s="49" t="inlineStr">
        <is>
          <t>PASS</t>
        </is>
      </c>
      <c r="G749" s="48" t="inlineStr">
        <is>
          <t>Pass</t>
        </is>
      </c>
      <c r="H749" s="50" t="inlineStr">
        <is>
          <t>mọi khối tổng hợp đều có điều kiện theo kỳ dữ liệu</t>
        </is>
      </c>
      <c r="I749" s="50" t="inlineStr">
        <is>
          <t>Mỗi khối SUM/COUNT/AVG phải có điều kiện lọc theo kỳ dữ liệu (CDR_DT_ID, DATA_DATE, :DATADT…). Nếu điều kiện nằm ở CTE nguồn thì ghi rõ trong comment để người review không phải truy ngược.</t>
        </is>
      </c>
      <c r="J749" s="48" t="inlineStr">
        <is>
          <t>050. OCB_GOLD_TCKH_V_ENTRY_STMT_QUYMO_QUANG.xlsx [Script SQL: V_ENTRY_STMT_QUYMO]</t>
        </is>
      </c>
    </row>
    <row r="750">
      <c r="A750" s="48" t="inlineStr">
        <is>
          <t>TCKH.V_ENTRY_STMT_QUYMO</t>
        </is>
      </c>
      <c r="B750" s="48" t="inlineStr">
        <is>
          <t>GOLD_DERIVED</t>
        </is>
      </c>
      <c r="C750" s="48" t="inlineStr">
        <is>
          <t>2.11</t>
        </is>
      </c>
      <c r="D750" s="48" t="inlineStr">
        <is>
          <t>Nhom 2 - Logic</t>
        </is>
      </c>
      <c r="E750" s="48" t="inlineStr">
        <is>
          <t>Join dùng key hợp lý, không lạm dụng UNION ALL + EXISTS/NOT EXISTS</t>
        </is>
      </c>
      <c r="F750" s="49" t="inlineStr">
        <is>
          <t>PASS</t>
        </is>
      </c>
      <c r="G750" s="48" t="inlineStr">
        <is>
          <t>Pass</t>
        </is>
      </c>
      <c r="H750" s="50" t="inlineStr">
        <is>
          <t>join đều theo điều kiện bằng, không lạm dụng UNION ALL + EXISTS</t>
        </is>
      </c>
      <c r="I750" s="50" t="inlineStr">
        <is>
          <t>Ưu tiên LEFT JOIN theo business key hoặc hashkey. Xem lại các chỗ dùng UNION ALL kết hợp EXISTS/NOT EXISTS — thường thay được bằng một LEFT JOIN. Join không có điều kiện bằng (=) dễ tạo tích Descartes.</t>
        </is>
      </c>
      <c r="J750" s="48" t="inlineStr">
        <is>
          <t>050. OCB_GOLD_TCKH_V_ENTRY_STMT_QUYMO_QUANG.xlsx [Script SQL: V_ENTRY_STMT_QUYMO]</t>
        </is>
      </c>
    </row>
    <row r="751">
      <c r="A751" s="48" t="inlineStr">
        <is>
          <t>TCKH.V_ENTRY_STMT_QUYMO</t>
        </is>
      </c>
      <c r="B751" s="48" t="inlineStr">
        <is>
          <t>GOLD_DERIVED</t>
        </is>
      </c>
      <c r="C751" s="48" t="inlineStr">
        <is>
          <t>2.12</t>
        </is>
      </c>
      <c r="D751" s="48" t="inlineStr">
        <is>
          <t>Nhom 2 - Logic</t>
        </is>
      </c>
      <c r="E751" s="48" t="inlineStr">
        <is>
          <t>Build Gold từ CTE snapshot Silver, không build nhiều tầng chồng chéo</t>
        </is>
      </c>
      <c r="F751" s="49" t="inlineStr">
        <is>
          <t>PASS</t>
        </is>
      </c>
      <c r="G751" s="48" t="inlineStr">
        <is>
          <t>Pass</t>
        </is>
      </c>
      <c r="H751" s="50" t="inlineStr">
        <is>
          <t>mỗi bảng nguồn chỉ đọc trong 1 khối SELECT</t>
        </is>
      </c>
      <c r="I751"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51" s="48" t="inlineStr">
        <is>
          <t>050. OCB_GOLD_TCKH_V_ENTRY_STMT_QUYMO_QUANG.xlsx [Script SQL: V_ENTRY_STMT_QUYMO]</t>
        </is>
      </c>
    </row>
    <row r="752">
      <c r="A752" s="48" t="inlineStr">
        <is>
          <t>TCKH.V_ENTRY_STMT_QUYMO</t>
        </is>
      </c>
      <c r="B752" s="48" t="inlineStr">
        <is>
          <t>GOLD_DERIVED</t>
        </is>
      </c>
      <c r="C752" s="48" t="inlineStr">
        <is>
          <t>3.1</t>
        </is>
      </c>
      <c r="D752" s="48" t="inlineStr">
        <is>
          <t>Nhom 3 - Optimization</t>
        </is>
      </c>
      <c r="E752" s="48" t="inlineStr">
        <is>
          <t>Không SELECT *</t>
        </is>
      </c>
      <c r="F752" s="49" t="inlineStr">
        <is>
          <t>PASS</t>
        </is>
      </c>
      <c r="G752" s="48" t="inlineStr">
        <is>
          <t>Pass</t>
        </is>
      </c>
      <c r="H752" s="50" t="inlineStr">
        <is>
          <t>không dùng SELECT * ở đâu</t>
        </is>
      </c>
      <c r="I752" s="50" t="inlineStr">
        <is>
          <t>Liệt kê tường minh các cột cần dùng, kể cả trong CTE trung gian. SELECT * làm tăng IO/memory và vỡ script khi bảng nguồn thêm cột.</t>
        </is>
      </c>
      <c r="J752" s="48" t="inlineStr">
        <is>
          <t>050. OCB_GOLD_TCKH_V_ENTRY_STMT_QUYMO_QUANG.xlsx [Script SQL: V_ENTRY_STMT_QUYMO]</t>
        </is>
      </c>
    </row>
    <row r="753">
      <c r="A753" s="48" t="inlineStr">
        <is>
          <t>TCKH.V_ENTRY_STMT_QUYMO</t>
        </is>
      </c>
      <c r="B753" s="48" t="inlineStr">
        <is>
          <t>GOLD_DERIVED</t>
        </is>
      </c>
      <c r="C753" s="48" t="inlineStr">
        <is>
          <t>3.2</t>
        </is>
      </c>
      <c r="D753" s="48" t="inlineStr">
        <is>
          <t>Nhom 3 - Optimization</t>
        </is>
      </c>
      <c r="E753" s="48" t="inlineStr">
        <is>
          <t>CTE không bị scan lại nhiều lần</t>
        </is>
      </c>
      <c r="F753" s="49" t="inlineStr">
        <is>
          <t>PASS</t>
        </is>
      </c>
      <c r="G753" s="48" t="inlineStr">
        <is>
          <t>Pass</t>
        </is>
      </c>
      <c r="H753" s="50" t="inlineStr">
        <is>
          <t>không có CTE nào bị gọi lại</t>
        </is>
      </c>
      <c r="I753" s="50" t="inlineStr">
        <is>
          <t>Với CTE nặng (đọc nhiều bảng Silver) bị tham chiếu từ 2 chỗ trở lên: gom lại còn một lần dùng, hoặc vật chất hóa (CACHE / bảng tạm). CTE nhẹ chỉ chứa tham số thì bỏ qua được — tự tick Pass.</t>
        </is>
      </c>
      <c r="J753" s="48" t="inlineStr">
        <is>
          <t>050. OCB_GOLD_TCKH_V_ENTRY_STMT_QUYMO_QUANG.xlsx [Script SQL: V_ENTRY_STMT_QUYMO]</t>
        </is>
      </c>
    </row>
    <row r="754">
      <c r="A754" s="48" t="inlineStr">
        <is>
          <t>TCKH.V_ENTRY_STMT_QUYMO</t>
        </is>
      </c>
      <c r="B754" s="48" t="inlineStr">
        <is>
          <t>GOLD_DERIVED</t>
        </is>
      </c>
      <c r="C754" s="48" t="inlineStr">
        <is>
          <t>3.3</t>
        </is>
      </c>
      <c r="D754" s="48" t="inlineStr">
        <is>
          <t>Nhom 3 - Optimization</t>
        </is>
      </c>
      <c r="E754" s="48" t="inlineStr">
        <is>
          <t>Filter trước khi join, tận dụng partition pruning</t>
        </is>
      </c>
      <c r="F754" s="49" t="inlineStr">
        <is>
          <t>PASS</t>
        </is>
      </c>
      <c r="G754" s="48" t="inlineStr">
        <is>
          <t>Pass</t>
        </is>
      </c>
      <c r="H754" s="50" t="inlineStr">
        <is>
          <t>các bảng join đều được filter trước</t>
        </is>
      </c>
      <c r="I754" s="50" t="inlineStr">
        <is>
          <t>Đưa điều kiện lọc (ngày dữ liệu, trạng thái) vào subquery của từng bảng TRƯỚC khi join, để tận dụng partition pruning. Bảng dim nhỏ không partition thì không cần — tự tick Pass.</t>
        </is>
      </c>
      <c r="J754" s="48" t="inlineStr">
        <is>
          <t>050. OCB_GOLD_TCKH_V_ENTRY_STMT_QUYMO_QUANG.xlsx [Script SQL: V_ENTRY_STMT_QUYMO]</t>
        </is>
      </c>
    </row>
    <row r="755">
      <c r="A755" s="48" t="inlineStr">
        <is>
          <t>TCKH.V_ENTRY_STMT_QUYMO</t>
        </is>
      </c>
      <c r="B755" s="48" t="inlineStr">
        <is>
          <t>GOLD_DERIVED</t>
        </is>
      </c>
      <c r="C755" s="48" t="inlineStr">
        <is>
          <t>3.4</t>
        </is>
      </c>
      <c r="D755" s="48" t="inlineStr">
        <is>
          <t>Nhom 3 - Optimization</t>
        </is>
      </c>
      <c r="E755" s="48" t="inlineStr">
        <is>
          <t>Sử dụng CACHE cho query lặp lại trong cùng luồng</t>
        </is>
      </c>
      <c r="F755" s="48" t="inlineStr">
        <is>
          <t>N-A</t>
        </is>
      </c>
      <c r="G755" s="48" t="inlineStr">
        <is>
          <t>Pass</t>
        </is>
      </c>
      <c r="H755" s="50" t="inlineStr">
        <is>
          <t>không có kết quả nào được dùng lại nhiều lần nên chưa cần CACHE</t>
        </is>
      </c>
      <c r="I755" s="50" t="inlineStr">
        <is>
          <t>Nếu một kết quả nặng được dùng lại nhiều bước trong cùng luồng, thêm CACHE TABLE / CACHE SELECT. Kết quả nhỏ thì cache còn chậm hơn — tự tick Pass.</t>
        </is>
      </c>
      <c r="J755" s="48" t="inlineStr">
        <is>
          <t>050. OCB_GOLD_TCKH_V_ENTRY_STMT_QUYMO_QUANG.xlsx [Script SQL: V_ENTRY_STMT_QUYMO]</t>
        </is>
      </c>
    </row>
    <row r="756">
      <c r="A756" s="48" t="inlineStr">
        <is>
          <t>TCKH.V_ENTRY_STMT_QUYMO</t>
        </is>
      </c>
      <c r="B756" s="48" t="inlineStr">
        <is>
          <t>GOLD_DERIVED</t>
        </is>
      </c>
      <c r="C756" s="48" t="inlineStr">
        <is>
          <t>3.5</t>
        </is>
      </c>
      <c r="D756" s="48" t="inlineStr">
        <is>
          <t>Nhom 3 - Optimization</t>
        </is>
      </c>
      <c r="E756" s="48" t="inlineStr">
        <is>
          <t>Ưu tiên MAX_BY + QUALIFY thay ROW_NUMBER() + WHERE rn = 1</t>
        </is>
      </c>
      <c r="F756" s="48" t="inlineStr">
        <is>
          <t>N-A</t>
        </is>
      </c>
      <c r="G756" s="48" t="inlineStr">
        <is>
          <t>Pass</t>
        </is>
      </c>
      <c r="H756" s="50" t="inlineStr">
        <is>
          <t>script không dùng ROW_NUMBER</t>
        </is>
      </c>
      <c r="I756"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56" s="48" t="inlineStr">
        <is>
          <t>050. OCB_GOLD_TCKH_V_ENTRY_STMT_QUYMO_QUANG.xlsx [Script SQL: V_ENTRY_STMT_QUYMO]</t>
        </is>
      </c>
    </row>
    <row r="757">
      <c r="A757" s="48" t="inlineStr">
        <is>
          <t>TCKH.V_ENTRY_STMT_QUYMO</t>
        </is>
      </c>
      <c r="B757" s="48" t="inlineStr">
        <is>
          <t>GOLD_DERIVED</t>
        </is>
      </c>
      <c r="C757" s="48" t="inlineStr">
        <is>
          <t>3.6</t>
        </is>
      </c>
      <c r="D757" s="48" t="inlineStr">
        <is>
          <t>Nhom 3 - Optimization</t>
        </is>
      </c>
      <c r="E757" s="48" t="inlineStr">
        <is>
          <t>Không lạm dụng window function; có comment khi dùng</t>
        </is>
      </c>
      <c r="F757" s="48" t="inlineStr">
        <is>
          <t>N-A</t>
        </is>
      </c>
      <c r="G757" s="48" t="inlineStr">
        <is>
          <t>Pass</t>
        </is>
      </c>
      <c r="H757" s="50" t="inlineStr">
        <is>
          <t>script không dùng window function</t>
        </is>
      </c>
      <c r="I757" s="50" t="inlineStr">
        <is>
          <t>Mỗi window function cần một comment ngay trên khối CTE chứa nó, nói rõ vì sao không dùng được max_by/QUALIFY đơn giản hơn.</t>
        </is>
      </c>
      <c r="J757" s="48" t="inlineStr">
        <is>
          <t>050. OCB_GOLD_TCKH_V_ENTRY_STMT_QUYMO_QUANG.xlsx [Script SQL: V_ENTRY_STMT_QUYMO]</t>
        </is>
      </c>
    </row>
    <row r="758">
      <c r="A758" s="48" t="inlineStr">
        <is>
          <t>TCKH.V_ENTRY_STMT_QUYMO</t>
        </is>
      </c>
      <c r="B758" s="48" t="inlineStr">
        <is>
          <t>GOLD_DERIVED</t>
        </is>
      </c>
      <c r="C758" s="48" t="inlineStr">
        <is>
          <t>X.1</t>
        </is>
      </c>
      <c r="D758" s="48" t="inlineStr">
        <is>
          <t>Nhom X - Bo sung Raffles</t>
        </is>
      </c>
      <c r="E758" s="48" t="inlineStr">
        <is>
          <t>[Bổ sung] Link phải rút về current trước khi join (chống fan-out)</t>
        </is>
      </c>
      <c r="F758" s="48" t="inlineStr">
        <is>
          <t>N-A</t>
        </is>
      </c>
      <c r="G758" s="48" t="inlineStr">
        <is>
          <t>Pass</t>
        </is>
      </c>
      <c r="H758" s="50" t="inlineStr">
        <is>
          <t>khong ap dung cho profile GOLD_DERIVED</t>
        </is>
      </c>
      <c r="I758"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58" s="48" t="inlineStr">
        <is>
          <t>050. OCB_GOLD_TCKH_V_ENTRY_STMT_QUYMO_QUANG.xlsx [Script SQL: V_ENTRY_STMT_QUYMO]</t>
        </is>
      </c>
    </row>
    <row r="759">
      <c r="A759" s="48" t="inlineStr">
        <is>
          <t>TCKH.V_ENTRY_STMT_QUYMO</t>
        </is>
      </c>
      <c r="B759" s="48" t="inlineStr">
        <is>
          <t>GOLD_DERIVED</t>
        </is>
      </c>
      <c r="C759" s="48" t="inlineStr">
        <is>
          <t>X.6</t>
        </is>
      </c>
      <c r="D759" s="48" t="inlineStr">
        <is>
          <t>Nhom X - Bo sung Raffles</t>
        </is>
      </c>
      <c r="E759" s="48" t="inlineStr">
        <is>
          <t>[Bổ sung] Satellite phải LEFT JOIN, không INNER JOIN</t>
        </is>
      </c>
      <c r="F759" s="48" t="inlineStr">
        <is>
          <t>N-A</t>
        </is>
      </c>
      <c r="G759" s="48" t="inlineStr">
        <is>
          <t>Pass</t>
        </is>
      </c>
      <c r="H759" s="50" t="inlineStr">
        <is>
          <t>khong ap dung cho profile GOLD_DERIVED</t>
        </is>
      </c>
      <c r="I759" s="50" t="inlineStr">
        <is>
          <t>Technical Document III.4.2.2 nguyên tắc 1: làm giàu thuộc tính luôn dùng LEFT JOIN. INNER JOIN satellite sẽ loại mất bản ghi Hub đang còn hiệu lực nhưng chưa có dòng satellite.</t>
        </is>
      </c>
      <c r="J759" s="48" t="inlineStr">
        <is>
          <t>050. OCB_GOLD_TCKH_V_ENTRY_STMT_QUYMO_QUANG.xlsx [Script SQL: V_ENTRY_STMT_QUYMO]</t>
        </is>
      </c>
    </row>
    <row r="760">
      <c r="A760" s="48" t="inlineStr">
        <is>
          <t>TCKH.V_ENTRY_STMT_QUYMO</t>
        </is>
      </c>
      <c r="B760" s="48" t="inlineStr">
        <is>
          <t>GOLD_DERIVED</t>
        </is>
      </c>
      <c r="C760" s="48" t="inlineStr">
        <is>
          <t>X.7</t>
        </is>
      </c>
      <c r="D760" s="48" t="inlineStr">
        <is>
          <t>Nhom X - Bo sung Raffles</t>
        </is>
      </c>
      <c r="E760" s="48" t="inlineStr">
        <is>
          <t>[Bổ sung] Không hard-code catalog, dùng biến môi trường</t>
        </is>
      </c>
      <c r="F760" s="49" t="inlineStr">
        <is>
          <t>PASS</t>
        </is>
      </c>
      <c r="G760" s="48" t="inlineStr">
        <is>
          <t>Pass</t>
        </is>
      </c>
      <c r="H760" s="50" t="inlineStr">
        <is>
          <t>dùng biến môi trường cho catalog</t>
        </is>
      </c>
      <c r="I760"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60" s="48" t="inlineStr">
        <is>
          <t>050. OCB_GOLD_TCKH_V_ENTRY_STMT_QUYMO_QUANG.xlsx [Script SQL: V_ENTRY_STMT_QUYMO]</t>
        </is>
      </c>
    </row>
    <row r="761">
      <c r="A761" s="48" t="inlineStr">
        <is>
          <t>TCKH.V_FTP_INTEREST_RATE_NIM_ON</t>
        </is>
      </c>
      <c r="B761" s="48" t="inlineStr">
        <is>
          <t>GOLD_DERIVED</t>
        </is>
      </c>
      <c r="C761" s="48" t="inlineStr">
        <is>
          <t>1.1</t>
        </is>
      </c>
      <c r="D761" s="48" t="inlineStr">
        <is>
          <t>Nhom 1 - Mapping</t>
        </is>
      </c>
      <c r="E761" s="48" t="inlineStr">
        <is>
          <t>Đầy đủ mapping từ Silver/manual sang Gold</t>
        </is>
      </c>
      <c r="F761" s="49" t="inlineStr">
        <is>
          <t>PASS</t>
        </is>
      </c>
      <c r="G761" s="48" t="inlineStr">
        <is>
          <t>Pass</t>
        </is>
      </c>
      <c r="H761" s="50" t="inlineStr">
        <is>
          <t>workbook 067. OCB_GOLD_TCKH_AR_DIM_HOP.xlsx: thiết kế 5 field, SQL có 5 cột</t>
        </is>
      </c>
      <c r="I761"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61" s="48" t="inlineStr">
        <is>
          <t>051. OCB_GOLD_TCKH_V_FTP_INTEREST_RATE_NIM_ON_PHAT.xlsx [Script: V_FTP_INTEREST_RATE_NIM_ON]</t>
        </is>
      </c>
    </row>
    <row r="762">
      <c r="A762" s="48" t="inlineStr">
        <is>
          <t>TCKH.V_FTP_INTEREST_RATE_NIM_ON</t>
        </is>
      </c>
      <c r="B762" s="48" t="inlineStr">
        <is>
          <t>GOLD_DERIVED</t>
        </is>
      </c>
      <c r="C762" s="48" t="inlineStr">
        <is>
          <t>1.2</t>
        </is>
      </c>
      <c r="D762" s="48" t="inlineStr">
        <is>
          <t>Nhom 1 - Mapping</t>
        </is>
      </c>
      <c r="E762" s="48" t="inlineStr">
        <is>
          <t>Danh sách bảng/view Gold khớp tài liệu thiết kế đã duyệt</t>
        </is>
      </c>
      <c r="F762" s="49" t="inlineStr">
        <is>
          <t>PASS</t>
        </is>
      </c>
      <c r="G762" s="48" t="inlineStr">
        <is>
          <t>Pass</t>
        </is>
      </c>
      <c r="H762" s="50" t="inlineStr">
        <is>
          <t>V_FTP_INTEREST_RATE_NIM_ON có workbook thiết kế: 067. OCB_GOLD_TCKH_AR_DIM_HOP.xlsx</t>
        </is>
      </c>
      <c r="I762" s="50" t="inlineStr">
        <is>
          <t>Đảm bảo object có workbook thiết kế tương ứng trong thư mục --mapping-dir. Muốn đối chiếu với danh sách đã duyệt thì chạy thêm tham số --gold-list "&lt;file danh sách Gold&gt;.xlsx".</t>
        </is>
      </c>
      <c r="J762" s="48" t="inlineStr">
        <is>
          <t>051. OCB_GOLD_TCKH_V_FTP_INTEREST_RATE_NIM_ON_PHAT.xlsx [Script: V_FTP_INTEREST_RATE_NIM_ON]</t>
        </is>
      </c>
    </row>
    <row r="763">
      <c r="A763" s="48" t="inlineStr">
        <is>
          <t>TCKH.V_FTP_INTEREST_RATE_NIM_ON</t>
        </is>
      </c>
      <c r="B763" s="48" t="inlineStr">
        <is>
          <t>GOLD_DERIVED</t>
        </is>
      </c>
      <c r="C763" s="48" t="inlineStr">
        <is>
          <t>2.1</t>
        </is>
      </c>
      <c r="D763" s="48" t="inlineStr">
        <is>
          <t>Nhom 2 - Logic</t>
        </is>
      </c>
      <c r="E763" s="48" t="inlineStr">
        <is>
          <t>Chỉ lấy bản ghi active, loại bản ghi đã xóa (qua sts_hub)</t>
        </is>
      </c>
      <c r="F763" s="48" t="inlineStr">
        <is>
          <t>N-A</t>
        </is>
      </c>
      <c r="G763" s="48" t="inlineStr">
        <is>
          <t>Pass</t>
        </is>
      </c>
      <c r="H763" s="50" t="inlineStr">
        <is>
          <t>khong ap dung cho profile GOLD_DERIVED</t>
        </is>
      </c>
      <c r="I763"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63" s="48" t="inlineStr">
        <is>
          <t>051. OCB_GOLD_TCKH_V_FTP_INTEREST_RATE_NIM_ON_PHAT.xlsx [Script: V_FTP_INTEREST_RATE_NIM_ON]</t>
        </is>
      </c>
    </row>
    <row r="764">
      <c r="A764" s="48" t="inlineStr">
        <is>
          <t>TCKH.V_FTP_INTEREST_RATE_NIM_ON</t>
        </is>
      </c>
      <c r="B764" s="48" t="inlineStr">
        <is>
          <t>GOLD_DERIVED</t>
        </is>
      </c>
      <c r="C764" s="48" t="inlineStr">
        <is>
          <t>2.2</t>
        </is>
      </c>
      <c r="D764" s="48" t="inlineStr">
        <is>
          <t>Nhom 2 - Logic</t>
        </is>
      </c>
      <c r="E764" s="48" t="inlineStr">
        <is>
          <t>Thống nhất MỘT pattern duy nhất xác định bản ghi active mới nhất</t>
        </is>
      </c>
      <c r="F764" s="48" t="inlineStr">
        <is>
          <t>N-A</t>
        </is>
      </c>
      <c r="G764" s="48" t="inlineStr">
        <is>
          <t>Pass</t>
        </is>
      </c>
      <c r="H764" s="50" t="inlineStr">
        <is>
          <t>khong ap dung cho profile GOLD_DERIVED</t>
        </is>
      </c>
      <c r="I764"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64" s="48" t="inlineStr">
        <is>
          <t>051. OCB_GOLD_TCKH_V_FTP_INTEREST_RATE_NIM_ON_PHAT.xlsx [Script: V_FTP_INTEREST_RATE_NIM_ON]</t>
        </is>
      </c>
    </row>
    <row r="765">
      <c r="A765" s="48" t="inlineStr">
        <is>
          <t>TCKH.V_FTP_INTEREST_RATE_NIM_ON</t>
        </is>
      </c>
      <c r="B765" s="48" t="inlineStr">
        <is>
          <t>GOLD_DERIVED</t>
        </is>
      </c>
      <c r="C765" s="48" t="inlineStr">
        <is>
          <t>2.3</t>
        </is>
      </c>
      <c r="D765" s="48" t="inlineStr">
        <is>
          <t>Nhom 2 - Logic</t>
        </is>
      </c>
      <c r="E765" s="48" t="inlineStr">
        <is>
          <t>Điều kiện lọc trạng thái đặt SAU khi xác định bản ghi mới nhất</t>
        </is>
      </c>
      <c r="F765" s="49" t="inlineStr">
        <is>
          <t>PASS</t>
        </is>
      </c>
      <c r="G765" s="48" t="inlineStr">
        <is>
          <t>Pass</t>
        </is>
      </c>
      <c r="H765" s="50" t="inlineStr">
        <is>
          <t>không có điều kiện trạng thái nào lồng trong JOIN ON</t>
        </is>
      </c>
      <c r="I765"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65" s="48" t="inlineStr">
        <is>
          <t>051. OCB_GOLD_TCKH_V_FTP_INTEREST_RATE_NIM_ON_PHAT.xlsx [Script: V_FTP_INTEREST_RATE_NIM_ON]</t>
        </is>
      </c>
    </row>
    <row r="766">
      <c r="A766" s="48" t="inlineStr">
        <is>
          <t>TCKH.V_FTP_INTEREST_RATE_NIM_ON</t>
        </is>
      </c>
      <c r="B766" s="48" t="inlineStr">
        <is>
          <t>GOLD_DERIVED</t>
        </is>
      </c>
      <c r="C766" s="48" t="inlineStr">
        <is>
          <t>2.4</t>
        </is>
      </c>
      <c r="D766" s="48" t="inlineStr">
        <is>
          <t>Nhom 2 - Logic</t>
        </is>
      </c>
      <c r="E766" s="48" t="inlineStr">
        <is>
          <t>source_event_date áp dụng đúng dạng theo loại bảng</t>
        </is>
      </c>
      <c r="F766" s="48" t="inlineStr">
        <is>
          <t>N-A</t>
        </is>
      </c>
      <c r="G766" s="48" t="inlineStr">
        <is>
          <t>Pass</t>
        </is>
      </c>
      <c r="H766" s="50" t="inlineStr">
        <is>
          <t>khong ap dung cho profile GOLD_DERIVED</t>
        </is>
      </c>
      <c r="I766"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66" s="48" t="inlineStr">
        <is>
          <t>051. OCB_GOLD_TCKH_V_FTP_INTEREST_RATE_NIM_ON_PHAT.xlsx [Script: V_FTP_INTEREST_RATE_NIM_ON]</t>
        </is>
      </c>
    </row>
    <row r="767">
      <c r="A767" s="48" t="inlineStr">
        <is>
          <t>TCKH.V_FTP_INTEREST_RATE_NIM_ON</t>
        </is>
      </c>
      <c r="B767" s="48" t="inlineStr">
        <is>
          <t>GOLD_DERIVED</t>
        </is>
      </c>
      <c r="C767" s="48" t="inlineStr">
        <is>
          <t>2.5</t>
        </is>
      </c>
      <c r="D767" s="48" t="inlineStr">
        <is>
          <t>Nhom 2 - Logic</t>
        </is>
      </c>
      <c r="E767" s="48" t="inlineStr">
        <is>
          <t>Không lặp lại lỗi logic cũ đã được DA Data Vault fix</t>
        </is>
      </c>
      <c r="F767" s="49" t="inlineStr">
        <is>
          <t>PASS</t>
        </is>
      </c>
      <c r="G767" s="48" t="inlineStr">
        <is>
          <t>Pass</t>
        </is>
      </c>
      <c r="H767" s="50" t="inlineStr">
        <is>
          <t>không trùng lỗi nào trong Issue log của DA Data Vault</t>
        </is>
      </c>
      <c r="I767"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67" s="48" t="inlineStr">
        <is>
          <t>051. OCB_GOLD_TCKH_V_FTP_INTEREST_RATE_NIM_ON_PHAT.xlsx [Script: V_FTP_INTEREST_RATE_NIM_ON]</t>
        </is>
      </c>
    </row>
    <row r="768">
      <c r="A768" s="48" t="inlineStr">
        <is>
          <t>TCKH.V_FTP_INTEREST_RATE_NIM_ON</t>
        </is>
      </c>
      <c r="B768" s="48" t="inlineStr">
        <is>
          <t>GOLD_DERIVED</t>
        </is>
      </c>
      <c r="C768" s="48" t="inlineStr">
        <is>
          <t>2.6</t>
        </is>
      </c>
      <c r="D768" s="48" t="inlineStr">
        <is>
          <t>Nhom 2 - Logic</t>
        </is>
      </c>
      <c r="E768" s="48" t="inlineStr">
        <is>
          <t>SCD Type 2 cho bảng DIM áp dụng đúng kỹ thuật đã thống nhất</t>
        </is>
      </c>
      <c r="F768" s="48" t="inlineStr">
        <is>
          <t>N-A</t>
        </is>
      </c>
      <c r="G768" s="48" t="inlineStr">
        <is>
          <t>Pass</t>
        </is>
      </c>
      <c r="H768" s="50" t="inlineStr">
        <is>
          <t>object không phải bảng DIM nên không áp dụng SCD Type 2</t>
        </is>
      </c>
      <c r="I768"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68" s="48" t="inlineStr">
        <is>
          <t>051. OCB_GOLD_TCKH_V_FTP_INTEREST_RATE_NIM_ON_PHAT.xlsx [Script: V_FTP_INTEREST_RATE_NIM_ON]</t>
        </is>
      </c>
    </row>
    <row r="769">
      <c r="A769" s="48" t="inlineStr">
        <is>
          <t>TCKH.V_FTP_INTEREST_RATE_NIM_ON</t>
        </is>
      </c>
      <c r="B769" s="48" t="inlineStr">
        <is>
          <t>GOLD_DERIVED</t>
        </is>
      </c>
      <c r="C769" s="48" t="inlineStr">
        <is>
          <t>2.7</t>
        </is>
      </c>
      <c r="D769" s="48" t="inlineStr">
        <is>
          <t>Nhom 2 - Logic</t>
        </is>
      </c>
      <c r="E769" s="48" t="inlineStr">
        <is>
          <t>CASE WHEN cover đủ nhánh như job on-prem</t>
        </is>
      </c>
      <c r="F769" s="48" t="inlineStr">
        <is>
          <t>N-A</t>
        </is>
      </c>
      <c r="G769" s="48" t="inlineStr">
        <is>
          <t>Pass</t>
        </is>
      </c>
      <c r="H769" s="50" t="inlineStr">
        <is>
          <t>script không có CASE WHEN nào</t>
        </is>
      </c>
      <c r="I769" s="50" t="inlineStr">
        <is>
          <t>Mở job on-prem tương ứng (DataStage DSX hoặc SQL cũ), đối chiếu từng nhánh WHEN và cả nhánh ELSE. CASE không có ELSE sẽ trả NULL âm thầm — xác nhận đó là ý muốn hay thiếu nhánh.</t>
        </is>
      </c>
      <c r="J769" s="48" t="inlineStr">
        <is>
          <t>051. OCB_GOLD_TCKH_V_FTP_INTEREST_RATE_NIM_ON_PHAT.xlsx [Script: V_FTP_INTEREST_RATE_NIM_ON]</t>
        </is>
      </c>
    </row>
    <row r="770">
      <c r="A770" s="48" t="inlineStr">
        <is>
          <t>TCKH.V_FTP_INTEREST_RATE_NIM_ON</t>
        </is>
      </c>
      <c r="B770" s="48" t="inlineStr">
        <is>
          <t>GOLD_DERIVED</t>
        </is>
      </c>
      <c r="C770" s="48" t="inlineStr">
        <is>
          <t>2.8</t>
        </is>
      </c>
      <c r="D770" s="48" t="inlineStr">
        <is>
          <t>Nhom 2 - Logic</t>
        </is>
      </c>
      <c r="E770" s="48" t="inlineStr">
        <is>
          <t>Cột SUM/COUNT được COALESCE/NVL hợp lý</t>
        </is>
      </c>
      <c r="F770" s="49" t="inlineStr">
        <is>
          <t>PASS</t>
        </is>
      </c>
      <c r="G770" s="48" t="inlineStr">
        <is>
          <t>Pass</t>
        </is>
      </c>
      <c r="H770" s="50" t="inlineStr">
        <is>
          <t>mọi SUM/COUNT đều đã coalesce (trực tiếp hoặc ở lớp ngoài)</t>
        </is>
      </c>
      <c r="I770"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70" s="48" t="inlineStr">
        <is>
          <t>051. OCB_GOLD_TCKH_V_FTP_INTEREST_RATE_NIM_ON_PHAT.xlsx [Script: V_FTP_INTEREST_RATE_NIM_ON]</t>
        </is>
      </c>
    </row>
    <row r="771">
      <c r="A771" s="48" t="inlineStr">
        <is>
          <t>TCKH.V_FTP_INTEREST_RATE_NIM_ON</t>
        </is>
      </c>
      <c r="B771" s="48" t="inlineStr">
        <is>
          <t>GOLD_DERIVED</t>
        </is>
      </c>
      <c r="C771" s="48" t="inlineStr">
        <is>
          <t>2.9</t>
        </is>
      </c>
      <c r="D771" s="48" t="inlineStr">
        <is>
          <t>Nhom 2 - Logic</t>
        </is>
      </c>
      <c r="E771" s="48" t="inlineStr">
        <is>
          <t>Subquery / custom function / điều kiện LIKE đúng ý nghĩa nghiệp vụ</t>
        </is>
      </c>
      <c r="F771" s="48" t="inlineStr">
        <is>
          <t>N-A</t>
        </is>
      </c>
      <c r="G771" s="48" t="inlineStr">
        <is>
          <t>Pass</t>
        </is>
      </c>
      <c r="H771" s="50" t="inlineStr">
        <is>
          <t>script không có điều kiện LIKE hay scalar subquery nào</t>
        </is>
      </c>
      <c r="I771" s="50" t="inlineStr">
        <is>
          <t>Đọc lại từng điều kiện LIKE và từng subquery, đối chiếu ý nghĩa nghiệp vụ với on-prem — đúng cú pháp không đủ. Chú ý pattern LIKE có ký tự % ở đầu/cuối và phân biệt chữ hoa/thường.</t>
        </is>
      </c>
      <c r="J771" s="48" t="inlineStr">
        <is>
          <t>051. OCB_GOLD_TCKH_V_FTP_INTEREST_RATE_NIM_ON_PHAT.xlsx [Script: V_FTP_INTEREST_RATE_NIM_ON]</t>
        </is>
      </c>
    </row>
    <row r="772">
      <c r="A772" s="48" t="inlineStr">
        <is>
          <t>TCKH.V_FTP_INTEREST_RATE_NIM_ON</t>
        </is>
      </c>
      <c r="B772" s="48" t="inlineStr">
        <is>
          <t>GOLD_DERIVED</t>
        </is>
      </c>
      <c r="C772" s="48" t="inlineStr">
        <is>
          <t>2.10</t>
        </is>
      </c>
      <c r="D772" s="48" t="inlineStr">
        <is>
          <t>Nhom 2 - Logic</t>
        </is>
      </c>
      <c r="E772" s="48" t="inlineStr">
        <is>
          <t>Aggregation kèm filter date range chính xác</t>
        </is>
      </c>
      <c r="F772" s="49" t="inlineStr">
        <is>
          <t>PASS</t>
        </is>
      </c>
      <c r="G772" s="48" t="inlineStr">
        <is>
          <t>Pass</t>
        </is>
      </c>
      <c r="H772" s="50" t="inlineStr">
        <is>
          <t>mọi khối tổng hợp đều có điều kiện theo kỳ dữ liệu</t>
        </is>
      </c>
      <c r="I772" s="50" t="inlineStr">
        <is>
          <t>Mỗi khối SUM/COUNT/AVG phải có điều kiện lọc theo kỳ dữ liệu (CDR_DT_ID, DATA_DATE, :DATADT…). Nếu điều kiện nằm ở CTE nguồn thì ghi rõ trong comment để người review không phải truy ngược.</t>
        </is>
      </c>
      <c r="J772" s="48" t="inlineStr">
        <is>
          <t>051. OCB_GOLD_TCKH_V_FTP_INTEREST_RATE_NIM_ON_PHAT.xlsx [Script: V_FTP_INTEREST_RATE_NIM_ON]</t>
        </is>
      </c>
    </row>
    <row r="773">
      <c r="A773" s="48" t="inlineStr">
        <is>
          <t>TCKH.V_FTP_INTEREST_RATE_NIM_ON</t>
        </is>
      </c>
      <c r="B773" s="48" t="inlineStr">
        <is>
          <t>GOLD_DERIVED</t>
        </is>
      </c>
      <c r="C773" s="48" t="inlineStr">
        <is>
          <t>2.11</t>
        </is>
      </c>
      <c r="D773" s="48" t="inlineStr">
        <is>
          <t>Nhom 2 - Logic</t>
        </is>
      </c>
      <c r="E773" s="48" t="inlineStr">
        <is>
          <t>Join dùng key hợp lý, không lạm dụng UNION ALL + EXISTS/NOT EXISTS</t>
        </is>
      </c>
      <c r="F773" s="49" t="inlineStr">
        <is>
          <t>PASS</t>
        </is>
      </c>
      <c r="G773" s="48" t="inlineStr">
        <is>
          <t>Pass</t>
        </is>
      </c>
      <c r="H773" s="50" t="inlineStr">
        <is>
          <t>join đều theo điều kiện bằng, không lạm dụng UNION ALL + EXISTS</t>
        </is>
      </c>
      <c r="I773" s="50" t="inlineStr">
        <is>
          <t>Ưu tiên LEFT JOIN theo business key hoặc hashkey. Xem lại các chỗ dùng UNION ALL kết hợp EXISTS/NOT EXISTS — thường thay được bằng một LEFT JOIN. Join không có điều kiện bằng (=) dễ tạo tích Descartes.</t>
        </is>
      </c>
      <c r="J773" s="48" t="inlineStr">
        <is>
          <t>051. OCB_GOLD_TCKH_V_FTP_INTEREST_RATE_NIM_ON_PHAT.xlsx [Script: V_FTP_INTEREST_RATE_NIM_ON]</t>
        </is>
      </c>
    </row>
    <row r="774">
      <c r="A774" s="48" t="inlineStr">
        <is>
          <t>TCKH.V_FTP_INTEREST_RATE_NIM_ON</t>
        </is>
      </c>
      <c r="B774" s="48" t="inlineStr">
        <is>
          <t>GOLD_DERIVED</t>
        </is>
      </c>
      <c r="C774" s="48" t="inlineStr">
        <is>
          <t>2.12</t>
        </is>
      </c>
      <c r="D774" s="48" t="inlineStr">
        <is>
          <t>Nhom 2 - Logic</t>
        </is>
      </c>
      <c r="E774" s="48" t="inlineStr">
        <is>
          <t>Build Gold từ CTE snapshot Silver, không build nhiều tầng chồng chéo</t>
        </is>
      </c>
      <c r="F774" s="49" t="inlineStr">
        <is>
          <t>PASS</t>
        </is>
      </c>
      <c r="G774" s="48" t="inlineStr">
        <is>
          <t>Pass</t>
        </is>
      </c>
      <c r="H774" s="50" t="inlineStr">
        <is>
          <t>mỗi bảng nguồn chỉ đọc trong 1 khối SELECT</t>
        </is>
      </c>
      <c r="I774"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74" s="48" t="inlineStr">
        <is>
          <t>051. OCB_GOLD_TCKH_V_FTP_INTEREST_RATE_NIM_ON_PHAT.xlsx [Script: V_FTP_INTEREST_RATE_NIM_ON]</t>
        </is>
      </c>
    </row>
    <row r="775">
      <c r="A775" s="48" t="inlineStr">
        <is>
          <t>TCKH.V_FTP_INTEREST_RATE_NIM_ON</t>
        </is>
      </c>
      <c r="B775" s="48" t="inlineStr">
        <is>
          <t>GOLD_DERIVED</t>
        </is>
      </c>
      <c r="C775" s="48" t="inlineStr">
        <is>
          <t>3.1</t>
        </is>
      </c>
      <c r="D775" s="48" t="inlineStr">
        <is>
          <t>Nhom 3 - Optimization</t>
        </is>
      </c>
      <c r="E775" s="48" t="inlineStr">
        <is>
          <t>Không SELECT *</t>
        </is>
      </c>
      <c r="F775" s="49" t="inlineStr">
        <is>
          <t>PASS</t>
        </is>
      </c>
      <c r="G775" s="48" t="inlineStr">
        <is>
          <t>Pass</t>
        </is>
      </c>
      <c r="H775" s="50" t="inlineStr">
        <is>
          <t>không dùng SELECT * ở đâu</t>
        </is>
      </c>
      <c r="I775" s="50" t="inlineStr">
        <is>
          <t>Liệt kê tường minh các cột cần dùng, kể cả trong CTE trung gian. SELECT * làm tăng IO/memory và vỡ script khi bảng nguồn thêm cột.</t>
        </is>
      </c>
      <c r="J775" s="48" t="inlineStr">
        <is>
          <t>051. OCB_GOLD_TCKH_V_FTP_INTEREST_RATE_NIM_ON_PHAT.xlsx [Script: V_FTP_INTEREST_RATE_NIM_ON]</t>
        </is>
      </c>
    </row>
    <row r="776">
      <c r="A776" s="48" t="inlineStr">
        <is>
          <t>TCKH.V_FTP_INTEREST_RATE_NIM_ON</t>
        </is>
      </c>
      <c r="B776" s="48" t="inlineStr">
        <is>
          <t>GOLD_DERIVED</t>
        </is>
      </c>
      <c r="C776" s="48" t="inlineStr">
        <is>
          <t>3.2</t>
        </is>
      </c>
      <c r="D776" s="48" t="inlineStr">
        <is>
          <t>Nhom 3 - Optimization</t>
        </is>
      </c>
      <c r="E776" s="48" t="inlineStr">
        <is>
          <t>CTE không bị scan lại nhiều lần</t>
        </is>
      </c>
      <c r="F776" s="49" t="inlineStr">
        <is>
          <t>PASS</t>
        </is>
      </c>
      <c r="G776" s="48" t="inlineStr">
        <is>
          <t>Pass</t>
        </is>
      </c>
      <c r="H776" s="50" t="inlineStr">
        <is>
          <t>không có CTE nào bị gọi lại</t>
        </is>
      </c>
      <c r="I776" s="50" t="inlineStr">
        <is>
          <t>Với CTE nặng (đọc nhiều bảng Silver) bị tham chiếu từ 2 chỗ trở lên: gom lại còn một lần dùng, hoặc vật chất hóa (CACHE / bảng tạm). CTE nhẹ chỉ chứa tham số thì bỏ qua được — tự tick Pass.</t>
        </is>
      </c>
      <c r="J776" s="48" t="inlineStr">
        <is>
          <t>051. OCB_GOLD_TCKH_V_FTP_INTEREST_RATE_NIM_ON_PHAT.xlsx [Script: V_FTP_INTEREST_RATE_NIM_ON]</t>
        </is>
      </c>
    </row>
    <row r="777">
      <c r="A777" s="48" t="inlineStr">
        <is>
          <t>TCKH.V_FTP_INTEREST_RATE_NIM_ON</t>
        </is>
      </c>
      <c r="B777" s="48" t="inlineStr">
        <is>
          <t>GOLD_DERIVED</t>
        </is>
      </c>
      <c r="C777" s="48" t="inlineStr">
        <is>
          <t>3.3</t>
        </is>
      </c>
      <c r="D777" s="48" t="inlineStr">
        <is>
          <t>Nhom 3 - Optimization</t>
        </is>
      </c>
      <c r="E777" s="48" t="inlineStr">
        <is>
          <t>Filter trước khi join, tận dụng partition pruning</t>
        </is>
      </c>
      <c r="F777" s="49" t="inlineStr">
        <is>
          <t>PASS</t>
        </is>
      </c>
      <c r="G777" s="48" t="inlineStr">
        <is>
          <t>Pass</t>
        </is>
      </c>
      <c r="H777" s="50" t="inlineStr">
        <is>
          <t>các bảng join đều được filter trước</t>
        </is>
      </c>
      <c r="I777" s="50" t="inlineStr">
        <is>
          <t>Đưa điều kiện lọc (ngày dữ liệu, trạng thái) vào subquery của từng bảng TRƯỚC khi join, để tận dụng partition pruning. Bảng dim nhỏ không partition thì không cần — tự tick Pass.</t>
        </is>
      </c>
      <c r="J777" s="48" t="inlineStr">
        <is>
          <t>051. OCB_GOLD_TCKH_V_FTP_INTEREST_RATE_NIM_ON_PHAT.xlsx [Script: V_FTP_INTEREST_RATE_NIM_ON]</t>
        </is>
      </c>
    </row>
    <row r="778">
      <c r="A778" s="48" t="inlineStr">
        <is>
          <t>TCKH.V_FTP_INTEREST_RATE_NIM_ON</t>
        </is>
      </c>
      <c r="B778" s="48" t="inlineStr">
        <is>
          <t>GOLD_DERIVED</t>
        </is>
      </c>
      <c r="C778" s="48" t="inlineStr">
        <is>
          <t>3.4</t>
        </is>
      </c>
      <c r="D778" s="48" t="inlineStr">
        <is>
          <t>Nhom 3 - Optimization</t>
        </is>
      </c>
      <c r="E778" s="48" t="inlineStr">
        <is>
          <t>Sử dụng CACHE cho query lặp lại trong cùng luồng</t>
        </is>
      </c>
      <c r="F778" s="48" t="inlineStr">
        <is>
          <t>N-A</t>
        </is>
      </c>
      <c r="G778" s="48" t="inlineStr">
        <is>
          <t>Pass</t>
        </is>
      </c>
      <c r="H778" s="50" t="inlineStr">
        <is>
          <t>không có kết quả nào được dùng lại nhiều lần nên chưa cần CACHE</t>
        </is>
      </c>
      <c r="I778" s="50" t="inlineStr">
        <is>
          <t>Nếu một kết quả nặng được dùng lại nhiều bước trong cùng luồng, thêm CACHE TABLE / CACHE SELECT. Kết quả nhỏ thì cache còn chậm hơn — tự tick Pass.</t>
        </is>
      </c>
      <c r="J778" s="48" t="inlineStr">
        <is>
          <t>051. OCB_GOLD_TCKH_V_FTP_INTEREST_RATE_NIM_ON_PHAT.xlsx [Script: V_FTP_INTEREST_RATE_NIM_ON]</t>
        </is>
      </c>
    </row>
    <row r="779">
      <c r="A779" s="48" t="inlineStr">
        <is>
          <t>TCKH.V_FTP_INTEREST_RATE_NIM_ON</t>
        </is>
      </c>
      <c r="B779" s="48" t="inlineStr">
        <is>
          <t>GOLD_DERIVED</t>
        </is>
      </c>
      <c r="C779" s="48" t="inlineStr">
        <is>
          <t>3.5</t>
        </is>
      </c>
      <c r="D779" s="48" t="inlineStr">
        <is>
          <t>Nhom 3 - Optimization</t>
        </is>
      </c>
      <c r="E779" s="48" t="inlineStr">
        <is>
          <t>Ưu tiên MAX_BY + QUALIFY thay ROW_NUMBER() + WHERE rn = 1</t>
        </is>
      </c>
      <c r="F779" s="48" t="inlineStr">
        <is>
          <t>N-A</t>
        </is>
      </c>
      <c r="G779" s="48" t="inlineStr">
        <is>
          <t>Pass</t>
        </is>
      </c>
      <c r="H779" s="50" t="inlineStr">
        <is>
          <t>script không dùng ROW_NUMBER</t>
        </is>
      </c>
      <c r="I779"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79" s="48" t="inlineStr">
        <is>
          <t>051. OCB_GOLD_TCKH_V_FTP_INTEREST_RATE_NIM_ON_PHAT.xlsx [Script: V_FTP_INTEREST_RATE_NIM_ON]</t>
        </is>
      </c>
    </row>
    <row r="780">
      <c r="A780" s="48" t="inlineStr">
        <is>
          <t>TCKH.V_FTP_INTEREST_RATE_NIM_ON</t>
        </is>
      </c>
      <c r="B780" s="48" t="inlineStr">
        <is>
          <t>GOLD_DERIVED</t>
        </is>
      </c>
      <c r="C780" s="48" t="inlineStr">
        <is>
          <t>3.6</t>
        </is>
      </c>
      <c r="D780" s="48" t="inlineStr">
        <is>
          <t>Nhom 3 - Optimization</t>
        </is>
      </c>
      <c r="E780" s="48" t="inlineStr">
        <is>
          <t>Không lạm dụng window function; có comment khi dùng</t>
        </is>
      </c>
      <c r="F780" s="48" t="inlineStr">
        <is>
          <t>N-A</t>
        </is>
      </c>
      <c r="G780" s="48" t="inlineStr">
        <is>
          <t>Pass</t>
        </is>
      </c>
      <c r="H780" s="50" t="inlineStr">
        <is>
          <t>script không dùng window function</t>
        </is>
      </c>
      <c r="I780" s="50" t="inlineStr">
        <is>
          <t>Mỗi window function cần một comment ngay trên khối CTE chứa nó, nói rõ vì sao không dùng được max_by/QUALIFY đơn giản hơn.</t>
        </is>
      </c>
      <c r="J780" s="48" t="inlineStr">
        <is>
          <t>051. OCB_GOLD_TCKH_V_FTP_INTEREST_RATE_NIM_ON_PHAT.xlsx [Script: V_FTP_INTEREST_RATE_NIM_ON]</t>
        </is>
      </c>
    </row>
    <row r="781">
      <c r="A781" s="48" t="inlineStr">
        <is>
          <t>TCKH.V_FTP_INTEREST_RATE_NIM_ON</t>
        </is>
      </c>
      <c r="B781" s="48" t="inlineStr">
        <is>
          <t>GOLD_DERIVED</t>
        </is>
      </c>
      <c r="C781" s="48" t="inlineStr">
        <is>
          <t>X.1</t>
        </is>
      </c>
      <c r="D781" s="48" t="inlineStr">
        <is>
          <t>Nhom X - Bo sung Raffles</t>
        </is>
      </c>
      <c r="E781" s="48" t="inlineStr">
        <is>
          <t>[Bổ sung] Link phải rút về current trước khi join (chống fan-out)</t>
        </is>
      </c>
      <c r="F781" s="48" t="inlineStr">
        <is>
          <t>N-A</t>
        </is>
      </c>
      <c r="G781" s="48" t="inlineStr">
        <is>
          <t>Pass</t>
        </is>
      </c>
      <c r="H781" s="50" t="inlineStr">
        <is>
          <t>khong ap dung cho profile GOLD_DERIVED</t>
        </is>
      </c>
      <c r="I781"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81" s="48" t="inlineStr">
        <is>
          <t>051. OCB_GOLD_TCKH_V_FTP_INTEREST_RATE_NIM_ON_PHAT.xlsx [Script: V_FTP_INTEREST_RATE_NIM_ON]</t>
        </is>
      </c>
    </row>
    <row r="782">
      <c r="A782" s="48" t="inlineStr">
        <is>
          <t>TCKH.V_FTP_INTEREST_RATE_NIM_ON</t>
        </is>
      </c>
      <c r="B782" s="48" t="inlineStr">
        <is>
          <t>GOLD_DERIVED</t>
        </is>
      </c>
      <c r="C782" s="48" t="inlineStr">
        <is>
          <t>X.6</t>
        </is>
      </c>
      <c r="D782" s="48" t="inlineStr">
        <is>
          <t>Nhom X - Bo sung Raffles</t>
        </is>
      </c>
      <c r="E782" s="48" t="inlineStr">
        <is>
          <t>[Bổ sung] Satellite phải LEFT JOIN, không INNER JOIN</t>
        </is>
      </c>
      <c r="F782" s="48" t="inlineStr">
        <is>
          <t>N-A</t>
        </is>
      </c>
      <c r="G782" s="48" t="inlineStr">
        <is>
          <t>Pass</t>
        </is>
      </c>
      <c r="H782" s="50" t="inlineStr">
        <is>
          <t>khong ap dung cho profile GOLD_DERIVED</t>
        </is>
      </c>
      <c r="I782" s="50" t="inlineStr">
        <is>
          <t>Technical Document III.4.2.2 nguyên tắc 1: làm giàu thuộc tính luôn dùng LEFT JOIN. INNER JOIN satellite sẽ loại mất bản ghi Hub đang còn hiệu lực nhưng chưa có dòng satellite.</t>
        </is>
      </c>
      <c r="J782" s="48" t="inlineStr">
        <is>
          <t>051. OCB_GOLD_TCKH_V_FTP_INTEREST_RATE_NIM_ON_PHAT.xlsx [Script: V_FTP_INTEREST_RATE_NIM_ON]</t>
        </is>
      </c>
    </row>
    <row r="783">
      <c r="A783" s="48" t="inlineStr">
        <is>
          <t>TCKH.V_FTP_INTEREST_RATE_NIM_ON</t>
        </is>
      </c>
      <c r="B783" s="48" t="inlineStr">
        <is>
          <t>GOLD_DERIVED</t>
        </is>
      </c>
      <c r="C783" s="48" t="inlineStr">
        <is>
          <t>X.7</t>
        </is>
      </c>
      <c r="D783" s="48" t="inlineStr">
        <is>
          <t>Nhom X - Bo sung Raffles</t>
        </is>
      </c>
      <c r="E783" s="48" t="inlineStr">
        <is>
          <t>[Bổ sung] Không hard-code catalog, dùng biến môi trường</t>
        </is>
      </c>
      <c r="F783" s="49" t="inlineStr">
        <is>
          <t>PASS</t>
        </is>
      </c>
      <c r="G783" s="48" t="inlineStr">
        <is>
          <t>Pass</t>
        </is>
      </c>
      <c r="H783" s="50" t="inlineStr">
        <is>
          <t>dùng biến môi trường cho catalog</t>
        </is>
      </c>
      <c r="I783"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83" s="48" t="inlineStr">
        <is>
          <t>051. OCB_GOLD_TCKH_V_FTP_INTEREST_RATE_NIM_ON_PHAT.xlsx [Script: V_FTP_INTEREST_RATE_NIM_ON]</t>
        </is>
      </c>
    </row>
    <row r="784">
      <c r="A784" s="48" t="inlineStr">
        <is>
          <t>TCKH.V_FTP_RATE</t>
        </is>
      </c>
      <c r="B784" s="48" t="inlineStr">
        <is>
          <t>GOLD_DERIVED</t>
        </is>
      </c>
      <c r="C784" s="48" t="inlineStr">
        <is>
          <t>1.1</t>
        </is>
      </c>
      <c r="D784" s="48" t="inlineStr">
        <is>
          <t>Nhom 1 - Mapping</t>
        </is>
      </c>
      <c r="E784" s="48" t="inlineStr">
        <is>
          <t>Đầy đủ mapping từ Silver/manual sang Gold</t>
        </is>
      </c>
      <c r="F784" s="49" t="inlineStr">
        <is>
          <t>PASS</t>
        </is>
      </c>
      <c r="G784" s="48" t="inlineStr">
        <is>
          <t>Pass</t>
        </is>
      </c>
      <c r="H784" s="50" t="inlineStr">
        <is>
          <t>workbook 052. OCB_GOLD_TCKH_V_FTP_RATE_PHAT.xlsx: thiết kế 7 field, SQL có 7 cột</t>
        </is>
      </c>
      <c r="I784"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84" s="48" t="inlineStr">
        <is>
          <t>052. OCB_GOLD_TCKH_V_FTP_RATE_PHAT.xlsx [Script: V_FTP_RATE]</t>
        </is>
      </c>
    </row>
    <row r="785">
      <c r="A785" s="48" t="inlineStr">
        <is>
          <t>TCKH.V_FTP_RATE</t>
        </is>
      </c>
      <c r="B785" s="48" t="inlineStr">
        <is>
          <t>GOLD_DERIVED</t>
        </is>
      </c>
      <c r="C785" s="48" t="inlineStr">
        <is>
          <t>1.2</t>
        </is>
      </c>
      <c r="D785" s="48" t="inlineStr">
        <is>
          <t>Nhom 1 - Mapping</t>
        </is>
      </c>
      <c r="E785" s="48" t="inlineStr">
        <is>
          <t>Danh sách bảng/view Gold khớp tài liệu thiết kế đã duyệt</t>
        </is>
      </c>
      <c r="F785" s="49" t="inlineStr">
        <is>
          <t>PASS</t>
        </is>
      </c>
      <c r="G785" s="48" t="inlineStr">
        <is>
          <t>Pass</t>
        </is>
      </c>
      <c r="H785" s="50" t="inlineStr">
        <is>
          <t>V_FTP_RATE có workbook thiết kế: 052. OCB_GOLD_TCKH_V_FTP_RATE_PHAT.xlsx</t>
        </is>
      </c>
      <c r="I785" s="50" t="inlineStr">
        <is>
          <t>Đảm bảo object có workbook thiết kế tương ứng trong thư mục --mapping-dir. Muốn đối chiếu với danh sách đã duyệt thì chạy thêm tham số --gold-list "&lt;file danh sách Gold&gt;.xlsx".</t>
        </is>
      </c>
      <c r="J785" s="48" t="inlineStr">
        <is>
          <t>052. OCB_GOLD_TCKH_V_FTP_RATE_PHAT.xlsx [Script: V_FTP_RATE]</t>
        </is>
      </c>
    </row>
    <row r="786">
      <c r="A786" s="48" t="inlineStr">
        <is>
          <t>TCKH.V_FTP_RATE</t>
        </is>
      </c>
      <c r="B786" s="48" t="inlineStr">
        <is>
          <t>GOLD_DERIVED</t>
        </is>
      </c>
      <c r="C786" s="48" t="inlineStr">
        <is>
          <t>2.1</t>
        </is>
      </c>
      <c r="D786" s="48" t="inlineStr">
        <is>
          <t>Nhom 2 - Logic</t>
        </is>
      </c>
      <c r="E786" s="48" t="inlineStr">
        <is>
          <t>Chỉ lấy bản ghi active, loại bản ghi đã xóa (qua sts_hub)</t>
        </is>
      </c>
      <c r="F786" s="48" t="inlineStr">
        <is>
          <t>N-A</t>
        </is>
      </c>
      <c r="G786" s="48" t="inlineStr">
        <is>
          <t>Pass</t>
        </is>
      </c>
      <c r="H786" s="50" t="inlineStr">
        <is>
          <t>khong ap dung cho profile GOLD_DERIVED</t>
        </is>
      </c>
      <c r="I786"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86" s="48" t="inlineStr">
        <is>
          <t>052. OCB_GOLD_TCKH_V_FTP_RATE_PHAT.xlsx [Script: V_FTP_RATE]</t>
        </is>
      </c>
    </row>
    <row r="787">
      <c r="A787" s="48" t="inlineStr">
        <is>
          <t>TCKH.V_FTP_RATE</t>
        </is>
      </c>
      <c r="B787" s="48" t="inlineStr">
        <is>
          <t>GOLD_DERIVED</t>
        </is>
      </c>
      <c r="C787" s="48" t="inlineStr">
        <is>
          <t>2.2</t>
        </is>
      </c>
      <c r="D787" s="48" t="inlineStr">
        <is>
          <t>Nhom 2 - Logic</t>
        </is>
      </c>
      <c r="E787" s="48" t="inlineStr">
        <is>
          <t>Thống nhất MỘT pattern duy nhất xác định bản ghi active mới nhất</t>
        </is>
      </c>
      <c r="F787" s="48" t="inlineStr">
        <is>
          <t>N-A</t>
        </is>
      </c>
      <c r="G787" s="48" t="inlineStr">
        <is>
          <t>Pass</t>
        </is>
      </c>
      <c r="H787" s="50" t="inlineStr">
        <is>
          <t>khong ap dung cho profile GOLD_DERIVED</t>
        </is>
      </c>
      <c r="I787"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87" s="48" t="inlineStr">
        <is>
          <t>052. OCB_GOLD_TCKH_V_FTP_RATE_PHAT.xlsx [Script: V_FTP_RATE]</t>
        </is>
      </c>
    </row>
    <row r="788">
      <c r="A788" s="48" t="inlineStr">
        <is>
          <t>TCKH.V_FTP_RATE</t>
        </is>
      </c>
      <c r="B788" s="48" t="inlineStr">
        <is>
          <t>GOLD_DERIVED</t>
        </is>
      </c>
      <c r="C788" s="48" t="inlineStr">
        <is>
          <t>2.3</t>
        </is>
      </c>
      <c r="D788" s="48" t="inlineStr">
        <is>
          <t>Nhom 2 - Logic</t>
        </is>
      </c>
      <c r="E788" s="48" t="inlineStr">
        <is>
          <t>Điều kiện lọc trạng thái đặt SAU khi xác định bản ghi mới nhất</t>
        </is>
      </c>
      <c r="F788" s="49" t="inlineStr">
        <is>
          <t>PASS</t>
        </is>
      </c>
      <c r="G788" s="48" t="inlineStr">
        <is>
          <t>Pass</t>
        </is>
      </c>
      <c r="H788" s="50" t="inlineStr">
        <is>
          <t>không có điều kiện trạng thái nào lồng trong JOIN ON</t>
        </is>
      </c>
      <c r="I788"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88" s="48" t="inlineStr">
        <is>
          <t>052. OCB_GOLD_TCKH_V_FTP_RATE_PHAT.xlsx [Script: V_FTP_RATE]</t>
        </is>
      </c>
    </row>
    <row r="789">
      <c r="A789" s="48" t="inlineStr">
        <is>
          <t>TCKH.V_FTP_RATE</t>
        </is>
      </c>
      <c r="B789" s="48" t="inlineStr">
        <is>
          <t>GOLD_DERIVED</t>
        </is>
      </c>
      <c r="C789" s="48" t="inlineStr">
        <is>
          <t>2.4</t>
        </is>
      </c>
      <c r="D789" s="48" t="inlineStr">
        <is>
          <t>Nhom 2 - Logic</t>
        </is>
      </c>
      <c r="E789" s="48" t="inlineStr">
        <is>
          <t>source_event_date áp dụng đúng dạng theo loại bảng</t>
        </is>
      </c>
      <c r="F789" s="48" t="inlineStr">
        <is>
          <t>N-A</t>
        </is>
      </c>
      <c r="G789" s="48" t="inlineStr">
        <is>
          <t>Pass</t>
        </is>
      </c>
      <c r="H789" s="50" t="inlineStr">
        <is>
          <t>khong ap dung cho profile GOLD_DERIVED</t>
        </is>
      </c>
      <c r="I789"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89" s="48" t="inlineStr">
        <is>
          <t>052. OCB_GOLD_TCKH_V_FTP_RATE_PHAT.xlsx [Script: V_FTP_RATE]</t>
        </is>
      </c>
    </row>
    <row r="790">
      <c r="A790" s="48" t="inlineStr">
        <is>
          <t>TCKH.V_FTP_RATE</t>
        </is>
      </c>
      <c r="B790" s="48" t="inlineStr">
        <is>
          <t>GOLD_DERIVED</t>
        </is>
      </c>
      <c r="C790" s="48" t="inlineStr">
        <is>
          <t>2.5</t>
        </is>
      </c>
      <c r="D790" s="48" t="inlineStr">
        <is>
          <t>Nhom 2 - Logic</t>
        </is>
      </c>
      <c r="E790" s="48" t="inlineStr">
        <is>
          <t>Không lặp lại lỗi logic cũ đã được DA Data Vault fix</t>
        </is>
      </c>
      <c r="F790" s="49" t="inlineStr">
        <is>
          <t>PASS</t>
        </is>
      </c>
      <c r="G790" s="48" t="inlineStr">
        <is>
          <t>Pass</t>
        </is>
      </c>
      <c r="H790" s="50" t="inlineStr">
        <is>
          <t>không trùng lỗi nào trong Issue log của DA Data Vault</t>
        </is>
      </c>
      <c r="I790"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90" s="48" t="inlineStr">
        <is>
          <t>052. OCB_GOLD_TCKH_V_FTP_RATE_PHAT.xlsx [Script: V_FTP_RATE]</t>
        </is>
      </c>
    </row>
    <row r="791">
      <c r="A791" s="48" t="inlineStr">
        <is>
          <t>TCKH.V_FTP_RATE</t>
        </is>
      </c>
      <c r="B791" s="48" t="inlineStr">
        <is>
          <t>GOLD_DERIVED</t>
        </is>
      </c>
      <c r="C791" s="48" t="inlineStr">
        <is>
          <t>2.6</t>
        </is>
      </c>
      <c r="D791" s="48" t="inlineStr">
        <is>
          <t>Nhom 2 - Logic</t>
        </is>
      </c>
      <c r="E791" s="48" t="inlineStr">
        <is>
          <t>SCD Type 2 cho bảng DIM áp dụng đúng kỹ thuật đã thống nhất</t>
        </is>
      </c>
      <c r="F791" s="48" t="inlineStr">
        <is>
          <t>N-A</t>
        </is>
      </c>
      <c r="G791" s="48" t="inlineStr">
        <is>
          <t>Pass</t>
        </is>
      </c>
      <c r="H791" s="50" t="inlineStr">
        <is>
          <t>object không phải bảng DIM nên không áp dụng SCD Type 2</t>
        </is>
      </c>
      <c r="I791"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91" s="48" t="inlineStr">
        <is>
          <t>052. OCB_GOLD_TCKH_V_FTP_RATE_PHAT.xlsx [Script: V_FTP_RATE]</t>
        </is>
      </c>
    </row>
    <row r="792">
      <c r="A792" s="48" t="inlineStr">
        <is>
          <t>TCKH.V_FTP_RATE</t>
        </is>
      </c>
      <c r="B792" s="48" t="inlineStr">
        <is>
          <t>GOLD_DERIVED</t>
        </is>
      </c>
      <c r="C792" s="48" t="inlineStr">
        <is>
          <t>2.7</t>
        </is>
      </c>
      <c r="D792" s="48" t="inlineStr">
        <is>
          <t>Nhom 2 - Logic</t>
        </is>
      </c>
      <c r="E792" s="48" t="inlineStr">
        <is>
          <t>CASE WHEN cover đủ nhánh như job on-prem</t>
        </is>
      </c>
      <c r="F792" s="49" t="inlineStr">
        <is>
          <t>PASS</t>
        </is>
      </c>
      <c r="G792" s="48" t="inlineStr">
        <is>
          <t>Pass</t>
        </is>
      </c>
      <c r="H792" s="50" t="inlineStr">
        <is>
          <t>cả 1 CASE đều có nhánh ELSE</t>
        </is>
      </c>
      <c r="I792" s="50" t="inlineStr">
        <is>
          <t>Mở job on-prem tương ứng (DataStage DSX hoặc SQL cũ), đối chiếu từng nhánh WHEN và cả nhánh ELSE. CASE không có ELSE sẽ trả NULL âm thầm — xác nhận đó là ý muốn hay thiếu nhánh.</t>
        </is>
      </c>
      <c r="J792" s="48" t="inlineStr">
        <is>
          <t>052. OCB_GOLD_TCKH_V_FTP_RATE_PHAT.xlsx [Script: V_FTP_RATE]</t>
        </is>
      </c>
    </row>
    <row r="793">
      <c r="A793" s="48" t="inlineStr">
        <is>
          <t>TCKH.V_FTP_RATE</t>
        </is>
      </c>
      <c r="B793" s="48" t="inlineStr">
        <is>
          <t>GOLD_DERIVED</t>
        </is>
      </c>
      <c r="C793" s="48" t="inlineStr">
        <is>
          <t>2.8</t>
        </is>
      </c>
      <c r="D793" s="48" t="inlineStr">
        <is>
          <t>Nhom 2 - Logic</t>
        </is>
      </c>
      <c r="E793" s="48" t="inlineStr">
        <is>
          <t>Cột SUM/COUNT được COALESCE/NVL hợp lý</t>
        </is>
      </c>
      <c r="F793" s="49" t="inlineStr">
        <is>
          <t>PASS</t>
        </is>
      </c>
      <c r="G793" s="48" t="inlineStr">
        <is>
          <t>Pass</t>
        </is>
      </c>
      <c r="H793" s="50" t="inlineStr">
        <is>
          <t>mọi SUM/COUNT đều đã coalesce (trực tiếp hoặc ở lớp ngoài)</t>
        </is>
      </c>
      <c r="I793"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93" s="48" t="inlineStr">
        <is>
          <t>052. OCB_GOLD_TCKH_V_FTP_RATE_PHAT.xlsx [Script: V_FTP_RATE]</t>
        </is>
      </c>
    </row>
    <row r="794">
      <c r="A794" s="48" t="inlineStr">
        <is>
          <t>TCKH.V_FTP_RATE</t>
        </is>
      </c>
      <c r="B794" s="48" t="inlineStr">
        <is>
          <t>GOLD_DERIVED</t>
        </is>
      </c>
      <c r="C794" s="48" t="inlineStr">
        <is>
          <t>2.9</t>
        </is>
      </c>
      <c r="D794" s="48" t="inlineStr">
        <is>
          <t>Nhom 2 - Logic</t>
        </is>
      </c>
      <c r="E794" s="48" t="inlineStr">
        <is>
          <t>Subquery / custom function / điều kiện LIKE đúng ý nghĩa nghiệp vụ</t>
        </is>
      </c>
      <c r="F794" s="49" t="inlineStr">
        <is>
          <t>PASS</t>
        </is>
      </c>
      <c r="G794" s="48" t="inlineStr">
        <is>
          <t>Pass</t>
        </is>
      </c>
      <c r="H794" s="50" t="inlineStr">
        <is>
          <t>3 điều kiện LIKE: SYSTEM_ID LIKE '%PHAITHU%' | SYSTEM_ID LIKE '%PHAITRA%' | SYSTEM_ID LIKE '%TSCOKHAC%'; cú pháp hợp lệ; ý nghĩa nghiệp vụ cần người review đối chiếu job on-prem</t>
        </is>
      </c>
      <c r="I794" s="50" t="inlineStr">
        <is>
          <t>Đọc lại từng điều kiện LIKE và từng subquery, đối chiếu ý nghĩa nghiệp vụ với on-prem — đúng cú pháp không đủ. Chú ý pattern LIKE có ký tự % ở đầu/cuối và phân biệt chữ hoa/thường.</t>
        </is>
      </c>
      <c r="J794" s="48" t="inlineStr">
        <is>
          <t>052. OCB_GOLD_TCKH_V_FTP_RATE_PHAT.xlsx [Script: V_FTP_RATE]</t>
        </is>
      </c>
    </row>
    <row r="795">
      <c r="A795" s="48" t="inlineStr">
        <is>
          <t>TCKH.V_FTP_RATE</t>
        </is>
      </c>
      <c r="B795" s="48" t="inlineStr">
        <is>
          <t>GOLD_DERIVED</t>
        </is>
      </c>
      <c r="C795" s="48" t="inlineStr">
        <is>
          <t>2.10</t>
        </is>
      </c>
      <c r="D795" s="48" t="inlineStr">
        <is>
          <t>Nhom 2 - Logic</t>
        </is>
      </c>
      <c r="E795" s="48" t="inlineStr">
        <is>
          <t>Aggregation kèm filter date range chính xác</t>
        </is>
      </c>
      <c r="F795" s="49" t="inlineStr">
        <is>
          <t>PASS</t>
        </is>
      </c>
      <c r="G795" s="48" t="inlineStr">
        <is>
          <t>Pass</t>
        </is>
      </c>
      <c r="H795" s="50" t="inlineStr">
        <is>
          <t>mọi khối tổng hợp đều có điều kiện theo kỳ dữ liệu</t>
        </is>
      </c>
      <c r="I795" s="50" t="inlineStr">
        <is>
          <t>Mỗi khối SUM/COUNT/AVG phải có điều kiện lọc theo kỳ dữ liệu (CDR_DT_ID, DATA_DATE, :DATADT…). Nếu điều kiện nằm ở CTE nguồn thì ghi rõ trong comment để người review không phải truy ngược.</t>
        </is>
      </c>
      <c r="J795" s="48" t="inlineStr">
        <is>
          <t>052. OCB_GOLD_TCKH_V_FTP_RATE_PHAT.xlsx [Script: V_FTP_RATE]</t>
        </is>
      </c>
    </row>
    <row r="796">
      <c r="A796" s="48" t="inlineStr">
        <is>
          <t>TCKH.V_FTP_RATE</t>
        </is>
      </c>
      <c r="B796" s="48" t="inlineStr">
        <is>
          <t>GOLD_DERIVED</t>
        </is>
      </c>
      <c r="C796" s="48" t="inlineStr">
        <is>
          <t>2.11</t>
        </is>
      </c>
      <c r="D796" s="48" t="inlineStr">
        <is>
          <t>Nhom 2 - Logic</t>
        </is>
      </c>
      <c r="E796" s="48" t="inlineStr">
        <is>
          <t>Join dùng key hợp lý, không lạm dụng UNION ALL + EXISTS/NOT EXISTS</t>
        </is>
      </c>
      <c r="F796" s="49" t="inlineStr">
        <is>
          <t>PASS</t>
        </is>
      </c>
      <c r="G796" s="48" t="inlineStr">
        <is>
          <t>Pass</t>
        </is>
      </c>
      <c r="H796" s="50" t="inlineStr">
        <is>
          <t>join đều theo điều kiện bằng, không lạm dụng UNION ALL + EXISTS</t>
        </is>
      </c>
      <c r="I796" s="50" t="inlineStr">
        <is>
          <t>Ưu tiên LEFT JOIN theo business key hoặc hashkey. Xem lại các chỗ dùng UNION ALL kết hợp EXISTS/NOT EXISTS — thường thay được bằng một LEFT JOIN. Join không có điều kiện bằng (=) dễ tạo tích Descartes.</t>
        </is>
      </c>
      <c r="J796" s="48" t="inlineStr">
        <is>
          <t>052. OCB_GOLD_TCKH_V_FTP_RATE_PHAT.xlsx [Script: V_FTP_RATE]</t>
        </is>
      </c>
    </row>
    <row r="797">
      <c r="A797" s="48" t="inlineStr">
        <is>
          <t>TCKH.V_FTP_RATE</t>
        </is>
      </c>
      <c r="B797" s="48" t="inlineStr">
        <is>
          <t>GOLD_DERIVED</t>
        </is>
      </c>
      <c r="C797" s="48" t="inlineStr">
        <is>
          <t>2.12</t>
        </is>
      </c>
      <c r="D797" s="48" t="inlineStr">
        <is>
          <t>Nhom 2 - Logic</t>
        </is>
      </c>
      <c r="E797" s="48" t="inlineStr">
        <is>
          <t>Build Gold từ CTE snapshot Silver, không build nhiều tầng chồng chéo</t>
        </is>
      </c>
      <c r="F797" s="49" t="inlineStr">
        <is>
          <t>PASS</t>
        </is>
      </c>
      <c r="G797" s="48" t="inlineStr">
        <is>
          <t>Pass</t>
        </is>
      </c>
      <c r="H797" s="50" t="inlineStr">
        <is>
          <t>mỗi bảng nguồn chỉ đọc trong 1 khối SELECT</t>
        </is>
      </c>
      <c r="I797"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97" s="48" t="inlineStr">
        <is>
          <t>052. OCB_GOLD_TCKH_V_FTP_RATE_PHAT.xlsx [Script: V_FTP_RATE]</t>
        </is>
      </c>
    </row>
    <row r="798">
      <c r="A798" s="48" t="inlineStr">
        <is>
          <t>TCKH.V_FTP_RATE</t>
        </is>
      </c>
      <c r="B798" s="48" t="inlineStr">
        <is>
          <t>GOLD_DERIVED</t>
        </is>
      </c>
      <c r="C798" s="48" t="inlineStr">
        <is>
          <t>3.1</t>
        </is>
      </c>
      <c r="D798" s="48" t="inlineStr">
        <is>
          <t>Nhom 3 - Optimization</t>
        </is>
      </c>
      <c r="E798" s="48" t="inlineStr">
        <is>
          <t>Không SELECT *</t>
        </is>
      </c>
      <c r="F798" s="49" t="inlineStr">
        <is>
          <t>PASS</t>
        </is>
      </c>
      <c r="G798" s="48" t="inlineStr">
        <is>
          <t>Pass</t>
        </is>
      </c>
      <c r="H798" s="50" t="inlineStr">
        <is>
          <t>không dùng SELECT * ở đâu</t>
        </is>
      </c>
      <c r="I798" s="50" t="inlineStr">
        <is>
          <t>Liệt kê tường minh các cột cần dùng, kể cả trong CTE trung gian. SELECT * làm tăng IO/memory và vỡ script khi bảng nguồn thêm cột.</t>
        </is>
      </c>
      <c r="J798" s="48" t="inlineStr">
        <is>
          <t>052. OCB_GOLD_TCKH_V_FTP_RATE_PHAT.xlsx [Script: V_FTP_RATE]</t>
        </is>
      </c>
    </row>
    <row r="799">
      <c r="A799" s="48" t="inlineStr">
        <is>
          <t>TCKH.V_FTP_RATE</t>
        </is>
      </c>
      <c r="B799" s="48" t="inlineStr">
        <is>
          <t>GOLD_DERIVED</t>
        </is>
      </c>
      <c r="C799" s="48" t="inlineStr">
        <is>
          <t>3.2</t>
        </is>
      </c>
      <c r="D799" s="48" t="inlineStr">
        <is>
          <t>Nhom 3 - Optimization</t>
        </is>
      </c>
      <c r="E799" s="48" t="inlineStr">
        <is>
          <t>CTE không bị scan lại nhiều lần</t>
        </is>
      </c>
      <c r="F799" s="49" t="inlineStr">
        <is>
          <t>PASS</t>
        </is>
      </c>
      <c r="G799" s="48" t="inlineStr">
        <is>
          <t>Pass</t>
        </is>
      </c>
      <c r="H799" s="50" t="inlineStr">
        <is>
          <t>không có CTE nào bị gọi lại</t>
        </is>
      </c>
      <c r="I799" s="50" t="inlineStr">
        <is>
          <t>Với CTE nặng (đọc nhiều bảng Silver) bị tham chiếu từ 2 chỗ trở lên: gom lại còn một lần dùng, hoặc vật chất hóa (CACHE / bảng tạm). CTE nhẹ chỉ chứa tham số thì bỏ qua được — tự tick Pass.</t>
        </is>
      </c>
      <c r="J799" s="48" t="inlineStr">
        <is>
          <t>052. OCB_GOLD_TCKH_V_FTP_RATE_PHAT.xlsx [Script: V_FTP_RATE]</t>
        </is>
      </c>
    </row>
    <row r="800">
      <c r="A800" s="48" t="inlineStr">
        <is>
          <t>TCKH.V_FTP_RATE</t>
        </is>
      </c>
      <c r="B800" s="48" t="inlineStr">
        <is>
          <t>GOLD_DERIVED</t>
        </is>
      </c>
      <c r="C800" s="48" t="inlineStr">
        <is>
          <t>3.3</t>
        </is>
      </c>
      <c r="D800" s="48" t="inlineStr">
        <is>
          <t>Nhom 3 - Optimization</t>
        </is>
      </c>
      <c r="E800" s="48" t="inlineStr">
        <is>
          <t>Filter trước khi join, tận dụng partition pruning</t>
        </is>
      </c>
      <c r="F800" s="49" t="inlineStr">
        <is>
          <t>PASS</t>
        </is>
      </c>
      <c r="G800" s="48" t="inlineStr">
        <is>
          <t>Pass</t>
        </is>
      </c>
      <c r="H800" s="50" t="inlineStr">
        <is>
          <t>các bảng join đều được filter trước</t>
        </is>
      </c>
      <c r="I800" s="50" t="inlineStr">
        <is>
          <t>Đưa điều kiện lọc (ngày dữ liệu, trạng thái) vào subquery của từng bảng TRƯỚC khi join, để tận dụng partition pruning. Bảng dim nhỏ không partition thì không cần — tự tick Pass.</t>
        </is>
      </c>
      <c r="J800" s="48" t="inlineStr">
        <is>
          <t>052. OCB_GOLD_TCKH_V_FTP_RATE_PHAT.xlsx [Script: V_FTP_RATE]</t>
        </is>
      </c>
    </row>
    <row r="801">
      <c r="A801" s="48" t="inlineStr">
        <is>
          <t>TCKH.V_FTP_RATE</t>
        </is>
      </c>
      <c r="B801" s="48" t="inlineStr">
        <is>
          <t>GOLD_DERIVED</t>
        </is>
      </c>
      <c r="C801" s="48" t="inlineStr">
        <is>
          <t>3.4</t>
        </is>
      </c>
      <c r="D801" s="48" t="inlineStr">
        <is>
          <t>Nhom 3 - Optimization</t>
        </is>
      </c>
      <c r="E801" s="48" t="inlineStr">
        <is>
          <t>Sử dụng CACHE cho query lặp lại trong cùng luồng</t>
        </is>
      </c>
      <c r="F801" s="48" t="inlineStr">
        <is>
          <t>N-A</t>
        </is>
      </c>
      <c r="G801" s="48" t="inlineStr">
        <is>
          <t>Pass</t>
        </is>
      </c>
      <c r="H801" s="50" t="inlineStr">
        <is>
          <t>không có kết quả nào được dùng lại nhiều lần nên chưa cần CACHE</t>
        </is>
      </c>
      <c r="I801" s="50" t="inlineStr">
        <is>
          <t>Nếu một kết quả nặng được dùng lại nhiều bước trong cùng luồng, thêm CACHE TABLE / CACHE SELECT. Kết quả nhỏ thì cache còn chậm hơn — tự tick Pass.</t>
        </is>
      </c>
      <c r="J801" s="48" t="inlineStr">
        <is>
          <t>052. OCB_GOLD_TCKH_V_FTP_RATE_PHAT.xlsx [Script: V_FTP_RATE]</t>
        </is>
      </c>
    </row>
    <row r="802">
      <c r="A802" s="48" t="inlineStr">
        <is>
          <t>TCKH.V_FTP_RATE</t>
        </is>
      </c>
      <c r="B802" s="48" t="inlineStr">
        <is>
          <t>GOLD_DERIVED</t>
        </is>
      </c>
      <c r="C802" s="48" t="inlineStr">
        <is>
          <t>3.5</t>
        </is>
      </c>
      <c r="D802" s="48" t="inlineStr">
        <is>
          <t>Nhom 3 - Optimization</t>
        </is>
      </c>
      <c r="E802" s="48" t="inlineStr">
        <is>
          <t>Ưu tiên MAX_BY + QUALIFY thay ROW_NUMBER() + WHERE rn = 1</t>
        </is>
      </c>
      <c r="F802" s="48" t="inlineStr">
        <is>
          <t>N-A</t>
        </is>
      </c>
      <c r="G802" s="48" t="inlineStr">
        <is>
          <t>Pass</t>
        </is>
      </c>
      <c r="H802" s="50" t="inlineStr">
        <is>
          <t>script không dùng ROW_NUMBER</t>
        </is>
      </c>
      <c r="I802"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02" s="48" t="inlineStr">
        <is>
          <t>052. OCB_GOLD_TCKH_V_FTP_RATE_PHAT.xlsx [Script: V_FTP_RATE]</t>
        </is>
      </c>
    </row>
    <row r="803">
      <c r="A803" s="48" t="inlineStr">
        <is>
          <t>TCKH.V_FTP_RATE</t>
        </is>
      </c>
      <c r="B803" s="48" t="inlineStr">
        <is>
          <t>GOLD_DERIVED</t>
        </is>
      </c>
      <c r="C803" s="48" t="inlineStr">
        <is>
          <t>3.6</t>
        </is>
      </c>
      <c r="D803" s="48" t="inlineStr">
        <is>
          <t>Nhom 3 - Optimization</t>
        </is>
      </c>
      <c r="E803" s="48" t="inlineStr">
        <is>
          <t>Không lạm dụng window function; có comment khi dùng</t>
        </is>
      </c>
      <c r="F803" s="48" t="inlineStr">
        <is>
          <t>N-A</t>
        </is>
      </c>
      <c r="G803" s="48" t="inlineStr">
        <is>
          <t>Pass</t>
        </is>
      </c>
      <c r="H803" s="50" t="inlineStr">
        <is>
          <t>script không dùng window function</t>
        </is>
      </c>
      <c r="I803" s="50" t="inlineStr">
        <is>
          <t>Mỗi window function cần một comment ngay trên khối CTE chứa nó, nói rõ vì sao không dùng được max_by/QUALIFY đơn giản hơn.</t>
        </is>
      </c>
      <c r="J803" s="48" t="inlineStr">
        <is>
          <t>052. OCB_GOLD_TCKH_V_FTP_RATE_PHAT.xlsx [Script: V_FTP_RATE]</t>
        </is>
      </c>
    </row>
    <row r="804">
      <c r="A804" s="48" t="inlineStr">
        <is>
          <t>TCKH.V_FTP_RATE</t>
        </is>
      </c>
      <c r="B804" s="48" t="inlineStr">
        <is>
          <t>GOLD_DERIVED</t>
        </is>
      </c>
      <c r="C804" s="48" t="inlineStr">
        <is>
          <t>X.1</t>
        </is>
      </c>
      <c r="D804" s="48" t="inlineStr">
        <is>
          <t>Nhom X - Bo sung Raffles</t>
        </is>
      </c>
      <c r="E804" s="48" t="inlineStr">
        <is>
          <t>[Bổ sung] Link phải rút về current trước khi join (chống fan-out)</t>
        </is>
      </c>
      <c r="F804" s="48" t="inlineStr">
        <is>
          <t>N-A</t>
        </is>
      </c>
      <c r="G804" s="48" t="inlineStr">
        <is>
          <t>Pass</t>
        </is>
      </c>
      <c r="H804" s="50" t="inlineStr">
        <is>
          <t>khong ap dung cho profile GOLD_DERIVED</t>
        </is>
      </c>
      <c r="I804"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04" s="48" t="inlineStr">
        <is>
          <t>052. OCB_GOLD_TCKH_V_FTP_RATE_PHAT.xlsx [Script: V_FTP_RATE]</t>
        </is>
      </c>
    </row>
    <row r="805">
      <c r="A805" s="48" t="inlineStr">
        <is>
          <t>TCKH.V_FTP_RATE</t>
        </is>
      </c>
      <c r="B805" s="48" t="inlineStr">
        <is>
          <t>GOLD_DERIVED</t>
        </is>
      </c>
      <c r="C805" s="48" t="inlineStr">
        <is>
          <t>X.6</t>
        </is>
      </c>
      <c r="D805" s="48" t="inlineStr">
        <is>
          <t>Nhom X - Bo sung Raffles</t>
        </is>
      </c>
      <c r="E805" s="48" t="inlineStr">
        <is>
          <t>[Bổ sung] Satellite phải LEFT JOIN, không INNER JOIN</t>
        </is>
      </c>
      <c r="F805" s="48" t="inlineStr">
        <is>
          <t>N-A</t>
        </is>
      </c>
      <c r="G805" s="48" t="inlineStr">
        <is>
          <t>Pass</t>
        </is>
      </c>
      <c r="H805" s="50" t="inlineStr">
        <is>
          <t>khong ap dung cho profile GOLD_DERIVED</t>
        </is>
      </c>
      <c r="I805" s="50" t="inlineStr">
        <is>
          <t>Technical Document III.4.2.2 nguyên tắc 1: làm giàu thuộc tính luôn dùng LEFT JOIN. INNER JOIN satellite sẽ loại mất bản ghi Hub đang còn hiệu lực nhưng chưa có dòng satellite.</t>
        </is>
      </c>
      <c r="J805" s="48" t="inlineStr">
        <is>
          <t>052. OCB_GOLD_TCKH_V_FTP_RATE_PHAT.xlsx [Script: V_FTP_RATE]</t>
        </is>
      </c>
    </row>
    <row r="806">
      <c r="A806" s="48" t="inlineStr">
        <is>
          <t>TCKH.V_FTP_RATE</t>
        </is>
      </c>
      <c r="B806" s="48" t="inlineStr">
        <is>
          <t>GOLD_DERIVED</t>
        </is>
      </c>
      <c r="C806" s="48" t="inlineStr">
        <is>
          <t>X.7</t>
        </is>
      </c>
      <c r="D806" s="48" t="inlineStr">
        <is>
          <t>Nhom X - Bo sung Raffles</t>
        </is>
      </c>
      <c r="E806" s="48" t="inlineStr">
        <is>
          <t>[Bổ sung] Không hard-code catalog, dùng biến môi trường</t>
        </is>
      </c>
      <c r="F806" s="49" t="inlineStr">
        <is>
          <t>PASS</t>
        </is>
      </c>
      <c r="G806" s="48" t="inlineStr">
        <is>
          <t>Pass</t>
        </is>
      </c>
      <c r="H806" s="50" t="inlineStr">
        <is>
          <t>dùng biến môi trường cho catalog</t>
        </is>
      </c>
      <c r="I806"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06" s="48" t="inlineStr">
        <is>
          <t>052. OCB_GOLD_TCKH_V_FTP_RATE_PHAT.xlsx [Script: V_FTP_RATE]</t>
        </is>
      </c>
    </row>
    <row r="807">
      <c r="A807" s="48" t="inlineStr">
        <is>
          <t>TCKH.V_OPEX_DTL_ADJ_G</t>
        </is>
      </c>
      <c r="B807" s="48" t="inlineStr">
        <is>
          <t>UPLOAD_VIEW</t>
        </is>
      </c>
      <c r="C807" s="48" t="inlineStr">
        <is>
          <t>1.1</t>
        </is>
      </c>
      <c r="D807" s="48" t="inlineStr">
        <is>
          <t>Nhom 1 - Mapping</t>
        </is>
      </c>
      <c r="E807" s="48" t="inlineStr">
        <is>
          <t>Đầy đủ mapping từ Silver/manual sang Gold</t>
        </is>
      </c>
      <c r="F807" s="49" t="inlineStr">
        <is>
          <t>PASS</t>
        </is>
      </c>
      <c r="G807" s="48" t="inlineStr">
        <is>
          <t>Pass</t>
        </is>
      </c>
      <c r="H807" s="50" t="inlineStr">
        <is>
          <t>workbook 071. OCB_GOLD_TCKH_OPEX_DTL_HOP.xlsx: thiết kế 24 field, SQL có 24 cột</t>
        </is>
      </c>
      <c r="I80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07" s="48" t="inlineStr">
        <is>
          <t>053. OCB_GOLD_TCKH_V_OPEX_DTL_ADJ_G_HOP.xlsx [SCRIPT: V_OPEX_DTL_ADJ_G]</t>
        </is>
      </c>
    </row>
    <row r="808">
      <c r="A808" s="48" t="inlineStr">
        <is>
          <t>TCKH.V_OPEX_DTL_ADJ_G</t>
        </is>
      </c>
      <c r="B808" s="48" t="inlineStr">
        <is>
          <t>UPLOAD_VIEW</t>
        </is>
      </c>
      <c r="C808" s="48" t="inlineStr">
        <is>
          <t>1.2</t>
        </is>
      </c>
      <c r="D808" s="48" t="inlineStr">
        <is>
          <t>Nhom 1 - Mapping</t>
        </is>
      </c>
      <c r="E808" s="48" t="inlineStr">
        <is>
          <t>Danh sách bảng/view Gold khớp tài liệu thiết kế đã duyệt</t>
        </is>
      </c>
      <c r="F808" s="49" t="inlineStr">
        <is>
          <t>PASS</t>
        </is>
      </c>
      <c r="G808" s="48" t="inlineStr">
        <is>
          <t>Pass</t>
        </is>
      </c>
      <c r="H808" s="50" t="inlineStr">
        <is>
          <t>V_OPEX_DTL_ADJ_G có workbook thiết kế: 071. OCB_GOLD_TCKH_OPEX_DTL_HOP.xlsx</t>
        </is>
      </c>
      <c r="I808" s="50" t="inlineStr">
        <is>
          <t>Đảm bảo object có workbook thiết kế tương ứng trong thư mục --mapping-dir. Muốn đối chiếu với danh sách đã duyệt thì chạy thêm tham số --gold-list "&lt;file danh sách Gold&gt;.xlsx".</t>
        </is>
      </c>
      <c r="J808" s="48" t="inlineStr">
        <is>
          <t>053. OCB_GOLD_TCKH_V_OPEX_DTL_ADJ_G_HOP.xlsx [SCRIPT: V_OPEX_DTL_ADJ_G]</t>
        </is>
      </c>
    </row>
    <row r="809">
      <c r="A809" s="48" t="inlineStr">
        <is>
          <t>TCKH.V_OPEX_DTL_ADJ_G</t>
        </is>
      </c>
      <c r="B809" s="48" t="inlineStr">
        <is>
          <t>UPLOAD_VIEW</t>
        </is>
      </c>
      <c r="C809" s="48" t="inlineStr">
        <is>
          <t>2.1</t>
        </is>
      </c>
      <c r="D809" s="48" t="inlineStr">
        <is>
          <t>Nhom 2 - Logic</t>
        </is>
      </c>
      <c r="E809" s="48" t="inlineStr">
        <is>
          <t>Chỉ lấy bản ghi active, loại bản ghi đã xóa (qua sts_hub)</t>
        </is>
      </c>
      <c r="F809" s="48" t="inlineStr">
        <is>
          <t>N-A</t>
        </is>
      </c>
      <c r="G809" s="48" t="inlineStr">
        <is>
          <t>Pass</t>
        </is>
      </c>
      <c r="H809" s="50" t="inlineStr">
        <is>
          <t>khong ap dung cho profile UPLOAD_VIEW</t>
        </is>
      </c>
      <c r="I80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09" s="48" t="inlineStr">
        <is>
          <t>053. OCB_GOLD_TCKH_V_OPEX_DTL_ADJ_G_HOP.xlsx [SCRIPT: V_OPEX_DTL_ADJ_G]</t>
        </is>
      </c>
    </row>
    <row r="810">
      <c r="A810" s="48" t="inlineStr">
        <is>
          <t>TCKH.V_OPEX_DTL_ADJ_G</t>
        </is>
      </c>
      <c r="B810" s="48" t="inlineStr">
        <is>
          <t>UPLOAD_VIEW</t>
        </is>
      </c>
      <c r="C810" s="48" t="inlineStr">
        <is>
          <t>2.2</t>
        </is>
      </c>
      <c r="D810" s="48" t="inlineStr">
        <is>
          <t>Nhom 2 - Logic</t>
        </is>
      </c>
      <c r="E810" s="48" t="inlineStr">
        <is>
          <t>Thống nhất MỘT pattern duy nhất xác định bản ghi active mới nhất</t>
        </is>
      </c>
      <c r="F810" s="48" t="inlineStr">
        <is>
          <t>N-A</t>
        </is>
      </c>
      <c r="G810" s="48" t="inlineStr">
        <is>
          <t>Pass</t>
        </is>
      </c>
      <c r="H810" s="50" t="inlineStr">
        <is>
          <t>khong ap dung cho profile UPLOAD_VIEW</t>
        </is>
      </c>
      <c r="I81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10" s="48" t="inlineStr">
        <is>
          <t>053. OCB_GOLD_TCKH_V_OPEX_DTL_ADJ_G_HOP.xlsx [SCRIPT: V_OPEX_DTL_ADJ_G]</t>
        </is>
      </c>
    </row>
    <row r="811">
      <c r="A811" s="48" t="inlineStr">
        <is>
          <t>TCKH.V_OPEX_DTL_ADJ_G</t>
        </is>
      </c>
      <c r="B811" s="48" t="inlineStr">
        <is>
          <t>UPLOAD_VIEW</t>
        </is>
      </c>
      <c r="C811" s="48" t="inlineStr">
        <is>
          <t>2.3</t>
        </is>
      </c>
      <c r="D811" s="48" t="inlineStr">
        <is>
          <t>Nhom 2 - Logic</t>
        </is>
      </c>
      <c r="E811" s="48" t="inlineStr">
        <is>
          <t>Điều kiện lọc trạng thái đặt SAU khi xác định bản ghi mới nhất</t>
        </is>
      </c>
      <c r="F811" s="48" t="inlineStr">
        <is>
          <t>N-A</t>
        </is>
      </c>
      <c r="G811" s="48" t="inlineStr">
        <is>
          <t>Pass</t>
        </is>
      </c>
      <c r="H811" s="50" t="inlineStr">
        <is>
          <t>khong ap dung cho profile UPLOAD_VIEW</t>
        </is>
      </c>
      <c r="I81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11" s="48" t="inlineStr">
        <is>
          <t>053. OCB_GOLD_TCKH_V_OPEX_DTL_ADJ_G_HOP.xlsx [SCRIPT: V_OPEX_DTL_ADJ_G]</t>
        </is>
      </c>
    </row>
    <row r="812">
      <c r="A812" s="48" t="inlineStr">
        <is>
          <t>TCKH.V_OPEX_DTL_ADJ_G</t>
        </is>
      </c>
      <c r="B812" s="48" t="inlineStr">
        <is>
          <t>UPLOAD_VIEW</t>
        </is>
      </c>
      <c r="C812" s="48" t="inlineStr">
        <is>
          <t>2.4</t>
        </is>
      </c>
      <c r="D812" s="48" t="inlineStr">
        <is>
          <t>Nhom 2 - Logic</t>
        </is>
      </c>
      <c r="E812" s="48" t="inlineStr">
        <is>
          <t>source_event_date áp dụng đúng dạng theo loại bảng</t>
        </is>
      </c>
      <c r="F812" s="48" t="inlineStr">
        <is>
          <t>N-A</t>
        </is>
      </c>
      <c r="G812" s="48" t="inlineStr">
        <is>
          <t>Pass</t>
        </is>
      </c>
      <c r="H812" s="50" t="inlineStr">
        <is>
          <t>khong ap dung cho profile UPLOAD_VIEW</t>
        </is>
      </c>
      <c r="I81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12" s="48" t="inlineStr">
        <is>
          <t>053. OCB_GOLD_TCKH_V_OPEX_DTL_ADJ_G_HOP.xlsx [SCRIPT: V_OPEX_DTL_ADJ_G]</t>
        </is>
      </c>
    </row>
    <row r="813">
      <c r="A813" s="48" t="inlineStr">
        <is>
          <t>TCKH.V_OPEX_DTL_ADJ_G</t>
        </is>
      </c>
      <c r="B813" s="48" t="inlineStr">
        <is>
          <t>UPLOAD_VIEW</t>
        </is>
      </c>
      <c r="C813" s="48" t="inlineStr">
        <is>
          <t>2.5</t>
        </is>
      </c>
      <c r="D813" s="48" t="inlineStr">
        <is>
          <t>Nhom 2 - Logic</t>
        </is>
      </c>
      <c r="E813" s="48" t="inlineStr">
        <is>
          <t>Không lặp lại lỗi logic cũ đã được DA Data Vault fix</t>
        </is>
      </c>
      <c r="F813" s="49" t="inlineStr">
        <is>
          <t>PASS</t>
        </is>
      </c>
      <c r="G813" s="48" t="inlineStr">
        <is>
          <t>Pass</t>
        </is>
      </c>
      <c r="H813" s="50" t="inlineStr">
        <is>
          <t>không trùng lỗi nào trong Issue log của DA Data Vault</t>
        </is>
      </c>
      <c r="I81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13" s="48" t="inlineStr">
        <is>
          <t>053. OCB_GOLD_TCKH_V_OPEX_DTL_ADJ_G_HOP.xlsx [SCRIPT: V_OPEX_DTL_ADJ_G]</t>
        </is>
      </c>
    </row>
    <row r="814">
      <c r="A814" s="48" t="inlineStr">
        <is>
          <t>TCKH.V_OPEX_DTL_ADJ_G</t>
        </is>
      </c>
      <c r="B814" s="48" t="inlineStr">
        <is>
          <t>UPLOAD_VIEW</t>
        </is>
      </c>
      <c r="C814" s="48" t="inlineStr">
        <is>
          <t>2.6</t>
        </is>
      </c>
      <c r="D814" s="48" t="inlineStr">
        <is>
          <t>Nhom 2 - Logic</t>
        </is>
      </c>
      <c r="E814" s="48" t="inlineStr">
        <is>
          <t>SCD Type 2 cho bảng DIM áp dụng đúng kỹ thuật đã thống nhất</t>
        </is>
      </c>
      <c r="F814" s="48" t="inlineStr">
        <is>
          <t>N-A</t>
        </is>
      </c>
      <c r="G814" s="48" t="inlineStr">
        <is>
          <t>Pass</t>
        </is>
      </c>
      <c r="H814" s="50" t="inlineStr">
        <is>
          <t>object không phải bảng DIM nên không áp dụng SCD Type 2</t>
        </is>
      </c>
      <c r="I81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14" s="48" t="inlineStr">
        <is>
          <t>053. OCB_GOLD_TCKH_V_OPEX_DTL_ADJ_G_HOP.xlsx [SCRIPT: V_OPEX_DTL_ADJ_G]</t>
        </is>
      </c>
    </row>
    <row r="815">
      <c r="A815" s="48" t="inlineStr">
        <is>
          <t>TCKH.V_OPEX_DTL_ADJ_G</t>
        </is>
      </c>
      <c r="B815" s="48" t="inlineStr">
        <is>
          <t>UPLOAD_VIEW</t>
        </is>
      </c>
      <c r="C815" s="48" t="inlineStr">
        <is>
          <t>2.7</t>
        </is>
      </c>
      <c r="D815" s="48" t="inlineStr">
        <is>
          <t>Nhom 2 - Logic</t>
        </is>
      </c>
      <c r="E815" s="48" t="inlineStr">
        <is>
          <t>CASE WHEN cover đủ nhánh như job on-prem</t>
        </is>
      </c>
      <c r="F815" s="48" t="inlineStr">
        <is>
          <t>N-A</t>
        </is>
      </c>
      <c r="G815" s="48" t="inlineStr">
        <is>
          <t>Pass</t>
        </is>
      </c>
      <c r="H815" s="50" t="inlineStr">
        <is>
          <t>script không có CASE WHEN nào</t>
        </is>
      </c>
      <c r="I815" s="50" t="inlineStr">
        <is>
          <t>Mở job on-prem tương ứng (DataStage DSX hoặc SQL cũ), đối chiếu từng nhánh WHEN và cả nhánh ELSE. CASE không có ELSE sẽ trả NULL âm thầm — xác nhận đó là ý muốn hay thiếu nhánh.</t>
        </is>
      </c>
      <c r="J815" s="48" t="inlineStr">
        <is>
          <t>053. OCB_GOLD_TCKH_V_OPEX_DTL_ADJ_G_HOP.xlsx [SCRIPT: V_OPEX_DTL_ADJ_G]</t>
        </is>
      </c>
    </row>
    <row r="816">
      <c r="A816" s="48" t="inlineStr">
        <is>
          <t>TCKH.V_OPEX_DTL_ADJ_G</t>
        </is>
      </c>
      <c r="B816" s="48" t="inlineStr">
        <is>
          <t>UPLOAD_VIEW</t>
        </is>
      </c>
      <c r="C816" s="48" t="inlineStr">
        <is>
          <t>2.8</t>
        </is>
      </c>
      <c r="D816" s="48" t="inlineStr">
        <is>
          <t>Nhom 2 - Logic</t>
        </is>
      </c>
      <c r="E816" s="48" t="inlineStr">
        <is>
          <t>Cột SUM/COUNT được COALESCE/NVL hợp lý</t>
        </is>
      </c>
      <c r="F816" s="49" t="inlineStr">
        <is>
          <t>PASS</t>
        </is>
      </c>
      <c r="G816" s="48" t="inlineStr">
        <is>
          <t>Pass</t>
        </is>
      </c>
      <c r="H816" s="50" t="inlineStr">
        <is>
          <t>mọi SUM/COUNT đều đã coalesce (trực tiếp hoặc ở lớp ngoài)</t>
        </is>
      </c>
      <c r="I81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16" s="48" t="inlineStr">
        <is>
          <t>053. OCB_GOLD_TCKH_V_OPEX_DTL_ADJ_G_HOP.xlsx [SCRIPT: V_OPEX_DTL_ADJ_G]</t>
        </is>
      </c>
    </row>
    <row r="817">
      <c r="A817" s="48" t="inlineStr">
        <is>
          <t>TCKH.V_OPEX_DTL_ADJ_G</t>
        </is>
      </c>
      <c r="B817" s="48" t="inlineStr">
        <is>
          <t>UPLOAD_VIEW</t>
        </is>
      </c>
      <c r="C817" s="48" t="inlineStr">
        <is>
          <t>2.9</t>
        </is>
      </c>
      <c r="D817" s="48" t="inlineStr">
        <is>
          <t>Nhom 2 - Logic</t>
        </is>
      </c>
      <c r="E817" s="48" t="inlineStr">
        <is>
          <t>Subquery / custom function / điều kiện LIKE đúng ý nghĩa nghiệp vụ</t>
        </is>
      </c>
      <c r="F817" s="48" t="inlineStr">
        <is>
          <t>N-A</t>
        </is>
      </c>
      <c r="G817" s="48" t="inlineStr">
        <is>
          <t>Pass</t>
        </is>
      </c>
      <c r="H817" s="50" t="inlineStr">
        <is>
          <t>script không có điều kiện LIKE hay scalar subquery nào</t>
        </is>
      </c>
      <c r="I817" s="50" t="inlineStr">
        <is>
          <t>Đọc lại từng điều kiện LIKE và từng subquery, đối chiếu ý nghĩa nghiệp vụ với on-prem — đúng cú pháp không đủ. Chú ý pattern LIKE có ký tự % ở đầu/cuối và phân biệt chữ hoa/thường.</t>
        </is>
      </c>
      <c r="J817" s="48" t="inlineStr">
        <is>
          <t>053. OCB_GOLD_TCKH_V_OPEX_DTL_ADJ_G_HOP.xlsx [SCRIPT: V_OPEX_DTL_ADJ_G]</t>
        </is>
      </c>
    </row>
    <row r="818">
      <c r="A818" s="48" t="inlineStr">
        <is>
          <t>TCKH.V_OPEX_DTL_ADJ_G</t>
        </is>
      </c>
      <c r="B818" s="48" t="inlineStr">
        <is>
          <t>UPLOAD_VIEW</t>
        </is>
      </c>
      <c r="C818" s="48" t="inlineStr">
        <is>
          <t>2.10</t>
        </is>
      </c>
      <c r="D818" s="48" t="inlineStr">
        <is>
          <t>Nhom 2 - Logic</t>
        </is>
      </c>
      <c r="E818" s="48" t="inlineStr">
        <is>
          <t>Aggregation kèm filter date range chính xác</t>
        </is>
      </c>
      <c r="F818" s="49" t="inlineStr">
        <is>
          <t>PASS</t>
        </is>
      </c>
      <c r="G818" s="48" t="inlineStr">
        <is>
          <t>Pass</t>
        </is>
      </c>
      <c r="H818" s="50" t="inlineStr">
        <is>
          <t>mọi khối tổng hợp đều có điều kiện theo kỳ dữ liệu</t>
        </is>
      </c>
      <c r="I818" s="50" t="inlineStr">
        <is>
          <t>Mỗi khối SUM/COUNT/AVG phải có điều kiện lọc theo kỳ dữ liệu (CDR_DT_ID, DATA_DATE, :DATADT…). Nếu điều kiện nằm ở CTE nguồn thì ghi rõ trong comment để người review không phải truy ngược.</t>
        </is>
      </c>
      <c r="J818" s="48" t="inlineStr">
        <is>
          <t>053. OCB_GOLD_TCKH_V_OPEX_DTL_ADJ_G_HOP.xlsx [SCRIPT: V_OPEX_DTL_ADJ_G]</t>
        </is>
      </c>
    </row>
    <row r="819">
      <c r="A819" s="48" t="inlineStr">
        <is>
          <t>TCKH.V_OPEX_DTL_ADJ_G</t>
        </is>
      </c>
      <c r="B819" s="48" t="inlineStr">
        <is>
          <t>UPLOAD_VIEW</t>
        </is>
      </c>
      <c r="C819" s="48" t="inlineStr">
        <is>
          <t>2.11</t>
        </is>
      </c>
      <c r="D819" s="48" t="inlineStr">
        <is>
          <t>Nhom 2 - Logic</t>
        </is>
      </c>
      <c r="E819" s="48" t="inlineStr">
        <is>
          <t>Join dùng key hợp lý, không lạm dụng UNION ALL + EXISTS/NOT EXISTS</t>
        </is>
      </c>
      <c r="F819" s="49" t="inlineStr">
        <is>
          <t>PASS</t>
        </is>
      </c>
      <c r="G819" s="48" t="inlineStr">
        <is>
          <t>Pass</t>
        </is>
      </c>
      <c r="H819" s="50" t="inlineStr">
        <is>
          <t>join đều theo điều kiện bằng, không lạm dụng UNION ALL + EXISTS</t>
        </is>
      </c>
      <c r="I819" s="50" t="inlineStr">
        <is>
          <t>Ưu tiên LEFT JOIN theo business key hoặc hashkey. Xem lại các chỗ dùng UNION ALL kết hợp EXISTS/NOT EXISTS — thường thay được bằng một LEFT JOIN. Join không có điều kiện bằng (=) dễ tạo tích Descartes.</t>
        </is>
      </c>
      <c r="J819" s="48" t="inlineStr">
        <is>
          <t>053. OCB_GOLD_TCKH_V_OPEX_DTL_ADJ_G_HOP.xlsx [SCRIPT: V_OPEX_DTL_ADJ_G]</t>
        </is>
      </c>
    </row>
    <row r="820">
      <c r="A820" s="48" t="inlineStr">
        <is>
          <t>TCKH.V_OPEX_DTL_ADJ_G</t>
        </is>
      </c>
      <c r="B820" s="48" t="inlineStr">
        <is>
          <t>UPLOAD_VIEW</t>
        </is>
      </c>
      <c r="C820" s="48" t="inlineStr">
        <is>
          <t>2.12</t>
        </is>
      </c>
      <c r="D820" s="48" t="inlineStr">
        <is>
          <t>Nhom 2 - Logic</t>
        </is>
      </c>
      <c r="E820" s="48" t="inlineStr">
        <is>
          <t>Build Gold từ CTE snapshot Silver, không build nhiều tầng chồng chéo</t>
        </is>
      </c>
      <c r="F820" s="48" t="inlineStr">
        <is>
          <t>N-A</t>
        </is>
      </c>
      <c r="G820" s="48" t="inlineStr">
        <is>
          <t>Pass</t>
        </is>
      </c>
      <c r="H820" s="50" t="inlineStr">
        <is>
          <t>khong ap dung cho profile UPLOAD_VIEW</t>
        </is>
      </c>
      <c r="I82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20" s="48" t="inlineStr">
        <is>
          <t>053. OCB_GOLD_TCKH_V_OPEX_DTL_ADJ_G_HOP.xlsx [SCRIPT: V_OPEX_DTL_ADJ_G]</t>
        </is>
      </c>
    </row>
    <row r="821">
      <c r="A821" s="48" t="inlineStr">
        <is>
          <t>TCKH.V_OPEX_DTL_ADJ_G</t>
        </is>
      </c>
      <c r="B821" s="48" t="inlineStr">
        <is>
          <t>UPLOAD_VIEW</t>
        </is>
      </c>
      <c r="C821" s="48" t="inlineStr">
        <is>
          <t>3.1</t>
        </is>
      </c>
      <c r="D821" s="48" t="inlineStr">
        <is>
          <t>Nhom 3 - Optimization</t>
        </is>
      </c>
      <c r="E821" s="48" t="inlineStr">
        <is>
          <t>Không SELECT *</t>
        </is>
      </c>
      <c r="F821" s="49" t="inlineStr">
        <is>
          <t>PASS</t>
        </is>
      </c>
      <c r="G821" s="48" t="inlineStr">
        <is>
          <t>Pass</t>
        </is>
      </c>
      <c r="H821" s="50" t="inlineStr">
        <is>
          <t>không dùng SELECT * ở đâu</t>
        </is>
      </c>
      <c r="I821" s="50" t="inlineStr">
        <is>
          <t>Liệt kê tường minh các cột cần dùng, kể cả trong CTE trung gian. SELECT * làm tăng IO/memory và vỡ script khi bảng nguồn thêm cột.</t>
        </is>
      </c>
      <c r="J821" s="48" t="inlineStr">
        <is>
          <t>053. OCB_GOLD_TCKH_V_OPEX_DTL_ADJ_G_HOP.xlsx [SCRIPT: V_OPEX_DTL_ADJ_G]</t>
        </is>
      </c>
    </row>
    <row r="822">
      <c r="A822" s="48" t="inlineStr">
        <is>
          <t>TCKH.V_OPEX_DTL_ADJ_G</t>
        </is>
      </c>
      <c r="B822" s="48" t="inlineStr">
        <is>
          <t>UPLOAD_VIEW</t>
        </is>
      </c>
      <c r="C822" s="48" t="inlineStr">
        <is>
          <t>3.2</t>
        </is>
      </c>
      <c r="D822" s="48" t="inlineStr">
        <is>
          <t>Nhom 3 - Optimization</t>
        </is>
      </c>
      <c r="E822" s="48" t="inlineStr">
        <is>
          <t>CTE không bị scan lại nhiều lần</t>
        </is>
      </c>
      <c r="F822" s="49" t="inlineStr">
        <is>
          <t>PASS</t>
        </is>
      </c>
      <c r="G822" s="48" t="inlineStr">
        <is>
          <t>Pass</t>
        </is>
      </c>
      <c r="H822" s="50" t="inlineStr">
        <is>
          <t>không có CTE nào bị gọi lại</t>
        </is>
      </c>
      <c r="I822" s="50" t="inlineStr">
        <is>
          <t>Với CTE nặng (đọc nhiều bảng Silver) bị tham chiếu từ 2 chỗ trở lên: gom lại còn một lần dùng, hoặc vật chất hóa (CACHE / bảng tạm). CTE nhẹ chỉ chứa tham số thì bỏ qua được — tự tick Pass.</t>
        </is>
      </c>
      <c r="J822" s="48" t="inlineStr">
        <is>
          <t>053. OCB_GOLD_TCKH_V_OPEX_DTL_ADJ_G_HOP.xlsx [SCRIPT: V_OPEX_DTL_ADJ_G]</t>
        </is>
      </c>
    </row>
    <row r="823">
      <c r="A823" s="48" t="inlineStr">
        <is>
          <t>TCKH.V_OPEX_DTL_ADJ_G</t>
        </is>
      </c>
      <c r="B823" s="48" t="inlineStr">
        <is>
          <t>UPLOAD_VIEW</t>
        </is>
      </c>
      <c r="C823" s="48" t="inlineStr">
        <is>
          <t>3.3</t>
        </is>
      </c>
      <c r="D823" s="48" t="inlineStr">
        <is>
          <t>Nhom 3 - Optimization</t>
        </is>
      </c>
      <c r="E823" s="48" t="inlineStr">
        <is>
          <t>Filter trước khi join, tận dụng partition pruning</t>
        </is>
      </c>
      <c r="F823" s="48" t="inlineStr">
        <is>
          <t>N-A</t>
        </is>
      </c>
      <c r="G823" s="48" t="inlineStr">
        <is>
          <t>Pass</t>
        </is>
      </c>
      <c r="H823" s="50" t="inlineStr">
        <is>
          <t>khong ap dung cho profile UPLOAD_VIEW</t>
        </is>
      </c>
      <c r="I823" s="50" t="inlineStr">
        <is>
          <t>Đưa điều kiện lọc (ngày dữ liệu, trạng thái) vào subquery của từng bảng TRƯỚC khi join, để tận dụng partition pruning. Bảng dim nhỏ không partition thì không cần — tự tick Pass.</t>
        </is>
      </c>
      <c r="J823" s="48" t="inlineStr">
        <is>
          <t>053. OCB_GOLD_TCKH_V_OPEX_DTL_ADJ_G_HOP.xlsx [SCRIPT: V_OPEX_DTL_ADJ_G]</t>
        </is>
      </c>
    </row>
    <row r="824">
      <c r="A824" s="48" t="inlineStr">
        <is>
          <t>TCKH.V_OPEX_DTL_ADJ_G</t>
        </is>
      </c>
      <c r="B824" s="48" t="inlineStr">
        <is>
          <t>UPLOAD_VIEW</t>
        </is>
      </c>
      <c r="C824" s="48" t="inlineStr">
        <is>
          <t>3.4</t>
        </is>
      </c>
      <c r="D824" s="48" t="inlineStr">
        <is>
          <t>Nhom 3 - Optimization</t>
        </is>
      </c>
      <c r="E824" s="48" t="inlineStr">
        <is>
          <t>Sử dụng CACHE cho query lặp lại trong cùng luồng</t>
        </is>
      </c>
      <c r="F824" s="48" t="inlineStr">
        <is>
          <t>N-A</t>
        </is>
      </c>
      <c r="G824" s="48" t="inlineStr">
        <is>
          <t>Pass</t>
        </is>
      </c>
      <c r="H824" s="50" t="inlineStr">
        <is>
          <t>không có kết quả nào được dùng lại nhiều lần nên chưa cần CACHE</t>
        </is>
      </c>
      <c r="I824" s="50" t="inlineStr">
        <is>
          <t>Nếu một kết quả nặng được dùng lại nhiều bước trong cùng luồng, thêm CACHE TABLE / CACHE SELECT. Kết quả nhỏ thì cache còn chậm hơn — tự tick Pass.</t>
        </is>
      </c>
      <c r="J824" s="48" t="inlineStr">
        <is>
          <t>053. OCB_GOLD_TCKH_V_OPEX_DTL_ADJ_G_HOP.xlsx [SCRIPT: V_OPEX_DTL_ADJ_G]</t>
        </is>
      </c>
    </row>
    <row r="825">
      <c r="A825" s="48" t="inlineStr">
        <is>
          <t>TCKH.V_OPEX_DTL_ADJ_G</t>
        </is>
      </c>
      <c r="B825" s="48" t="inlineStr">
        <is>
          <t>UPLOAD_VIEW</t>
        </is>
      </c>
      <c r="C825" s="48" t="inlineStr">
        <is>
          <t>3.5</t>
        </is>
      </c>
      <c r="D825" s="48" t="inlineStr">
        <is>
          <t>Nhom 3 - Optimization</t>
        </is>
      </c>
      <c r="E825" s="48" t="inlineStr">
        <is>
          <t>Ưu tiên MAX_BY + QUALIFY thay ROW_NUMBER() + WHERE rn = 1</t>
        </is>
      </c>
      <c r="F825" s="48" t="inlineStr">
        <is>
          <t>N-A</t>
        </is>
      </c>
      <c r="G825" s="48" t="inlineStr">
        <is>
          <t>Pass</t>
        </is>
      </c>
      <c r="H825" s="50" t="inlineStr">
        <is>
          <t>script không dùng ROW_NUMBER</t>
        </is>
      </c>
      <c r="I82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25" s="48" t="inlineStr">
        <is>
          <t>053. OCB_GOLD_TCKH_V_OPEX_DTL_ADJ_G_HOP.xlsx [SCRIPT: V_OPEX_DTL_ADJ_G]</t>
        </is>
      </c>
    </row>
    <row r="826">
      <c r="A826" s="48" t="inlineStr">
        <is>
          <t>TCKH.V_OPEX_DTL_ADJ_G</t>
        </is>
      </c>
      <c r="B826" s="48" t="inlineStr">
        <is>
          <t>UPLOAD_VIEW</t>
        </is>
      </c>
      <c r="C826" s="48" t="inlineStr">
        <is>
          <t>3.6</t>
        </is>
      </c>
      <c r="D826" s="48" t="inlineStr">
        <is>
          <t>Nhom 3 - Optimization</t>
        </is>
      </c>
      <c r="E826" s="48" t="inlineStr">
        <is>
          <t>Không lạm dụng window function; có comment khi dùng</t>
        </is>
      </c>
      <c r="F826" s="48" t="inlineStr">
        <is>
          <t>N-A</t>
        </is>
      </c>
      <c r="G826" s="48" t="inlineStr">
        <is>
          <t>Pass</t>
        </is>
      </c>
      <c r="H826" s="50" t="inlineStr">
        <is>
          <t>script không dùng window function</t>
        </is>
      </c>
      <c r="I826" s="50" t="inlineStr">
        <is>
          <t>Mỗi window function cần một comment ngay trên khối CTE chứa nó, nói rõ vì sao không dùng được max_by/QUALIFY đơn giản hơn.</t>
        </is>
      </c>
      <c r="J826" s="48" t="inlineStr">
        <is>
          <t>053. OCB_GOLD_TCKH_V_OPEX_DTL_ADJ_G_HOP.xlsx [SCRIPT: V_OPEX_DTL_ADJ_G]</t>
        </is>
      </c>
    </row>
    <row r="827">
      <c r="A827" s="48" t="inlineStr">
        <is>
          <t>TCKH.V_OPEX_DTL_ADJ_G</t>
        </is>
      </c>
      <c r="B827" s="48" t="inlineStr">
        <is>
          <t>UPLOAD_VIEW</t>
        </is>
      </c>
      <c r="C827" s="48" t="inlineStr">
        <is>
          <t>X.1</t>
        </is>
      </c>
      <c r="D827" s="48" t="inlineStr">
        <is>
          <t>Nhom X - Bo sung Raffles</t>
        </is>
      </c>
      <c r="E827" s="48" t="inlineStr">
        <is>
          <t>[Bổ sung] Link phải rút về current trước khi join (chống fan-out)</t>
        </is>
      </c>
      <c r="F827" s="48" t="inlineStr">
        <is>
          <t>N-A</t>
        </is>
      </c>
      <c r="G827" s="48" t="inlineStr">
        <is>
          <t>Pass</t>
        </is>
      </c>
      <c r="H827" s="50" t="inlineStr">
        <is>
          <t>khong ap dung cho profile UPLOAD_VIEW</t>
        </is>
      </c>
      <c r="I82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27" s="48" t="inlineStr">
        <is>
          <t>053. OCB_GOLD_TCKH_V_OPEX_DTL_ADJ_G_HOP.xlsx [SCRIPT: V_OPEX_DTL_ADJ_G]</t>
        </is>
      </c>
    </row>
    <row r="828">
      <c r="A828" s="48" t="inlineStr">
        <is>
          <t>TCKH.V_OPEX_DTL_ADJ_G</t>
        </is>
      </c>
      <c r="B828" s="48" t="inlineStr">
        <is>
          <t>UPLOAD_VIEW</t>
        </is>
      </c>
      <c r="C828" s="48" t="inlineStr">
        <is>
          <t>X.6</t>
        </is>
      </c>
      <c r="D828" s="48" t="inlineStr">
        <is>
          <t>Nhom X - Bo sung Raffles</t>
        </is>
      </c>
      <c r="E828" s="48" t="inlineStr">
        <is>
          <t>[Bổ sung] Satellite phải LEFT JOIN, không INNER JOIN</t>
        </is>
      </c>
      <c r="F828" s="48" t="inlineStr">
        <is>
          <t>N-A</t>
        </is>
      </c>
      <c r="G828" s="48" t="inlineStr">
        <is>
          <t>Pass</t>
        </is>
      </c>
      <c r="H828" s="50" t="inlineStr">
        <is>
          <t>khong ap dung cho profile UPLOAD_VIEW</t>
        </is>
      </c>
      <c r="I828" s="50" t="inlineStr">
        <is>
          <t>Technical Document III.4.2.2 nguyên tắc 1: làm giàu thuộc tính luôn dùng LEFT JOIN. INNER JOIN satellite sẽ loại mất bản ghi Hub đang còn hiệu lực nhưng chưa có dòng satellite.</t>
        </is>
      </c>
      <c r="J828" s="48" t="inlineStr">
        <is>
          <t>053. OCB_GOLD_TCKH_V_OPEX_DTL_ADJ_G_HOP.xlsx [SCRIPT: V_OPEX_DTL_ADJ_G]</t>
        </is>
      </c>
    </row>
    <row r="829">
      <c r="A829" s="48" t="inlineStr">
        <is>
          <t>TCKH.V_OPEX_DTL_ADJ_G</t>
        </is>
      </c>
      <c r="B829" s="48" t="inlineStr">
        <is>
          <t>UPLOAD_VIEW</t>
        </is>
      </c>
      <c r="C829" s="48" t="inlineStr">
        <is>
          <t>X.7</t>
        </is>
      </c>
      <c r="D829" s="48" t="inlineStr">
        <is>
          <t>Nhom X - Bo sung Raffles</t>
        </is>
      </c>
      <c r="E829" s="48" t="inlineStr">
        <is>
          <t>[Bổ sung] Không hard-code catalog, dùng biến môi trường</t>
        </is>
      </c>
      <c r="F829" s="48" t="inlineStr">
        <is>
          <t>N-A</t>
        </is>
      </c>
      <c r="G829" s="48" t="inlineStr">
        <is>
          <t>Pass</t>
        </is>
      </c>
      <c r="H829" s="50" t="inlineStr">
        <is>
          <t>khong ap dung cho profile UPLOAD_VIEW</t>
        </is>
      </c>
      <c r="I82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29" s="48" t="inlineStr">
        <is>
          <t>053. OCB_GOLD_TCKH_V_OPEX_DTL_ADJ_G_HOP.xlsx [SCRIPT: V_OPEX_DTL_ADJ_G]</t>
        </is>
      </c>
    </row>
    <row r="830">
      <c r="A830" s="48" t="inlineStr">
        <is>
          <t>TCKH.V_SBV_1</t>
        </is>
      </c>
      <c r="B830" s="48" t="inlineStr">
        <is>
          <t>SILVER_CONSUMER</t>
        </is>
      </c>
      <c r="C830" s="48" t="inlineStr">
        <is>
          <t>1.1</t>
        </is>
      </c>
      <c r="D830" s="48" t="inlineStr">
        <is>
          <t>Nhom 1 - Mapping</t>
        </is>
      </c>
      <c r="E830" s="48" t="inlineStr">
        <is>
          <t>Đầy đủ mapping từ Silver/manual sang Gold</t>
        </is>
      </c>
      <c r="F830" s="49" t="inlineStr">
        <is>
          <t>PASS</t>
        </is>
      </c>
      <c r="G830" s="48" t="inlineStr">
        <is>
          <t>Pass</t>
        </is>
      </c>
      <c r="H830" s="50" t="inlineStr">
        <is>
          <t>workbook 058. OCB_GOLD_TCKH_V_SBV_1.xlsx: thiết kế 20 field, SQL có 20 cột</t>
        </is>
      </c>
      <c r="I830"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30" s="48" t="inlineStr">
        <is>
          <t>058. OCB_GOLD_TCKH_V_SBV_1.xlsx [Script SQL: V_SBV_1]</t>
        </is>
      </c>
    </row>
    <row r="831">
      <c r="A831" s="48" t="inlineStr">
        <is>
          <t>TCKH.V_SBV_1</t>
        </is>
      </c>
      <c r="B831" s="48" t="inlineStr">
        <is>
          <t>SILVER_CONSUMER</t>
        </is>
      </c>
      <c r="C831" s="48" t="inlineStr">
        <is>
          <t>1.2</t>
        </is>
      </c>
      <c r="D831" s="48" t="inlineStr">
        <is>
          <t>Nhom 1 - Mapping</t>
        </is>
      </c>
      <c r="E831" s="48" t="inlineStr">
        <is>
          <t>Danh sách bảng/view Gold khớp tài liệu thiết kế đã duyệt</t>
        </is>
      </c>
      <c r="F831" s="49" t="inlineStr">
        <is>
          <t>PASS</t>
        </is>
      </c>
      <c r="G831" s="48" t="inlineStr">
        <is>
          <t>Pass</t>
        </is>
      </c>
      <c r="H831" s="50" t="inlineStr">
        <is>
          <t>V_SBV_1 có workbook thiết kế: 058. OCB_GOLD_TCKH_V_SBV_1.xlsx</t>
        </is>
      </c>
      <c r="I831" s="50" t="inlineStr">
        <is>
          <t>Đảm bảo object có workbook thiết kế tương ứng trong thư mục --mapping-dir. Muốn đối chiếu với danh sách đã duyệt thì chạy thêm tham số --gold-list "&lt;file danh sách Gold&gt;.xlsx".</t>
        </is>
      </c>
      <c r="J831" s="48" t="inlineStr">
        <is>
          <t>058. OCB_GOLD_TCKH_V_SBV_1.xlsx [Script SQL: V_SBV_1]</t>
        </is>
      </c>
    </row>
    <row r="832">
      <c r="A832" s="48" t="inlineStr">
        <is>
          <t>TCKH.V_SBV_1</t>
        </is>
      </c>
      <c r="B832" s="48" t="inlineStr">
        <is>
          <t>SILVER_CONSUMER</t>
        </is>
      </c>
      <c r="C832" s="48" t="inlineStr">
        <is>
          <t>2.1</t>
        </is>
      </c>
      <c r="D832" s="48" t="inlineStr">
        <is>
          <t>Nhom 2 - Logic</t>
        </is>
      </c>
      <c r="E832" s="48" t="inlineStr">
        <is>
          <t>Chỉ lấy bản ghi active, loại bản ghi đã xóa (qua sts_hub)</t>
        </is>
      </c>
      <c r="F832" s="49" t="inlineStr">
        <is>
          <t>PASS</t>
        </is>
      </c>
      <c r="G832" s="48" t="inlineStr">
        <is>
          <t>Pass</t>
        </is>
      </c>
      <c r="H832" s="50" t="inlineStr">
        <is>
          <t>không dùng sts_hub_* (không có yêu cầu nghiệp vụ giữ bản ghi đã xóa)</t>
        </is>
      </c>
      <c r="I832"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32" s="48" t="inlineStr">
        <is>
          <t>058. OCB_GOLD_TCKH_V_SBV_1.xlsx [Script SQL: V_SBV_1]</t>
        </is>
      </c>
    </row>
    <row r="833">
      <c r="A833" s="48" t="inlineStr">
        <is>
          <t>TCKH.V_SBV_1</t>
        </is>
      </c>
      <c r="B833" s="48" t="inlineStr">
        <is>
          <t>SILVER_CONSUMER</t>
        </is>
      </c>
      <c r="C833" s="48" t="inlineStr">
        <is>
          <t>2.2</t>
        </is>
      </c>
      <c r="D833" s="48" t="inlineStr">
        <is>
          <t>Nhom 2 - Logic</t>
        </is>
      </c>
      <c r="E833" s="48" t="inlineStr">
        <is>
          <t>Thống nhất MỘT pattern duy nhất xác định bản ghi active mới nhất</t>
        </is>
      </c>
      <c r="F833" s="49" t="inlineStr">
        <is>
          <t>PASS</t>
        </is>
      </c>
      <c r="G833" s="48" t="inlineStr">
        <is>
          <t>Pass</t>
        </is>
      </c>
      <c r="H833" s="50" t="inlineStr">
        <is>
          <t>file này dùng: ['MAX_BY']; toàn batch dùng: ['MAX_BY']</t>
        </is>
      </c>
      <c r="I833"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33" s="48" t="inlineStr">
        <is>
          <t>058. OCB_GOLD_TCKH_V_SBV_1.xlsx [Script SQL: V_SBV_1]</t>
        </is>
      </c>
    </row>
    <row r="834">
      <c r="A834" s="48" t="inlineStr">
        <is>
          <t>TCKH.V_SBV_1</t>
        </is>
      </c>
      <c r="B834" s="48" t="inlineStr">
        <is>
          <t>SILVER_CONSUMER</t>
        </is>
      </c>
      <c r="C834" s="48" t="inlineStr">
        <is>
          <t>2.3</t>
        </is>
      </c>
      <c r="D834" s="48" t="inlineStr">
        <is>
          <t>Nhom 2 - Logic</t>
        </is>
      </c>
      <c r="E834" s="48" t="inlineStr">
        <is>
          <t>Điều kiện lọc trạng thái đặt SAU khi xác định bản ghi mới nhất</t>
        </is>
      </c>
      <c r="F834" s="49" t="inlineStr">
        <is>
          <t>PASS</t>
        </is>
      </c>
      <c r="G834" s="48" t="inlineStr">
        <is>
          <t>Pass</t>
        </is>
      </c>
      <c r="H834" s="50" t="inlineStr">
        <is>
          <t>không có điều kiện trạng thái nào lồng trong JOIN ON</t>
        </is>
      </c>
      <c r="I834"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34" s="48" t="inlineStr">
        <is>
          <t>058. OCB_GOLD_TCKH_V_SBV_1.xlsx [Script SQL: V_SBV_1]</t>
        </is>
      </c>
    </row>
    <row r="835">
      <c r="A835" s="48" t="inlineStr">
        <is>
          <t>TCKH.V_SBV_1</t>
        </is>
      </c>
      <c r="B835" s="48" t="inlineStr">
        <is>
          <t>SILVER_CONSUMER</t>
        </is>
      </c>
      <c r="C835" s="48" t="inlineStr">
        <is>
          <t>2.4</t>
        </is>
      </c>
      <c r="D835" s="48" t="inlineStr">
        <is>
          <t>Nhom 2 - Logic</t>
        </is>
      </c>
      <c r="E835" s="48" t="inlineStr">
        <is>
          <t>source_event_date áp dụng đúng dạng theo loại bảng</t>
        </is>
      </c>
      <c r="F835" s="49" t="inlineStr">
        <is>
          <t>PASS</t>
        </is>
      </c>
      <c r="G835" s="48" t="inlineStr">
        <is>
          <t>Pass</t>
        </is>
      </c>
      <c r="H835" s="50" t="inlineStr">
        <is>
          <t>1 satellite đều đúng dạng điều kiện source_event_date</t>
        </is>
      </c>
      <c r="I835"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35" s="48" t="inlineStr">
        <is>
          <t>058. OCB_GOLD_TCKH_V_SBV_1.xlsx [Script SQL: V_SBV_1]</t>
        </is>
      </c>
    </row>
    <row r="836">
      <c r="A836" s="48" t="inlineStr">
        <is>
          <t>TCKH.V_SBV_1</t>
        </is>
      </c>
      <c r="B836" s="48" t="inlineStr">
        <is>
          <t>SILVER_CONSUMER</t>
        </is>
      </c>
      <c r="C836" s="48" t="inlineStr">
        <is>
          <t>2.5</t>
        </is>
      </c>
      <c r="D836" s="48" t="inlineStr">
        <is>
          <t>Nhom 2 - Logic</t>
        </is>
      </c>
      <c r="E836" s="48" t="inlineStr">
        <is>
          <t>Không lặp lại lỗi logic cũ đã được DA Data Vault fix</t>
        </is>
      </c>
      <c r="F836" s="49" t="inlineStr">
        <is>
          <t>PASS</t>
        </is>
      </c>
      <c r="G836" s="48" t="inlineStr">
        <is>
          <t>Pass</t>
        </is>
      </c>
      <c r="H836" s="50" t="inlineStr">
        <is>
          <t>không trùng lỗi nào trong Issue log của DA Data Vault</t>
        </is>
      </c>
      <c r="I836"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6" s="48" t="inlineStr">
        <is>
          <t>058. OCB_GOLD_TCKH_V_SBV_1.xlsx [Script SQL: V_SBV_1]</t>
        </is>
      </c>
    </row>
    <row r="837">
      <c r="A837" s="48" t="inlineStr">
        <is>
          <t>TCKH.V_SBV_1</t>
        </is>
      </c>
      <c r="B837" s="48" t="inlineStr">
        <is>
          <t>SILVER_CONSUMER</t>
        </is>
      </c>
      <c r="C837" s="48" t="inlineStr">
        <is>
          <t>2.6</t>
        </is>
      </c>
      <c r="D837" s="48" t="inlineStr">
        <is>
          <t>Nhom 2 - Logic</t>
        </is>
      </c>
      <c r="E837" s="48" t="inlineStr">
        <is>
          <t>SCD Type 2 cho bảng DIM áp dụng đúng kỹ thuật đã thống nhất</t>
        </is>
      </c>
      <c r="F837" s="48" t="inlineStr">
        <is>
          <t>N-A</t>
        </is>
      </c>
      <c r="G837" s="48" t="inlineStr">
        <is>
          <t>Pass</t>
        </is>
      </c>
      <c r="H837" s="50" t="inlineStr">
        <is>
          <t>object không phải bảng DIM nên không áp dụng SCD Type 2</t>
        </is>
      </c>
      <c r="I837"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37" s="48" t="inlineStr">
        <is>
          <t>058. OCB_GOLD_TCKH_V_SBV_1.xlsx [Script SQL: V_SBV_1]</t>
        </is>
      </c>
    </row>
    <row r="838">
      <c r="A838" s="48" t="inlineStr">
        <is>
          <t>TCKH.V_SBV_1</t>
        </is>
      </c>
      <c r="B838" s="48" t="inlineStr">
        <is>
          <t>SILVER_CONSUMER</t>
        </is>
      </c>
      <c r="C838" s="48" t="inlineStr">
        <is>
          <t>2.7</t>
        </is>
      </c>
      <c r="D838" s="48" t="inlineStr">
        <is>
          <t>Nhom 2 - Logic</t>
        </is>
      </c>
      <c r="E838" s="48" t="inlineStr">
        <is>
          <t>CASE WHEN cover đủ nhánh như job on-prem</t>
        </is>
      </c>
      <c r="F838" s="48" t="inlineStr">
        <is>
          <t>N-A</t>
        </is>
      </c>
      <c r="G838" s="48" t="inlineStr">
        <is>
          <t>Pass</t>
        </is>
      </c>
      <c r="H838" s="50" t="inlineStr">
        <is>
          <t>script không có CASE WHEN nào</t>
        </is>
      </c>
      <c r="I838" s="50" t="inlineStr">
        <is>
          <t>Mở job on-prem tương ứng (DataStage DSX hoặc SQL cũ), đối chiếu từng nhánh WHEN và cả nhánh ELSE. CASE không có ELSE sẽ trả NULL âm thầm — xác nhận đó là ý muốn hay thiếu nhánh.</t>
        </is>
      </c>
      <c r="J838" s="48" t="inlineStr">
        <is>
          <t>058. OCB_GOLD_TCKH_V_SBV_1.xlsx [Script SQL: V_SBV_1]</t>
        </is>
      </c>
    </row>
    <row r="839">
      <c r="A839" s="48" t="inlineStr">
        <is>
          <t>TCKH.V_SBV_1</t>
        </is>
      </c>
      <c r="B839" s="48" t="inlineStr">
        <is>
          <t>SILVER_CONSUMER</t>
        </is>
      </c>
      <c r="C839" s="48" t="inlineStr">
        <is>
          <t>2.8</t>
        </is>
      </c>
      <c r="D839" s="48" t="inlineStr">
        <is>
          <t>Nhom 2 - Logic</t>
        </is>
      </c>
      <c r="E839" s="48" t="inlineStr">
        <is>
          <t>Cột SUM/COUNT được COALESCE/NVL hợp lý</t>
        </is>
      </c>
      <c r="F839" s="49" t="inlineStr">
        <is>
          <t>PASS</t>
        </is>
      </c>
      <c r="G839" s="48" t="inlineStr">
        <is>
          <t>Pass</t>
        </is>
      </c>
      <c r="H839" s="50" t="inlineStr">
        <is>
          <t>mọi SUM/COUNT đều đã coalesce (trực tiếp hoặc ở lớp ngoài)</t>
        </is>
      </c>
      <c r="I839"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39" s="48" t="inlineStr">
        <is>
          <t>058. OCB_GOLD_TCKH_V_SBV_1.xlsx [Script SQL: V_SBV_1]</t>
        </is>
      </c>
    </row>
    <row r="840">
      <c r="A840" s="48" t="inlineStr">
        <is>
          <t>TCKH.V_SBV_1</t>
        </is>
      </c>
      <c r="B840" s="48" t="inlineStr">
        <is>
          <t>SILVER_CONSUMER</t>
        </is>
      </c>
      <c r="C840" s="48" t="inlineStr">
        <is>
          <t>2.9</t>
        </is>
      </c>
      <c r="D840" s="48" t="inlineStr">
        <is>
          <t>Nhom 2 - Logic</t>
        </is>
      </c>
      <c r="E840" s="48" t="inlineStr">
        <is>
          <t>Subquery / custom function / điều kiện LIKE đúng ý nghĩa nghiệp vụ</t>
        </is>
      </c>
      <c r="F840" s="49" t="inlineStr">
        <is>
          <t>PASS</t>
        </is>
      </c>
      <c r="G840" s="48" t="inlineStr">
        <is>
          <t>Pass</t>
        </is>
      </c>
      <c r="H840" s="50" t="inlineStr">
        <is>
          <t>2 điều kiện LIKE: h.business_key NOT LIKE '%LOCAL%' | h.business_key NOT LIKE '%PROFIT%'; cú pháp hợp lệ; ý nghĩa nghiệp vụ cần người review đối chiếu job on-prem</t>
        </is>
      </c>
      <c r="I840" s="50" t="inlineStr">
        <is>
          <t>Đọc lại từng điều kiện LIKE và từng subquery, đối chiếu ý nghĩa nghiệp vụ với on-prem — đúng cú pháp không đủ. Chú ý pattern LIKE có ký tự % ở đầu/cuối và phân biệt chữ hoa/thường.</t>
        </is>
      </c>
      <c r="J840" s="48" t="inlineStr">
        <is>
          <t>058. OCB_GOLD_TCKH_V_SBV_1.xlsx [Script SQL: V_SBV_1]</t>
        </is>
      </c>
    </row>
    <row r="841">
      <c r="A841" s="48" t="inlineStr">
        <is>
          <t>TCKH.V_SBV_1</t>
        </is>
      </c>
      <c r="B841" s="48" t="inlineStr">
        <is>
          <t>SILVER_CONSUMER</t>
        </is>
      </c>
      <c r="C841" s="48" t="inlineStr">
        <is>
          <t>2.10</t>
        </is>
      </c>
      <c r="D841" s="48" t="inlineStr">
        <is>
          <t>Nhom 2 - Logic</t>
        </is>
      </c>
      <c r="E841" s="48" t="inlineStr">
        <is>
          <t>Aggregation kèm filter date range chính xác</t>
        </is>
      </c>
      <c r="F841" s="49" t="inlineStr">
        <is>
          <t>PASS</t>
        </is>
      </c>
      <c r="G841" s="48" t="inlineStr">
        <is>
          <t>Pass</t>
        </is>
      </c>
      <c r="H841" s="50" t="inlineStr">
        <is>
          <t>mọi khối tổng hợp đều có điều kiện theo kỳ dữ liệu</t>
        </is>
      </c>
      <c r="I841" s="50" t="inlineStr">
        <is>
          <t>Mỗi khối SUM/COUNT/AVG phải có điều kiện lọc theo kỳ dữ liệu (CDR_DT_ID, DATA_DATE, :DATADT…). Nếu điều kiện nằm ở CTE nguồn thì ghi rõ trong comment để người review không phải truy ngược.</t>
        </is>
      </c>
      <c r="J841" s="48" t="inlineStr">
        <is>
          <t>058. OCB_GOLD_TCKH_V_SBV_1.xlsx [Script SQL: V_SBV_1]</t>
        </is>
      </c>
    </row>
    <row r="842">
      <c r="A842" s="48" t="inlineStr">
        <is>
          <t>TCKH.V_SBV_1</t>
        </is>
      </c>
      <c r="B842" s="48" t="inlineStr">
        <is>
          <t>SILVER_CONSUMER</t>
        </is>
      </c>
      <c r="C842" s="48" t="inlineStr">
        <is>
          <t>2.11</t>
        </is>
      </c>
      <c r="D842" s="48" t="inlineStr">
        <is>
          <t>Nhom 2 - Logic</t>
        </is>
      </c>
      <c r="E842" s="48" t="inlineStr">
        <is>
          <t>Join dùng key hợp lý, không lạm dụng UNION ALL + EXISTS/NOT EXISTS</t>
        </is>
      </c>
      <c r="F842" s="51" t="inlineStr">
        <is>
          <t>WARN</t>
        </is>
      </c>
      <c r="G842" s="48" t="inlineStr">
        <is>
          <t>WARN</t>
        </is>
      </c>
      <c r="H842" s="50" t="inlineStr">
        <is>
          <t>join không có điều kiện bằng (=): ['s']</t>
        </is>
      </c>
      <c r="I842" s="50" t="inlineStr">
        <is>
          <t>Ưu tiên LEFT JOIN theo business key hoặc hashkey. Xem lại các chỗ dùng UNION ALL kết hợp EXISTS/NOT EXISTS — thường thay được bằng một LEFT JOIN. Join không có điều kiện bằng (=) dễ tạo tích Descartes.</t>
        </is>
      </c>
      <c r="J842" s="48" t="inlineStr">
        <is>
          <t>058. OCB_GOLD_TCKH_V_SBV_1.xlsx [Script SQL: V_SBV_1]</t>
        </is>
      </c>
    </row>
    <row r="843">
      <c r="A843" s="48" t="inlineStr">
        <is>
          <t>TCKH.V_SBV_1</t>
        </is>
      </c>
      <c r="B843" s="48" t="inlineStr">
        <is>
          <t>SILVER_CONSUMER</t>
        </is>
      </c>
      <c r="C843" s="48" t="inlineStr">
        <is>
          <t>2.12</t>
        </is>
      </c>
      <c r="D843" s="48" t="inlineStr">
        <is>
          <t>Nhom 2 - Logic</t>
        </is>
      </c>
      <c r="E843" s="48" t="inlineStr">
        <is>
          <t>Build Gold từ CTE snapshot Silver, không build nhiều tầng chồng chéo</t>
        </is>
      </c>
      <c r="F843" s="49" t="inlineStr">
        <is>
          <t>PASS</t>
        </is>
      </c>
      <c r="G843" s="48" t="inlineStr">
        <is>
          <t>Pass</t>
        </is>
      </c>
      <c r="H843" s="50" t="inlineStr">
        <is>
          <t>mỗi bảng nguồn chỉ đọc trong 1 khối SELECT</t>
        </is>
      </c>
      <c r="I843"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43" s="48" t="inlineStr">
        <is>
          <t>058. OCB_GOLD_TCKH_V_SBV_1.xlsx [Script SQL: V_SBV_1]</t>
        </is>
      </c>
    </row>
    <row r="844">
      <c r="A844" s="48" t="inlineStr">
        <is>
          <t>TCKH.V_SBV_1</t>
        </is>
      </c>
      <c r="B844" s="48" t="inlineStr">
        <is>
          <t>SILVER_CONSUMER</t>
        </is>
      </c>
      <c r="C844" s="48" t="inlineStr">
        <is>
          <t>3.1</t>
        </is>
      </c>
      <c r="D844" s="48" t="inlineStr">
        <is>
          <t>Nhom 3 - Optimization</t>
        </is>
      </c>
      <c r="E844" s="48" t="inlineStr">
        <is>
          <t>Không SELECT *</t>
        </is>
      </c>
      <c r="F844" s="49" t="inlineStr">
        <is>
          <t>PASS</t>
        </is>
      </c>
      <c r="G844" s="48" t="inlineStr">
        <is>
          <t>Pass</t>
        </is>
      </c>
      <c r="H844" s="50" t="inlineStr">
        <is>
          <t>không dùng SELECT * ở đâu</t>
        </is>
      </c>
      <c r="I844" s="50" t="inlineStr">
        <is>
          <t>Liệt kê tường minh các cột cần dùng, kể cả trong CTE trung gian. SELECT * làm tăng IO/memory và vỡ script khi bảng nguồn thêm cột.</t>
        </is>
      </c>
      <c r="J844" s="48" t="inlineStr">
        <is>
          <t>058. OCB_GOLD_TCKH_V_SBV_1.xlsx [Script SQL: V_SBV_1]</t>
        </is>
      </c>
    </row>
    <row r="845">
      <c r="A845" s="48" t="inlineStr">
        <is>
          <t>TCKH.V_SBV_1</t>
        </is>
      </c>
      <c r="B845" s="48" t="inlineStr">
        <is>
          <t>SILVER_CONSUMER</t>
        </is>
      </c>
      <c r="C845" s="48" t="inlineStr">
        <is>
          <t>3.2</t>
        </is>
      </c>
      <c r="D845" s="48" t="inlineStr">
        <is>
          <t>Nhom 3 - Optimization</t>
        </is>
      </c>
      <c r="E845" s="48" t="inlineStr">
        <is>
          <t>CTE không bị scan lại nhiều lần</t>
        </is>
      </c>
      <c r="F845" s="51" t="inlineStr">
        <is>
          <t>WARN</t>
        </is>
      </c>
      <c r="G845" s="48" t="inlineStr">
        <is>
          <t>WARN</t>
        </is>
      </c>
      <c r="H845" s="50" t="inlineStr">
        <is>
          <t>CTE bị tham chiếu lại nhiều lần: cte_pc_re_stat_line_bal x4</t>
        </is>
      </c>
      <c r="I845" s="50" t="inlineStr">
        <is>
          <t>Với CTE nặng (đọc nhiều bảng Silver) bị tham chiếu từ 2 chỗ trở lên: gom lại còn một lần dùng, hoặc vật chất hóa (CACHE / bảng tạm). CTE nhẹ chỉ chứa tham số thì bỏ qua được — tự tick Pass.</t>
        </is>
      </c>
      <c r="J845" s="48" t="inlineStr">
        <is>
          <t>058. OCB_GOLD_TCKH_V_SBV_1.xlsx [Script SQL: V_SBV_1]</t>
        </is>
      </c>
    </row>
    <row r="846">
      <c r="A846" s="48" t="inlineStr">
        <is>
          <t>TCKH.V_SBV_1</t>
        </is>
      </c>
      <c r="B846" s="48" t="inlineStr">
        <is>
          <t>SILVER_CONSUMER</t>
        </is>
      </c>
      <c r="C846" s="48" t="inlineStr">
        <is>
          <t>3.3</t>
        </is>
      </c>
      <c r="D846" s="48" t="inlineStr">
        <is>
          <t>Nhom 3 - Optimization</t>
        </is>
      </c>
      <c r="E846" s="48" t="inlineStr">
        <is>
          <t>Filter trước khi join, tận dụng partition pruning</t>
        </is>
      </c>
      <c r="F846" s="51" t="inlineStr">
        <is>
          <t>WARN</t>
        </is>
      </c>
      <c r="G846" s="48" t="inlineStr">
        <is>
          <t>WARN</t>
        </is>
      </c>
      <c r="H846" s="50" t="inlineStr">
        <is>
          <t>3 bảng join trực tiếp mà không có filter riêng: gl_acct_dim (g), sat_pc_re_stat_line_bal (s), sbv_accountbc_name (n)</t>
        </is>
      </c>
      <c r="I846" s="50" t="inlineStr">
        <is>
          <t>Đưa điều kiện lọc (ngày dữ liệu, trạng thái) vào subquery của từng bảng TRƯỚC khi join, để tận dụng partition pruning. Bảng dim nhỏ không partition thì không cần — tự tick Pass.</t>
        </is>
      </c>
      <c r="J846" s="48" t="inlineStr">
        <is>
          <t>058. OCB_GOLD_TCKH_V_SBV_1.xlsx [Script SQL: V_SBV_1]</t>
        </is>
      </c>
    </row>
    <row r="847">
      <c r="A847" s="48" t="inlineStr">
        <is>
          <t>TCKH.V_SBV_1</t>
        </is>
      </c>
      <c r="B847" s="48" t="inlineStr">
        <is>
          <t>SILVER_CONSUMER</t>
        </is>
      </c>
      <c r="C847" s="48" t="inlineStr">
        <is>
          <t>3.4</t>
        </is>
      </c>
      <c r="D847" s="48" t="inlineStr">
        <is>
          <t>Nhom 3 - Optimization</t>
        </is>
      </c>
      <c r="E847" s="48" t="inlineStr">
        <is>
          <t>Sử dụng CACHE cho query lặp lại trong cùng luồng</t>
        </is>
      </c>
      <c r="F847" s="51" t="inlineStr">
        <is>
          <t>WARN</t>
        </is>
      </c>
      <c r="G847" s="48" t="inlineStr">
        <is>
          <t>WARN</t>
        </is>
      </c>
      <c r="H847" s="50" t="inlineStr">
        <is>
          <t>1 CTE nặng dùng lại &gt;= 2 lần mà không có CACHE: cte_pc_re_stat_line_bal</t>
        </is>
      </c>
      <c r="I847" s="50" t="inlineStr">
        <is>
          <t>Nếu một kết quả nặng được dùng lại nhiều bước trong cùng luồng, thêm CACHE TABLE / CACHE SELECT. Kết quả nhỏ thì cache còn chậm hơn — tự tick Pass.</t>
        </is>
      </c>
      <c r="J847" s="48" t="inlineStr">
        <is>
          <t>058. OCB_GOLD_TCKH_V_SBV_1.xlsx [Script SQL: V_SBV_1]</t>
        </is>
      </c>
    </row>
    <row r="848">
      <c r="A848" s="48" t="inlineStr">
        <is>
          <t>TCKH.V_SBV_1</t>
        </is>
      </c>
      <c r="B848" s="48" t="inlineStr">
        <is>
          <t>SILVER_CONSUMER</t>
        </is>
      </c>
      <c r="C848" s="48" t="inlineStr">
        <is>
          <t>3.5</t>
        </is>
      </c>
      <c r="D848" s="48" t="inlineStr">
        <is>
          <t>Nhom 3 - Optimization</t>
        </is>
      </c>
      <c r="E848" s="48" t="inlineStr">
        <is>
          <t>Ưu tiên MAX_BY + QUALIFY thay ROW_NUMBER() + WHERE rn = 1</t>
        </is>
      </c>
      <c r="F848" s="49" t="inlineStr">
        <is>
          <t>PASS</t>
        </is>
      </c>
      <c r="G848" s="48" t="inlineStr">
        <is>
          <t>Pass</t>
        </is>
      </c>
      <c r="H848" s="50" t="inlineStr">
        <is>
          <t>đã dùng MAX_BY</t>
        </is>
      </c>
      <c r="I848"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48" s="48" t="inlineStr">
        <is>
          <t>058. OCB_GOLD_TCKH_V_SBV_1.xlsx [Script SQL: V_SBV_1]</t>
        </is>
      </c>
    </row>
    <row r="849">
      <c r="A849" s="48" t="inlineStr">
        <is>
          <t>TCKH.V_SBV_1</t>
        </is>
      </c>
      <c r="B849" s="48" t="inlineStr">
        <is>
          <t>SILVER_CONSUMER</t>
        </is>
      </c>
      <c r="C849" s="48" t="inlineStr">
        <is>
          <t>3.6</t>
        </is>
      </c>
      <c r="D849" s="48" t="inlineStr">
        <is>
          <t>Nhom 3 - Optimization</t>
        </is>
      </c>
      <c r="E849" s="48" t="inlineStr">
        <is>
          <t>Không lạm dụng window function; có comment khi dùng</t>
        </is>
      </c>
      <c r="F849" s="48" t="inlineStr">
        <is>
          <t>N-A</t>
        </is>
      </c>
      <c r="G849" s="48" t="inlineStr">
        <is>
          <t>Pass</t>
        </is>
      </c>
      <c r="H849" s="50" t="inlineStr">
        <is>
          <t>script không dùng window function</t>
        </is>
      </c>
      <c r="I849" s="50" t="inlineStr">
        <is>
          <t>Mỗi window function cần một comment ngay trên khối CTE chứa nó, nói rõ vì sao không dùng được max_by/QUALIFY đơn giản hơn.</t>
        </is>
      </c>
      <c r="J849" s="48" t="inlineStr">
        <is>
          <t>058. OCB_GOLD_TCKH_V_SBV_1.xlsx [Script SQL: V_SBV_1]</t>
        </is>
      </c>
    </row>
    <row r="850">
      <c r="A850" s="48" t="inlineStr">
        <is>
          <t>TCKH.V_SBV_1</t>
        </is>
      </c>
      <c r="B850" s="48" t="inlineStr">
        <is>
          <t>SILVER_CONSUMER</t>
        </is>
      </c>
      <c r="C850" s="48" t="inlineStr">
        <is>
          <t>X.1</t>
        </is>
      </c>
      <c r="D850" s="48" t="inlineStr">
        <is>
          <t>Nhom X - Bo sung Raffles</t>
        </is>
      </c>
      <c r="E850" s="48" t="inlineStr">
        <is>
          <t>[Bổ sung] Link phải rút về current trước khi join (chống fan-out)</t>
        </is>
      </c>
      <c r="F850" s="49" t="inlineStr">
        <is>
          <t>PASS</t>
        </is>
      </c>
      <c r="G850" s="48" t="inlineStr">
        <is>
          <t>Pass</t>
        </is>
      </c>
      <c r="H850" s="50" t="inlineStr">
        <is>
          <t>các bảng link_* đều được rút về current trước khi join</t>
        </is>
      </c>
      <c r="I850"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50" s="48" t="inlineStr">
        <is>
          <t>058. OCB_GOLD_TCKH_V_SBV_1.xlsx [Script SQL: V_SBV_1]</t>
        </is>
      </c>
    </row>
    <row r="851">
      <c r="A851" s="48" t="inlineStr">
        <is>
          <t>TCKH.V_SBV_1</t>
        </is>
      </c>
      <c r="B851" s="48" t="inlineStr">
        <is>
          <t>SILVER_CONSUMER</t>
        </is>
      </c>
      <c r="C851" s="48" t="inlineStr">
        <is>
          <t>X.6</t>
        </is>
      </c>
      <c r="D851" s="48" t="inlineStr">
        <is>
          <t>Nhom X - Bo sung Raffles</t>
        </is>
      </c>
      <c r="E851" s="48" t="inlineStr">
        <is>
          <t>[Bổ sung] Satellite phải LEFT JOIN, không INNER JOIN</t>
        </is>
      </c>
      <c r="F851" s="52" t="inlineStr">
        <is>
          <t>FAIL</t>
        </is>
      </c>
      <c r="G851" s="48" t="inlineStr">
        <is>
          <t>Fail</t>
        </is>
      </c>
      <c r="H851" s="50" t="inlineStr">
        <is>
          <t>1 satellite dùng INNER JOIN, sẽ mất bản ghi Hub chưa có dòng satellite: sat_pc_re_stat_line_bal (dong 47)</t>
        </is>
      </c>
      <c r="I851" s="50" t="inlineStr">
        <is>
          <t>Technical Document III.4.2.2 nguyên tắc 1: làm giàu thuộc tính luôn dùng LEFT JOIN. INNER JOIN satellite sẽ loại mất bản ghi Hub đang còn hiệu lực nhưng chưa có dòng satellite.</t>
        </is>
      </c>
      <c r="J851" s="48" t="inlineStr">
        <is>
          <t>058. OCB_GOLD_TCKH_V_SBV_1.xlsx [Script SQL: V_SBV_1]</t>
        </is>
      </c>
    </row>
    <row r="852">
      <c r="A852" s="48" t="inlineStr">
        <is>
          <t>TCKH.V_SBV_1</t>
        </is>
      </c>
      <c r="B852" s="48" t="inlineStr">
        <is>
          <t>SILVER_CONSUMER</t>
        </is>
      </c>
      <c r="C852" s="48" t="inlineStr">
        <is>
          <t>X.7</t>
        </is>
      </c>
      <c r="D852" s="48" t="inlineStr">
        <is>
          <t>Nhom X - Bo sung Raffles</t>
        </is>
      </c>
      <c r="E852" s="48" t="inlineStr">
        <is>
          <t>[Bổ sung] Không hard-code catalog, dùng biến môi trường</t>
        </is>
      </c>
      <c r="F852" s="49" t="inlineStr">
        <is>
          <t>PASS</t>
        </is>
      </c>
      <c r="G852" s="48" t="inlineStr">
        <is>
          <t>Pass</t>
        </is>
      </c>
      <c r="H852" s="50" t="inlineStr">
        <is>
          <t>dùng biến môi trường cho catalog</t>
        </is>
      </c>
      <c r="I852"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52" s="48" t="inlineStr">
        <is>
          <t>058. OCB_GOLD_TCKH_V_SBV_1.xlsx [Script SQL: V_SBV_1]</t>
        </is>
      </c>
    </row>
    <row r="853">
      <c r="A853" s="48" t="inlineStr">
        <is>
          <t>TCKH.V_TB_NIM_1</t>
        </is>
      </c>
      <c r="B853" s="48" t="inlineStr">
        <is>
          <t>UPLOAD_VIEW</t>
        </is>
      </c>
      <c r="C853" s="48" t="inlineStr">
        <is>
          <t>1.1</t>
        </is>
      </c>
      <c r="D853" s="48" t="inlineStr">
        <is>
          <t>Nhom 1 - Mapping</t>
        </is>
      </c>
      <c r="E853" s="48" t="inlineStr">
        <is>
          <t>Đầy đủ mapping từ Silver/manual sang Gold</t>
        </is>
      </c>
      <c r="F853" s="49" t="inlineStr">
        <is>
          <t>PASS</t>
        </is>
      </c>
      <c r="G853" s="48" t="inlineStr">
        <is>
          <t>Pass</t>
        </is>
      </c>
      <c r="H853" s="50" t="inlineStr">
        <is>
          <t>workbook 067. OCB_GOLD_TCKH_AR_DIM_HOP.xlsx: thiết kế 57 field, SQL có 57 cột</t>
        </is>
      </c>
      <c r="I853"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53" s="48" t="inlineStr">
        <is>
          <t>061. OCB_GOLD_TCKH_V_TB_NIM_1_HOP.xlsx [SCRIPT: V_TB_NIM_1]</t>
        </is>
      </c>
    </row>
    <row r="854">
      <c r="A854" s="48" t="inlineStr">
        <is>
          <t>TCKH.V_TB_NIM_1</t>
        </is>
      </c>
      <c r="B854" s="48" t="inlineStr">
        <is>
          <t>UPLOAD_VIEW</t>
        </is>
      </c>
      <c r="C854" s="48" t="inlineStr">
        <is>
          <t>1.2</t>
        </is>
      </c>
      <c r="D854" s="48" t="inlineStr">
        <is>
          <t>Nhom 1 - Mapping</t>
        </is>
      </c>
      <c r="E854" s="48" t="inlineStr">
        <is>
          <t>Danh sách bảng/view Gold khớp tài liệu thiết kế đã duyệt</t>
        </is>
      </c>
      <c r="F854" s="49" t="inlineStr">
        <is>
          <t>PASS</t>
        </is>
      </c>
      <c r="G854" s="48" t="inlineStr">
        <is>
          <t>Pass</t>
        </is>
      </c>
      <c r="H854" s="50" t="inlineStr">
        <is>
          <t>V_TB_NIM_1 có workbook thiết kế: 067. OCB_GOLD_TCKH_AR_DIM_HOP.xlsx</t>
        </is>
      </c>
      <c r="I854" s="50" t="inlineStr">
        <is>
          <t>Đảm bảo object có workbook thiết kế tương ứng trong thư mục --mapping-dir. Muốn đối chiếu với danh sách đã duyệt thì chạy thêm tham số --gold-list "&lt;file danh sách Gold&gt;.xlsx".</t>
        </is>
      </c>
      <c r="J854" s="48" t="inlineStr">
        <is>
          <t>061. OCB_GOLD_TCKH_V_TB_NIM_1_HOP.xlsx [SCRIPT: V_TB_NIM_1]</t>
        </is>
      </c>
    </row>
    <row r="855">
      <c r="A855" s="48" t="inlineStr">
        <is>
          <t>TCKH.V_TB_NIM_1</t>
        </is>
      </c>
      <c r="B855" s="48" t="inlineStr">
        <is>
          <t>UPLOAD_VIEW</t>
        </is>
      </c>
      <c r="C855" s="48" t="inlineStr">
        <is>
          <t>2.1</t>
        </is>
      </c>
      <c r="D855" s="48" t="inlineStr">
        <is>
          <t>Nhom 2 - Logic</t>
        </is>
      </c>
      <c r="E855" s="48" t="inlineStr">
        <is>
          <t>Chỉ lấy bản ghi active, loại bản ghi đã xóa (qua sts_hub)</t>
        </is>
      </c>
      <c r="F855" s="48" t="inlineStr">
        <is>
          <t>N-A</t>
        </is>
      </c>
      <c r="G855" s="48" t="inlineStr">
        <is>
          <t>Pass</t>
        </is>
      </c>
      <c r="H855" s="50" t="inlineStr">
        <is>
          <t>khong ap dung cho profile UPLOAD_VIEW</t>
        </is>
      </c>
      <c r="I855"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55" s="48" t="inlineStr">
        <is>
          <t>061. OCB_GOLD_TCKH_V_TB_NIM_1_HOP.xlsx [SCRIPT: V_TB_NIM_1]</t>
        </is>
      </c>
    </row>
    <row r="856">
      <c r="A856" s="48" t="inlineStr">
        <is>
          <t>TCKH.V_TB_NIM_1</t>
        </is>
      </c>
      <c r="B856" s="48" t="inlineStr">
        <is>
          <t>UPLOAD_VIEW</t>
        </is>
      </c>
      <c r="C856" s="48" t="inlineStr">
        <is>
          <t>2.2</t>
        </is>
      </c>
      <c r="D856" s="48" t="inlineStr">
        <is>
          <t>Nhom 2 - Logic</t>
        </is>
      </c>
      <c r="E856" s="48" t="inlineStr">
        <is>
          <t>Thống nhất MỘT pattern duy nhất xác định bản ghi active mới nhất</t>
        </is>
      </c>
      <c r="F856" s="48" t="inlineStr">
        <is>
          <t>N-A</t>
        </is>
      </c>
      <c r="G856" s="48" t="inlineStr">
        <is>
          <t>Pass</t>
        </is>
      </c>
      <c r="H856" s="50" t="inlineStr">
        <is>
          <t>khong ap dung cho profile UPLOAD_VIEW</t>
        </is>
      </c>
      <c r="I856"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56" s="48" t="inlineStr">
        <is>
          <t>061. OCB_GOLD_TCKH_V_TB_NIM_1_HOP.xlsx [SCRIPT: V_TB_NIM_1]</t>
        </is>
      </c>
    </row>
    <row r="857">
      <c r="A857" s="48" t="inlineStr">
        <is>
          <t>TCKH.V_TB_NIM_1</t>
        </is>
      </c>
      <c r="B857" s="48" t="inlineStr">
        <is>
          <t>UPLOAD_VIEW</t>
        </is>
      </c>
      <c r="C857" s="48" t="inlineStr">
        <is>
          <t>2.3</t>
        </is>
      </c>
      <c r="D857" s="48" t="inlineStr">
        <is>
          <t>Nhom 2 - Logic</t>
        </is>
      </c>
      <c r="E857" s="48" t="inlineStr">
        <is>
          <t>Điều kiện lọc trạng thái đặt SAU khi xác định bản ghi mới nhất</t>
        </is>
      </c>
      <c r="F857" s="48" t="inlineStr">
        <is>
          <t>N-A</t>
        </is>
      </c>
      <c r="G857" s="48" t="inlineStr">
        <is>
          <t>Pass</t>
        </is>
      </c>
      <c r="H857" s="50" t="inlineStr">
        <is>
          <t>khong ap dung cho profile UPLOAD_VIEW</t>
        </is>
      </c>
      <c r="I857"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57" s="48" t="inlineStr">
        <is>
          <t>061. OCB_GOLD_TCKH_V_TB_NIM_1_HOP.xlsx [SCRIPT: V_TB_NIM_1]</t>
        </is>
      </c>
    </row>
    <row r="858">
      <c r="A858" s="48" t="inlineStr">
        <is>
          <t>TCKH.V_TB_NIM_1</t>
        </is>
      </c>
      <c r="B858" s="48" t="inlineStr">
        <is>
          <t>UPLOAD_VIEW</t>
        </is>
      </c>
      <c r="C858" s="48" t="inlineStr">
        <is>
          <t>2.4</t>
        </is>
      </c>
      <c r="D858" s="48" t="inlineStr">
        <is>
          <t>Nhom 2 - Logic</t>
        </is>
      </c>
      <c r="E858" s="48" t="inlineStr">
        <is>
          <t>source_event_date áp dụng đúng dạng theo loại bảng</t>
        </is>
      </c>
      <c r="F858" s="48" t="inlineStr">
        <is>
          <t>N-A</t>
        </is>
      </c>
      <c r="G858" s="48" t="inlineStr">
        <is>
          <t>Pass</t>
        </is>
      </c>
      <c r="H858" s="50" t="inlineStr">
        <is>
          <t>khong ap dung cho profile UPLOAD_VIEW</t>
        </is>
      </c>
      <c r="I858"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58" s="48" t="inlineStr">
        <is>
          <t>061. OCB_GOLD_TCKH_V_TB_NIM_1_HOP.xlsx [SCRIPT: V_TB_NIM_1]</t>
        </is>
      </c>
    </row>
    <row r="859">
      <c r="A859" s="48" t="inlineStr">
        <is>
          <t>TCKH.V_TB_NIM_1</t>
        </is>
      </c>
      <c r="B859" s="48" t="inlineStr">
        <is>
          <t>UPLOAD_VIEW</t>
        </is>
      </c>
      <c r="C859" s="48" t="inlineStr">
        <is>
          <t>2.5</t>
        </is>
      </c>
      <c r="D859" s="48" t="inlineStr">
        <is>
          <t>Nhom 2 - Logic</t>
        </is>
      </c>
      <c r="E859" s="48" t="inlineStr">
        <is>
          <t>Không lặp lại lỗi logic cũ đã được DA Data Vault fix</t>
        </is>
      </c>
      <c r="F859" s="49" t="inlineStr">
        <is>
          <t>PASS</t>
        </is>
      </c>
      <c r="G859" s="48" t="inlineStr">
        <is>
          <t>Pass</t>
        </is>
      </c>
      <c r="H859" s="50" t="inlineStr">
        <is>
          <t>không trùng lỗi nào trong Issue log của DA Data Vault</t>
        </is>
      </c>
      <c r="I859"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59" s="48" t="inlineStr">
        <is>
          <t>061. OCB_GOLD_TCKH_V_TB_NIM_1_HOP.xlsx [SCRIPT: V_TB_NIM_1]</t>
        </is>
      </c>
    </row>
    <row r="860">
      <c r="A860" s="48" t="inlineStr">
        <is>
          <t>TCKH.V_TB_NIM_1</t>
        </is>
      </c>
      <c r="B860" s="48" t="inlineStr">
        <is>
          <t>UPLOAD_VIEW</t>
        </is>
      </c>
      <c r="C860" s="48" t="inlineStr">
        <is>
          <t>2.6</t>
        </is>
      </c>
      <c r="D860" s="48" t="inlineStr">
        <is>
          <t>Nhom 2 - Logic</t>
        </is>
      </c>
      <c r="E860" s="48" t="inlineStr">
        <is>
          <t>SCD Type 2 cho bảng DIM áp dụng đúng kỹ thuật đã thống nhất</t>
        </is>
      </c>
      <c r="F860" s="48" t="inlineStr">
        <is>
          <t>N-A</t>
        </is>
      </c>
      <c r="G860" s="48" t="inlineStr">
        <is>
          <t>Pass</t>
        </is>
      </c>
      <c r="H860" s="50" t="inlineStr">
        <is>
          <t>object không phải bảng DIM nên không áp dụng SCD Type 2</t>
        </is>
      </c>
      <c r="I860"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60" s="48" t="inlineStr">
        <is>
          <t>061. OCB_GOLD_TCKH_V_TB_NIM_1_HOP.xlsx [SCRIPT: V_TB_NIM_1]</t>
        </is>
      </c>
    </row>
    <row r="861">
      <c r="A861" s="48" t="inlineStr">
        <is>
          <t>TCKH.V_TB_NIM_1</t>
        </is>
      </c>
      <c r="B861" s="48" t="inlineStr">
        <is>
          <t>UPLOAD_VIEW</t>
        </is>
      </c>
      <c r="C861" s="48" t="inlineStr">
        <is>
          <t>2.7</t>
        </is>
      </c>
      <c r="D861" s="48" t="inlineStr">
        <is>
          <t>Nhom 2 - Logic</t>
        </is>
      </c>
      <c r="E861" s="48" t="inlineStr">
        <is>
          <t>CASE WHEN cover đủ nhánh như job on-prem</t>
        </is>
      </c>
      <c r="F861" s="49" t="inlineStr">
        <is>
          <t>PASS</t>
        </is>
      </c>
      <c r="G861" s="48" t="inlineStr">
        <is>
          <t>Pass</t>
        </is>
      </c>
      <c r="H861" s="50" t="inlineStr">
        <is>
          <t>cả 12 CASE đều có nhánh ELSE</t>
        </is>
      </c>
      <c r="I861" s="50" t="inlineStr">
        <is>
          <t>Mở job on-prem tương ứng (DataStage DSX hoặc SQL cũ), đối chiếu từng nhánh WHEN và cả nhánh ELSE. CASE không có ELSE sẽ trả NULL âm thầm — xác nhận đó là ý muốn hay thiếu nhánh.</t>
        </is>
      </c>
      <c r="J861" s="48" t="inlineStr">
        <is>
          <t>061. OCB_GOLD_TCKH_V_TB_NIM_1_HOP.xlsx [SCRIPT: V_TB_NIM_1]</t>
        </is>
      </c>
    </row>
    <row r="862">
      <c r="A862" s="48" t="inlineStr">
        <is>
          <t>TCKH.V_TB_NIM_1</t>
        </is>
      </c>
      <c r="B862" s="48" t="inlineStr">
        <is>
          <t>UPLOAD_VIEW</t>
        </is>
      </c>
      <c r="C862" s="48" t="inlineStr">
        <is>
          <t>2.8</t>
        </is>
      </c>
      <c r="D862" s="48" t="inlineStr">
        <is>
          <t>Nhom 2 - Logic</t>
        </is>
      </c>
      <c r="E862" s="48" t="inlineStr">
        <is>
          <t>Cột SUM/COUNT được COALESCE/NVL hợp lý</t>
        </is>
      </c>
      <c r="F862" s="49" t="inlineStr">
        <is>
          <t>PASS</t>
        </is>
      </c>
      <c r="G862" s="48" t="inlineStr">
        <is>
          <t>Pass</t>
        </is>
      </c>
      <c r="H862" s="50" t="inlineStr">
        <is>
          <t>mọi SUM/COUNT đều đã coalesce (trực tiếp hoặc ở lớp ngoài)</t>
        </is>
      </c>
      <c r="I862"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2" s="48" t="inlineStr">
        <is>
          <t>061. OCB_GOLD_TCKH_V_TB_NIM_1_HOP.xlsx [SCRIPT: V_TB_NIM_1]</t>
        </is>
      </c>
    </row>
    <row r="863">
      <c r="A863" s="48" t="inlineStr">
        <is>
          <t>TCKH.V_TB_NIM_1</t>
        </is>
      </c>
      <c r="B863" s="48" t="inlineStr">
        <is>
          <t>UPLOAD_VIEW</t>
        </is>
      </c>
      <c r="C863" s="48" t="inlineStr">
        <is>
          <t>2.9</t>
        </is>
      </c>
      <c r="D863" s="48" t="inlineStr">
        <is>
          <t>Nhom 2 - Logic</t>
        </is>
      </c>
      <c r="E863" s="48" t="inlineStr">
        <is>
          <t>Subquery / custom function / điều kiện LIKE đúng ý nghĩa nghiệp vụ</t>
        </is>
      </c>
      <c r="F863" s="49" t="inlineStr">
        <is>
          <t>PASS</t>
        </is>
      </c>
      <c r="G863" s="48" t="inlineStr">
        <is>
          <t>Pass</t>
        </is>
      </c>
      <c r="H863" s="50" t="inlineStr">
        <is>
          <t>5 điều kiện LIKE: A.CONTRACT_NO NOT LIKE '%133' | A.GL NOT LIKE '2%' | SYSTEM_ID LIKE '%PHAITHU%' | SYSTEM_ID LIKE '%PHAITRA%'; cú pháp hợp lệ; ý nghĩa nghiệp vụ cần người review đối chiếu job on-prem</t>
        </is>
      </c>
      <c r="I863" s="50" t="inlineStr">
        <is>
          <t>Đọc lại từng điều kiện LIKE và từng subquery, đối chiếu ý nghĩa nghiệp vụ với on-prem — đúng cú pháp không đủ. Chú ý pattern LIKE có ký tự % ở đầu/cuối và phân biệt chữ hoa/thường.</t>
        </is>
      </c>
      <c r="J863" s="48" t="inlineStr">
        <is>
          <t>061. OCB_GOLD_TCKH_V_TB_NIM_1_HOP.xlsx [SCRIPT: V_TB_NIM_1]</t>
        </is>
      </c>
    </row>
    <row r="864">
      <c r="A864" s="48" t="inlineStr">
        <is>
          <t>TCKH.V_TB_NIM_1</t>
        </is>
      </c>
      <c r="B864" s="48" t="inlineStr">
        <is>
          <t>UPLOAD_VIEW</t>
        </is>
      </c>
      <c r="C864" s="48" t="inlineStr">
        <is>
          <t>2.10</t>
        </is>
      </c>
      <c r="D864" s="48" t="inlineStr">
        <is>
          <t>Nhom 2 - Logic</t>
        </is>
      </c>
      <c r="E864" s="48" t="inlineStr">
        <is>
          <t>Aggregation kèm filter date range chính xác</t>
        </is>
      </c>
      <c r="F864" s="49" t="inlineStr">
        <is>
          <t>PASS</t>
        </is>
      </c>
      <c r="G864" s="48" t="inlineStr">
        <is>
          <t>Pass</t>
        </is>
      </c>
      <c r="H864" s="50" t="inlineStr">
        <is>
          <t>mọi khối tổng hợp đều có điều kiện theo kỳ dữ liệu</t>
        </is>
      </c>
      <c r="I864" s="50" t="inlineStr">
        <is>
          <t>Mỗi khối SUM/COUNT/AVG phải có điều kiện lọc theo kỳ dữ liệu (CDR_DT_ID, DATA_DATE, :DATADT…). Nếu điều kiện nằm ở CTE nguồn thì ghi rõ trong comment để người review không phải truy ngược.</t>
        </is>
      </c>
      <c r="J864" s="48" t="inlineStr">
        <is>
          <t>061. OCB_GOLD_TCKH_V_TB_NIM_1_HOP.xlsx [SCRIPT: V_TB_NIM_1]</t>
        </is>
      </c>
    </row>
    <row r="865">
      <c r="A865" s="48" t="inlineStr">
        <is>
          <t>TCKH.V_TB_NIM_1</t>
        </is>
      </c>
      <c r="B865" s="48" t="inlineStr">
        <is>
          <t>UPLOAD_VIEW</t>
        </is>
      </c>
      <c r="C865" s="48" t="inlineStr">
        <is>
          <t>2.11</t>
        </is>
      </c>
      <c r="D865" s="48" t="inlineStr">
        <is>
          <t>Nhom 2 - Logic</t>
        </is>
      </c>
      <c r="E865" s="48" t="inlineStr">
        <is>
          <t>Join dùng key hợp lý, không lạm dụng UNION ALL + EXISTS/NOT EXISTS</t>
        </is>
      </c>
      <c r="F865" s="49" t="inlineStr">
        <is>
          <t>PASS</t>
        </is>
      </c>
      <c r="G865" s="48" t="inlineStr">
        <is>
          <t>Pass</t>
        </is>
      </c>
      <c r="H865" s="50" t="inlineStr">
        <is>
          <t>join đều theo điều kiện bằng, không lạm dụng UNION ALL + EXISTS</t>
        </is>
      </c>
      <c r="I865" s="50" t="inlineStr">
        <is>
          <t>Ưu tiên LEFT JOIN theo business key hoặc hashkey. Xem lại các chỗ dùng UNION ALL kết hợp EXISTS/NOT EXISTS — thường thay được bằng một LEFT JOIN. Join không có điều kiện bằng (=) dễ tạo tích Descartes.</t>
        </is>
      </c>
      <c r="J865" s="48" t="inlineStr">
        <is>
          <t>061. OCB_GOLD_TCKH_V_TB_NIM_1_HOP.xlsx [SCRIPT: V_TB_NIM_1]</t>
        </is>
      </c>
    </row>
    <row r="866">
      <c r="A866" s="48" t="inlineStr">
        <is>
          <t>TCKH.V_TB_NIM_1</t>
        </is>
      </c>
      <c r="B866" s="48" t="inlineStr">
        <is>
          <t>UPLOAD_VIEW</t>
        </is>
      </c>
      <c r="C866" s="48" t="inlineStr">
        <is>
          <t>2.12</t>
        </is>
      </c>
      <c r="D866" s="48" t="inlineStr">
        <is>
          <t>Nhom 2 - Logic</t>
        </is>
      </c>
      <c r="E866" s="48" t="inlineStr">
        <is>
          <t>Build Gold từ CTE snapshot Silver, không build nhiều tầng chồng chéo</t>
        </is>
      </c>
      <c r="F866" s="48" t="inlineStr">
        <is>
          <t>N-A</t>
        </is>
      </c>
      <c r="G866" s="48" t="inlineStr">
        <is>
          <t>Pass</t>
        </is>
      </c>
      <c r="H866" s="50" t="inlineStr">
        <is>
          <t>khong ap dung cho profile UPLOAD_VIEW</t>
        </is>
      </c>
      <c r="I866"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66" s="48" t="inlineStr">
        <is>
          <t>061. OCB_GOLD_TCKH_V_TB_NIM_1_HOP.xlsx [SCRIPT: V_TB_NIM_1]</t>
        </is>
      </c>
    </row>
    <row r="867">
      <c r="A867" s="48" t="inlineStr">
        <is>
          <t>TCKH.V_TB_NIM_1</t>
        </is>
      </c>
      <c r="B867" s="48" t="inlineStr">
        <is>
          <t>UPLOAD_VIEW</t>
        </is>
      </c>
      <c r="C867" s="48" t="inlineStr">
        <is>
          <t>3.1</t>
        </is>
      </c>
      <c r="D867" s="48" t="inlineStr">
        <is>
          <t>Nhom 3 - Optimization</t>
        </is>
      </c>
      <c r="E867" s="48" t="inlineStr">
        <is>
          <t>Không SELECT *</t>
        </is>
      </c>
      <c r="F867" s="52" t="inlineStr">
        <is>
          <t>FAIL</t>
        </is>
      </c>
      <c r="G867" s="48" t="inlineStr">
        <is>
          <t>Fail</t>
        </is>
      </c>
      <c r="H867" s="50" t="inlineStr">
        <is>
          <t>có 3 lần SELECT * ở dòng [255, 257, 259]</t>
        </is>
      </c>
      <c r="I867" s="50" t="inlineStr">
        <is>
          <t>Liệt kê tường minh các cột cần dùng, kể cả trong CTE trung gian. SELECT * làm tăng IO/memory và vỡ script khi bảng nguồn thêm cột.</t>
        </is>
      </c>
      <c r="J867" s="48" t="inlineStr">
        <is>
          <t>061. OCB_GOLD_TCKH_V_TB_NIM_1_HOP.xlsx [SCRIPT: V_TB_NIM_1]</t>
        </is>
      </c>
    </row>
    <row r="868">
      <c r="A868" s="48" t="inlineStr">
        <is>
          <t>TCKH.V_TB_NIM_1</t>
        </is>
      </c>
      <c r="B868" s="48" t="inlineStr">
        <is>
          <t>UPLOAD_VIEW</t>
        </is>
      </c>
      <c r="C868" s="48" t="inlineStr">
        <is>
          <t>3.2</t>
        </is>
      </c>
      <c r="D868" s="48" t="inlineStr">
        <is>
          <t>Nhom 3 - Optimization</t>
        </is>
      </c>
      <c r="E868" s="48" t="inlineStr">
        <is>
          <t>CTE không bị scan lại nhiều lần</t>
        </is>
      </c>
      <c r="F868" s="51" t="inlineStr">
        <is>
          <t>WARN</t>
        </is>
      </c>
      <c r="G868" s="48" t="inlineStr">
        <is>
          <t>WARN</t>
        </is>
      </c>
      <c r="H868" s="50" t="inlineStr">
        <is>
          <t>CTE bị tham chiếu lại nhiều lần: v_ftp_rate x3, v_ftp_interest_rate_nim_on x3</t>
        </is>
      </c>
      <c r="I868" s="50" t="inlineStr">
        <is>
          <t>Với CTE nặng (đọc nhiều bảng Silver) bị tham chiếu từ 2 chỗ trở lên: gom lại còn một lần dùng, hoặc vật chất hóa (CACHE / bảng tạm). CTE nhẹ chỉ chứa tham số thì bỏ qua được — tự tick Pass.</t>
        </is>
      </c>
      <c r="J868" s="48" t="inlineStr">
        <is>
          <t>061. OCB_GOLD_TCKH_V_TB_NIM_1_HOP.xlsx [SCRIPT: V_TB_NIM_1]</t>
        </is>
      </c>
    </row>
    <row r="869">
      <c r="A869" s="48" t="inlineStr">
        <is>
          <t>TCKH.V_TB_NIM_1</t>
        </is>
      </c>
      <c r="B869" s="48" t="inlineStr">
        <is>
          <t>UPLOAD_VIEW</t>
        </is>
      </c>
      <c r="C869" s="48" t="inlineStr">
        <is>
          <t>3.3</t>
        </is>
      </c>
      <c r="D869" s="48" t="inlineStr">
        <is>
          <t>Nhom 3 - Optimization</t>
        </is>
      </c>
      <c r="E869" s="48" t="inlineStr">
        <is>
          <t>Filter trước khi join, tận dụng partition pruning</t>
        </is>
      </c>
      <c r="F869" s="48" t="inlineStr">
        <is>
          <t>N-A</t>
        </is>
      </c>
      <c r="G869" s="48" t="inlineStr">
        <is>
          <t>Pass</t>
        </is>
      </c>
      <c r="H869" s="50" t="inlineStr">
        <is>
          <t>khong ap dung cho profile UPLOAD_VIEW</t>
        </is>
      </c>
      <c r="I869" s="50" t="inlineStr">
        <is>
          <t>Đưa điều kiện lọc (ngày dữ liệu, trạng thái) vào subquery của từng bảng TRƯỚC khi join, để tận dụng partition pruning. Bảng dim nhỏ không partition thì không cần — tự tick Pass.</t>
        </is>
      </c>
      <c r="J869" s="48" t="inlineStr">
        <is>
          <t>061. OCB_GOLD_TCKH_V_TB_NIM_1_HOP.xlsx [SCRIPT: V_TB_NIM_1]</t>
        </is>
      </c>
    </row>
    <row r="870">
      <c r="A870" s="48" t="inlineStr">
        <is>
          <t>TCKH.V_TB_NIM_1</t>
        </is>
      </c>
      <c r="B870" s="48" t="inlineStr">
        <is>
          <t>UPLOAD_VIEW</t>
        </is>
      </c>
      <c r="C870" s="48" t="inlineStr">
        <is>
          <t>3.4</t>
        </is>
      </c>
      <c r="D870" s="48" t="inlineStr">
        <is>
          <t>Nhom 3 - Optimization</t>
        </is>
      </c>
      <c r="E870" s="48" t="inlineStr">
        <is>
          <t>Sử dụng CACHE cho query lặp lại trong cùng luồng</t>
        </is>
      </c>
      <c r="F870" s="51" t="inlineStr">
        <is>
          <t>WARN</t>
        </is>
      </c>
      <c r="G870" s="48" t="inlineStr">
        <is>
          <t>WARN</t>
        </is>
      </c>
      <c r="H870" s="50" t="inlineStr">
        <is>
          <t>2 CTE nặng dùng lại &gt;= 2 lần mà không có CACHE: v_ftp_interest_rate_nim_on, v_ftp_rate</t>
        </is>
      </c>
      <c r="I870" s="50" t="inlineStr">
        <is>
          <t>Nếu một kết quả nặng được dùng lại nhiều bước trong cùng luồng, thêm CACHE TABLE / CACHE SELECT. Kết quả nhỏ thì cache còn chậm hơn — tự tick Pass.</t>
        </is>
      </c>
      <c r="J870" s="48" t="inlineStr">
        <is>
          <t>061. OCB_GOLD_TCKH_V_TB_NIM_1_HOP.xlsx [SCRIPT: V_TB_NIM_1]</t>
        </is>
      </c>
    </row>
    <row r="871">
      <c r="A871" s="48" t="inlineStr">
        <is>
          <t>TCKH.V_TB_NIM_1</t>
        </is>
      </c>
      <c r="B871" s="48" t="inlineStr">
        <is>
          <t>UPLOAD_VIEW</t>
        </is>
      </c>
      <c r="C871" s="48" t="inlineStr">
        <is>
          <t>3.5</t>
        </is>
      </c>
      <c r="D871" s="48" t="inlineStr">
        <is>
          <t>Nhom 3 - Optimization</t>
        </is>
      </c>
      <c r="E871" s="48" t="inlineStr">
        <is>
          <t>Ưu tiên MAX_BY + QUALIFY thay ROW_NUMBER() + WHERE rn = 1</t>
        </is>
      </c>
      <c r="F871" s="48" t="inlineStr">
        <is>
          <t>N-A</t>
        </is>
      </c>
      <c r="G871" s="48" t="inlineStr">
        <is>
          <t>Pass</t>
        </is>
      </c>
      <c r="H871" s="50" t="inlineStr">
        <is>
          <t>script không dùng ROW_NUMBER</t>
        </is>
      </c>
      <c r="I871"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71" s="48" t="inlineStr">
        <is>
          <t>061. OCB_GOLD_TCKH_V_TB_NIM_1_HOP.xlsx [SCRIPT: V_TB_NIM_1]</t>
        </is>
      </c>
    </row>
    <row r="872">
      <c r="A872" s="48" t="inlineStr">
        <is>
          <t>TCKH.V_TB_NIM_1</t>
        </is>
      </c>
      <c r="B872" s="48" t="inlineStr">
        <is>
          <t>UPLOAD_VIEW</t>
        </is>
      </c>
      <c r="C872" s="48" t="inlineStr">
        <is>
          <t>3.6</t>
        </is>
      </c>
      <c r="D872" s="48" t="inlineStr">
        <is>
          <t>Nhom 3 - Optimization</t>
        </is>
      </c>
      <c r="E872" s="48" t="inlineStr">
        <is>
          <t>Không lạm dụng window function; có comment khi dùng</t>
        </is>
      </c>
      <c r="F872" s="48" t="inlineStr">
        <is>
          <t>N-A</t>
        </is>
      </c>
      <c r="G872" s="48" t="inlineStr">
        <is>
          <t>Pass</t>
        </is>
      </c>
      <c r="H872" s="50" t="inlineStr">
        <is>
          <t>script không dùng window function</t>
        </is>
      </c>
      <c r="I872" s="50" t="inlineStr">
        <is>
          <t>Mỗi window function cần một comment ngay trên khối CTE chứa nó, nói rõ vì sao không dùng được max_by/QUALIFY đơn giản hơn.</t>
        </is>
      </c>
      <c r="J872" s="48" t="inlineStr">
        <is>
          <t>061. OCB_GOLD_TCKH_V_TB_NIM_1_HOP.xlsx [SCRIPT: V_TB_NIM_1]</t>
        </is>
      </c>
    </row>
    <row r="873">
      <c r="A873" s="48" t="inlineStr">
        <is>
          <t>TCKH.V_TB_NIM_1</t>
        </is>
      </c>
      <c r="B873" s="48" t="inlineStr">
        <is>
          <t>UPLOAD_VIEW</t>
        </is>
      </c>
      <c r="C873" s="48" t="inlineStr">
        <is>
          <t>X.1</t>
        </is>
      </c>
      <c r="D873" s="48" t="inlineStr">
        <is>
          <t>Nhom X - Bo sung Raffles</t>
        </is>
      </c>
      <c r="E873" s="48" t="inlineStr">
        <is>
          <t>[Bổ sung] Link phải rút về current trước khi join (chống fan-out)</t>
        </is>
      </c>
      <c r="F873" s="48" t="inlineStr">
        <is>
          <t>N-A</t>
        </is>
      </c>
      <c r="G873" s="48" t="inlineStr">
        <is>
          <t>Pass</t>
        </is>
      </c>
      <c r="H873" s="50" t="inlineStr">
        <is>
          <t>khong ap dung cho profile UPLOAD_VIEW</t>
        </is>
      </c>
      <c r="I873"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73" s="48" t="inlineStr">
        <is>
          <t>061. OCB_GOLD_TCKH_V_TB_NIM_1_HOP.xlsx [SCRIPT: V_TB_NIM_1]</t>
        </is>
      </c>
    </row>
    <row r="874">
      <c r="A874" s="48" t="inlineStr">
        <is>
          <t>TCKH.V_TB_NIM_1</t>
        </is>
      </c>
      <c r="B874" s="48" t="inlineStr">
        <is>
          <t>UPLOAD_VIEW</t>
        </is>
      </c>
      <c r="C874" s="48" t="inlineStr">
        <is>
          <t>X.6</t>
        </is>
      </c>
      <c r="D874" s="48" t="inlineStr">
        <is>
          <t>Nhom X - Bo sung Raffles</t>
        </is>
      </c>
      <c r="E874" s="48" t="inlineStr">
        <is>
          <t>[Bổ sung] Satellite phải LEFT JOIN, không INNER JOIN</t>
        </is>
      </c>
      <c r="F874" s="48" t="inlineStr">
        <is>
          <t>N-A</t>
        </is>
      </c>
      <c r="G874" s="48" t="inlineStr">
        <is>
          <t>Pass</t>
        </is>
      </c>
      <c r="H874" s="50" t="inlineStr">
        <is>
          <t>khong ap dung cho profile UPLOAD_VIEW</t>
        </is>
      </c>
      <c r="I874" s="50" t="inlineStr">
        <is>
          <t>Technical Document III.4.2.2 nguyên tắc 1: làm giàu thuộc tính luôn dùng LEFT JOIN. INNER JOIN satellite sẽ loại mất bản ghi Hub đang còn hiệu lực nhưng chưa có dòng satellite.</t>
        </is>
      </c>
      <c r="J874" s="48" t="inlineStr">
        <is>
          <t>061. OCB_GOLD_TCKH_V_TB_NIM_1_HOP.xlsx [SCRIPT: V_TB_NIM_1]</t>
        </is>
      </c>
    </row>
    <row r="875">
      <c r="A875" s="48" t="inlineStr">
        <is>
          <t>TCKH.V_TB_NIM_1</t>
        </is>
      </c>
      <c r="B875" s="48" t="inlineStr">
        <is>
          <t>UPLOAD_VIEW</t>
        </is>
      </c>
      <c r="C875" s="48" t="inlineStr">
        <is>
          <t>X.7</t>
        </is>
      </c>
      <c r="D875" s="48" t="inlineStr">
        <is>
          <t>Nhom X - Bo sung Raffles</t>
        </is>
      </c>
      <c r="E875" s="48" t="inlineStr">
        <is>
          <t>[Bổ sung] Không hard-code catalog, dùng biến môi trường</t>
        </is>
      </c>
      <c r="F875" s="48" t="inlineStr">
        <is>
          <t>N-A</t>
        </is>
      </c>
      <c r="G875" s="48" t="inlineStr">
        <is>
          <t>Pass</t>
        </is>
      </c>
      <c r="H875" s="50" t="inlineStr">
        <is>
          <t>khong ap dung cho profile UPLOAD_VIEW</t>
        </is>
      </c>
      <c r="I875"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75" s="48" t="inlineStr">
        <is>
          <t>061. OCB_GOLD_TCKH_V_TB_NIM_1_HOP.xlsx [SCRIPT: V_TB_NIM_1]</t>
        </is>
      </c>
    </row>
    <row r="876">
      <c r="A876" s="48" t="inlineStr">
        <is>
          <t>TCKH.WORKING_DAY</t>
        </is>
      </c>
      <c r="B876" s="48" t="inlineStr">
        <is>
          <t>SILVER_CONSUMER</t>
        </is>
      </c>
      <c r="C876" s="48" t="inlineStr">
        <is>
          <t>1.1</t>
        </is>
      </c>
      <c r="D876" s="48" t="inlineStr">
        <is>
          <t>Nhom 1 - Mapping</t>
        </is>
      </c>
      <c r="E876" s="48" t="inlineStr">
        <is>
          <t>Đầy đủ mapping từ Silver/manual sang Gold</t>
        </is>
      </c>
      <c r="F876" s="49" t="inlineStr">
        <is>
          <t>PASS</t>
        </is>
      </c>
      <c r="G876" s="48" t="inlineStr">
        <is>
          <t>Pass</t>
        </is>
      </c>
      <c r="H876" s="50" t="inlineStr">
        <is>
          <t>workbook 067. OCB_GOLD_TCKH_AR_DIM_HOP.xlsx: thiết kế 7 field, SQL có 7 cột</t>
        </is>
      </c>
      <c r="I876"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76" s="48" t="inlineStr">
        <is>
          <t>062. OCB_GOLD_TCKH_WORKING_DAY_BAOANH.xlsx [SCRIPT: WORKING_DAY]</t>
        </is>
      </c>
    </row>
    <row r="877">
      <c r="A877" s="48" t="inlineStr">
        <is>
          <t>TCKH.WORKING_DAY</t>
        </is>
      </c>
      <c r="B877" s="48" t="inlineStr">
        <is>
          <t>SILVER_CONSUMER</t>
        </is>
      </c>
      <c r="C877" s="48" t="inlineStr">
        <is>
          <t>1.2</t>
        </is>
      </c>
      <c r="D877" s="48" t="inlineStr">
        <is>
          <t>Nhom 1 - Mapping</t>
        </is>
      </c>
      <c r="E877" s="48" t="inlineStr">
        <is>
          <t>Danh sách bảng/view Gold khớp tài liệu thiết kế đã duyệt</t>
        </is>
      </c>
      <c r="F877" s="49" t="inlineStr">
        <is>
          <t>PASS</t>
        </is>
      </c>
      <c r="G877" s="48" t="inlineStr">
        <is>
          <t>Pass</t>
        </is>
      </c>
      <c r="H877" s="50" t="inlineStr">
        <is>
          <t>WORKING_DAY có workbook thiết kế: 067. OCB_GOLD_TCKH_AR_DIM_HOP.xlsx</t>
        </is>
      </c>
      <c r="I877" s="50" t="inlineStr">
        <is>
          <t>Đảm bảo object có workbook thiết kế tương ứng trong thư mục --mapping-dir. Muốn đối chiếu với danh sách đã duyệt thì chạy thêm tham số --gold-list "&lt;file danh sách Gold&gt;.xlsx".</t>
        </is>
      </c>
      <c r="J877" s="48" t="inlineStr">
        <is>
          <t>062. OCB_GOLD_TCKH_WORKING_DAY_BAOANH.xlsx [SCRIPT: WORKING_DAY]</t>
        </is>
      </c>
    </row>
    <row r="878">
      <c r="A878" s="48" t="inlineStr">
        <is>
          <t>TCKH.WORKING_DAY</t>
        </is>
      </c>
      <c r="B878" s="48" t="inlineStr">
        <is>
          <t>SILVER_CONSUMER</t>
        </is>
      </c>
      <c r="C878" s="48" t="inlineStr">
        <is>
          <t>2.1</t>
        </is>
      </c>
      <c r="D878" s="48" t="inlineStr">
        <is>
          <t>Nhom 2 - Logic</t>
        </is>
      </c>
      <c r="E878" s="48" t="inlineStr">
        <is>
          <t>Chỉ lấy bản ghi active, loại bản ghi đã xóa (qua sts_hub)</t>
        </is>
      </c>
      <c r="F878" s="48" t="inlineStr">
        <is>
          <t>N-A</t>
        </is>
      </c>
      <c r="G878" s="48" t="inlineStr">
        <is>
          <t>Pass</t>
        </is>
      </c>
      <c r="H878" s="50" t="inlineStr">
        <is>
          <t>script không đọc sts_hub/satellite nào nên không có bản ghi xóa để lọc</t>
        </is>
      </c>
      <c r="I878"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78" s="48" t="inlineStr">
        <is>
          <t>062. OCB_GOLD_TCKH_WORKING_DAY_BAOANH.xlsx [SCRIPT: WORKING_DAY]</t>
        </is>
      </c>
    </row>
    <row r="879">
      <c r="A879" s="48" t="inlineStr">
        <is>
          <t>TCKH.WORKING_DAY</t>
        </is>
      </c>
      <c r="B879" s="48" t="inlineStr">
        <is>
          <t>SILVER_CONSUMER</t>
        </is>
      </c>
      <c r="C879" s="48" t="inlineStr">
        <is>
          <t>2.2</t>
        </is>
      </c>
      <c r="D879" s="48" t="inlineStr">
        <is>
          <t>Nhom 2 - Logic</t>
        </is>
      </c>
      <c r="E879" s="48" t="inlineStr">
        <is>
          <t>Thống nhất MỘT pattern duy nhất xác định bản ghi active mới nhất</t>
        </is>
      </c>
      <c r="F879" s="48" t="inlineStr">
        <is>
          <t>N-A</t>
        </is>
      </c>
      <c r="G879" s="48" t="inlineStr">
        <is>
          <t>Pass</t>
        </is>
      </c>
      <c r="H879" s="50" t="inlineStr">
        <is>
          <t>script không có bước lấy bản ghi mới nhất từ satellite</t>
        </is>
      </c>
      <c r="I879"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79" s="48" t="inlineStr">
        <is>
          <t>062. OCB_GOLD_TCKH_WORKING_DAY_BAOANH.xlsx [SCRIPT: WORKING_DAY]</t>
        </is>
      </c>
    </row>
    <row r="880">
      <c r="A880" s="48" t="inlineStr">
        <is>
          <t>TCKH.WORKING_DAY</t>
        </is>
      </c>
      <c r="B880" s="48" t="inlineStr">
        <is>
          <t>SILVER_CONSUMER</t>
        </is>
      </c>
      <c r="C880" s="48" t="inlineStr">
        <is>
          <t>2.3</t>
        </is>
      </c>
      <c r="D880" s="48" t="inlineStr">
        <is>
          <t>Nhom 2 - Logic</t>
        </is>
      </c>
      <c r="E880" s="48" t="inlineStr">
        <is>
          <t>Điều kiện lọc trạng thái đặt SAU khi xác định bản ghi mới nhất</t>
        </is>
      </c>
      <c r="F880" s="49" t="inlineStr">
        <is>
          <t>PASS</t>
        </is>
      </c>
      <c r="G880" s="48" t="inlineStr">
        <is>
          <t>Pass</t>
        </is>
      </c>
      <c r="H880" s="50" t="inlineStr">
        <is>
          <t>không có điều kiện trạng thái nào lồng trong JOIN ON</t>
        </is>
      </c>
      <c r="I880"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80" s="48" t="inlineStr">
        <is>
          <t>062. OCB_GOLD_TCKH_WORKING_DAY_BAOANH.xlsx [SCRIPT: WORKING_DAY]</t>
        </is>
      </c>
    </row>
    <row r="881">
      <c r="A881" s="48" t="inlineStr">
        <is>
          <t>TCKH.WORKING_DAY</t>
        </is>
      </c>
      <c r="B881" s="48" t="inlineStr">
        <is>
          <t>SILVER_CONSUMER</t>
        </is>
      </c>
      <c r="C881" s="48" t="inlineStr">
        <is>
          <t>2.4</t>
        </is>
      </c>
      <c r="D881" s="48" t="inlineStr">
        <is>
          <t>Nhom 2 - Logic</t>
        </is>
      </c>
      <c r="E881" s="48" t="inlineStr">
        <is>
          <t>source_event_date áp dụng đúng dạng theo loại bảng</t>
        </is>
      </c>
      <c r="F881" s="48" t="inlineStr">
        <is>
          <t>N-A</t>
        </is>
      </c>
      <c r="G881" s="48" t="inlineStr">
        <is>
          <t>Pass</t>
        </is>
      </c>
      <c r="H881" s="50" t="inlineStr">
        <is>
          <t>script không đọc satellite nào</t>
        </is>
      </c>
      <c r="I881"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81" s="48" t="inlineStr">
        <is>
          <t>062. OCB_GOLD_TCKH_WORKING_DAY_BAOANH.xlsx [SCRIPT: WORKING_DAY]</t>
        </is>
      </c>
    </row>
    <row r="882">
      <c r="A882" s="48" t="inlineStr">
        <is>
          <t>TCKH.WORKING_DAY</t>
        </is>
      </c>
      <c r="B882" s="48" t="inlineStr">
        <is>
          <t>SILVER_CONSUMER</t>
        </is>
      </c>
      <c r="C882" s="48" t="inlineStr">
        <is>
          <t>2.5</t>
        </is>
      </c>
      <c r="D882" s="48" t="inlineStr">
        <is>
          <t>Nhom 2 - Logic</t>
        </is>
      </c>
      <c r="E882" s="48" t="inlineStr">
        <is>
          <t>Không lặp lại lỗi logic cũ đã được DA Data Vault fix</t>
        </is>
      </c>
      <c r="F882" s="49" t="inlineStr">
        <is>
          <t>PASS</t>
        </is>
      </c>
      <c r="G882" s="48" t="inlineStr">
        <is>
          <t>Pass</t>
        </is>
      </c>
      <c r="H882" s="50" t="inlineStr">
        <is>
          <t>không trùng lỗi nào trong Issue log của DA Data Vault</t>
        </is>
      </c>
      <c r="I882"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82" s="48" t="inlineStr">
        <is>
          <t>062. OCB_GOLD_TCKH_WORKING_DAY_BAOANH.xlsx [SCRIPT: WORKING_DAY]</t>
        </is>
      </c>
    </row>
    <row r="883">
      <c r="A883" s="48" t="inlineStr">
        <is>
          <t>TCKH.WORKING_DAY</t>
        </is>
      </c>
      <c r="B883" s="48" t="inlineStr">
        <is>
          <t>SILVER_CONSUMER</t>
        </is>
      </c>
      <c r="C883" s="48" t="inlineStr">
        <is>
          <t>2.6</t>
        </is>
      </c>
      <c r="D883" s="48" t="inlineStr">
        <is>
          <t>Nhom 2 - Logic</t>
        </is>
      </c>
      <c r="E883" s="48" t="inlineStr">
        <is>
          <t>SCD Type 2 cho bảng DIM áp dụng đúng kỹ thuật đã thống nhất</t>
        </is>
      </c>
      <c r="F883" s="48" t="inlineStr">
        <is>
          <t>N-A</t>
        </is>
      </c>
      <c r="G883" s="48" t="inlineStr">
        <is>
          <t>Pass</t>
        </is>
      </c>
      <c r="H883" s="50" t="inlineStr">
        <is>
          <t>object không phải bảng DIM nên không áp dụng SCD Type 2</t>
        </is>
      </c>
      <c r="I883"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83" s="48" t="inlineStr">
        <is>
          <t>062. OCB_GOLD_TCKH_WORKING_DAY_BAOANH.xlsx [SCRIPT: WORKING_DAY]</t>
        </is>
      </c>
    </row>
    <row r="884">
      <c r="A884" s="48" t="inlineStr">
        <is>
          <t>TCKH.WORKING_DAY</t>
        </is>
      </c>
      <c r="B884" s="48" t="inlineStr">
        <is>
          <t>SILVER_CONSUMER</t>
        </is>
      </c>
      <c r="C884" s="48" t="inlineStr">
        <is>
          <t>2.7</t>
        </is>
      </c>
      <c r="D884" s="48" t="inlineStr">
        <is>
          <t>Nhom 2 - Logic</t>
        </is>
      </c>
      <c r="E884" s="48" t="inlineStr">
        <is>
          <t>CASE WHEN cover đủ nhánh như job on-prem</t>
        </is>
      </c>
      <c r="F884" s="49" t="inlineStr">
        <is>
          <t>PASS</t>
        </is>
      </c>
      <c r="G884" s="48" t="inlineStr">
        <is>
          <t>Pass</t>
        </is>
      </c>
      <c r="H884" s="50" t="inlineStr">
        <is>
          <t>cả 4 CASE đều có nhánh ELSE</t>
        </is>
      </c>
      <c r="I884" s="50" t="inlineStr">
        <is>
          <t>Mở job on-prem tương ứng (DataStage DSX hoặc SQL cũ), đối chiếu từng nhánh WHEN và cả nhánh ELSE. CASE không có ELSE sẽ trả NULL âm thầm — xác nhận đó là ý muốn hay thiếu nhánh.</t>
        </is>
      </c>
      <c r="J884" s="48" t="inlineStr">
        <is>
          <t>062. OCB_GOLD_TCKH_WORKING_DAY_BAOANH.xlsx [SCRIPT: WORKING_DAY]</t>
        </is>
      </c>
    </row>
    <row r="885">
      <c r="A885" s="48" t="inlineStr">
        <is>
          <t>TCKH.WORKING_DAY</t>
        </is>
      </c>
      <c r="B885" s="48" t="inlineStr">
        <is>
          <t>SILVER_CONSUMER</t>
        </is>
      </c>
      <c r="C885" s="48" t="inlineStr">
        <is>
          <t>2.8</t>
        </is>
      </c>
      <c r="D885" s="48" t="inlineStr">
        <is>
          <t>Nhom 2 - Logic</t>
        </is>
      </c>
      <c r="E885" s="48" t="inlineStr">
        <is>
          <t>Cột SUM/COUNT được COALESCE/NVL hợp lý</t>
        </is>
      </c>
      <c r="F885" s="49" t="inlineStr">
        <is>
          <t>PASS</t>
        </is>
      </c>
      <c r="G885" s="48" t="inlineStr">
        <is>
          <t>Pass</t>
        </is>
      </c>
      <c r="H885" s="50" t="inlineStr">
        <is>
          <t>mọi SUM/COUNT đều đã coalesce (trực tiếp hoặc ở lớp ngoài)</t>
        </is>
      </c>
      <c r="I885"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85" s="48" t="inlineStr">
        <is>
          <t>062. OCB_GOLD_TCKH_WORKING_DAY_BAOANH.xlsx [SCRIPT: WORKING_DAY]</t>
        </is>
      </c>
    </row>
    <row r="886">
      <c r="A886" s="48" t="inlineStr">
        <is>
          <t>TCKH.WORKING_DAY</t>
        </is>
      </c>
      <c r="B886" s="48" t="inlineStr">
        <is>
          <t>SILVER_CONSUMER</t>
        </is>
      </c>
      <c r="C886" s="48" t="inlineStr">
        <is>
          <t>2.9</t>
        </is>
      </c>
      <c r="D886" s="48" t="inlineStr">
        <is>
          <t>Nhom 2 - Logic</t>
        </is>
      </c>
      <c r="E886" s="48" t="inlineStr">
        <is>
          <t>Subquery / custom function / điều kiện LIKE đúng ý nghĩa nghiệp vụ</t>
        </is>
      </c>
      <c r="F886" s="48" t="inlineStr">
        <is>
          <t>N-A</t>
        </is>
      </c>
      <c r="G886" s="48" t="inlineStr">
        <is>
          <t>Pass</t>
        </is>
      </c>
      <c r="H886" s="50" t="inlineStr">
        <is>
          <t>script không có điều kiện LIKE hay scalar subquery nào</t>
        </is>
      </c>
      <c r="I886" s="50" t="inlineStr">
        <is>
          <t>Đọc lại từng điều kiện LIKE và từng subquery, đối chiếu ý nghĩa nghiệp vụ với on-prem — đúng cú pháp không đủ. Chú ý pattern LIKE có ký tự % ở đầu/cuối và phân biệt chữ hoa/thường.</t>
        </is>
      </c>
      <c r="J886" s="48" t="inlineStr">
        <is>
          <t>062. OCB_GOLD_TCKH_WORKING_DAY_BAOANH.xlsx [SCRIPT: WORKING_DAY]</t>
        </is>
      </c>
    </row>
    <row r="887">
      <c r="A887" s="48" t="inlineStr">
        <is>
          <t>TCKH.WORKING_DAY</t>
        </is>
      </c>
      <c r="B887" s="48" t="inlineStr">
        <is>
          <t>SILVER_CONSUMER</t>
        </is>
      </c>
      <c r="C887" s="48" t="inlineStr">
        <is>
          <t>2.10</t>
        </is>
      </c>
      <c r="D887" s="48" t="inlineStr">
        <is>
          <t>Nhom 2 - Logic</t>
        </is>
      </c>
      <c r="E887" s="48" t="inlineStr">
        <is>
          <t>Aggregation kèm filter date range chính xác</t>
        </is>
      </c>
      <c r="F887" s="49" t="inlineStr">
        <is>
          <t>PASS</t>
        </is>
      </c>
      <c r="G887" s="48" t="inlineStr">
        <is>
          <t>Pass</t>
        </is>
      </c>
      <c r="H887" s="50" t="inlineStr">
        <is>
          <t>mọi khối tổng hợp đều có điều kiện theo kỳ dữ liệu</t>
        </is>
      </c>
      <c r="I887" s="50" t="inlineStr">
        <is>
          <t>Mỗi khối SUM/COUNT/AVG phải có điều kiện lọc theo kỳ dữ liệu (CDR_DT_ID, DATA_DATE, :DATADT…). Nếu điều kiện nằm ở CTE nguồn thì ghi rõ trong comment để người review không phải truy ngược.</t>
        </is>
      </c>
      <c r="J887" s="48" t="inlineStr">
        <is>
          <t>062. OCB_GOLD_TCKH_WORKING_DAY_BAOANH.xlsx [SCRIPT: WORKING_DAY]</t>
        </is>
      </c>
    </row>
    <row r="888">
      <c r="A888" s="48" t="inlineStr">
        <is>
          <t>TCKH.WORKING_DAY</t>
        </is>
      </c>
      <c r="B888" s="48" t="inlineStr">
        <is>
          <t>SILVER_CONSUMER</t>
        </is>
      </c>
      <c r="C888" s="48" t="inlineStr">
        <is>
          <t>2.11</t>
        </is>
      </c>
      <c r="D888" s="48" t="inlineStr">
        <is>
          <t>Nhom 2 - Logic</t>
        </is>
      </c>
      <c r="E888" s="48" t="inlineStr">
        <is>
          <t>Join dùng key hợp lý, không lạm dụng UNION ALL + EXISTS/NOT EXISTS</t>
        </is>
      </c>
      <c r="F888" s="49" t="inlineStr">
        <is>
          <t>PASS</t>
        </is>
      </c>
      <c r="G888" s="48" t="inlineStr">
        <is>
          <t>Pass</t>
        </is>
      </c>
      <c r="H888" s="50" t="inlineStr">
        <is>
          <t>join đều theo điều kiện bằng, không lạm dụng UNION ALL + EXISTS</t>
        </is>
      </c>
      <c r="I888" s="50" t="inlineStr">
        <is>
          <t>Ưu tiên LEFT JOIN theo business key hoặc hashkey. Xem lại các chỗ dùng UNION ALL kết hợp EXISTS/NOT EXISTS — thường thay được bằng một LEFT JOIN. Join không có điều kiện bằng (=) dễ tạo tích Descartes.</t>
        </is>
      </c>
      <c r="J888" s="48" t="inlineStr">
        <is>
          <t>062. OCB_GOLD_TCKH_WORKING_DAY_BAOANH.xlsx [SCRIPT: WORKING_DAY]</t>
        </is>
      </c>
    </row>
    <row r="889">
      <c r="A889" s="48" t="inlineStr">
        <is>
          <t>TCKH.WORKING_DAY</t>
        </is>
      </c>
      <c r="B889" s="48" t="inlineStr">
        <is>
          <t>SILVER_CONSUMER</t>
        </is>
      </c>
      <c r="C889" s="48" t="inlineStr">
        <is>
          <t>2.12</t>
        </is>
      </c>
      <c r="D889" s="48" t="inlineStr">
        <is>
          <t>Nhom 2 - Logic</t>
        </is>
      </c>
      <c r="E889" s="48" t="inlineStr">
        <is>
          <t>Build Gold từ CTE snapshot Silver, không build nhiều tầng chồng chéo</t>
        </is>
      </c>
      <c r="F889" s="51" t="inlineStr">
        <is>
          <t>WARN</t>
        </is>
      </c>
      <c r="G889" s="48" t="inlineStr">
        <is>
          <t>WARN</t>
        </is>
      </c>
      <c r="H889" s="50" t="inlineStr">
        <is>
          <t>bảng bị đọc lại ở nhiều khối SELECT, xét gom thành 1 CTE: calendar ở 2 khối</t>
        </is>
      </c>
      <c r="I889"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89" s="48" t="inlineStr">
        <is>
          <t>062. OCB_GOLD_TCKH_WORKING_DAY_BAOANH.xlsx [SCRIPT: WORKING_DAY]</t>
        </is>
      </c>
    </row>
    <row r="890">
      <c r="A890" s="48" t="inlineStr">
        <is>
          <t>TCKH.WORKING_DAY</t>
        </is>
      </c>
      <c r="B890" s="48" t="inlineStr">
        <is>
          <t>SILVER_CONSUMER</t>
        </is>
      </c>
      <c r="C890" s="48" t="inlineStr">
        <is>
          <t>3.1</t>
        </is>
      </c>
      <c r="D890" s="48" t="inlineStr">
        <is>
          <t>Nhom 3 - Optimization</t>
        </is>
      </c>
      <c r="E890" s="48" t="inlineStr">
        <is>
          <t>Không SELECT *</t>
        </is>
      </c>
      <c r="F890" s="49" t="inlineStr">
        <is>
          <t>PASS</t>
        </is>
      </c>
      <c r="G890" s="48" t="inlineStr">
        <is>
          <t>Pass</t>
        </is>
      </c>
      <c r="H890" s="50" t="inlineStr">
        <is>
          <t>không dùng SELECT * ở đâu</t>
        </is>
      </c>
      <c r="I890" s="50" t="inlineStr">
        <is>
          <t>Liệt kê tường minh các cột cần dùng, kể cả trong CTE trung gian. SELECT * làm tăng IO/memory và vỡ script khi bảng nguồn thêm cột.</t>
        </is>
      </c>
      <c r="J890" s="48" t="inlineStr">
        <is>
          <t>062. OCB_GOLD_TCKH_WORKING_DAY_BAOANH.xlsx [SCRIPT: WORKING_DAY]</t>
        </is>
      </c>
    </row>
    <row r="891">
      <c r="A891" s="48" t="inlineStr">
        <is>
          <t>TCKH.WORKING_DAY</t>
        </is>
      </c>
      <c r="B891" s="48" t="inlineStr">
        <is>
          <t>SILVER_CONSUMER</t>
        </is>
      </c>
      <c r="C891" s="48" t="inlineStr">
        <is>
          <t>3.2</t>
        </is>
      </c>
      <c r="D891" s="48" t="inlineStr">
        <is>
          <t>Nhom 3 - Optimization</t>
        </is>
      </c>
      <c r="E891" s="48" t="inlineStr">
        <is>
          <t>CTE không bị scan lại nhiều lần</t>
        </is>
      </c>
      <c r="F891" s="49" t="inlineStr">
        <is>
          <t>PASS</t>
        </is>
      </c>
      <c r="G891" s="48" t="inlineStr">
        <is>
          <t>Pass</t>
        </is>
      </c>
      <c r="H891" s="50" t="inlineStr">
        <is>
          <t>không có CTE nào bị gọi lại</t>
        </is>
      </c>
      <c r="I891" s="50" t="inlineStr">
        <is>
          <t>Với CTE nặng (đọc nhiều bảng Silver) bị tham chiếu từ 2 chỗ trở lên: gom lại còn một lần dùng, hoặc vật chất hóa (CACHE / bảng tạm). CTE nhẹ chỉ chứa tham số thì bỏ qua được — tự tick Pass.</t>
        </is>
      </c>
      <c r="J891" s="48" t="inlineStr">
        <is>
          <t>062. OCB_GOLD_TCKH_WORKING_DAY_BAOANH.xlsx [SCRIPT: WORKING_DAY]</t>
        </is>
      </c>
    </row>
    <row r="892">
      <c r="A892" s="48" t="inlineStr">
        <is>
          <t>TCKH.WORKING_DAY</t>
        </is>
      </c>
      <c r="B892" s="48" t="inlineStr">
        <is>
          <t>SILVER_CONSUMER</t>
        </is>
      </c>
      <c r="C892" s="48" t="inlineStr">
        <is>
          <t>3.3</t>
        </is>
      </c>
      <c r="D892" s="48" t="inlineStr">
        <is>
          <t>Nhom 3 - Optimization</t>
        </is>
      </c>
      <c r="E892" s="48" t="inlineStr">
        <is>
          <t>Filter trước khi join, tận dụng partition pruning</t>
        </is>
      </c>
      <c r="F892" s="49" t="inlineStr">
        <is>
          <t>PASS</t>
        </is>
      </c>
      <c r="G892" s="48" t="inlineStr">
        <is>
          <t>Pass</t>
        </is>
      </c>
      <c r="H892" s="50" t="inlineStr">
        <is>
          <t>các bảng join đều được filter trước</t>
        </is>
      </c>
      <c r="I892" s="50" t="inlineStr">
        <is>
          <t>Đưa điều kiện lọc (ngày dữ liệu, trạng thái) vào subquery của từng bảng TRƯỚC khi join, để tận dụng partition pruning. Bảng dim nhỏ không partition thì không cần — tự tick Pass.</t>
        </is>
      </c>
      <c r="J892" s="48" t="inlineStr">
        <is>
          <t>062. OCB_GOLD_TCKH_WORKING_DAY_BAOANH.xlsx [SCRIPT: WORKING_DAY]</t>
        </is>
      </c>
    </row>
    <row r="893">
      <c r="A893" s="48" t="inlineStr">
        <is>
          <t>TCKH.WORKING_DAY</t>
        </is>
      </c>
      <c r="B893" s="48" t="inlineStr">
        <is>
          <t>SILVER_CONSUMER</t>
        </is>
      </c>
      <c r="C893" s="48" t="inlineStr">
        <is>
          <t>3.4</t>
        </is>
      </c>
      <c r="D893" s="48" t="inlineStr">
        <is>
          <t>Nhom 3 - Optimization</t>
        </is>
      </c>
      <c r="E893" s="48" t="inlineStr">
        <is>
          <t>Sử dụng CACHE cho query lặp lại trong cùng luồng</t>
        </is>
      </c>
      <c r="F893" s="48" t="inlineStr">
        <is>
          <t>N-A</t>
        </is>
      </c>
      <c r="G893" s="48" t="inlineStr">
        <is>
          <t>Pass</t>
        </is>
      </c>
      <c r="H893" s="50" t="inlineStr">
        <is>
          <t>không có kết quả nào được dùng lại nhiều lần nên chưa cần CACHE</t>
        </is>
      </c>
      <c r="I893" s="50" t="inlineStr">
        <is>
          <t>Nếu một kết quả nặng được dùng lại nhiều bước trong cùng luồng, thêm CACHE TABLE / CACHE SELECT. Kết quả nhỏ thì cache còn chậm hơn — tự tick Pass.</t>
        </is>
      </c>
      <c r="J893" s="48" t="inlineStr">
        <is>
          <t>062. OCB_GOLD_TCKH_WORKING_DAY_BAOANH.xlsx [SCRIPT: WORKING_DAY]</t>
        </is>
      </c>
    </row>
    <row r="894">
      <c r="A894" s="48" t="inlineStr">
        <is>
          <t>TCKH.WORKING_DAY</t>
        </is>
      </c>
      <c r="B894" s="48" t="inlineStr">
        <is>
          <t>SILVER_CONSUMER</t>
        </is>
      </c>
      <c r="C894" s="48" t="inlineStr">
        <is>
          <t>3.5</t>
        </is>
      </c>
      <c r="D894" s="48" t="inlineStr">
        <is>
          <t>Nhom 3 - Optimization</t>
        </is>
      </c>
      <c r="E894" s="48" t="inlineStr">
        <is>
          <t>Ưu tiên MAX_BY + QUALIFY thay ROW_NUMBER() + WHERE rn = 1</t>
        </is>
      </c>
      <c r="F894" s="48" t="inlineStr">
        <is>
          <t>N-A</t>
        </is>
      </c>
      <c r="G894" s="48" t="inlineStr">
        <is>
          <t>Pass</t>
        </is>
      </c>
      <c r="H894" s="50" t="inlineStr">
        <is>
          <t>script không dùng ROW_NUMBER</t>
        </is>
      </c>
      <c r="I894"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94" s="48" t="inlineStr">
        <is>
          <t>062. OCB_GOLD_TCKH_WORKING_DAY_BAOANH.xlsx [SCRIPT: WORKING_DAY]</t>
        </is>
      </c>
    </row>
    <row r="895">
      <c r="A895" s="48" t="inlineStr">
        <is>
          <t>TCKH.WORKING_DAY</t>
        </is>
      </c>
      <c r="B895" s="48" t="inlineStr">
        <is>
          <t>SILVER_CONSUMER</t>
        </is>
      </c>
      <c r="C895" s="48" t="inlineStr">
        <is>
          <t>3.6</t>
        </is>
      </c>
      <c r="D895" s="48" t="inlineStr">
        <is>
          <t>Nhom 3 - Optimization</t>
        </is>
      </c>
      <c r="E895" s="48" t="inlineStr">
        <is>
          <t>Không lạm dụng window function; có comment khi dùng</t>
        </is>
      </c>
      <c r="F895" s="48" t="inlineStr">
        <is>
          <t>N-A</t>
        </is>
      </c>
      <c r="G895" s="48" t="inlineStr">
        <is>
          <t>Pass</t>
        </is>
      </c>
      <c r="H895" s="50" t="inlineStr">
        <is>
          <t>script không dùng window function</t>
        </is>
      </c>
      <c r="I895" s="50" t="inlineStr">
        <is>
          <t>Mỗi window function cần một comment ngay trên khối CTE chứa nó, nói rõ vì sao không dùng được max_by/QUALIFY đơn giản hơn.</t>
        </is>
      </c>
      <c r="J895" s="48" t="inlineStr">
        <is>
          <t>062. OCB_GOLD_TCKH_WORKING_DAY_BAOANH.xlsx [SCRIPT: WORKING_DAY]</t>
        </is>
      </c>
    </row>
    <row r="896">
      <c r="A896" s="48" t="inlineStr">
        <is>
          <t>TCKH.WORKING_DAY</t>
        </is>
      </c>
      <c r="B896" s="48" t="inlineStr">
        <is>
          <t>SILVER_CONSUMER</t>
        </is>
      </c>
      <c r="C896" s="48" t="inlineStr">
        <is>
          <t>X.1</t>
        </is>
      </c>
      <c r="D896" s="48" t="inlineStr">
        <is>
          <t>Nhom X - Bo sung Raffles</t>
        </is>
      </c>
      <c r="E896" s="48" t="inlineStr">
        <is>
          <t>[Bổ sung] Link phải rút về current trước khi join (chống fan-out)</t>
        </is>
      </c>
      <c r="F896" s="49" t="inlineStr">
        <is>
          <t>PASS</t>
        </is>
      </c>
      <c r="G896" s="48" t="inlineStr">
        <is>
          <t>Pass</t>
        </is>
      </c>
      <c r="H896" s="50" t="inlineStr">
        <is>
          <t>các bảng link_* đều được rút về current trước khi join</t>
        </is>
      </c>
      <c r="I896"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96" s="48" t="inlineStr">
        <is>
          <t>062. OCB_GOLD_TCKH_WORKING_DAY_BAOANH.xlsx [SCRIPT: WORKING_DAY]</t>
        </is>
      </c>
    </row>
    <row r="897">
      <c r="A897" s="48" t="inlineStr">
        <is>
          <t>TCKH.WORKING_DAY</t>
        </is>
      </c>
      <c r="B897" s="48" t="inlineStr">
        <is>
          <t>SILVER_CONSUMER</t>
        </is>
      </c>
      <c r="C897" s="48" t="inlineStr">
        <is>
          <t>X.6</t>
        </is>
      </c>
      <c r="D897" s="48" t="inlineStr">
        <is>
          <t>Nhom X - Bo sung Raffles</t>
        </is>
      </c>
      <c r="E897" s="48" t="inlineStr">
        <is>
          <t>[Bổ sung] Satellite phải LEFT JOIN, không INNER JOIN</t>
        </is>
      </c>
      <c r="F897" s="48" t="inlineStr">
        <is>
          <t>N-A</t>
        </is>
      </c>
      <c r="G897" s="48" t="inlineStr">
        <is>
          <t>Pass</t>
        </is>
      </c>
      <c r="H897" s="50" t="inlineStr">
        <is>
          <t>không join satellite trực tiếp</t>
        </is>
      </c>
      <c r="I897" s="50" t="inlineStr">
        <is>
          <t>Technical Document III.4.2.2 nguyên tắc 1: làm giàu thuộc tính luôn dùng LEFT JOIN. INNER JOIN satellite sẽ loại mất bản ghi Hub đang còn hiệu lực nhưng chưa có dòng satellite.</t>
        </is>
      </c>
      <c r="J897" s="48" t="inlineStr">
        <is>
          <t>062. OCB_GOLD_TCKH_WORKING_DAY_BAOANH.xlsx [SCRIPT: WORKING_DAY]</t>
        </is>
      </c>
    </row>
    <row r="898">
      <c r="A898" s="48" t="inlineStr">
        <is>
          <t>TCKH.WORKING_DAY</t>
        </is>
      </c>
      <c r="B898" s="48" t="inlineStr">
        <is>
          <t>SILVER_CONSUMER</t>
        </is>
      </c>
      <c r="C898" s="48" t="inlineStr">
        <is>
          <t>X.7</t>
        </is>
      </c>
      <c r="D898" s="48" t="inlineStr">
        <is>
          <t>Nhom X - Bo sung Raffles</t>
        </is>
      </c>
      <c r="E898" s="48" t="inlineStr">
        <is>
          <t>[Bổ sung] Không hard-code catalog, dùng biến môi trường</t>
        </is>
      </c>
      <c r="F898" s="49" t="inlineStr">
        <is>
          <t>PASS</t>
        </is>
      </c>
      <c r="G898" s="48" t="inlineStr">
        <is>
          <t>Pass</t>
        </is>
      </c>
      <c r="H898" s="50" t="inlineStr">
        <is>
          <t>dùng biến môi trường cho catalog</t>
        </is>
      </c>
      <c r="I898"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98" s="48" t="inlineStr">
        <is>
          <t>062. OCB_GOLD_TCKH_WORKING_DAY_BAOANH.xlsx [SCRIPT: WORKING_DAY]</t>
        </is>
      </c>
    </row>
    <row r="899">
      <c r="A899" s="48" t="inlineStr">
        <is>
          <t>TCKH.CB_OFCR_DIM</t>
        </is>
      </c>
      <c r="B899" s="48" t="inlineStr">
        <is>
          <t>SILVER_CONSUMER</t>
        </is>
      </c>
      <c r="C899" s="48" t="inlineStr">
        <is>
          <t>1.1</t>
        </is>
      </c>
      <c r="D899" s="48" t="inlineStr">
        <is>
          <t>Nhom 1 - Mapping</t>
        </is>
      </c>
      <c r="E899" s="48" t="inlineStr">
        <is>
          <t>Đầy đủ mapping từ Silver/manual sang Gold</t>
        </is>
      </c>
      <c r="F899" s="52" t="inlineStr">
        <is>
          <t>FAIL</t>
        </is>
      </c>
      <c r="G899" s="48" t="inlineStr">
        <is>
          <t>Fail</t>
        </is>
      </c>
      <c r="H899" s="50" t="inlineStr">
        <is>
          <t>workbook 063. OCB_GOLD_TCKH_CB_OFCR_DIM_HOP.xlsx: thiết kế 16 field, SQL có 17 cột; SQL có 1 cột KHÔNG có trong thiết kế: ['PPN_TM']</t>
        </is>
      </c>
      <c r="I899"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99" s="48" t="inlineStr">
        <is>
          <t>063. OCB_GOLD_TCKH_CB_OFCR_DIM_HOP.xlsx [SCRIPT: CB_OFCR_DIM]</t>
        </is>
      </c>
    </row>
    <row r="900">
      <c r="A900" s="48" t="inlineStr">
        <is>
          <t>TCKH.CB_OFCR_DIM</t>
        </is>
      </c>
      <c r="B900" s="48" t="inlineStr">
        <is>
          <t>SILVER_CONSUMER</t>
        </is>
      </c>
      <c r="C900" s="48" t="inlineStr">
        <is>
          <t>1.2</t>
        </is>
      </c>
      <c r="D900" s="48" t="inlineStr">
        <is>
          <t>Nhom 1 - Mapping</t>
        </is>
      </c>
      <c r="E900" s="48" t="inlineStr">
        <is>
          <t>Danh sách bảng/view Gold khớp tài liệu thiết kế đã duyệt</t>
        </is>
      </c>
      <c r="F900" s="49" t="inlineStr">
        <is>
          <t>PASS</t>
        </is>
      </c>
      <c r="G900" s="48" t="inlineStr">
        <is>
          <t>Pass</t>
        </is>
      </c>
      <c r="H900" s="50" t="inlineStr">
        <is>
          <t>CB_OFCR_DIM có workbook thiết kế: 063. OCB_GOLD_TCKH_CB_OFCR_DIM_HOP.xlsx</t>
        </is>
      </c>
      <c r="I900" s="50" t="inlineStr">
        <is>
          <t>Đảm bảo object có workbook thiết kế tương ứng trong thư mục --mapping-dir. Muốn đối chiếu với danh sách đã duyệt thì chạy thêm tham số --gold-list "&lt;file danh sách Gold&gt;.xlsx".</t>
        </is>
      </c>
      <c r="J900" s="48" t="inlineStr">
        <is>
          <t>063. OCB_GOLD_TCKH_CB_OFCR_DIM_HOP.xlsx [SCRIPT: CB_OFCR_DIM]</t>
        </is>
      </c>
    </row>
    <row r="901">
      <c r="A901" s="48" t="inlineStr">
        <is>
          <t>TCKH.CB_OFCR_DIM</t>
        </is>
      </c>
      <c r="B901" s="48" t="inlineStr">
        <is>
          <t>SILVER_CONSUMER</t>
        </is>
      </c>
      <c r="C901" s="48" t="inlineStr">
        <is>
          <t>2.1</t>
        </is>
      </c>
      <c r="D901" s="48" t="inlineStr">
        <is>
          <t>Nhom 2 - Logic</t>
        </is>
      </c>
      <c r="E901" s="48" t="inlineStr">
        <is>
          <t>Chỉ lấy bản ghi active, loại bản ghi đã xóa (qua sts_hub)</t>
        </is>
      </c>
      <c r="F901" s="49" t="inlineStr">
        <is>
          <t>PASS</t>
        </is>
      </c>
      <c r="G901" s="48" t="inlineStr">
        <is>
          <t>Pass</t>
        </is>
      </c>
      <c r="H901" s="50" t="inlineStr">
        <is>
          <t>1 sts_hub_* đọc đúng format</t>
        </is>
      </c>
      <c r="I901"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01" s="48" t="inlineStr">
        <is>
          <t>063. OCB_GOLD_TCKH_CB_OFCR_DIM_HOP.xlsx [SCRIPT: CB_OFCR_DIM]</t>
        </is>
      </c>
    </row>
    <row r="902">
      <c r="A902" s="48" t="inlineStr">
        <is>
          <t>TCKH.CB_OFCR_DIM</t>
        </is>
      </c>
      <c r="B902" s="48" t="inlineStr">
        <is>
          <t>SILVER_CONSUMER</t>
        </is>
      </c>
      <c r="C902" s="48" t="inlineStr">
        <is>
          <t>2.2</t>
        </is>
      </c>
      <c r="D902" s="48" t="inlineStr">
        <is>
          <t>Nhom 2 - Logic</t>
        </is>
      </c>
      <c r="E902" s="48" t="inlineStr">
        <is>
          <t>Thống nhất MỘT pattern duy nhất xác định bản ghi active mới nhất</t>
        </is>
      </c>
      <c r="F902" s="49" t="inlineStr">
        <is>
          <t>PASS</t>
        </is>
      </c>
      <c r="G902" s="48" t="inlineStr">
        <is>
          <t>Pass</t>
        </is>
      </c>
      <c r="H902" s="50" t="inlineStr">
        <is>
          <t>file này dùng: ['MAX_BY']; toàn batch dùng: ['MAX_BY']</t>
        </is>
      </c>
      <c r="I902"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02" s="48" t="inlineStr">
        <is>
          <t>063. OCB_GOLD_TCKH_CB_OFCR_DIM_HOP.xlsx [SCRIPT: CB_OFCR_DIM]</t>
        </is>
      </c>
    </row>
    <row r="903">
      <c r="A903" s="48" t="inlineStr">
        <is>
          <t>TCKH.CB_OFCR_DIM</t>
        </is>
      </c>
      <c r="B903" s="48" t="inlineStr">
        <is>
          <t>SILVER_CONSUMER</t>
        </is>
      </c>
      <c r="C903" s="48" t="inlineStr">
        <is>
          <t>2.3</t>
        </is>
      </c>
      <c r="D903" s="48" t="inlineStr">
        <is>
          <t>Nhom 2 - Logic</t>
        </is>
      </c>
      <c r="E903" s="48" t="inlineStr">
        <is>
          <t>Điều kiện lọc trạng thái đặt SAU khi xác định bản ghi mới nhất</t>
        </is>
      </c>
      <c r="F903" s="49" t="inlineStr">
        <is>
          <t>PASS</t>
        </is>
      </c>
      <c r="G903" s="48" t="inlineStr">
        <is>
          <t>Pass</t>
        </is>
      </c>
      <c r="H903" s="50" t="inlineStr">
        <is>
          <t>không có điều kiện trạng thái nào lồng trong JOIN ON</t>
        </is>
      </c>
      <c r="I903"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03" s="48" t="inlineStr">
        <is>
          <t>063. OCB_GOLD_TCKH_CB_OFCR_DIM_HOP.xlsx [SCRIPT: CB_OFCR_DIM]</t>
        </is>
      </c>
    </row>
    <row r="904">
      <c r="A904" s="48" t="inlineStr">
        <is>
          <t>TCKH.CB_OFCR_DIM</t>
        </is>
      </c>
      <c r="B904" s="48" t="inlineStr">
        <is>
          <t>SILVER_CONSUMER</t>
        </is>
      </c>
      <c r="C904" s="48" t="inlineStr">
        <is>
          <t>2.4</t>
        </is>
      </c>
      <c r="D904" s="48" t="inlineStr">
        <is>
          <t>Nhom 2 - Logic</t>
        </is>
      </c>
      <c r="E904" s="48" t="inlineStr">
        <is>
          <t>source_event_date áp dụng đúng dạng theo loại bảng</t>
        </is>
      </c>
      <c r="F904" s="49" t="inlineStr">
        <is>
          <t>PASS</t>
        </is>
      </c>
      <c r="G904" s="48" t="inlineStr">
        <is>
          <t>Pass</t>
        </is>
      </c>
      <c r="H904" s="50" t="inlineStr">
        <is>
          <t>2 satellite đều đúng dạng điều kiện source_event_date</t>
        </is>
      </c>
      <c r="I904"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04" s="48" t="inlineStr">
        <is>
          <t>063. OCB_GOLD_TCKH_CB_OFCR_DIM_HOP.xlsx [SCRIPT: CB_OFCR_DIM]</t>
        </is>
      </c>
    </row>
    <row r="905">
      <c r="A905" s="48" t="inlineStr">
        <is>
          <t>TCKH.CB_OFCR_DIM</t>
        </is>
      </c>
      <c r="B905" s="48" t="inlineStr">
        <is>
          <t>SILVER_CONSUMER</t>
        </is>
      </c>
      <c r="C905" s="48" t="inlineStr">
        <is>
          <t>2.5</t>
        </is>
      </c>
      <c r="D905" s="48" t="inlineStr">
        <is>
          <t>Nhom 2 - Logic</t>
        </is>
      </c>
      <c r="E905" s="48" t="inlineStr">
        <is>
          <t>Không lặp lại lỗi logic cũ đã được DA Data Vault fix</t>
        </is>
      </c>
      <c r="F905" s="52" t="inlineStr">
        <is>
          <t>FAIL</t>
        </is>
      </c>
      <c r="G905" s="48" t="inlineStr">
        <is>
          <t>Fail</t>
        </is>
      </c>
      <c r="H905" s="50" t="inlineStr">
        <is>
          <t>lặp lại 1 lỗi DA Data Vault đã nêu ở Issue log: Issue#4 COALESCE(MAX(&lt;DIM_ID&gt;),0) lam moc tang dan cho surrogate key @ dòng [75]</t>
        </is>
      </c>
      <c r="I905"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05" s="48" t="inlineStr">
        <is>
          <t>063. OCB_GOLD_TCKH_CB_OFCR_DIM_HOP.xlsx [SCRIPT: CB_OFCR_DIM]</t>
        </is>
      </c>
    </row>
    <row r="906">
      <c r="A906" s="48" t="inlineStr">
        <is>
          <t>TCKH.CB_OFCR_DIM</t>
        </is>
      </c>
      <c r="B906" s="48" t="inlineStr">
        <is>
          <t>SILVER_CONSUMER</t>
        </is>
      </c>
      <c r="C906" s="48" t="inlineStr">
        <is>
          <t>2.6</t>
        </is>
      </c>
      <c r="D906" s="48" t="inlineStr">
        <is>
          <t>Nhom 2 - Logic</t>
        </is>
      </c>
      <c r="E906" s="48" t="inlineStr">
        <is>
          <t>SCD Type 2 cho bảng DIM áp dụng đúng kỹ thuật đã thống nhất</t>
        </is>
      </c>
      <c r="F906" s="52" t="inlineStr">
        <is>
          <t>FAIL</t>
        </is>
      </c>
      <c r="G906" s="48" t="inlineStr">
        <is>
          <t>Fail</t>
        </is>
      </c>
      <c r="H906" s="50" t="inlineStr">
        <is>
          <t>dùng antipattern MAX(ID) + ROW_NUMBER để sinh surrogate key ở dòng [119] (Issue log #4)</t>
        </is>
      </c>
      <c r="I906"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06" s="48" t="inlineStr">
        <is>
          <t>063. OCB_GOLD_TCKH_CB_OFCR_DIM_HOP.xlsx [SCRIPT: CB_OFCR_DIM]</t>
        </is>
      </c>
    </row>
    <row r="907">
      <c r="A907" s="48" t="inlineStr">
        <is>
          <t>TCKH.CB_OFCR_DIM</t>
        </is>
      </c>
      <c r="B907" s="48" t="inlineStr">
        <is>
          <t>SILVER_CONSUMER</t>
        </is>
      </c>
      <c r="C907" s="48" t="inlineStr">
        <is>
          <t>2.7</t>
        </is>
      </c>
      <c r="D907" s="48" t="inlineStr">
        <is>
          <t>Nhom 2 - Logic</t>
        </is>
      </c>
      <c r="E907" s="48" t="inlineStr">
        <is>
          <t>CASE WHEN cover đủ nhánh như job on-prem</t>
        </is>
      </c>
      <c r="F907" s="48" t="inlineStr">
        <is>
          <t>N-A</t>
        </is>
      </c>
      <c r="G907" s="48" t="inlineStr">
        <is>
          <t>Pass</t>
        </is>
      </c>
      <c r="H907" s="50" t="inlineStr">
        <is>
          <t>script không có CASE WHEN nào</t>
        </is>
      </c>
      <c r="I907" s="50" t="inlineStr">
        <is>
          <t>Mở job on-prem tương ứng (DataStage DSX hoặc SQL cũ), đối chiếu từng nhánh WHEN và cả nhánh ELSE. CASE không có ELSE sẽ trả NULL âm thầm — xác nhận đó là ý muốn hay thiếu nhánh.</t>
        </is>
      </c>
      <c r="J907" s="48" t="inlineStr">
        <is>
          <t>063. OCB_GOLD_TCKH_CB_OFCR_DIM_HOP.xlsx [SCRIPT: CB_OFCR_DIM]</t>
        </is>
      </c>
    </row>
    <row r="908">
      <c r="A908" s="48" t="inlineStr">
        <is>
          <t>TCKH.CB_OFCR_DIM</t>
        </is>
      </c>
      <c r="B908" s="48" t="inlineStr">
        <is>
          <t>SILVER_CONSUMER</t>
        </is>
      </c>
      <c r="C908" s="48" t="inlineStr">
        <is>
          <t>2.8</t>
        </is>
      </c>
      <c r="D908" s="48" t="inlineStr">
        <is>
          <t>Nhom 2 - Logic</t>
        </is>
      </c>
      <c r="E908" s="48" t="inlineStr">
        <is>
          <t>Cột SUM/COUNT được COALESCE/NVL hợp lý</t>
        </is>
      </c>
      <c r="F908" s="49" t="inlineStr">
        <is>
          <t>PASS</t>
        </is>
      </c>
      <c r="G908" s="48" t="inlineStr">
        <is>
          <t>Pass</t>
        </is>
      </c>
      <c r="H908" s="50" t="inlineStr">
        <is>
          <t>mọi SUM/COUNT đều đã coalesce (trực tiếp hoặc ở lớp ngoài)</t>
        </is>
      </c>
      <c r="I908"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08" s="48" t="inlineStr">
        <is>
          <t>063. OCB_GOLD_TCKH_CB_OFCR_DIM_HOP.xlsx [SCRIPT: CB_OFCR_DIM]</t>
        </is>
      </c>
    </row>
    <row r="909">
      <c r="A909" s="48" t="inlineStr">
        <is>
          <t>TCKH.CB_OFCR_DIM</t>
        </is>
      </c>
      <c r="B909" s="48" t="inlineStr">
        <is>
          <t>SILVER_CONSUMER</t>
        </is>
      </c>
      <c r="C909" s="48" t="inlineStr">
        <is>
          <t>2.9</t>
        </is>
      </c>
      <c r="D909" s="48" t="inlineStr">
        <is>
          <t>Nhom 2 - Logic</t>
        </is>
      </c>
      <c r="E909" s="48" t="inlineStr">
        <is>
          <t>Subquery / custom function / điều kiện LIKE đúng ý nghĩa nghiệp vụ</t>
        </is>
      </c>
      <c r="F909" s="48" t="inlineStr">
        <is>
          <t>N-A</t>
        </is>
      </c>
      <c r="G909" s="48" t="inlineStr">
        <is>
          <t>Pass</t>
        </is>
      </c>
      <c r="H909" s="50" t="inlineStr">
        <is>
          <t>script không có điều kiện LIKE hay scalar subquery nào</t>
        </is>
      </c>
      <c r="I909" s="50" t="inlineStr">
        <is>
          <t>Đọc lại từng điều kiện LIKE và từng subquery, đối chiếu ý nghĩa nghiệp vụ với on-prem — đúng cú pháp không đủ. Chú ý pattern LIKE có ký tự % ở đầu/cuối và phân biệt chữ hoa/thường.</t>
        </is>
      </c>
      <c r="J909" s="48" t="inlineStr">
        <is>
          <t>063. OCB_GOLD_TCKH_CB_OFCR_DIM_HOP.xlsx [SCRIPT: CB_OFCR_DIM]</t>
        </is>
      </c>
    </row>
    <row r="910">
      <c r="A910" s="48" t="inlineStr">
        <is>
          <t>TCKH.CB_OFCR_DIM</t>
        </is>
      </c>
      <c r="B910" s="48" t="inlineStr">
        <is>
          <t>SILVER_CONSUMER</t>
        </is>
      </c>
      <c r="C910" s="48" t="inlineStr">
        <is>
          <t>2.10</t>
        </is>
      </c>
      <c r="D910" s="48" t="inlineStr">
        <is>
          <t>Nhom 2 - Logic</t>
        </is>
      </c>
      <c r="E910" s="48" t="inlineStr">
        <is>
          <t>Aggregation kèm filter date range chính xác</t>
        </is>
      </c>
      <c r="F910" s="51" t="inlineStr">
        <is>
          <t>WARN</t>
        </is>
      </c>
      <c r="G910" s="48" t="inlineStr">
        <is>
          <t>WARN</t>
        </is>
      </c>
      <c r="H910" s="50" t="inlineStr">
        <is>
          <t>1 khối tổng hợp không thấy filter theo ngày/tham số: max_id</t>
        </is>
      </c>
      <c r="I910" s="50" t="inlineStr">
        <is>
          <t>Mỗi khối SUM/COUNT/AVG phải có điều kiện lọc theo kỳ dữ liệu (CDR_DT_ID, DATA_DATE, :DATADT…). Nếu điều kiện nằm ở CTE nguồn thì ghi rõ trong comment để người review không phải truy ngược.</t>
        </is>
      </c>
      <c r="J910" s="48" t="inlineStr">
        <is>
          <t>063. OCB_GOLD_TCKH_CB_OFCR_DIM_HOP.xlsx [SCRIPT: CB_OFCR_DIM]</t>
        </is>
      </c>
    </row>
    <row r="911">
      <c r="A911" s="48" t="inlineStr">
        <is>
          <t>TCKH.CB_OFCR_DIM</t>
        </is>
      </c>
      <c r="B911" s="48" t="inlineStr">
        <is>
          <t>SILVER_CONSUMER</t>
        </is>
      </c>
      <c r="C911" s="48" t="inlineStr">
        <is>
          <t>2.11</t>
        </is>
      </c>
      <c r="D911" s="48" t="inlineStr">
        <is>
          <t>Nhom 2 - Logic</t>
        </is>
      </c>
      <c r="E911" s="48" t="inlineStr">
        <is>
          <t>Join dùng key hợp lý, không lạm dụng UNION ALL + EXISTS/NOT EXISTS</t>
        </is>
      </c>
      <c r="F911" s="49" t="inlineStr">
        <is>
          <t>PASS</t>
        </is>
      </c>
      <c r="G911" s="48" t="inlineStr">
        <is>
          <t>Pass</t>
        </is>
      </c>
      <c r="H911" s="50" t="inlineStr">
        <is>
          <t>join đều theo điều kiện bằng, không lạm dụng UNION ALL + EXISTS</t>
        </is>
      </c>
      <c r="I911" s="50" t="inlineStr">
        <is>
          <t>Ưu tiên LEFT JOIN theo business key hoặc hashkey. Xem lại các chỗ dùng UNION ALL kết hợp EXISTS/NOT EXISTS — thường thay được bằng một LEFT JOIN. Join không có điều kiện bằng (=) dễ tạo tích Descartes.</t>
        </is>
      </c>
      <c r="J911" s="48" t="inlineStr">
        <is>
          <t>063. OCB_GOLD_TCKH_CB_OFCR_DIM_HOP.xlsx [SCRIPT: CB_OFCR_DIM]</t>
        </is>
      </c>
    </row>
    <row r="912">
      <c r="A912" s="48" t="inlineStr">
        <is>
          <t>TCKH.CB_OFCR_DIM</t>
        </is>
      </c>
      <c r="B912" s="48" t="inlineStr">
        <is>
          <t>SILVER_CONSUMER</t>
        </is>
      </c>
      <c r="C912" s="48" t="inlineStr">
        <is>
          <t>2.12</t>
        </is>
      </c>
      <c r="D912" s="48" t="inlineStr">
        <is>
          <t>Nhom 2 - Logic</t>
        </is>
      </c>
      <c r="E912" s="48" t="inlineStr">
        <is>
          <t>Build Gold từ CTE snapshot Silver, không build nhiều tầng chồng chéo</t>
        </is>
      </c>
      <c r="F912" s="49" t="inlineStr">
        <is>
          <t>PASS</t>
        </is>
      </c>
      <c r="G912" s="48" t="inlineStr">
        <is>
          <t>Pass</t>
        </is>
      </c>
      <c r="H912" s="50" t="inlineStr">
        <is>
          <t>mỗi bảng nguồn chỉ đọc trong 1 khối SELECT</t>
        </is>
      </c>
      <c r="I912"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12" s="48" t="inlineStr">
        <is>
          <t>063. OCB_GOLD_TCKH_CB_OFCR_DIM_HOP.xlsx [SCRIPT: CB_OFCR_DIM]</t>
        </is>
      </c>
    </row>
    <row r="913">
      <c r="A913" s="48" t="inlineStr">
        <is>
          <t>TCKH.CB_OFCR_DIM</t>
        </is>
      </c>
      <c r="B913" s="48" t="inlineStr">
        <is>
          <t>SILVER_CONSUMER</t>
        </is>
      </c>
      <c r="C913" s="48" t="inlineStr">
        <is>
          <t>3.1</t>
        </is>
      </c>
      <c r="D913" s="48" t="inlineStr">
        <is>
          <t>Nhom 3 - Optimization</t>
        </is>
      </c>
      <c r="E913" s="48" t="inlineStr">
        <is>
          <t>Không SELECT *</t>
        </is>
      </c>
      <c r="F913" s="52" t="inlineStr">
        <is>
          <t>FAIL</t>
        </is>
      </c>
      <c r="G913" s="48" t="inlineStr">
        <is>
          <t>Fail</t>
        </is>
      </c>
      <c r="H913" s="50" t="inlineStr">
        <is>
          <t>có 1 lần SELECT * ở dòng []</t>
        </is>
      </c>
      <c r="I913" s="50" t="inlineStr">
        <is>
          <t>Liệt kê tường minh các cột cần dùng, kể cả trong CTE trung gian. SELECT * làm tăng IO/memory và vỡ script khi bảng nguồn thêm cột.</t>
        </is>
      </c>
      <c r="J913" s="48" t="inlineStr">
        <is>
          <t>063. OCB_GOLD_TCKH_CB_OFCR_DIM_HOP.xlsx [SCRIPT: CB_OFCR_DIM]</t>
        </is>
      </c>
    </row>
    <row r="914">
      <c r="A914" s="48" t="inlineStr">
        <is>
          <t>TCKH.CB_OFCR_DIM</t>
        </is>
      </c>
      <c r="B914" s="48" t="inlineStr">
        <is>
          <t>SILVER_CONSUMER</t>
        </is>
      </c>
      <c r="C914" s="48" t="inlineStr">
        <is>
          <t>3.2</t>
        </is>
      </c>
      <c r="D914" s="48" t="inlineStr">
        <is>
          <t>Nhom 3 - Optimization</t>
        </is>
      </c>
      <c r="E914" s="48" t="inlineStr">
        <is>
          <t>CTE không bị scan lại nhiều lần</t>
        </is>
      </c>
      <c r="F914" s="49" t="inlineStr">
        <is>
          <t>PASS</t>
        </is>
      </c>
      <c r="G914" s="48" t="inlineStr">
        <is>
          <t>Pass</t>
        </is>
      </c>
      <c r="H914" s="50" t="inlineStr">
        <is>
          <t>không có CTE nào bị gọi lại</t>
        </is>
      </c>
      <c r="I914" s="50" t="inlineStr">
        <is>
          <t>Với CTE nặng (đọc nhiều bảng Silver) bị tham chiếu từ 2 chỗ trở lên: gom lại còn một lần dùng, hoặc vật chất hóa (CACHE / bảng tạm). CTE nhẹ chỉ chứa tham số thì bỏ qua được — tự tick Pass.</t>
        </is>
      </c>
      <c r="J914" s="48" t="inlineStr">
        <is>
          <t>063. OCB_GOLD_TCKH_CB_OFCR_DIM_HOP.xlsx [SCRIPT: CB_OFCR_DIM]</t>
        </is>
      </c>
    </row>
    <row r="915">
      <c r="A915" s="48" t="inlineStr">
        <is>
          <t>TCKH.CB_OFCR_DIM</t>
        </is>
      </c>
      <c r="B915" s="48" t="inlineStr">
        <is>
          <t>SILVER_CONSUMER</t>
        </is>
      </c>
      <c r="C915" s="48" t="inlineStr">
        <is>
          <t>3.3</t>
        </is>
      </c>
      <c r="D915" s="48" t="inlineStr">
        <is>
          <t>Nhom 3 - Optimization</t>
        </is>
      </c>
      <c r="E915" s="48" t="inlineStr">
        <is>
          <t>Filter trước khi join, tận dụng partition pruning</t>
        </is>
      </c>
      <c r="F915" s="51" t="inlineStr">
        <is>
          <t>WARN</t>
        </is>
      </c>
      <c r="G915" s="48" t="inlineStr">
        <is>
          <t>WARN</t>
        </is>
      </c>
      <c r="H915" s="50" t="inlineStr">
        <is>
          <t>1 bảng join trực tiếp mà không có filter riêng: ou_area_mapping (am)</t>
        </is>
      </c>
      <c r="I915" s="50" t="inlineStr">
        <is>
          <t>Đưa điều kiện lọc (ngày dữ liệu, trạng thái) vào subquery của từng bảng TRƯỚC khi join, để tận dụng partition pruning. Bảng dim nhỏ không partition thì không cần — tự tick Pass.</t>
        </is>
      </c>
      <c r="J915" s="48" t="inlineStr">
        <is>
          <t>063. OCB_GOLD_TCKH_CB_OFCR_DIM_HOP.xlsx [SCRIPT: CB_OFCR_DIM]</t>
        </is>
      </c>
    </row>
    <row r="916">
      <c r="A916" s="48" t="inlineStr">
        <is>
          <t>TCKH.CB_OFCR_DIM</t>
        </is>
      </c>
      <c r="B916" s="48" t="inlineStr">
        <is>
          <t>SILVER_CONSUMER</t>
        </is>
      </c>
      <c r="C916" s="48" t="inlineStr">
        <is>
          <t>3.4</t>
        </is>
      </c>
      <c r="D916" s="48" t="inlineStr">
        <is>
          <t>Nhom 3 - Optimization</t>
        </is>
      </c>
      <c r="E916" s="48" t="inlineStr">
        <is>
          <t>Sử dụng CACHE cho query lặp lại trong cùng luồng</t>
        </is>
      </c>
      <c r="F916" s="48" t="inlineStr">
        <is>
          <t>N-A</t>
        </is>
      </c>
      <c r="G916" s="48" t="inlineStr">
        <is>
          <t>Pass</t>
        </is>
      </c>
      <c r="H916" s="50" t="inlineStr">
        <is>
          <t>không có kết quả nào được dùng lại nhiều lần nên chưa cần CACHE</t>
        </is>
      </c>
      <c r="I916" s="50" t="inlineStr">
        <is>
          <t>Nếu một kết quả nặng được dùng lại nhiều bước trong cùng luồng, thêm CACHE TABLE / CACHE SELECT. Kết quả nhỏ thì cache còn chậm hơn — tự tick Pass.</t>
        </is>
      </c>
      <c r="J916" s="48" t="inlineStr">
        <is>
          <t>063. OCB_GOLD_TCKH_CB_OFCR_DIM_HOP.xlsx [SCRIPT: CB_OFCR_DIM]</t>
        </is>
      </c>
    </row>
    <row r="917">
      <c r="A917" s="48" t="inlineStr">
        <is>
          <t>TCKH.CB_OFCR_DIM</t>
        </is>
      </c>
      <c r="B917" s="48" t="inlineStr">
        <is>
          <t>SILVER_CONSUMER</t>
        </is>
      </c>
      <c r="C917" s="48" t="inlineStr">
        <is>
          <t>3.5</t>
        </is>
      </c>
      <c r="D917" s="48" t="inlineStr">
        <is>
          <t>Nhom 3 - Optimization</t>
        </is>
      </c>
      <c r="E917" s="48" t="inlineStr">
        <is>
          <t>Ưu tiên MAX_BY + QUALIFY thay ROW_NUMBER() + WHERE rn = 1</t>
        </is>
      </c>
      <c r="F917" s="49" t="inlineStr">
        <is>
          <t>PASS</t>
        </is>
      </c>
      <c r="G917" s="48" t="inlineStr">
        <is>
          <t>Pass</t>
        </is>
      </c>
      <c r="H917" s="50" t="inlineStr">
        <is>
          <t>đã dùng MAX_BY</t>
        </is>
      </c>
      <c r="I917"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17" s="48" t="inlineStr">
        <is>
          <t>063. OCB_GOLD_TCKH_CB_OFCR_DIM_HOP.xlsx [SCRIPT: CB_OFCR_DIM]</t>
        </is>
      </c>
    </row>
    <row r="918">
      <c r="A918" s="48" t="inlineStr">
        <is>
          <t>TCKH.CB_OFCR_DIM</t>
        </is>
      </c>
      <c r="B918" s="48" t="inlineStr">
        <is>
          <t>SILVER_CONSUMER</t>
        </is>
      </c>
      <c r="C918" s="48" t="inlineStr">
        <is>
          <t>3.6</t>
        </is>
      </c>
      <c r="D918" s="48" t="inlineStr">
        <is>
          <t>Nhom 3 - Optimization</t>
        </is>
      </c>
      <c r="E918" s="48" t="inlineStr">
        <is>
          <t>Không lạm dụng window function; có comment khi dùng</t>
        </is>
      </c>
      <c r="F918" s="49" t="inlineStr">
        <is>
          <t>PASS</t>
        </is>
      </c>
      <c r="G918" s="48" t="inlineStr">
        <is>
          <t>Pass</t>
        </is>
      </c>
      <c r="H918" s="50" t="inlineStr">
        <is>
          <t>1 window function đều có comment</t>
        </is>
      </c>
      <c r="I918" s="50" t="inlineStr">
        <is>
          <t>Mỗi window function cần một comment ngay trên khối CTE chứa nó, nói rõ vì sao không dùng được max_by/QUALIFY đơn giản hơn.</t>
        </is>
      </c>
      <c r="J918" s="48" t="inlineStr">
        <is>
          <t>063. OCB_GOLD_TCKH_CB_OFCR_DIM_HOP.xlsx [SCRIPT: CB_OFCR_DIM]</t>
        </is>
      </c>
    </row>
    <row r="919">
      <c r="A919" s="48" t="inlineStr">
        <is>
          <t>TCKH.CB_OFCR_DIM</t>
        </is>
      </c>
      <c r="B919" s="48" t="inlineStr">
        <is>
          <t>SILVER_CONSUMER</t>
        </is>
      </c>
      <c r="C919" s="48" t="inlineStr">
        <is>
          <t>X.1</t>
        </is>
      </c>
      <c r="D919" s="48" t="inlineStr">
        <is>
          <t>Nhom X - Bo sung Raffles</t>
        </is>
      </c>
      <c r="E919" s="48" t="inlineStr">
        <is>
          <t>[Bổ sung] Link phải rút về current trước khi join (chống fan-out)</t>
        </is>
      </c>
      <c r="F919" s="49" t="inlineStr">
        <is>
          <t>PASS</t>
        </is>
      </c>
      <c r="G919" s="48" t="inlineStr">
        <is>
          <t>Pass</t>
        </is>
      </c>
      <c r="H919" s="50" t="inlineStr">
        <is>
          <t>các bảng link_* đều được rút về current trước khi join</t>
        </is>
      </c>
      <c r="I919"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19" s="48" t="inlineStr">
        <is>
          <t>063. OCB_GOLD_TCKH_CB_OFCR_DIM_HOP.xlsx [SCRIPT: CB_OFCR_DIM]</t>
        </is>
      </c>
    </row>
    <row r="920">
      <c r="A920" s="48" t="inlineStr">
        <is>
          <t>TCKH.CB_OFCR_DIM</t>
        </is>
      </c>
      <c r="B920" s="48" t="inlineStr">
        <is>
          <t>SILVER_CONSUMER</t>
        </is>
      </c>
      <c r="C920" s="48" t="inlineStr">
        <is>
          <t>X.6</t>
        </is>
      </c>
      <c r="D920" s="48" t="inlineStr">
        <is>
          <t>Nhom X - Bo sung Raffles</t>
        </is>
      </c>
      <c r="E920" s="48" t="inlineStr">
        <is>
          <t>[Bổ sung] Satellite phải LEFT JOIN, không INNER JOIN</t>
        </is>
      </c>
      <c r="F920" s="52" t="inlineStr">
        <is>
          <t>FAIL</t>
        </is>
      </c>
      <c r="G920" s="48" t="inlineStr">
        <is>
          <t>Fail</t>
        </is>
      </c>
      <c r="H920" s="50" t="inlineStr">
        <is>
          <t>1 satellite dùng INNER JOIN, sẽ mất bản ghi Hub chưa có dòng satellite: sat_ofcr (dong 28)</t>
        </is>
      </c>
      <c r="I920" s="50" t="inlineStr">
        <is>
          <t>Technical Document III.4.2.2 nguyên tắc 1: làm giàu thuộc tính luôn dùng LEFT JOIN. INNER JOIN satellite sẽ loại mất bản ghi Hub đang còn hiệu lực nhưng chưa có dòng satellite.</t>
        </is>
      </c>
      <c r="J920" s="48" t="inlineStr">
        <is>
          <t>063. OCB_GOLD_TCKH_CB_OFCR_DIM_HOP.xlsx [SCRIPT: CB_OFCR_DIM]</t>
        </is>
      </c>
    </row>
    <row r="921">
      <c r="A921" s="48" t="inlineStr">
        <is>
          <t>TCKH.CB_OFCR_DIM</t>
        </is>
      </c>
      <c r="B921" s="48" t="inlineStr">
        <is>
          <t>SILVER_CONSUMER</t>
        </is>
      </c>
      <c r="C921" s="48" t="inlineStr">
        <is>
          <t>X.7</t>
        </is>
      </c>
      <c r="D921" s="48" t="inlineStr">
        <is>
          <t>Nhom X - Bo sung Raffles</t>
        </is>
      </c>
      <c r="E921" s="48" t="inlineStr">
        <is>
          <t>[Bổ sung] Không hard-code catalog, dùng biến môi trường</t>
        </is>
      </c>
      <c r="F921" s="49" t="inlineStr">
        <is>
          <t>PASS</t>
        </is>
      </c>
      <c r="G921" s="48" t="inlineStr">
        <is>
          <t>Pass</t>
        </is>
      </c>
      <c r="H921" s="50" t="inlineStr">
        <is>
          <t>dùng biến môi trường cho catalog</t>
        </is>
      </c>
      <c r="I921"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21" s="48" t="inlineStr">
        <is>
          <t>063. OCB_GOLD_TCKH_CB_OFCR_DIM_HOP.xlsx [SCRIPT: CB_OFCR_DIM]</t>
        </is>
      </c>
    </row>
    <row r="922">
      <c r="A922" s="48" t="inlineStr">
        <is>
          <t>TCKH.CST_DIM_NEW</t>
        </is>
      </c>
      <c r="B922" s="48" t="inlineStr">
        <is>
          <t>SILVER_CONSUMER</t>
        </is>
      </c>
      <c r="C922" s="48" t="inlineStr">
        <is>
          <t>1.1</t>
        </is>
      </c>
      <c r="D922" s="48" t="inlineStr">
        <is>
          <t>Nhom 1 - Mapping</t>
        </is>
      </c>
      <c r="E922" s="48" t="inlineStr">
        <is>
          <t>Đầy đủ mapping từ Silver/manual sang Gold</t>
        </is>
      </c>
      <c r="F922" s="49" t="inlineStr">
        <is>
          <t>PASS</t>
        </is>
      </c>
      <c r="G922" s="48" t="inlineStr">
        <is>
          <t>Pass</t>
        </is>
      </c>
      <c r="H922" s="50" t="inlineStr">
        <is>
          <t>workbook 064. OCB_GOLD_TCKH_CST_DIM_NEW_HOP.xlsx: thiết kế 21 field, SQL có 21 cột</t>
        </is>
      </c>
      <c r="I92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22" s="48" t="inlineStr">
        <is>
          <t>064. OCB_GOLD_TCKH_CST_DIM_NEW_HOP.xlsx [SCRIPT: CST_DIM_NEW]</t>
        </is>
      </c>
    </row>
    <row r="923">
      <c r="A923" s="48" t="inlineStr">
        <is>
          <t>TCKH.CST_DIM_NEW</t>
        </is>
      </c>
      <c r="B923" s="48" t="inlineStr">
        <is>
          <t>SILVER_CONSUMER</t>
        </is>
      </c>
      <c r="C923" s="48" t="inlineStr">
        <is>
          <t>1.2</t>
        </is>
      </c>
      <c r="D923" s="48" t="inlineStr">
        <is>
          <t>Nhom 1 - Mapping</t>
        </is>
      </c>
      <c r="E923" s="48" t="inlineStr">
        <is>
          <t>Danh sách bảng/view Gold khớp tài liệu thiết kế đã duyệt</t>
        </is>
      </c>
      <c r="F923" s="49" t="inlineStr">
        <is>
          <t>PASS</t>
        </is>
      </c>
      <c r="G923" s="48" t="inlineStr">
        <is>
          <t>Pass</t>
        </is>
      </c>
      <c r="H923" s="50" t="inlineStr">
        <is>
          <t>CST_DIM_NEW có workbook thiết kế: 064. OCB_GOLD_TCKH_CST_DIM_NEW_HOP.xlsx</t>
        </is>
      </c>
      <c r="I923" s="50" t="inlineStr">
        <is>
          <t>Đảm bảo object có workbook thiết kế tương ứng trong thư mục --mapping-dir. Muốn đối chiếu với danh sách đã duyệt thì chạy thêm tham số --gold-list "&lt;file danh sách Gold&gt;.xlsx".</t>
        </is>
      </c>
      <c r="J923" s="48" t="inlineStr">
        <is>
          <t>064. OCB_GOLD_TCKH_CST_DIM_NEW_HOP.xlsx [SCRIPT: CST_DIM_NEW]</t>
        </is>
      </c>
    </row>
    <row r="924">
      <c r="A924" s="48" t="inlineStr">
        <is>
          <t>TCKH.CST_DIM_NEW</t>
        </is>
      </c>
      <c r="B924" s="48" t="inlineStr">
        <is>
          <t>SILVER_CONSUMER</t>
        </is>
      </c>
      <c r="C924" s="48" t="inlineStr">
        <is>
          <t>2.1</t>
        </is>
      </c>
      <c r="D924" s="48" t="inlineStr">
        <is>
          <t>Nhom 2 - Logic</t>
        </is>
      </c>
      <c r="E924" s="48" t="inlineStr">
        <is>
          <t>Chỉ lấy bản ghi active, loại bản ghi đã xóa (qua sts_hub)</t>
        </is>
      </c>
      <c r="F924" s="49" t="inlineStr">
        <is>
          <t>PASS</t>
        </is>
      </c>
      <c r="G924" s="48" t="inlineStr">
        <is>
          <t>Pass</t>
        </is>
      </c>
      <c r="H924" s="50" t="inlineStr">
        <is>
          <t>1 sts_hub_* đọc đúng format</t>
        </is>
      </c>
      <c r="I92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24" s="48" t="inlineStr">
        <is>
          <t>064. OCB_GOLD_TCKH_CST_DIM_NEW_HOP.xlsx [SCRIPT: CST_DIM_NEW]</t>
        </is>
      </c>
    </row>
    <row r="925">
      <c r="A925" s="48" t="inlineStr">
        <is>
          <t>TCKH.CST_DIM_NEW</t>
        </is>
      </c>
      <c r="B925" s="48" t="inlineStr">
        <is>
          <t>SILVER_CONSUMER</t>
        </is>
      </c>
      <c r="C925" s="48" t="inlineStr">
        <is>
          <t>2.2</t>
        </is>
      </c>
      <c r="D925" s="48" t="inlineStr">
        <is>
          <t>Nhom 2 - Logic</t>
        </is>
      </c>
      <c r="E925" s="48" t="inlineStr">
        <is>
          <t>Thống nhất MỘT pattern duy nhất xác định bản ghi active mới nhất</t>
        </is>
      </c>
      <c r="F925" s="49" t="inlineStr">
        <is>
          <t>PASS</t>
        </is>
      </c>
      <c r="G925" s="48" t="inlineStr">
        <is>
          <t>Pass</t>
        </is>
      </c>
      <c r="H925" s="50" t="inlineStr">
        <is>
          <t>file này dùng: ['MAX_BY']; toàn batch dùng: ['MAX_BY']</t>
        </is>
      </c>
      <c r="I92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25" s="48" t="inlineStr">
        <is>
          <t>064. OCB_GOLD_TCKH_CST_DIM_NEW_HOP.xlsx [SCRIPT: CST_DIM_NEW]</t>
        </is>
      </c>
    </row>
    <row r="926">
      <c r="A926" s="48" t="inlineStr">
        <is>
          <t>TCKH.CST_DIM_NEW</t>
        </is>
      </c>
      <c r="B926" s="48" t="inlineStr">
        <is>
          <t>SILVER_CONSUMER</t>
        </is>
      </c>
      <c r="C926" s="48" t="inlineStr">
        <is>
          <t>2.3</t>
        </is>
      </c>
      <c r="D926" s="48" t="inlineStr">
        <is>
          <t>Nhom 2 - Logic</t>
        </is>
      </c>
      <c r="E926" s="48" t="inlineStr">
        <is>
          <t>Điều kiện lọc trạng thái đặt SAU khi xác định bản ghi mới nhất</t>
        </is>
      </c>
      <c r="F926" s="49" t="inlineStr">
        <is>
          <t>PASS</t>
        </is>
      </c>
      <c r="G926" s="48" t="inlineStr">
        <is>
          <t>Pass</t>
        </is>
      </c>
      <c r="H926" s="50" t="inlineStr">
        <is>
          <t>không có điều kiện trạng thái nào lồng trong JOIN ON</t>
        </is>
      </c>
      <c r="I92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26" s="48" t="inlineStr">
        <is>
          <t>064. OCB_GOLD_TCKH_CST_DIM_NEW_HOP.xlsx [SCRIPT: CST_DIM_NEW]</t>
        </is>
      </c>
    </row>
    <row r="927">
      <c r="A927" s="48" t="inlineStr">
        <is>
          <t>TCKH.CST_DIM_NEW</t>
        </is>
      </c>
      <c r="B927" s="48" t="inlineStr">
        <is>
          <t>SILVER_CONSUMER</t>
        </is>
      </c>
      <c r="C927" s="48" t="inlineStr">
        <is>
          <t>2.4</t>
        </is>
      </c>
      <c r="D927" s="48" t="inlineStr">
        <is>
          <t>Nhom 2 - Logic</t>
        </is>
      </c>
      <c r="E927" s="48" t="inlineStr">
        <is>
          <t>source_event_date áp dụng đúng dạng theo loại bảng</t>
        </is>
      </c>
      <c r="F927" s="52" t="inlineStr">
        <is>
          <t>FAIL</t>
        </is>
      </c>
      <c r="G927" s="48" t="inlineStr">
        <is>
          <t>Fail</t>
        </is>
      </c>
      <c r="H927" s="50" t="inlineStr">
        <is>
          <t>sat_customer_contact (dong 59): dùng = :DATADT nhưng KHÔNG thuộc danh sách 49 bảng transaction, sẽ bỏ sót bản ghi mới nhất nằm trước ngày chạy (Issue log #1); sat_customer_contact (dong 59): dùng = :DATADT nhưng KHÔNG thuộc danh sách 49 bảng transaction, sẽ bỏ sót bản ghi mới nhất nằm trước ngày chạy (Issue log #1)</t>
        </is>
      </c>
      <c r="I92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27" s="48" t="inlineStr">
        <is>
          <t>064. OCB_GOLD_TCKH_CST_DIM_NEW_HOP.xlsx [SCRIPT: CST_DIM_NEW]</t>
        </is>
      </c>
    </row>
    <row r="928">
      <c r="A928" s="48" t="inlineStr">
        <is>
          <t>TCKH.CST_DIM_NEW</t>
        </is>
      </c>
      <c r="B928" s="48" t="inlineStr">
        <is>
          <t>SILVER_CONSUMER</t>
        </is>
      </c>
      <c r="C928" s="48" t="inlineStr">
        <is>
          <t>2.5</t>
        </is>
      </c>
      <c r="D928" s="48" t="inlineStr">
        <is>
          <t>Nhom 2 - Logic</t>
        </is>
      </c>
      <c r="E928" s="48" t="inlineStr">
        <is>
          <t>Không lặp lại lỗi logic cũ đã được DA Data Vault fix</t>
        </is>
      </c>
      <c r="F928" s="49" t="inlineStr">
        <is>
          <t>PASS</t>
        </is>
      </c>
      <c r="G928" s="48" t="inlineStr">
        <is>
          <t>Pass</t>
        </is>
      </c>
      <c r="H928" s="50" t="inlineStr">
        <is>
          <t>không trùng lỗi nào trong Issue log của DA Data Vault</t>
        </is>
      </c>
      <c r="I92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28" s="48" t="inlineStr">
        <is>
          <t>064. OCB_GOLD_TCKH_CST_DIM_NEW_HOP.xlsx [SCRIPT: CST_DIM_NEW]</t>
        </is>
      </c>
    </row>
    <row r="929">
      <c r="A929" s="48" t="inlineStr">
        <is>
          <t>TCKH.CST_DIM_NEW</t>
        </is>
      </c>
      <c r="B929" s="48" t="inlineStr">
        <is>
          <t>SILVER_CONSUMER</t>
        </is>
      </c>
      <c r="C929" s="48" t="inlineStr">
        <is>
          <t>2.6</t>
        </is>
      </c>
      <c r="D929" s="48" t="inlineStr">
        <is>
          <t>Nhom 2 - Logic</t>
        </is>
      </c>
      <c r="E929" s="48" t="inlineStr">
        <is>
          <t>SCD Type 2 cho bảng DIM áp dụng đúng kỹ thuật đã thống nhất</t>
        </is>
      </c>
      <c r="F929" s="48" t="inlineStr">
        <is>
          <t>N-A</t>
        </is>
      </c>
      <c r="G929" s="48" t="inlineStr">
        <is>
          <t>Pass</t>
        </is>
      </c>
      <c r="H929" s="50" t="inlineStr">
        <is>
          <t>object không phải bảng DIM nên không áp dụng SCD Type 2</t>
        </is>
      </c>
      <c r="I92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29" s="48" t="inlineStr">
        <is>
          <t>064. OCB_GOLD_TCKH_CST_DIM_NEW_HOP.xlsx [SCRIPT: CST_DIM_NEW]</t>
        </is>
      </c>
    </row>
    <row r="930">
      <c r="A930" s="48" t="inlineStr">
        <is>
          <t>TCKH.CST_DIM_NEW</t>
        </is>
      </c>
      <c r="B930" s="48" t="inlineStr">
        <is>
          <t>SILVER_CONSUMER</t>
        </is>
      </c>
      <c r="C930" s="48" t="inlineStr">
        <is>
          <t>2.7</t>
        </is>
      </c>
      <c r="D930" s="48" t="inlineStr">
        <is>
          <t>Nhom 2 - Logic</t>
        </is>
      </c>
      <c r="E930" s="48" t="inlineStr">
        <is>
          <t>CASE WHEN cover đủ nhánh như job on-prem</t>
        </is>
      </c>
      <c r="F930" s="49" t="inlineStr">
        <is>
          <t>PASS</t>
        </is>
      </c>
      <c r="G930" s="48" t="inlineStr">
        <is>
          <t>Pass</t>
        </is>
      </c>
      <c r="H930" s="50" t="inlineStr">
        <is>
          <t>cả 1 CASE đều có nhánh ELSE</t>
        </is>
      </c>
      <c r="I930" s="50" t="inlineStr">
        <is>
          <t>Mở job on-prem tương ứng (DataStage DSX hoặc SQL cũ), đối chiếu từng nhánh WHEN và cả nhánh ELSE. CASE không có ELSE sẽ trả NULL âm thầm — xác nhận đó là ý muốn hay thiếu nhánh.</t>
        </is>
      </c>
      <c r="J930" s="48" t="inlineStr">
        <is>
          <t>064. OCB_GOLD_TCKH_CST_DIM_NEW_HOP.xlsx [SCRIPT: CST_DIM_NEW]</t>
        </is>
      </c>
    </row>
    <row r="931">
      <c r="A931" s="48" t="inlineStr">
        <is>
          <t>TCKH.CST_DIM_NEW</t>
        </is>
      </c>
      <c r="B931" s="48" t="inlineStr">
        <is>
          <t>SILVER_CONSUMER</t>
        </is>
      </c>
      <c r="C931" s="48" t="inlineStr">
        <is>
          <t>2.8</t>
        </is>
      </c>
      <c r="D931" s="48" t="inlineStr">
        <is>
          <t>Nhom 2 - Logic</t>
        </is>
      </c>
      <c r="E931" s="48" t="inlineStr">
        <is>
          <t>Cột SUM/COUNT được COALESCE/NVL hợp lý</t>
        </is>
      </c>
      <c r="F931" s="49" t="inlineStr">
        <is>
          <t>PASS</t>
        </is>
      </c>
      <c r="G931" s="48" t="inlineStr">
        <is>
          <t>Pass</t>
        </is>
      </c>
      <c r="H931" s="50" t="inlineStr">
        <is>
          <t>mọi SUM/COUNT đều đã coalesce (trực tiếp hoặc ở lớp ngoài)</t>
        </is>
      </c>
      <c r="I93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31" s="48" t="inlineStr">
        <is>
          <t>064. OCB_GOLD_TCKH_CST_DIM_NEW_HOP.xlsx [SCRIPT: CST_DIM_NEW]</t>
        </is>
      </c>
    </row>
    <row r="932">
      <c r="A932" s="48" t="inlineStr">
        <is>
          <t>TCKH.CST_DIM_NEW</t>
        </is>
      </c>
      <c r="B932" s="48" t="inlineStr">
        <is>
          <t>SILVER_CONSUMER</t>
        </is>
      </c>
      <c r="C932" s="48" t="inlineStr">
        <is>
          <t>2.9</t>
        </is>
      </c>
      <c r="D932" s="48" t="inlineStr">
        <is>
          <t>Nhom 2 - Logic</t>
        </is>
      </c>
      <c r="E932" s="48" t="inlineStr">
        <is>
          <t>Subquery / custom function / điều kiện LIKE đúng ý nghĩa nghiệp vụ</t>
        </is>
      </c>
      <c r="F932" s="48" t="inlineStr">
        <is>
          <t>N-A</t>
        </is>
      </c>
      <c r="G932" s="48" t="inlineStr">
        <is>
          <t>Pass</t>
        </is>
      </c>
      <c r="H932" s="50" t="inlineStr">
        <is>
          <t>script không có điều kiện LIKE hay scalar subquery nào</t>
        </is>
      </c>
      <c r="I932" s="50" t="inlineStr">
        <is>
          <t>Đọc lại từng điều kiện LIKE và từng subquery, đối chiếu ý nghĩa nghiệp vụ với on-prem — đúng cú pháp không đủ. Chú ý pattern LIKE có ký tự % ở đầu/cuối và phân biệt chữ hoa/thường.</t>
        </is>
      </c>
      <c r="J932" s="48" t="inlineStr">
        <is>
          <t>064. OCB_GOLD_TCKH_CST_DIM_NEW_HOP.xlsx [SCRIPT: CST_DIM_NEW]</t>
        </is>
      </c>
    </row>
    <row r="933">
      <c r="A933" s="48" t="inlineStr">
        <is>
          <t>TCKH.CST_DIM_NEW</t>
        </is>
      </c>
      <c r="B933" s="48" t="inlineStr">
        <is>
          <t>SILVER_CONSUMER</t>
        </is>
      </c>
      <c r="C933" s="48" t="inlineStr">
        <is>
          <t>2.10</t>
        </is>
      </c>
      <c r="D933" s="48" t="inlineStr">
        <is>
          <t>Nhom 2 - Logic</t>
        </is>
      </c>
      <c r="E933" s="48" t="inlineStr">
        <is>
          <t>Aggregation kèm filter date range chính xác</t>
        </is>
      </c>
      <c r="F933" s="49" t="inlineStr">
        <is>
          <t>PASS</t>
        </is>
      </c>
      <c r="G933" s="48" t="inlineStr">
        <is>
          <t>Pass</t>
        </is>
      </c>
      <c r="H933" s="50" t="inlineStr">
        <is>
          <t>mọi khối tổng hợp đều có điều kiện theo kỳ dữ liệu</t>
        </is>
      </c>
      <c r="I933" s="50" t="inlineStr">
        <is>
          <t>Mỗi khối SUM/COUNT/AVG phải có điều kiện lọc theo kỳ dữ liệu (CDR_DT_ID, DATA_DATE, :DATADT…). Nếu điều kiện nằm ở CTE nguồn thì ghi rõ trong comment để người review không phải truy ngược.</t>
        </is>
      </c>
      <c r="J933" s="48" t="inlineStr">
        <is>
          <t>064. OCB_GOLD_TCKH_CST_DIM_NEW_HOP.xlsx [SCRIPT: CST_DIM_NEW]</t>
        </is>
      </c>
    </row>
    <row r="934">
      <c r="A934" s="48" t="inlineStr">
        <is>
          <t>TCKH.CST_DIM_NEW</t>
        </is>
      </c>
      <c r="B934" s="48" t="inlineStr">
        <is>
          <t>SILVER_CONSUMER</t>
        </is>
      </c>
      <c r="C934" s="48" t="inlineStr">
        <is>
          <t>2.11</t>
        </is>
      </c>
      <c r="D934" s="48" t="inlineStr">
        <is>
          <t>Nhom 2 - Logic</t>
        </is>
      </c>
      <c r="E934" s="48" t="inlineStr">
        <is>
          <t>Join dùng key hợp lý, không lạm dụng UNION ALL + EXISTS/NOT EXISTS</t>
        </is>
      </c>
      <c r="F934" s="49" t="inlineStr">
        <is>
          <t>PASS</t>
        </is>
      </c>
      <c r="G934" s="48" t="inlineStr">
        <is>
          <t>Pass</t>
        </is>
      </c>
      <c r="H934" s="50" t="inlineStr">
        <is>
          <t>join đều theo điều kiện bằng, không lạm dụng UNION ALL + EXISTS</t>
        </is>
      </c>
      <c r="I934" s="50" t="inlineStr">
        <is>
          <t>Ưu tiên LEFT JOIN theo business key hoặc hashkey. Xem lại các chỗ dùng UNION ALL kết hợp EXISTS/NOT EXISTS — thường thay được bằng một LEFT JOIN. Join không có điều kiện bằng (=) dễ tạo tích Descartes.</t>
        </is>
      </c>
      <c r="J934" s="48" t="inlineStr">
        <is>
          <t>064. OCB_GOLD_TCKH_CST_DIM_NEW_HOP.xlsx [SCRIPT: CST_DIM_NEW]</t>
        </is>
      </c>
    </row>
    <row r="935">
      <c r="A935" s="48" t="inlineStr">
        <is>
          <t>TCKH.CST_DIM_NEW</t>
        </is>
      </c>
      <c r="B935" s="48" t="inlineStr">
        <is>
          <t>SILVER_CONSUMER</t>
        </is>
      </c>
      <c r="C935" s="48" t="inlineStr">
        <is>
          <t>2.12</t>
        </is>
      </c>
      <c r="D935" s="48" t="inlineStr">
        <is>
          <t>Nhom 2 - Logic</t>
        </is>
      </c>
      <c r="E935" s="48" t="inlineStr">
        <is>
          <t>Build Gold từ CTE snapshot Silver, không build nhiều tầng chồng chéo</t>
        </is>
      </c>
      <c r="F935" s="52" t="inlineStr">
        <is>
          <t>FAIL</t>
        </is>
      </c>
      <c r="G935" s="48" t="inlineStr">
        <is>
          <t>Fail</t>
        </is>
      </c>
      <c r="H935" s="50" t="inlineStr">
        <is>
          <t>bảng Silver bị đọc ở nhiều khối SELECT khác nhau thay vì snapshot 1 CTE: raw_vault.sat_customer_contact ở 2 khối</t>
        </is>
      </c>
      <c r="I93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35" s="48" t="inlineStr">
        <is>
          <t>064. OCB_GOLD_TCKH_CST_DIM_NEW_HOP.xlsx [SCRIPT: CST_DIM_NEW]</t>
        </is>
      </c>
    </row>
    <row r="936">
      <c r="A936" s="48" t="inlineStr">
        <is>
          <t>TCKH.CST_DIM_NEW</t>
        </is>
      </c>
      <c r="B936" s="48" t="inlineStr">
        <is>
          <t>SILVER_CONSUMER</t>
        </is>
      </c>
      <c r="C936" s="48" t="inlineStr">
        <is>
          <t>3.1</t>
        </is>
      </c>
      <c r="D936" s="48" t="inlineStr">
        <is>
          <t>Nhom 3 - Optimization</t>
        </is>
      </c>
      <c r="E936" s="48" t="inlineStr">
        <is>
          <t>Không SELECT *</t>
        </is>
      </c>
      <c r="F936" s="49" t="inlineStr">
        <is>
          <t>PASS</t>
        </is>
      </c>
      <c r="G936" s="48" t="inlineStr">
        <is>
          <t>Pass</t>
        </is>
      </c>
      <c r="H936" s="50" t="inlineStr">
        <is>
          <t>không dùng SELECT * ở đâu</t>
        </is>
      </c>
      <c r="I936" s="50" t="inlineStr">
        <is>
          <t>Liệt kê tường minh các cột cần dùng, kể cả trong CTE trung gian. SELECT * làm tăng IO/memory và vỡ script khi bảng nguồn thêm cột.</t>
        </is>
      </c>
      <c r="J936" s="48" t="inlineStr">
        <is>
          <t>064. OCB_GOLD_TCKH_CST_DIM_NEW_HOP.xlsx [SCRIPT: CST_DIM_NEW]</t>
        </is>
      </c>
    </row>
    <row r="937">
      <c r="A937" s="48" t="inlineStr">
        <is>
          <t>TCKH.CST_DIM_NEW</t>
        </is>
      </c>
      <c r="B937" s="48" t="inlineStr">
        <is>
          <t>SILVER_CONSUMER</t>
        </is>
      </c>
      <c r="C937" s="48" t="inlineStr">
        <is>
          <t>3.2</t>
        </is>
      </c>
      <c r="D937" s="48" t="inlineStr">
        <is>
          <t>Nhom 3 - Optimization</t>
        </is>
      </c>
      <c r="E937" s="48" t="inlineStr">
        <is>
          <t>CTE không bị scan lại nhiều lần</t>
        </is>
      </c>
      <c r="F937" s="49" t="inlineStr">
        <is>
          <t>PASS</t>
        </is>
      </c>
      <c r="G937" s="48" t="inlineStr">
        <is>
          <t>Pass</t>
        </is>
      </c>
      <c r="H937" s="50" t="inlineStr">
        <is>
          <t>không có CTE nào bị gọi lại</t>
        </is>
      </c>
      <c r="I937" s="50" t="inlineStr">
        <is>
          <t>Với CTE nặng (đọc nhiều bảng Silver) bị tham chiếu từ 2 chỗ trở lên: gom lại còn một lần dùng, hoặc vật chất hóa (CACHE / bảng tạm). CTE nhẹ chỉ chứa tham số thì bỏ qua được — tự tick Pass.</t>
        </is>
      </c>
      <c r="J937" s="48" t="inlineStr">
        <is>
          <t>064. OCB_GOLD_TCKH_CST_DIM_NEW_HOP.xlsx [SCRIPT: CST_DIM_NEW]</t>
        </is>
      </c>
    </row>
    <row r="938">
      <c r="A938" s="48" t="inlineStr">
        <is>
          <t>TCKH.CST_DIM_NEW</t>
        </is>
      </c>
      <c r="B938" s="48" t="inlineStr">
        <is>
          <t>SILVER_CONSUMER</t>
        </is>
      </c>
      <c r="C938" s="48" t="inlineStr">
        <is>
          <t>3.3</t>
        </is>
      </c>
      <c r="D938" s="48" t="inlineStr">
        <is>
          <t>Nhom 3 - Optimization</t>
        </is>
      </c>
      <c r="E938" s="48" t="inlineStr">
        <is>
          <t>Filter trước khi join, tận dụng partition pruning</t>
        </is>
      </c>
      <c r="F938" s="49" t="inlineStr">
        <is>
          <t>PASS</t>
        </is>
      </c>
      <c r="G938" s="48" t="inlineStr">
        <is>
          <t>Pass</t>
        </is>
      </c>
      <c r="H938" s="50" t="inlineStr">
        <is>
          <t>các bảng join đều được filter trước</t>
        </is>
      </c>
      <c r="I938" s="50" t="inlineStr">
        <is>
          <t>Đưa điều kiện lọc (ngày dữ liệu, trạng thái) vào subquery của từng bảng TRƯỚC khi join, để tận dụng partition pruning. Bảng dim nhỏ không partition thì không cần — tự tick Pass.</t>
        </is>
      </c>
      <c r="J938" s="48" t="inlineStr">
        <is>
          <t>064. OCB_GOLD_TCKH_CST_DIM_NEW_HOP.xlsx [SCRIPT: CST_DIM_NEW]</t>
        </is>
      </c>
    </row>
    <row r="939">
      <c r="A939" s="48" t="inlineStr">
        <is>
          <t>TCKH.CST_DIM_NEW</t>
        </is>
      </c>
      <c r="B939" s="48" t="inlineStr">
        <is>
          <t>SILVER_CONSUMER</t>
        </is>
      </c>
      <c r="C939" s="48" t="inlineStr">
        <is>
          <t>3.4</t>
        </is>
      </c>
      <c r="D939" s="48" t="inlineStr">
        <is>
          <t>Nhom 3 - Optimization</t>
        </is>
      </c>
      <c r="E939" s="48" t="inlineStr">
        <is>
          <t>Sử dụng CACHE cho query lặp lại trong cùng luồng</t>
        </is>
      </c>
      <c r="F939" s="48" t="inlineStr">
        <is>
          <t>N-A</t>
        </is>
      </c>
      <c r="G939" s="48" t="inlineStr">
        <is>
          <t>Pass</t>
        </is>
      </c>
      <c r="H939" s="50" t="inlineStr">
        <is>
          <t>không có kết quả nào được dùng lại nhiều lần nên chưa cần CACHE</t>
        </is>
      </c>
      <c r="I939" s="50" t="inlineStr">
        <is>
          <t>Nếu một kết quả nặng được dùng lại nhiều bước trong cùng luồng, thêm CACHE TABLE / CACHE SELECT. Kết quả nhỏ thì cache còn chậm hơn — tự tick Pass.</t>
        </is>
      </c>
      <c r="J939" s="48" t="inlineStr">
        <is>
          <t>064. OCB_GOLD_TCKH_CST_DIM_NEW_HOP.xlsx [SCRIPT: CST_DIM_NEW]</t>
        </is>
      </c>
    </row>
    <row r="940">
      <c r="A940" s="48" t="inlineStr">
        <is>
          <t>TCKH.CST_DIM_NEW</t>
        </is>
      </c>
      <c r="B940" s="48" t="inlineStr">
        <is>
          <t>SILVER_CONSUMER</t>
        </is>
      </c>
      <c r="C940" s="48" t="inlineStr">
        <is>
          <t>3.5</t>
        </is>
      </c>
      <c r="D940" s="48" t="inlineStr">
        <is>
          <t>Nhom 3 - Optimization</t>
        </is>
      </c>
      <c r="E940" s="48" t="inlineStr">
        <is>
          <t>Ưu tiên MAX_BY + QUALIFY thay ROW_NUMBER() + WHERE rn = 1</t>
        </is>
      </c>
      <c r="F940" s="48" t="inlineStr">
        <is>
          <t>N-A</t>
        </is>
      </c>
      <c r="G940" s="48" t="inlineStr">
        <is>
          <t>Pass</t>
        </is>
      </c>
      <c r="H940" s="50" t="inlineStr">
        <is>
          <t>script không dùng ROW_NUMBER</t>
        </is>
      </c>
      <c r="I94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40" s="48" t="inlineStr">
        <is>
          <t>064. OCB_GOLD_TCKH_CST_DIM_NEW_HOP.xlsx [SCRIPT: CST_DIM_NEW]</t>
        </is>
      </c>
    </row>
    <row r="941">
      <c r="A941" s="48" t="inlineStr">
        <is>
          <t>TCKH.CST_DIM_NEW</t>
        </is>
      </c>
      <c r="B941" s="48" t="inlineStr">
        <is>
          <t>SILVER_CONSUMER</t>
        </is>
      </c>
      <c r="C941" s="48" t="inlineStr">
        <is>
          <t>3.6</t>
        </is>
      </c>
      <c r="D941" s="48" t="inlineStr">
        <is>
          <t>Nhom 3 - Optimization</t>
        </is>
      </c>
      <c r="E941" s="48" t="inlineStr">
        <is>
          <t>Không lạm dụng window function; có comment khi dùng</t>
        </is>
      </c>
      <c r="F941" s="48" t="inlineStr">
        <is>
          <t>N-A</t>
        </is>
      </c>
      <c r="G941" s="48" t="inlineStr">
        <is>
          <t>Pass</t>
        </is>
      </c>
      <c r="H941" s="50" t="inlineStr">
        <is>
          <t>script không dùng window function</t>
        </is>
      </c>
      <c r="I941" s="50" t="inlineStr">
        <is>
          <t>Mỗi window function cần một comment ngay trên khối CTE chứa nó, nói rõ vì sao không dùng được max_by/QUALIFY đơn giản hơn.</t>
        </is>
      </c>
      <c r="J941" s="48" t="inlineStr">
        <is>
          <t>064. OCB_GOLD_TCKH_CST_DIM_NEW_HOP.xlsx [SCRIPT: CST_DIM_NEW]</t>
        </is>
      </c>
    </row>
    <row r="942">
      <c r="A942" s="48" t="inlineStr">
        <is>
          <t>TCKH.CST_DIM_NEW</t>
        </is>
      </c>
      <c r="B942" s="48" t="inlineStr">
        <is>
          <t>SILVER_CONSUMER</t>
        </is>
      </c>
      <c r="C942" s="48" t="inlineStr">
        <is>
          <t>X.1</t>
        </is>
      </c>
      <c r="D942" s="48" t="inlineStr">
        <is>
          <t>Nhom X - Bo sung Raffles</t>
        </is>
      </c>
      <c r="E942" s="48" t="inlineStr">
        <is>
          <t>[Bổ sung] Link phải rút về current trước khi join (chống fan-out)</t>
        </is>
      </c>
      <c r="F942" s="49" t="inlineStr">
        <is>
          <t>PASS</t>
        </is>
      </c>
      <c r="G942" s="48" t="inlineStr">
        <is>
          <t>Pass</t>
        </is>
      </c>
      <c r="H942" s="50" t="inlineStr">
        <is>
          <t>các bảng link_* đều được rút về current trước khi join</t>
        </is>
      </c>
      <c r="I94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42" s="48" t="inlineStr">
        <is>
          <t>064. OCB_GOLD_TCKH_CST_DIM_NEW_HOP.xlsx [SCRIPT: CST_DIM_NEW]</t>
        </is>
      </c>
    </row>
    <row r="943">
      <c r="A943" s="48" t="inlineStr">
        <is>
          <t>TCKH.CST_DIM_NEW</t>
        </is>
      </c>
      <c r="B943" s="48" t="inlineStr">
        <is>
          <t>SILVER_CONSUMER</t>
        </is>
      </c>
      <c r="C943" s="48" t="inlineStr">
        <is>
          <t>X.6</t>
        </is>
      </c>
      <c r="D943" s="48" t="inlineStr">
        <is>
          <t>Nhom X - Bo sung Raffles</t>
        </is>
      </c>
      <c r="E943" s="48" t="inlineStr">
        <is>
          <t>[Bổ sung] Satellite phải LEFT JOIN, không INNER JOIN</t>
        </is>
      </c>
      <c r="F943" s="49" t="inlineStr">
        <is>
          <t>PASS</t>
        </is>
      </c>
      <c r="G943" s="48" t="inlineStr">
        <is>
          <t>Pass</t>
        </is>
      </c>
      <c r="H943" s="50" t="inlineStr">
        <is>
          <t>các satellite đều LEFT JOIN</t>
        </is>
      </c>
      <c r="I943" s="50" t="inlineStr">
        <is>
          <t>Technical Document III.4.2.2 nguyên tắc 1: làm giàu thuộc tính luôn dùng LEFT JOIN. INNER JOIN satellite sẽ loại mất bản ghi Hub đang còn hiệu lực nhưng chưa có dòng satellite.</t>
        </is>
      </c>
      <c r="J943" s="48" t="inlineStr">
        <is>
          <t>064. OCB_GOLD_TCKH_CST_DIM_NEW_HOP.xlsx [SCRIPT: CST_DIM_NEW]</t>
        </is>
      </c>
    </row>
    <row r="944">
      <c r="A944" s="48" t="inlineStr">
        <is>
          <t>TCKH.CST_DIM_NEW</t>
        </is>
      </c>
      <c r="B944" s="48" t="inlineStr">
        <is>
          <t>SILVER_CONSUMER</t>
        </is>
      </c>
      <c r="C944" s="48" t="inlineStr">
        <is>
          <t>X.7</t>
        </is>
      </c>
      <c r="D944" s="48" t="inlineStr">
        <is>
          <t>Nhom X - Bo sung Raffles</t>
        </is>
      </c>
      <c r="E944" s="48" t="inlineStr">
        <is>
          <t>[Bổ sung] Không hard-code catalog, dùng biến môi trường</t>
        </is>
      </c>
      <c r="F944" s="49" t="inlineStr">
        <is>
          <t>PASS</t>
        </is>
      </c>
      <c r="G944" s="48" t="inlineStr">
        <is>
          <t>Pass</t>
        </is>
      </c>
      <c r="H944" s="50" t="inlineStr">
        <is>
          <t>dùng biến môi trường cho catalog</t>
        </is>
      </c>
      <c r="I94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44" s="48" t="inlineStr">
        <is>
          <t>064. OCB_GOLD_TCKH_CST_DIM_NEW_HOP.xlsx [SCRIPT: CST_DIM_NEW]</t>
        </is>
      </c>
    </row>
    <row r="945">
      <c r="A945" s="48" t="inlineStr">
        <is>
          <t>RT_AR_DTL</t>
        </is>
      </c>
      <c r="B945" s="48" t="inlineStr">
        <is>
          <t>SCRIPT_ONLY</t>
        </is>
      </c>
      <c r="C945" s="48" t="inlineStr">
        <is>
          <t>1.1</t>
        </is>
      </c>
      <c r="D945" s="48" t="inlineStr">
        <is>
          <t>Nhom 1 - Mapping</t>
        </is>
      </c>
      <c r="E945" s="48" t="inlineStr">
        <is>
          <t>Đầy đủ mapping từ Silver/manual sang Gold</t>
        </is>
      </c>
      <c r="F945" s="52" t="inlineStr">
        <is>
          <t>FAIL</t>
        </is>
      </c>
      <c r="G945" s="48" t="inlineStr">
        <is>
          <t>Fail</t>
        </is>
      </c>
      <c r="H945" s="50" t="inlineStr">
        <is>
          <t>SQL lỗi cú pháp, không phân tích được: ParseError: Expecting ). Line 679, Col: 30.</t>
        </is>
      </c>
      <c r="I945"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45" s="48" t="inlineStr">
        <is>
          <t>065. OCB_GOLD_TCKH_RT_AR_DTL_HOP.xlsx [SCRIPT: RT_AR_DTL]</t>
        </is>
      </c>
    </row>
    <row r="946">
      <c r="A946" s="48" t="inlineStr">
        <is>
          <t>RT_AR_DTL</t>
        </is>
      </c>
      <c r="B946" s="48" t="inlineStr">
        <is>
          <t>SCRIPT_ONLY</t>
        </is>
      </c>
      <c r="C946" s="48" t="inlineStr">
        <is>
          <t>1.2</t>
        </is>
      </c>
      <c r="D946" s="48" t="inlineStr">
        <is>
          <t>Nhom 1 - Mapping</t>
        </is>
      </c>
      <c r="E946" s="48" t="inlineStr">
        <is>
          <t>Danh sách bảng/view Gold khớp tài liệu thiết kế đã duyệt</t>
        </is>
      </c>
      <c r="F946" s="52" t="inlineStr">
        <is>
          <t>FAIL</t>
        </is>
      </c>
      <c r="G946" s="48" t="inlineStr">
        <is>
          <t>Fail</t>
        </is>
      </c>
      <c r="H946" s="50" t="inlineStr">
        <is>
          <t>SQL lỗi cú pháp, không phân tích được: ParseError: Expecting ). Line 679, Col: 30.</t>
        </is>
      </c>
      <c r="I946" s="50" t="inlineStr">
        <is>
          <t>Đảm bảo object có workbook thiết kế tương ứng trong thư mục --mapping-dir. Muốn đối chiếu với danh sách đã duyệt thì chạy thêm tham số --gold-list "&lt;file danh sách Gold&gt;.xlsx".</t>
        </is>
      </c>
      <c r="J946" s="48" t="inlineStr">
        <is>
          <t>065. OCB_GOLD_TCKH_RT_AR_DTL_HOP.xlsx [SCRIPT: RT_AR_DTL]</t>
        </is>
      </c>
    </row>
    <row r="947">
      <c r="A947" s="48" t="inlineStr">
        <is>
          <t>RT_AR_DTL</t>
        </is>
      </c>
      <c r="B947" s="48" t="inlineStr">
        <is>
          <t>SCRIPT_ONLY</t>
        </is>
      </c>
      <c r="C947" s="48" t="inlineStr">
        <is>
          <t>2.1</t>
        </is>
      </c>
      <c r="D947" s="48" t="inlineStr">
        <is>
          <t>Nhom 2 - Logic</t>
        </is>
      </c>
      <c r="E947" s="48" t="inlineStr">
        <is>
          <t>Chỉ lấy bản ghi active, loại bản ghi đã xóa (qua sts_hub)</t>
        </is>
      </c>
      <c r="F947" s="52" t="inlineStr">
        <is>
          <t>FAIL</t>
        </is>
      </c>
      <c r="G947" s="48" t="inlineStr">
        <is>
          <t>Fail</t>
        </is>
      </c>
      <c r="H947" s="50" t="inlineStr">
        <is>
          <t>SQL lỗi cú pháp, không phân tích được: ParseError: Expecting ). Line 679, Col: 30.</t>
        </is>
      </c>
      <c r="I947"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47" s="48" t="inlineStr">
        <is>
          <t>065. OCB_GOLD_TCKH_RT_AR_DTL_HOP.xlsx [SCRIPT: RT_AR_DTL]</t>
        </is>
      </c>
    </row>
    <row r="948">
      <c r="A948" s="48" t="inlineStr">
        <is>
          <t>RT_AR_DTL</t>
        </is>
      </c>
      <c r="B948" s="48" t="inlineStr">
        <is>
          <t>SCRIPT_ONLY</t>
        </is>
      </c>
      <c r="C948" s="48" t="inlineStr">
        <is>
          <t>2.2</t>
        </is>
      </c>
      <c r="D948" s="48" t="inlineStr">
        <is>
          <t>Nhom 2 - Logic</t>
        </is>
      </c>
      <c r="E948" s="48" t="inlineStr">
        <is>
          <t>Thống nhất MỘT pattern duy nhất xác định bản ghi active mới nhất</t>
        </is>
      </c>
      <c r="F948" s="52" t="inlineStr">
        <is>
          <t>FAIL</t>
        </is>
      </c>
      <c r="G948" s="48" t="inlineStr">
        <is>
          <t>Fail</t>
        </is>
      </c>
      <c r="H948" s="50" t="inlineStr">
        <is>
          <t>SQL lỗi cú pháp, không phân tích được: ParseError: Expecting ). Line 679, Col: 30.</t>
        </is>
      </c>
      <c r="I948"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48" s="48" t="inlineStr">
        <is>
          <t>065. OCB_GOLD_TCKH_RT_AR_DTL_HOP.xlsx [SCRIPT: RT_AR_DTL]</t>
        </is>
      </c>
    </row>
    <row r="949">
      <c r="A949" s="48" t="inlineStr">
        <is>
          <t>RT_AR_DTL</t>
        </is>
      </c>
      <c r="B949" s="48" t="inlineStr">
        <is>
          <t>SCRIPT_ONLY</t>
        </is>
      </c>
      <c r="C949" s="48" t="inlineStr">
        <is>
          <t>2.3</t>
        </is>
      </c>
      <c r="D949" s="48" t="inlineStr">
        <is>
          <t>Nhom 2 - Logic</t>
        </is>
      </c>
      <c r="E949" s="48" t="inlineStr">
        <is>
          <t>Điều kiện lọc trạng thái đặt SAU khi xác định bản ghi mới nhất</t>
        </is>
      </c>
      <c r="F949" s="52" t="inlineStr">
        <is>
          <t>FAIL</t>
        </is>
      </c>
      <c r="G949" s="48" t="inlineStr">
        <is>
          <t>Fail</t>
        </is>
      </c>
      <c r="H949" s="50" t="inlineStr">
        <is>
          <t>SQL lỗi cú pháp, không phân tích được: ParseError: Expecting ). Line 679, Col: 30.</t>
        </is>
      </c>
      <c r="I949"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49" s="48" t="inlineStr">
        <is>
          <t>065. OCB_GOLD_TCKH_RT_AR_DTL_HOP.xlsx [SCRIPT: RT_AR_DTL]</t>
        </is>
      </c>
    </row>
    <row r="950">
      <c r="A950" s="48" t="inlineStr">
        <is>
          <t>RT_AR_DTL</t>
        </is>
      </c>
      <c r="B950" s="48" t="inlineStr">
        <is>
          <t>SCRIPT_ONLY</t>
        </is>
      </c>
      <c r="C950" s="48" t="inlineStr">
        <is>
          <t>2.4</t>
        </is>
      </c>
      <c r="D950" s="48" t="inlineStr">
        <is>
          <t>Nhom 2 - Logic</t>
        </is>
      </c>
      <c r="E950" s="48" t="inlineStr">
        <is>
          <t>source_event_date áp dụng đúng dạng theo loại bảng</t>
        </is>
      </c>
      <c r="F950" s="52" t="inlineStr">
        <is>
          <t>FAIL</t>
        </is>
      </c>
      <c r="G950" s="48" t="inlineStr">
        <is>
          <t>Fail</t>
        </is>
      </c>
      <c r="H950" s="50" t="inlineStr">
        <is>
          <t>SQL lỗi cú pháp, không phân tích được: ParseError: Expecting ). Line 679, Col: 30.</t>
        </is>
      </c>
      <c r="I950"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50" s="48" t="inlineStr">
        <is>
          <t>065. OCB_GOLD_TCKH_RT_AR_DTL_HOP.xlsx [SCRIPT: RT_AR_DTL]</t>
        </is>
      </c>
    </row>
    <row r="951">
      <c r="A951" s="48" t="inlineStr">
        <is>
          <t>RT_AR_DTL</t>
        </is>
      </c>
      <c r="B951" s="48" t="inlineStr">
        <is>
          <t>SCRIPT_ONLY</t>
        </is>
      </c>
      <c r="C951" s="48" t="inlineStr">
        <is>
          <t>2.5</t>
        </is>
      </c>
      <c r="D951" s="48" t="inlineStr">
        <is>
          <t>Nhom 2 - Logic</t>
        </is>
      </c>
      <c r="E951" s="48" t="inlineStr">
        <is>
          <t>Không lặp lại lỗi logic cũ đã được DA Data Vault fix</t>
        </is>
      </c>
      <c r="F951" s="52" t="inlineStr">
        <is>
          <t>FAIL</t>
        </is>
      </c>
      <c r="G951" s="48" t="inlineStr">
        <is>
          <t>Fail</t>
        </is>
      </c>
      <c r="H951" s="50" t="inlineStr">
        <is>
          <t>SQL lỗi cú pháp, không phân tích được: ParseError: Expecting ). Line 679, Col: 30.</t>
        </is>
      </c>
      <c r="I951"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51" s="48" t="inlineStr">
        <is>
          <t>065. OCB_GOLD_TCKH_RT_AR_DTL_HOP.xlsx [SCRIPT: RT_AR_DTL]</t>
        </is>
      </c>
    </row>
    <row r="952">
      <c r="A952" s="48" t="inlineStr">
        <is>
          <t>RT_AR_DTL</t>
        </is>
      </c>
      <c r="B952" s="48" t="inlineStr">
        <is>
          <t>SCRIPT_ONLY</t>
        </is>
      </c>
      <c r="C952" s="48" t="inlineStr">
        <is>
          <t>2.6</t>
        </is>
      </c>
      <c r="D952" s="48" t="inlineStr">
        <is>
          <t>Nhom 2 - Logic</t>
        </is>
      </c>
      <c r="E952" s="48" t="inlineStr">
        <is>
          <t>SCD Type 2 cho bảng DIM áp dụng đúng kỹ thuật đã thống nhất</t>
        </is>
      </c>
      <c r="F952" s="52" t="inlineStr">
        <is>
          <t>FAIL</t>
        </is>
      </c>
      <c r="G952" s="48" t="inlineStr">
        <is>
          <t>Fail</t>
        </is>
      </c>
      <c r="H952" s="50" t="inlineStr">
        <is>
          <t>SQL lỗi cú pháp, không phân tích được: ParseError: Expecting ). Line 679, Col: 30.</t>
        </is>
      </c>
      <c r="I952"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52" s="48" t="inlineStr">
        <is>
          <t>065. OCB_GOLD_TCKH_RT_AR_DTL_HOP.xlsx [SCRIPT: RT_AR_DTL]</t>
        </is>
      </c>
    </row>
    <row r="953">
      <c r="A953" s="48" t="inlineStr">
        <is>
          <t>RT_AR_DTL</t>
        </is>
      </c>
      <c r="B953" s="48" t="inlineStr">
        <is>
          <t>SCRIPT_ONLY</t>
        </is>
      </c>
      <c r="C953" s="48" t="inlineStr">
        <is>
          <t>2.7</t>
        </is>
      </c>
      <c r="D953" s="48" t="inlineStr">
        <is>
          <t>Nhom 2 - Logic</t>
        </is>
      </c>
      <c r="E953" s="48" t="inlineStr">
        <is>
          <t>CASE WHEN cover đủ nhánh như job on-prem</t>
        </is>
      </c>
      <c r="F953" s="52" t="inlineStr">
        <is>
          <t>FAIL</t>
        </is>
      </c>
      <c r="G953" s="48" t="inlineStr">
        <is>
          <t>Fail</t>
        </is>
      </c>
      <c r="H953" s="50" t="inlineStr">
        <is>
          <t>SQL lỗi cú pháp, không phân tích được: ParseError: Expecting ). Line 679, Col: 30.</t>
        </is>
      </c>
      <c r="I953" s="50" t="inlineStr">
        <is>
          <t>Mở job on-prem tương ứng (DataStage DSX hoặc SQL cũ), đối chiếu từng nhánh WHEN và cả nhánh ELSE. CASE không có ELSE sẽ trả NULL âm thầm — xác nhận đó là ý muốn hay thiếu nhánh.</t>
        </is>
      </c>
      <c r="J953" s="48" t="inlineStr">
        <is>
          <t>065. OCB_GOLD_TCKH_RT_AR_DTL_HOP.xlsx [SCRIPT: RT_AR_DTL]</t>
        </is>
      </c>
    </row>
    <row r="954">
      <c r="A954" s="48" t="inlineStr">
        <is>
          <t>RT_AR_DTL</t>
        </is>
      </c>
      <c r="B954" s="48" t="inlineStr">
        <is>
          <t>SCRIPT_ONLY</t>
        </is>
      </c>
      <c r="C954" s="48" t="inlineStr">
        <is>
          <t>2.8</t>
        </is>
      </c>
      <c r="D954" s="48" t="inlineStr">
        <is>
          <t>Nhom 2 - Logic</t>
        </is>
      </c>
      <c r="E954" s="48" t="inlineStr">
        <is>
          <t>Cột SUM/COUNT được COALESCE/NVL hợp lý</t>
        </is>
      </c>
      <c r="F954" s="52" t="inlineStr">
        <is>
          <t>FAIL</t>
        </is>
      </c>
      <c r="G954" s="48" t="inlineStr">
        <is>
          <t>Fail</t>
        </is>
      </c>
      <c r="H954" s="50" t="inlineStr">
        <is>
          <t>SQL lỗi cú pháp, không phân tích được: ParseError: Expecting ). Line 679, Col: 30.</t>
        </is>
      </c>
      <c r="I954"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54" s="48" t="inlineStr">
        <is>
          <t>065. OCB_GOLD_TCKH_RT_AR_DTL_HOP.xlsx [SCRIPT: RT_AR_DTL]</t>
        </is>
      </c>
    </row>
    <row r="955">
      <c r="A955" s="48" t="inlineStr">
        <is>
          <t>RT_AR_DTL</t>
        </is>
      </c>
      <c r="B955" s="48" t="inlineStr">
        <is>
          <t>SCRIPT_ONLY</t>
        </is>
      </c>
      <c r="C955" s="48" t="inlineStr">
        <is>
          <t>2.9</t>
        </is>
      </c>
      <c r="D955" s="48" t="inlineStr">
        <is>
          <t>Nhom 2 - Logic</t>
        </is>
      </c>
      <c r="E955" s="48" t="inlineStr">
        <is>
          <t>Subquery / custom function / điều kiện LIKE đúng ý nghĩa nghiệp vụ</t>
        </is>
      </c>
      <c r="F955" s="52" t="inlineStr">
        <is>
          <t>FAIL</t>
        </is>
      </c>
      <c r="G955" s="48" t="inlineStr">
        <is>
          <t>Fail</t>
        </is>
      </c>
      <c r="H955" s="50" t="inlineStr">
        <is>
          <t>SQL lỗi cú pháp, không phân tích được: ParseError: Expecting ). Line 679, Col: 30.</t>
        </is>
      </c>
      <c r="I955" s="50" t="inlineStr">
        <is>
          <t>Đọc lại từng điều kiện LIKE và từng subquery, đối chiếu ý nghĩa nghiệp vụ với on-prem — đúng cú pháp không đủ. Chú ý pattern LIKE có ký tự % ở đầu/cuối và phân biệt chữ hoa/thường.</t>
        </is>
      </c>
      <c r="J955" s="48" t="inlineStr">
        <is>
          <t>065. OCB_GOLD_TCKH_RT_AR_DTL_HOP.xlsx [SCRIPT: RT_AR_DTL]</t>
        </is>
      </c>
    </row>
    <row r="956">
      <c r="A956" s="48" t="inlineStr">
        <is>
          <t>RT_AR_DTL</t>
        </is>
      </c>
      <c r="B956" s="48" t="inlineStr">
        <is>
          <t>SCRIPT_ONLY</t>
        </is>
      </c>
      <c r="C956" s="48" t="inlineStr">
        <is>
          <t>2.10</t>
        </is>
      </c>
      <c r="D956" s="48" t="inlineStr">
        <is>
          <t>Nhom 2 - Logic</t>
        </is>
      </c>
      <c r="E956" s="48" t="inlineStr">
        <is>
          <t>Aggregation kèm filter date range chính xác</t>
        </is>
      </c>
      <c r="F956" s="52" t="inlineStr">
        <is>
          <t>FAIL</t>
        </is>
      </c>
      <c r="G956" s="48" t="inlineStr">
        <is>
          <t>Fail</t>
        </is>
      </c>
      <c r="H956" s="50" t="inlineStr">
        <is>
          <t>SQL lỗi cú pháp, không phân tích được: ParseError: Expecting ). Line 679, Col: 30.</t>
        </is>
      </c>
      <c r="I956" s="50" t="inlineStr">
        <is>
          <t>Mỗi khối SUM/COUNT/AVG phải có điều kiện lọc theo kỳ dữ liệu (CDR_DT_ID, DATA_DATE, :DATADT…). Nếu điều kiện nằm ở CTE nguồn thì ghi rõ trong comment để người review không phải truy ngược.</t>
        </is>
      </c>
      <c r="J956" s="48" t="inlineStr">
        <is>
          <t>065. OCB_GOLD_TCKH_RT_AR_DTL_HOP.xlsx [SCRIPT: RT_AR_DTL]</t>
        </is>
      </c>
    </row>
    <row r="957">
      <c r="A957" s="48" t="inlineStr">
        <is>
          <t>RT_AR_DTL</t>
        </is>
      </c>
      <c r="B957" s="48" t="inlineStr">
        <is>
          <t>SCRIPT_ONLY</t>
        </is>
      </c>
      <c r="C957" s="48" t="inlineStr">
        <is>
          <t>2.11</t>
        </is>
      </c>
      <c r="D957" s="48" t="inlineStr">
        <is>
          <t>Nhom 2 - Logic</t>
        </is>
      </c>
      <c r="E957" s="48" t="inlineStr">
        <is>
          <t>Join dùng key hợp lý, không lạm dụng UNION ALL + EXISTS/NOT EXISTS</t>
        </is>
      </c>
      <c r="F957" s="52" t="inlineStr">
        <is>
          <t>FAIL</t>
        </is>
      </c>
      <c r="G957" s="48" t="inlineStr">
        <is>
          <t>Fail</t>
        </is>
      </c>
      <c r="H957" s="50" t="inlineStr">
        <is>
          <t>SQL lỗi cú pháp, không phân tích được: ParseError: Expecting ). Line 679, Col: 30.</t>
        </is>
      </c>
      <c r="I957" s="50" t="inlineStr">
        <is>
          <t>Ưu tiên LEFT JOIN theo business key hoặc hashkey. Xem lại các chỗ dùng UNION ALL kết hợp EXISTS/NOT EXISTS — thường thay được bằng một LEFT JOIN. Join không có điều kiện bằng (=) dễ tạo tích Descartes.</t>
        </is>
      </c>
      <c r="J957" s="48" t="inlineStr">
        <is>
          <t>065. OCB_GOLD_TCKH_RT_AR_DTL_HOP.xlsx [SCRIPT: RT_AR_DTL]</t>
        </is>
      </c>
    </row>
    <row r="958">
      <c r="A958" s="48" t="inlineStr">
        <is>
          <t>RT_AR_DTL</t>
        </is>
      </c>
      <c r="B958" s="48" t="inlineStr">
        <is>
          <t>SCRIPT_ONLY</t>
        </is>
      </c>
      <c r="C958" s="48" t="inlineStr">
        <is>
          <t>2.12</t>
        </is>
      </c>
      <c r="D958" s="48" t="inlineStr">
        <is>
          <t>Nhom 2 - Logic</t>
        </is>
      </c>
      <c r="E958" s="48" t="inlineStr">
        <is>
          <t>Build Gold từ CTE snapshot Silver, không build nhiều tầng chồng chéo</t>
        </is>
      </c>
      <c r="F958" s="52" t="inlineStr">
        <is>
          <t>FAIL</t>
        </is>
      </c>
      <c r="G958" s="48" t="inlineStr">
        <is>
          <t>Fail</t>
        </is>
      </c>
      <c r="H958" s="50" t="inlineStr">
        <is>
          <t>SQL lỗi cú pháp, không phân tích được: ParseError: Expecting ). Line 679, Col: 30.</t>
        </is>
      </c>
      <c r="I958"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58" s="48" t="inlineStr">
        <is>
          <t>065. OCB_GOLD_TCKH_RT_AR_DTL_HOP.xlsx [SCRIPT: RT_AR_DTL]</t>
        </is>
      </c>
    </row>
    <row r="959">
      <c r="A959" s="48" t="inlineStr">
        <is>
          <t>RT_AR_DTL</t>
        </is>
      </c>
      <c r="B959" s="48" t="inlineStr">
        <is>
          <t>SCRIPT_ONLY</t>
        </is>
      </c>
      <c r="C959" s="48" t="inlineStr">
        <is>
          <t>3.1</t>
        </is>
      </c>
      <c r="D959" s="48" t="inlineStr">
        <is>
          <t>Nhom 3 - Optimization</t>
        </is>
      </c>
      <c r="E959" s="48" t="inlineStr">
        <is>
          <t>Không SELECT *</t>
        </is>
      </c>
      <c r="F959" s="52" t="inlineStr">
        <is>
          <t>FAIL</t>
        </is>
      </c>
      <c r="G959" s="48" t="inlineStr">
        <is>
          <t>Fail</t>
        </is>
      </c>
      <c r="H959" s="50" t="inlineStr">
        <is>
          <t>SQL lỗi cú pháp, không phân tích được: ParseError: Expecting ). Line 679, Col: 30.</t>
        </is>
      </c>
      <c r="I959" s="50" t="inlineStr">
        <is>
          <t>Liệt kê tường minh các cột cần dùng, kể cả trong CTE trung gian. SELECT * làm tăng IO/memory và vỡ script khi bảng nguồn thêm cột.</t>
        </is>
      </c>
      <c r="J959" s="48" t="inlineStr">
        <is>
          <t>065. OCB_GOLD_TCKH_RT_AR_DTL_HOP.xlsx [SCRIPT: RT_AR_DTL]</t>
        </is>
      </c>
    </row>
    <row r="960">
      <c r="A960" s="48" t="inlineStr">
        <is>
          <t>RT_AR_DTL</t>
        </is>
      </c>
      <c r="B960" s="48" t="inlineStr">
        <is>
          <t>SCRIPT_ONLY</t>
        </is>
      </c>
      <c r="C960" s="48" t="inlineStr">
        <is>
          <t>3.2</t>
        </is>
      </c>
      <c r="D960" s="48" t="inlineStr">
        <is>
          <t>Nhom 3 - Optimization</t>
        </is>
      </c>
      <c r="E960" s="48" t="inlineStr">
        <is>
          <t>CTE không bị scan lại nhiều lần</t>
        </is>
      </c>
      <c r="F960" s="52" t="inlineStr">
        <is>
          <t>FAIL</t>
        </is>
      </c>
      <c r="G960" s="48" t="inlineStr">
        <is>
          <t>Fail</t>
        </is>
      </c>
      <c r="H960" s="50" t="inlineStr">
        <is>
          <t>SQL lỗi cú pháp, không phân tích được: ParseError: Expecting ). Line 679, Col: 30.</t>
        </is>
      </c>
      <c r="I960" s="50" t="inlineStr">
        <is>
          <t>Với CTE nặng (đọc nhiều bảng Silver) bị tham chiếu từ 2 chỗ trở lên: gom lại còn một lần dùng, hoặc vật chất hóa (CACHE / bảng tạm). CTE nhẹ chỉ chứa tham số thì bỏ qua được — tự tick Pass.</t>
        </is>
      </c>
      <c r="J960" s="48" t="inlineStr">
        <is>
          <t>065. OCB_GOLD_TCKH_RT_AR_DTL_HOP.xlsx [SCRIPT: RT_AR_DTL]</t>
        </is>
      </c>
    </row>
    <row r="961">
      <c r="A961" s="48" t="inlineStr">
        <is>
          <t>RT_AR_DTL</t>
        </is>
      </c>
      <c r="B961" s="48" t="inlineStr">
        <is>
          <t>SCRIPT_ONLY</t>
        </is>
      </c>
      <c r="C961" s="48" t="inlineStr">
        <is>
          <t>3.3</t>
        </is>
      </c>
      <c r="D961" s="48" t="inlineStr">
        <is>
          <t>Nhom 3 - Optimization</t>
        </is>
      </c>
      <c r="E961" s="48" t="inlineStr">
        <is>
          <t>Filter trước khi join, tận dụng partition pruning</t>
        </is>
      </c>
      <c r="F961" s="52" t="inlineStr">
        <is>
          <t>FAIL</t>
        </is>
      </c>
      <c r="G961" s="48" t="inlineStr">
        <is>
          <t>Fail</t>
        </is>
      </c>
      <c r="H961" s="50" t="inlineStr">
        <is>
          <t>SQL lỗi cú pháp, không phân tích được: ParseError: Expecting ). Line 679, Col: 30.</t>
        </is>
      </c>
      <c r="I961" s="50" t="inlineStr">
        <is>
          <t>Đưa điều kiện lọc (ngày dữ liệu, trạng thái) vào subquery của từng bảng TRƯỚC khi join, để tận dụng partition pruning. Bảng dim nhỏ không partition thì không cần — tự tick Pass.</t>
        </is>
      </c>
      <c r="J961" s="48" t="inlineStr">
        <is>
          <t>065. OCB_GOLD_TCKH_RT_AR_DTL_HOP.xlsx [SCRIPT: RT_AR_DTL]</t>
        </is>
      </c>
    </row>
    <row r="962">
      <c r="A962" s="48" t="inlineStr">
        <is>
          <t>RT_AR_DTL</t>
        </is>
      </c>
      <c r="B962" s="48" t="inlineStr">
        <is>
          <t>SCRIPT_ONLY</t>
        </is>
      </c>
      <c r="C962" s="48" t="inlineStr">
        <is>
          <t>3.4</t>
        </is>
      </c>
      <c r="D962" s="48" t="inlineStr">
        <is>
          <t>Nhom 3 - Optimization</t>
        </is>
      </c>
      <c r="E962" s="48" t="inlineStr">
        <is>
          <t>Sử dụng CACHE cho query lặp lại trong cùng luồng</t>
        </is>
      </c>
      <c r="F962" s="52" t="inlineStr">
        <is>
          <t>FAIL</t>
        </is>
      </c>
      <c r="G962" s="48" t="inlineStr">
        <is>
          <t>Fail</t>
        </is>
      </c>
      <c r="H962" s="50" t="inlineStr">
        <is>
          <t>SQL lỗi cú pháp, không phân tích được: ParseError: Expecting ). Line 679, Col: 30.</t>
        </is>
      </c>
      <c r="I962" s="50" t="inlineStr">
        <is>
          <t>Nếu một kết quả nặng được dùng lại nhiều bước trong cùng luồng, thêm CACHE TABLE / CACHE SELECT. Kết quả nhỏ thì cache còn chậm hơn — tự tick Pass.</t>
        </is>
      </c>
      <c r="J962" s="48" t="inlineStr">
        <is>
          <t>065. OCB_GOLD_TCKH_RT_AR_DTL_HOP.xlsx [SCRIPT: RT_AR_DTL]</t>
        </is>
      </c>
    </row>
    <row r="963">
      <c r="A963" s="48" t="inlineStr">
        <is>
          <t>RT_AR_DTL</t>
        </is>
      </c>
      <c r="B963" s="48" t="inlineStr">
        <is>
          <t>SCRIPT_ONLY</t>
        </is>
      </c>
      <c r="C963" s="48" t="inlineStr">
        <is>
          <t>3.5</t>
        </is>
      </c>
      <c r="D963" s="48" t="inlineStr">
        <is>
          <t>Nhom 3 - Optimization</t>
        </is>
      </c>
      <c r="E963" s="48" t="inlineStr">
        <is>
          <t>Ưu tiên MAX_BY + QUALIFY thay ROW_NUMBER() + WHERE rn = 1</t>
        </is>
      </c>
      <c r="F963" s="52" t="inlineStr">
        <is>
          <t>FAIL</t>
        </is>
      </c>
      <c r="G963" s="48" t="inlineStr">
        <is>
          <t>Fail</t>
        </is>
      </c>
      <c r="H963" s="50" t="inlineStr">
        <is>
          <t>SQL lỗi cú pháp, không phân tích được: ParseError: Expecting ). Line 679, Col: 30.</t>
        </is>
      </c>
      <c r="I963"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63" s="48" t="inlineStr">
        <is>
          <t>065. OCB_GOLD_TCKH_RT_AR_DTL_HOP.xlsx [SCRIPT: RT_AR_DTL]</t>
        </is>
      </c>
    </row>
    <row r="964">
      <c r="A964" s="48" t="inlineStr">
        <is>
          <t>RT_AR_DTL</t>
        </is>
      </c>
      <c r="B964" s="48" t="inlineStr">
        <is>
          <t>SCRIPT_ONLY</t>
        </is>
      </c>
      <c r="C964" s="48" t="inlineStr">
        <is>
          <t>3.6</t>
        </is>
      </c>
      <c r="D964" s="48" t="inlineStr">
        <is>
          <t>Nhom 3 - Optimization</t>
        </is>
      </c>
      <c r="E964" s="48" t="inlineStr">
        <is>
          <t>Không lạm dụng window function; có comment khi dùng</t>
        </is>
      </c>
      <c r="F964" s="52" t="inlineStr">
        <is>
          <t>FAIL</t>
        </is>
      </c>
      <c r="G964" s="48" t="inlineStr">
        <is>
          <t>Fail</t>
        </is>
      </c>
      <c r="H964" s="50" t="inlineStr">
        <is>
          <t>SQL lỗi cú pháp, không phân tích được: ParseError: Expecting ). Line 679, Col: 30.</t>
        </is>
      </c>
      <c r="I964" s="50" t="inlineStr">
        <is>
          <t>Mỗi window function cần một comment ngay trên khối CTE chứa nó, nói rõ vì sao không dùng được max_by/QUALIFY đơn giản hơn.</t>
        </is>
      </c>
      <c r="J964" s="48" t="inlineStr">
        <is>
          <t>065. OCB_GOLD_TCKH_RT_AR_DTL_HOP.xlsx [SCRIPT: RT_AR_DTL]</t>
        </is>
      </c>
    </row>
    <row r="965">
      <c r="A965" s="48" t="inlineStr">
        <is>
          <t>RT_AR_DTL</t>
        </is>
      </c>
      <c r="B965" s="48" t="inlineStr">
        <is>
          <t>SCRIPT_ONLY</t>
        </is>
      </c>
      <c r="C965" s="48" t="inlineStr">
        <is>
          <t>X.1</t>
        </is>
      </c>
      <c r="D965" s="48" t="inlineStr">
        <is>
          <t>Nhom X - Bo sung Raffles</t>
        </is>
      </c>
      <c r="E965" s="48" t="inlineStr">
        <is>
          <t>[Bổ sung] Link phải rút về current trước khi join (chống fan-out)</t>
        </is>
      </c>
      <c r="F965" s="52" t="inlineStr">
        <is>
          <t>FAIL</t>
        </is>
      </c>
      <c r="G965" s="48" t="inlineStr">
        <is>
          <t>Fail</t>
        </is>
      </c>
      <c r="H965" s="50" t="inlineStr">
        <is>
          <t>SQL lỗi cú pháp, không phân tích được: ParseError: Expecting ). Line 679, Col: 30.</t>
        </is>
      </c>
      <c r="I965"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65" s="48" t="inlineStr">
        <is>
          <t>065. OCB_GOLD_TCKH_RT_AR_DTL_HOP.xlsx [SCRIPT: RT_AR_DTL]</t>
        </is>
      </c>
    </row>
    <row r="966">
      <c r="A966" s="48" t="inlineStr">
        <is>
          <t>RT_AR_DTL</t>
        </is>
      </c>
      <c r="B966" s="48" t="inlineStr">
        <is>
          <t>SCRIPT_ONLY</t>
        </is>
      </c>
      <c r="C966" s="48" t="inlineStr">
        <is>
          <t>X.6</t>
        </is>
      </c>
      <c r="D966" s="48" t="inlineStr">
        <is>
          <t>Nhom X - Bo sung Raffles</t>
        </is>
      </c>
      <c r="E966" s="48" t="inlineStr">
        <is>
          <t>[Bổ sung] Satellite phải LEFT JOIN, không INNER JOIN</t>
        </is>
      </c>
      <c r="F966" s="52" t="inlineStr">
        <is>
          <t>FAIL</t>
        </is>
      </c>
      <c r="G966" s="48" t="inlineStr">
        <is>
          <t>Fail</t>
        </is>
      </c>
      <c r="H966" s="50" t="inlineStr">
        <is>
          <t>SQL lỗi cú pháp, không phân tích được: ParseError: Expecting ). Line 679, Col: 30.</t>
        </is>
      </c>
      <c r="I966" s="50" t="inlineStr">
        <is>
          <t>Technical Document III.4.2.2 nguyên tắc 1: làm giàu thuộc tính luôn dùng LEFT JOIN. INNER JOIN satellite sẽ loại mất bản ghi Hub đang còn hiệu lực nhưng chưa có dòng satellite.</t>
        </is>
      </c>
      <c r="J966" s="48" t="inlineStr">
        <is>
          <t>065. OCB_GOLD_TCKH_RT_AR_DTL_HOP.xlsx [SCRIPT: RT_AR_DTL]</t>
        </is>
      </c>
    </row>
    <row r="967">
      <c r="A967" s="48" t="inlineStr">
        <is>
          <t>RT_AR_DTL</t>
        </is>
      </c>
      <c r="B967" s="48" t="inlineStr">
        <is>
          <t>SCRIPT_ONLY</t>
        </is>
      </c>
      <c r="C967" s="48" t="inlineStr">
        <is>
          <t>X.7</t>
        </is>
      </c>
      <c r="D967" s="48" t="inlineStr">
        <is>
          <t>Nhom X - Bo sung Raffles</t>
        </is>
      </c>
      <c r="E967" s="48" t="inlineStr">
        <is>
          <t>[Bổ sung] Không hard-code catalog, dùng biến môi trường</t>
        </is>
      </c>
      <c r="F967" s="52" t="inlineStr">
        <is>
          <t>FAIL</t>
        </is>
      </c>
      <c r="G967" s="48" t="inlineStr">
        <is>
          <t>Fail</t>
        </is>
      </c>
      <c r="H967" s="50" t="inlineStr">
        <is>
          <t>SQL lỗi cú pháp, không phân tích được: ParseError: Expecting ). Line 679, Col: 30.</t>
        </is>
      </c>
      <c r="I967"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67" s="48" t="inlineStr">
        <is>
          <t>065. OCB_GOLD_TCKH_RT_AR_DTL_HOP.xlsx [SCRIPT: RT_AR_DTL]</t>
        </is>
      </c>
    </row>
    <row r="968">
      <c r="A968" s="48" t="inlineStr">
        <is>
          <t>TCKH.AR_DIM</t>
        </is>
      </c>
      <c r="B968" s="48" t="inlineStr">
        <is>
          <t>SILVER_CONSUMER</t>
        </is>
      </c>
      <c r="C968" s="48" t="inlineStr">
        <is>
          <t>1.1</t>
        </is>
      </c>
      <c r="D968" s="48" t="inlineStr">
        <is>
          <t>Nhom 1 - Mapping</t>
        </is>
      </c>
      <c r="E968" s="48" t="inlineStr">
        <is>
          <t>Đầy đủ mapping từ Silver/manual sang Gold</t>
        </is>
      </c>
      <c r="F968" s="49" t="inlineStr">
        <is>
          <t>PASS</t>
        </is>
      </c>
      <c r="G968" s="48" t="inlineStr">
        <is>
          <t>Pass</t>
        </is>
      </c>
      <c r="H968" s="50" t="inlineStr">
        <is>
          <t>workbook 067. OCB_GOLD_TCKH_AR_DIM_HOP.xlsx: thiết kế 10 field, SQL có 10 cột</t>
        </is>
      </c>
      <c r="I968"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68" s="48" t="inlineStr">
        <is>
          <t>067. OCB_GOLD_TCKH_AR_DIM_HOP.xlsx [SCRIPT: AR_DIM]</t>
        </is>
      </c>
    </row>
    <row r="969">
      <c r="A969" s="48" t="inlineStr">
        <is>
          <t>TCKH.AR_DIM</t>
        </is>
      </c>
      <c r="B969" s="48" t="inlineStr">
        <is>
          <t>SILVER_CONSUMER</t>
        </is>
      </c>
      <c r="C969" s="48" t="inlineStr">
        <is>
          <t>1.2</t>
        </is>
      </c>
      <c r="D969" s="48" t="inlineStr">
        <is>
          <t>Nhom 1 - Mapping</t>
        </is>
      </c>
      <c r="E969" s="48" t="inlineStr">
        <is>
          <t>Danh sách bảng/view Gold khớp tài liệu thiết kế đã duyệt</t>
        </is>
      </c>
      <c r="F969" s="49" t="inlineStr">
        <is>
          <t>PASS</t>
        </is>
      </c>
      <c r="G969" s="48" t="inlineStr">
        <is>
          <t>Pass</t>
        </is>
      </c>
      <c r="H969" s="50" t="inlineStr">
        <is>
          <t>AR_DIM có workbook thiết kế: 067. OCB_GOLD_TCKH_AR_DIM_HOP.xlsx</t>
        </is>
      </c>
      <c r="I969" s="50" t="inlineStr">
        <is>
          <t>Đảm bảo object có workbook thiết kế tương ứng trong thư mục --mapping-dir. Muốn đối chiếu với danh sách đã duyệt thì chạy thêm tham số --gold-list "&lt;file danh sách Gold&gt;.xlsx".</t>
        </is>
      </c>
      <c r="J969" s="48" t="inlineStr">
        <is>
          <t>067. OCB_GOLD_TCKH_AR_DIM_HOP.xlsx [SCRIPT: AR_DIM]</t>
        </is>
      </c>
    </row>
    <row r="970">
      <c r="A970" s="48" t="inlineStr">
        <is>
          <t>TCKH.AR_DIM</t>
        </is>
      </c>
      <c r="B970" s="48" t="inlineStr">
        <is>
          <t>SILVER_CONSUMER</t>
        </is>
      </c>
      <c r="C970" s="48" t="inlineStr">
        <is>
          <t>2.1</t>
        </is>
      </c>
      <c r="D970" s="48" t="inlineStr">
        <is>
          <t>Nhom 2 - Logic</t>
        </is>
      </c>
      <c r="E970" s="48" t="inlineStr">
        <is>
          <t>Chỉ lấy bản ghi active, loại bản ghi đã xóa (qua sts_hub)</t>
        </is>
      </c>
      <c r="F970" s="49" t="inlineStr">
        <is>
          <t>PASS</t>
        </is>
      </c>
      <c r="G970" s="48" t="inlineStr">
        <is>
          <t>Pass</t>
        </is>
      </c>
      <c r="H970" s="50" t="inlineStr">
        <is>
          <t>14 sts_hub_* đọc đúng format</t>
        </is>
      </c>
      <c r="I970"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70" s="48" t="inlineStr">
        <is>
          <t>067. OCB_GOLD_TCKH_AR_DIM_HOP.xlsx [SCRIPT: AR_DIM]</t>
        </is>
      </c>
    </row>
    <row r="971">
      <c r="A971" s="48" t="inlineStr">
        <is>
          <t>TCKH.AR_DIM</t>
        </is>
      </c>
      <c r="B971" s="48" t="inlineStr">
        <is>
          <t>SILVER_CONSUMER</t>
        </is>
      </c>
      <c r="C971" s="48" t="inlineStr">
        <is>
          <t>2.2</t>
        </is>
      </c>
      <c r="D971" s="48" t="inlineStr">
        <is>
          <t>Nhom 2 - Logic</t>
        </is>
      </c>
      <c r="E971" s="48" t="inlineStr">
        <is>
          <t>Thống nhất MỘT pattern duy nhất xác định bản ghi active mới nhất</t>
        </is>
      </c>
      <c r="F971" s="49" t="inlineStr">
        <is>
          <t>PASS</t>
        </is>
      </c>
      <c r="G971" s="48" t="inlineStr">
        <is>
          <t>Pass</t>
        </is>
      </c>
      <c r="H971" s="50" t="inlineStr">
        <is>
          <t>file này dùng: ['MAX_BY']; toàn batch dùng: ['MAX_BY']</t>
        </is>
      </c>
      <c r="I971"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71" s="48" t="inlineStr">
        <is>
          <t>067. OCB_GOLD_TCKH_AR_DIM_HOP.xlsx [SCRIPT: AR_DIM]</t>
        </is>
      </c>
    </row>
    <row r="972">
      <c r="A972" s="48" t="inlineStr">
        <is>
          <t>TCKH.AR_DIM</t>
        </is>
      </c>
      <c r="B972" s="48" t="inlineStr">
        <is>
          <t>SILVER_CONSUMER</t>
        </is>
      </c>
      <c r="C972" s="48" t="inlineStr">
        <is>
          <t>2.3</t>
        </is>
      </c>
      <c r="D972" s="48" t="inlineStr">
        <is>
          <t>Nhom 2 - Logic</t>
        </is>
      </c>
      <c r="E972" s="48" t="inlineStr">
        <is>
          <t>Điều kiện lọc trạng thái đặt SAU khi xác định bản ghi mới nhất</t>
        </is>
      </c>
      <c r="F972" s="49" t="inlineStr">
        <is>
          <t>PASS</t>
        </is>
      </c>
      <c r="G972" s="48" t="inlineStr">
        <is>
          <t>Pass</t>
        </is>
      </c>
      <c r="H972" s="50" t="inlineStr">
        <is>
          <t>không có điều kiện trạng thái nào lồng trong JOIN ON</t>
        </is>
      </c>
      <c r="I972"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72" s="48" t="inlineStr">
        <is>
          <t>067. OCB_GOLD_TCKH_AR_DIM_HOP.xlsx [SCRIPT: AR_DIM]</t>
        </is>
      </c>
    </row>
    <row r="973">
      <c r="A973" s="48" t="inlineStr">
        <is>
          <t>TCKH.AR_DIM</t>
        </is>
      </c>
      <c r="B973" s="48" t="inlineStr">
        <is>
          <t>SILVER_CONSUMER</t>
        </is>
      </c>
      <c r="C973" s="48" t="inlineStr">
        <is>
          <t>2.4</t>
        </is>
      </c>
      <c r="D973" s="48" t="inlineStr">
        <is>
          <t>Nhom 2 - Logic</t>
        </is>
      </c>
      <c r="E973" s="48" t="inlineStr">
        <is>
          <t>source_event_date áp dụng đúng dạng theo loại bảng</t>
        </is>
      </c>
      <c r="F973" s="52" t="inlineStr">
        <is>
          <t>FAIL</t>
        </is>
      </c>
      <c r="G973" s="48" t="inlineStr">
        <is>
          <t>Fail</t>
        </is>
      </c>
      <c r="H973" s="50" t="inlineStr">
        <is>
          <t>16 satellite không có điều kiện source_event_date nào: sat_account_information (dong 123), sat_account_locked_events_information (dong 183), sat_collateral_information (dong 139), sat_consumer_loan_information (dong 171), sat_drawings_information (dong 189), sat_forex_information (dong 147), sat_letter_of_credit_information (dong 155), sat_limit_information (dong 163), sat_loans_information (dong 131), sat_loans_payment_due_information (dong 231), sat_md_deal_information (dong 216), sat_money_market_information (dong 224), sat_passbook_information (dong 177), sat_repo_information (dong 195), sat_sc_trading_position_information (dong 202), sat_sec_trade_information (dong 208)</t>
        </is>
      </c>
      <c r="I973"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73" s="48" t="inlineStr">
        <is>
          <t>067. OCB_GOLD_TCKH_AR_DIM_HOP.xlsx [SCRIPT: AR_DIM]</t>
        </is>
      </c>
    </row>
    <row r="974">
      <c r="A974" s="48" t="inlineStr">
        <is>
          <t>TCKH.AR_DIM</t>
        </is>
      </c>
      <c r="B974" s="48" t="inlineStr">
        <is>
          <t>SILVER_CONSUMER</t>
        </is>
      </c>
      <c r="C974" s="48" t="inlineStr">
        <is>
          <t>2.5</t>
        </is>
      </c>
      <c r="D974" s="48" t="inlineStr">
        <is>
          <t>Nhom 2 - Logic</t>
        </is>
      </c>
      <c r="E974" s="48" t="inlineStr">
        <is>
          <t>Không lặp lại lỗi logic cũ đã được DA Data Vault fix</t>
        </is>
      </c>
      <c r="F974" s="52" t="inlineStr">
        <is>
          <t>FAIL</t>
        </is>
      </c>
      <c r="G974" s="48" t="inlineStr">
        <is>
          <t>Fail</t>
        </is>
      </c>
      <c r="H974" s="50" t="inlineStr">
        <is>
          <t>lặp lại 1 lỗi DA Data Vault đã nêu ở Issue log: Issue#5 ROW_NUMBER()+WHERE rn=1 thay vi MAX_BY (cham hon) @ dòng [412]</t>
        </is>
      </c>
      <c r="I974"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74" s="48" t="inlineStr">
        <is>
          <t>067. OCB_GOLD_TCKH_AR_DIM_HOP.xlsx [SCRIPT: AR_DIM]</t>
        </is>
      </c>
    </row>
    <row r="975">
      <c r="A975" s="48" t="inlineStr">
        <is>
          <t>TCKH.AR_DIM</t>
        </is>
      </c>
      <c r="B975" s="48" t="inlineStr">
        <is>
          <t>SILVER_CONSUMER</t>
        </is>
      </c>
      <c r="C975" s="48" t="inlineStr">
        <is>
          <t>2.6</t>
        </is>
      </c>
      <c r="D975" s="48" t="inlineStr">
        <is>
          <t>Nhom 2 - Logic</t>
        </is>
      </c>
      <c r="E975" s="48" t="inlineStr">
        <is>
          <t>SCD Type 2 cho bảng DIM áp dụng đúng kỹ thuật đã thống nhất</t>
        </is>
      </c>
      <c r="F975" s="52" t="inlineStr">
        <is>
          <t>FAIL</t>
        </is>
      </c>
      <c r="G975" s="48" t="inlineStr">
        <is>
          <t>Fail</t>
        </is>
      </c>
      <c r="H975" s="50" t="inlineStr">
        <is>
          <t>không dùng APPLY CHANGES ... SCD TYPE 2 và cũng không có cột effective_date/end_date/current_flag để tự quản hiệu lực</t>
        </is>
      </c>
      <c r="I975"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75" s="48" t="inlineStr">
        <is>
          <t>067. OCB_GOLD_TCKH_AR_DIM_HOP.xlsx [SCRIPT: AR_DIM]</t>
        </is>
      </c>
    </row>
    <row r="976">
      <c r="A976" s="48" t="inlineStr">
        <is>
          <t>TCKH.AR_DIM</t>
        </is>
      </c>
      <c r="B976" s="48" t="inlineStr">
        <is>
          <t>SILVER_CONSUMER</t>
        </is>
      </c>
      <c r="C976" s="48" t="inlineStr">
        <is>
          <t>2.7</t>
        </is>
      </c>
      <c r="D976" s="48" t="inlineStr">
        <is>
          <t>Nhom 2 - Logic</t>
        </is>
      </c>
      <c r="E976" s="48" t="inlineStr">
        <is>
          <t>CASE WHEN cover đủ nhánh như job on-prem</t>
        </is>
      </c>
      <c r="F976" s="48" t="inlineStr">
        <is>
          <t>N-A</t>
        </is>
      </c>
      <c r="G976" s="48" t="inlineStr">
        <is>
          <t>Pass</t>
        </is>
      </c>
      <c r="H976" s="50" t="inlineStr">
        <is>
          <t>script không có CASE WHEN nào</t>
        </is>
      </c>
      <c r="I976" s="50" t="inlineStr">
        <is>
          <t>Mở job on-prem tương ứng (DataStage DSX hoặc SQL cũ), đối chiếu từng nhánh WHEN và cả nhánh ELSE. CASE không có ELSE sẽ trả NULL âm thầm — xác nhận đó là ý muốn hay thiếu nhánh.</t>
        </is>
      </c>
      <c r="J976" s="48" t="inlineStr">
        <is>
          <t>067. OCB_GOLD_TCKH_AR_DIM_HOP.xlsx [SCRIPT: AR_DIM]</t>
        </is>
      </c>
    </row>
    <row r="977">
      <c r="A977" s="48" t="inlineStr">
        <is>
          <t>TCKH.AR_DIM</t>
        </is>
      </c>
      <c r="B977" s="48" t="inlineStr">
        <is>
          <t>SILVER_CONSUMER</t>
        </is>
      </c>
      <c r="C977" s="48" t="inlineStr">
        <is>
          <t>2.8</t>
        </is>
      </c>
      <c r="D977" s="48" t="inlineStr">
        <is>
          <t>Nhom 2 - Logic</t>
        </is>
      </c>
      <c r="E977" s="48" t="inlineStr">
        <is>
          <t>Cột SUM/COUNT được COALESCE/NVL hợp lý</t>
        </is>
      </c>
      <c r="F977" s="49" t="inlineStr">
        <is>
          <t>PASS</t>
        </is>
      </c>
      <c r="G977" s="48" t="inlineStr">
        <is>
          <t>Pass</t>
        </is>
      </c>
      <c r="H977" s="50" t="inlineStr">
        <is>
          <t>mọi SUM/COUNT đều đã coalesce (trực tiếp hoặc ở lớp ngoài)</t>
        </is>
      </c>
      <c r="I977"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77" s="48" t="inlineStr">
        <is>
          <t>067. OCB_GOLD_TCKH_AR_DIM_HOP.xlsx [SCRIPT: AR_DIM]</t>
        </is>
      </c>
    </row>
    <row r="978">
      <c r="A978" s="48" t="inlineStr">
        <is>
          <t>TCKH.AR_DIM</t>
        </is>
      </c>
      <c r="B978" s="48" t="inlineStr">
        <is>
          <t>SILVER_CONSUMER</t>
        </is>
      </c>
      <c r="C978" s="48" t="inlineStr">
        <is>
          <t>2.9</t>
        </is>
      </c>
      <c r="D978" s="48" t="inlineStr">
        <is>
          <t>Nhom 2 - Logic</t>
        </is>
      </c>
      <c r="E978" s="48" t="inlineStr">
        <is>
          <t>Subquery / custom function / điều kiện LIKE đúng ý nghĩa nghiệp vụ</t>
        </is>
      </c>
      <c r="F978" s="48" t="inlineStr">
        <is>
          <t>N-A</t>
        </is>
      </c>
      <c r="G978" s="48" t="inlineStr">
        <is>
          <t>Pass</t>
        </is>
      </c>
      <c r="H978" s="50" t="inlineStr">
        <is>
          <t>script không có điều kiện LIKE hay scalar subquery nào</t>
        </is>
      </c>
      <c r="I978" s="50" t="inlineStr">
        <is>
          <t>Đọc lại từng điều kiện LIKE và từng subquery, đối chiếu ý nghĩa nghiệp vụ với on-prem — đúng cú pháp không đủ. Chú ý pattern LIKE có ký tự % ở đầu/cuối và phân biệt chữ hoa/thường.</t>
        </is>
      </c>
      <c r="J978" s="48" t="inlineStr">
        <is>
          <t>067. OCB_GOLD_TCKH_AR_DIM_HOP.xlsx [SCRIPT: AR_DIM]</t>
        </is>
      </c>
    </row>
    <row r="979">
      <c r="A979" s="48" t="inlineStr">
        <is>
          <t>TCKH.AR_DIM</t>
        </is>
      </c>
      <c r="B979" s="48" t="inlineStr">
        <is>
          <t>SILVER_CONSUMER</t>
        </is>
      </c>
      <c r="C979" s="48" t="inlineStr">
        <is>
          <t>2.10</t>
        </is>
      </c>
      <c r="D979" s="48" t="inlineStr">
        <is>
          <t>Nhom 2 - Logic</t>
        </is>
      </c>
      <c r="E979" s="48" t="inlineStr">
        <is>
          <t>Aggregation kèm filter date range chính xác</t>
        </is>
      </c>
      <c r="F979" s="51" t="inlineStr">
        <is>
          <t>WARN</t>
        </is>
      </c>
      <c r="G979" s="48" t="inlineStr">
        <is>
          <t>WARN</t>
        </is>
      </c>
      <c r="H979" s="50" t="inlineStr">
        <is>
          <t>16 khối tổng hợp không thấy filter theo ngày/tham số: sat_account, sat_loans, sat_collateral, sat_forex, sat_lc, sat_limit</t>
        </is>
      </c>
      <c r="I979" s="50" t="inlineStr">
        <is>
          <t>Mỗi khối SUM/COUNT/AVG phải có điều kiện lọc theo kỳ dữ liệu (CDR_DT_ID, DATA_DATE, :DATADT…). Nếu điều kiện nằm ở CTE nguồn thì ghi rõ trong comment để người review không phải truy ngược.</t>
        </is>
      </c>
      <c r="J979" s="48" t="inlineStr">
        <is>
          <t>067. OCB_GOLD_TCKH_AR_DIM_HOP.xlsx [SCRIPT: AR_DIM]</t>
        </is>
      </c>
    </row>
    <row r="980">
      <c r="A980" s="48" t="inlineStr">
        <is>
          <t>TCKH.AR_DIM</t>
        </is>
      </c>
      <c r="B980" s="48" t="inlineStr">
        <is>
          <t>SILVER_CONSUMER</t>
        </is>
      </c>
      <c r="C980" s="48" t="inlineStr">
        <is>
          <t>2.11</t>
        </is>
      </c>
      <c r="D980" s="48" t="inlineStr">
        <is>
          <t>Nhom 2 - Logic</t>
        </is>
      </c>
      <c r="E980" s="48" t="inlineStr">
        <is>
          <t>Join dùng key hợp lý, không lạm dụng UNION ALL + EXISTS/NOT EXISTS</t>
        </is>
      </c>
      <c r="F980" s="49" t="inlineStr">
        <is>
          <t>PASS</t>
        </is>
      </c>
      <c r="G980" s="48" t="inlineStr">
        <is>
          <t>Pass</t>
        </is>
      </c>
      <c r="H980" s="50" t="inlineStr">
        <is>
          <t>join đều theo điều kiện bằng, không lạm dụng UNION ALL + EXISTS</t>
        </is>
      </c>
      <c r="I980" s="50" t="inlineStr">
        <is>
          <t>Ưu tiên LEFT JOIN theo business key hoặc hashkey. Xem lại các chỗ dùng UNION ALL kết hợp EXISTS/NOT EXISTS — thường thay được bằng một LEFT JOIN. Join không có điều kiện bằng (=) dễ tạo tích Descartes.</t>
        </is>
      </c>
      <c r="J980" s="48" t="inlineStr">
        <is>
          <t>067. OCB_GOLD_TCKH_AR_DIM_HOP.xlsx [SCRIPT: AR_DIM]</t>
        </is>
      </c>
    </row>
    <row r="981">
      <c r="A981" s="48" t="inlineStr">
        <is>
          <t>TCKH.AR_DIM</t>
        </is>
      </c>
      <c r="B981" s="48" t="inlineStr">
        <is>
          <t>SILVER_CONSUMER</t>
        </is>
      </c>
      <c r="C981" s="48" t="inlineStr">
        <is>
          <t>2.12</t>
        </is>
      </c>
      <c r="D981" s="48" t="inlineStr">
        <is>
          <t>Nhom 2 - Logic</t>
        </is>
      </c>
      <c r="E981" s="48" t="inlineStr">
        <is>
          <t>Build Gold từ CTE snapshot Silver, không build nhiều tầng chồng chéo</t>
        </is>
      </c>
      <c r="F981" s="52" t="inlineStr">
        <is>
          <t>FAIL</t>
        </is>
      </c>
      <c r="G981" s="48" t="inlineStr">
        <is>
          <t>Fail</t>
        </is>
      </c>
      <c r="H981" s="50" t="inlineStr">
        <is>
          <t>bảng Silver bị đọc ở nhiều khối SELECT khác nhau thay vì snapshot 1 CTE: raw_vault.hub_account ở 2 khối</t>
        </is>
      </c>
      <c r="I981"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81" s="48" t="inlineStr">
        <is>
          <t>067. OCB_GOLD_TCKH_AR_DIM_HOP.xlsx [SCRIPT: AR_DIM]</t>
        </is>
      </c>
    </row>
    <row r="982">
      <c r="A982" s="48" t="inlineStr">
        <is>
          <t>TCKH.AR_DIM</t>
        </is>
      </c>
      <c r="B982" s="48" t="inlineStr">
        <is>
          <t>SILVER_CONSUMER</t>
        </is>
      </c>
      <c r="C982" s="48" t="inlineStr">
        <is>
          <t>3.1</t>
        </is>
      </c>
      <c r="D982" s="48" t="inlineStr">
        <is>
          <t>Nhom 3 - Optimization</t>
        </is>
      </c>
      <c r="E982" s="48" t="inlineStr">
        <is>
          <t>Không SELECT *</t>
        </is>
      </c>
      <c r="F982" s="52" t="inlineStr">
        <is>
          <t>FAIL</t>
        </is>
      </c>
      <c r="G982" s="48" t="inlineStr">
        <is>
          <t>Fail</t>
        </is>
      </c>
      <c r="H982" s="50" t="inlineStr">
        <is>
          <t>có 1 lần SELECT * ở dòng [392]</t>
        </is>
      </c>
      <c r="I982" s="50" t="inlineStr">
        <is>
          <t>Liệt kê tường minh các cột cần dùng, kể cả trong CTE trung gian. SELECT * làm tăng IO/memory và vỡ script khi bảng nguồn thêm cột.</t>
        </is>
      </c>
      <c r="J982" s="48" t="inlineStr">
        <is>
          <t>067. OCB_GOLD_TCKH_AR_DIM_HOP.xlsx [SCRIPT: AR_DIM]</t>
        </is>
      </c>
    </row>
    <row r="983">
      <c r="A983" s="48" t="inlineStr">
        <is>
          <t>TCKH.AR_DIM</t>
        </is>
      </c>
      <c r="B983" s="48" t="inlineStr">
        <is>
          <t>SILVER_CONSUMER</t>
        </is>
      </c>
      <c r="C983" s="48" t="inlineStr">
        <is>
          <t>3.2</t>
        </is>
      </c>
      <c r="D983" s="48" t="inlineStr">
        <is>
          <t>Nhom 3 - Optimization</t>
        </is>
      </c>
      <c r="E983" s="48" t="inlineStr">
        <is>
          <t>CTE không bị scan lại nhiều lần</t>
        </is>
      </c>
      <c r="F983" s="51" t="inlineStr">
        <is>
          <t>WARN</t>
        </is>
      </c>
      <c r="G983" s="48" t="inlineStr">
        <is>
          <t>WARN</t>
        </is>
      </c>
      <c r="H983" s="50" t="inlineStr">
        <is>
          <t>CTE bị tham chiếu lại nhiều lần: sts_account x2, sat_account x2</t>
        </is>
      </c>
      <c r="I983" s="50" t="inlineStr">
        <is>
          <t>Với CTE nặng (đọc nhiều bảng Silver) bị tham chiếu từ 2 chỗ trở lên: gom lại còn một lần dùng, hoặc vật chất hóa (CACHE / bảng tạm). CTE nhẹ chỉ chứa tham số thì bỏ qua được — tự tick Pass.</t>
        </is>
      </c>
      <c r="J983" s="48" t="inlineStr">
        <is>
          <t>067. OCB_GOLD_TCKH_AR_DIM_HOP.xlsx [SCRIPT: AR_DIM]</t>
        </is>
      </c>
    </row>
    <row r="984">
      <c r="A984" s="48" t="inlineStr">
        <is>
          <t>TCKH.AR_DIM</t>
        </is>
      </c>
      <c r="B984" s="48" t="inlineStr">
        <is>
          <t>SILVER_CONSUMER</t>
        </is>
      </c>
      <c r="C984" s="48" t="inlineStr">
        <is>
          <t>3.3</t>
        </is>
      </c>
      <c r="D984" s="48" t="inlineStr">
        <is>
          <t>Nhom 3 - Optimization</t>
        </is>
      </c>
      <c r="E984" s="48" t="inlineStr">
        <is>
          <t>Filter trước khi join, tận dụng partition pruning</t>
        </is>
      </c>
      <c r="F984" s="49" t="inlineStr">
        <is>
          <t>PASS</t>
        </is>
      </c>
      <c r="G984" s="48" t="inlineStr">
        <is>
          <t>Pass</t>
        </is>
      </c>
      <c r="H984" s="50" t="inlineStr">
        <is>
          <t>các bảng join đều được filter trước</t>
        </is>
      </c>
      <c r="I984" s="50" t="inlineStr">
        <is>
          <t>Đưa điều kiện lọc (ngày dữ liệu, trạng thái) vào subquery của từng bảng TRƯỚC khi join, để tận dụng partition pruning. Bảng dim nhỏ không partition thì không cần — tự tick Pass.</t>
        </is>
      </c>
      <c r="J984" s="48" t="inlineStr">
        <is>
          <t>067. OCB_GOLD_TCKH_AR_DIM_HOP.xlsx [SCRIPT: AR_DIM]</t>
        </is>
      </c>
    </row>
    <row r="985">
      <c r="A985" s="48" t="inlineStr">
        <is>
          <t>TCKH.AR_DIM</t>
        </is>
      </c>
      <c r="B985" s="48" t="inlineStr">
        <is>
          <t>SILVER_CONSUMER</t>
        </is>
      </c>
      <c r="C985" s="48" t="inlineStr">
        <is>
          <t>3.4</t>
        </is>
      </c>
      <c r="D985" s="48" t="inlineStr">
        <is>
          <t>Nhom 3 - Optimization</t>
        </is>
      </c>
      <c r="E985" s="48" t="inlineStr">
        <is>
          <t>Sử dụng CACHE cho query lặp lại trong cùng luồng</t>
        </is>
      </c>
      <c r="F985" s="51" t="inlineStr">
        <is>
          <t>WARN</t>
        </is>
      </c>
      <c r="G985" s="48" t="inlineStr">
        <is>
          <t>WARN</t>
        </is>
      </c>
      <c r="H985" s="50" t="inlineStr">
        <is>
          <t>2 CTE nặng dùng lại &gt;= 2 lần mà không có CACHE: sat_account, sts_account</t>
        </is>
      </c>
      <c r="I985" s="50" t="inlineStr">
        <is>
          <t>Nếu một kết quả nặng được dùng lại nhiều bước trong cùng luồng, thêm CACHE TABLE / CACHE SELECT. Kết quả nhỏ thì cache còn chậm hơn — tự tick Pass.</t>
        </is>
      </c>
      <c r="J985" s="48" t="inlineStr">
        <is>
          <t>067. OCB_GOLD_TCKH_AR_DIM_HOP.xlsx [SCRIPT: AR_DIM]</t>
        </is>
      </c>
    </row>
    <row r="986">
      <c r="A986" s="48" t="inlineStr">
        <is>
          <t>TCKH.AR_DIM</t>
        </is>
      </c>
      <c r="B986" s="48" t="inlineStr">
        <is>
          <t>SILVER_CONSUMER</t>
        </is>
      </c>
      <c r="C986" s="48" t="inlineStr">
        <is>
          <t>3.5</t>
        </is>
      </c>
      <c r="D986" s="48" t="inlineStr">
        <is>
          <t>Nhom 3 - Optimization</t>
        </is>
      </c>
      <c r="E986" s="48" t="inlineStr">
        <is>
          <t>Ưu tiên MAX_BY + QUALIFY thay ROW_NUMBER() + WHERE rn = 1</t>
        </is>
      </c>
      <c r="F986" s="49" t="inlineStr">
        <is>
          <t>PASS</t>
        </is>
      </c>
      <c r="G986" s="48" t="inlineStr">
        <is>
          <t>Pass</t>
        </is>
      </c>
      <c r="H986" s="50" t="inlineStr">
        <is>
          <t>đã dùng MAX_BY</t>
        </is>
      </c>
      <c r="I986"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86" s="48" t="inlineStr">
        <is>
          <t>067. OCB_GOLD_TCKH_AR_DIM_HOP.xlsx [SCRIPT: AR_DIM]</t>
        </is>
      </c>
    </row>
    <row r="987">
      <c r="A987" s="48" t="inlineStr">
        <is>
          <t>TCKH.AR_DIM</t>
        </is>
      </c>
      <c r="B987" s="48" t="inlineStr">
        <is>
          <t>SILVER_CONSUMER</t>
        </is>
      </c>
      <c r="C987" s="48" t="inlineStr">
        <is>
          <t>3.6</t>
        </is>
      </c>
      <c r="D987" s="48" t="inlineStr">
        <is>
          <t>Nhom 3 - Optimization</t>
        </is>
      </c>
      <c r="E987" s="48" t="inlineStr">
        <is>
          <t>Không lạm dụng window function; có comment khi dùng</t>
        </is>
      </c>
      <c r="F987" s="49" t="inlineStr">
        <is>
          <t>PASS</t>
        </is>
      </c>
      <c r="G987" s="48" t="inlineStr">
        <is>
          <t>Pass</t>
        </is>
      </c>
      <c r="H987" s="50" t="inlineStr">
        <is>
          <t>1 window function đều có comment</t>
        </is>
      </c>
      <c r="I987" s="50" t="inlineStr">
        <is>
          <t>Mỗi window function cần một comment ngay trên khối CTE chứa nó, nói rõ vì sao không dùng được max_by/QUALIFY đơn giản hơn.</t>
        </is>
      </c>
      <c r="J987" s="48" t="inlineStr">
        <is>
          <t>067. OCB_GOLD_TCKH_AR_DIM_HOP.xlsx [SCRIPT: AR_DIM]</t>
        </is>
      </c>
    </row>
    <row r="988">
      <c r="A988" s="48" t="inlineStr">
        <is>
          <t>TCKH.AR_DIM</t>
        </is>
      </c>
      <c r="B988" s="48" t="inlineStr">
        <is>
          <t>SILVER_CONSUMER</t>
        </is>
      </c>
      <c r="C988" s="48" t="inlineStr">
        <is>
          <t>X.1</t>
        </is>
      </c>
      <c r="D988" s="48" t="inlineStr">
        <is>
          <t>Nhom X - Bo sung Raffles</t>
        </is>
      </c>
      <c r="E988" s="48" t="inlineStr">
        <is>
          <t>[Bổ sung] Link phải rút về current trước khi join (chống fan-out)</t>
        </is>
      </c>
      <c r="F988" s="49" t="inlineStr">
        <is>
          <t>PASS</t>
        </is>
      </c>
      <c r="G988" s="48" t="inlineStr">
        <is>
          <t>Pass</t>
        </is>
      </c>
      <c r="H988" s="50" t="inlineStr">
        <is>
          <t>các bảng link_* đều được rút về current trước khi join</t>
        </is>
      </c>
      <c r="I988"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88" s="48" t="inlineStr">
        <is>
          <t>067. OCB_GOLD_TCKH_AR_DIM_HOP.xlsx [SCRIPT: AR_DIM]</t>
        </is>
      </c>
    </row>
    <row r="989">
      <c r="A989" s="48" t="inlineStr">
        <is>
          <t>TCKH.AR_DIM</t>
        </is>
      </c>
      <c r="B989" s="48" t="inlineStr">
        <is>
          <t>SILVER_CONSUMER</t>
        </is>
      </c>
      <c r="C989" s="48" t="inlineStr">
        <is>
          <t>X.6</t>
        </is>
      </c>
      <c r="D989" s="48" t="inlineStr">
        <is>
          <t>Nhom X - Bo sung Raffles</t>
        </is>
      </c>
      <c r="E989" s="48" t="inlineStr">
        <is>
          <t>[Bổ sung] Satellite phải LEFT JOIN, không INNER JOIN</t>
        </is>
      </c>
      <c r="F989" s="49" t="inlineStr">
        <is>
          <t>PASS</t>
        </is>
      </c>
      <c r="G989" s="48" t="inlineStr">
        <is>
          <t>Pass</t>
        </is>
      </c>
      <c r="H989" s="50" t="inlineStr">
        <is>
          <t>các satellite đều LEFT JOIN</t>
        </is>
      </c>
      <c r="I989" s="50" t="inlineStr">
        <is>
          <t>Technical Document III.4.2.2 nguyên tắc 1: làm giàu thuộc tính luôn dùng LEFT JOIN. INNER JOIN satellite sẽ loại mất bản ghi Hub đang còn hiệu lực nhưng chưa có dòng satellite.</t>
        </is>
      </c>
      <c r="J989" s="48" t="inlineStr">
        <is>
          <t>067. OCB_GOLD_TCKH_AR_DIM_HOP.xlsx [SCRIPT: AR_DIM]</t>
        </is>
      </c>
    </row>
    <row r="990">
      <c r="A990" s="48" t="inlineStr">
        <is>
          <t>TCKH.AR_DIM</t>
        </is>
      </c>
      <c r="B990" s="48" t="inlineStr">
        <is>
          <t>SILVER_CONSUMER</t>
        </is>
      </c>
      <c r="C990" s="48" t="inlineStr">
        <is>
          <t>X.7</t>
        </is>
      </c>
      <c r="D990" s="48" t="inlineStr">
        <is>
          <t>Nhom X - Bo sung Raffles</t>
        </is>
      </c>
      <c r="E990" s="48" t="inlineStr">
        <is>
          <t>[Bổ sung] Không hard-code catalog, dùng biến môi trường</t>
        </is>
      </c>
      <c r="F990" s="49" t="inlineStr">
        <is>
          <t>PASS</t>
        </is>
      </c>
      <c r="G990" s="48" t="inlineStr">
        <is>
          <t>Pass</t>
        </is>
      </c>
      <c r="H990" s="50" t="inlineStr">
        <is>
          <t>dùng biến môi trường cho catalog</t>
        </is>
      </c>
      <c r="I990"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0" s="48" t="inlineStr">
        <is>
          <t>067. OCB_GOLD_TCKH_AR_DIM_HOP.xlsx [SCRIPT: AR_DIM]</t>
        </is>
      </c>
    </row>
    <row r="991">
      <c r="A991" s="48" t="inlineStr">
        <is>
          <t>TCKH.FTP_RATE_LIST_HIST</t>
        </is>
      </c>
      <c r="B991" s="48" t="inlineStr">
        <is>
          <t>GOLD_DERIVED</t>
        </is>
      </c>
      <c r="C991" s="48" t="inlineStr">
        <is>
          <t>1.1</t>
        </is>
      </c>
      <c r="D991" s="48" t="inlineStr">
        <is>
          <t>Nhom 1 - Mapping</t>
        </is>
      </c>
      <c r="E991" s="48" t="inlineStr">
        <is>
          <t>Đầy đủ mapping từ Silver/manual sang Gold</t>
        </is>
      </c>
      <c r="F991" s="49" t="inlineStr">
        <is>
          <t>PASS</t>
        </is>
      </c>
      <c r="G991" s="48" t="inlineStr">
        <is>
          <t>Pass</t>
        </is>
      </c>
      <c r="H991" s="50" t="inlineStr">
        <is>
          <t>workbook 067. OCB_GOLD_TCKH_AR_DIM_HOP.xlsx: thiết kế 13 field, SQL có 13 cột</t>
        </is>
      </c>
      <c r="I991"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91" s="48" t="inlineStr">
        <is>
          <t>068. OCB_GOLD_TCKH_FTP_RATE_LIST_HIST_PHAT.xlsx [Script: FTP_RATE_LIST_HIST]</t>
        </is>
      </c>
    </row>
    <row r="992">
      <c r="A992" s="48" t="inlineStr">
        <is>
          <t>TCKH.FTP_RATE_LIST_HIST</t>
        </is>
      </c>
      <c r="B992" s="48" t="inlineStr">
        <is>
          <t>GOLD_DERIVED</t>
        </is>
      </c>
      <c r="C992" s="48" t="inlineStr">
        <is>
          <t>1.2</t>
        </is>
      </c>
      <c r="D992" s="48" t="inlineStr">
        <is>
          <t>Nhom 1 - Mapping</t>
        </is>
      </c>
      <c r="E992" s="48" t="inlineStr">
        <is>
          <t>Danh sách bảng/view Gold khớp tài liệu thiết kế đã duyệt</t>
        </is>
      </c>
      <c r="F992" s="49" t="inlineStr">
        <is>
          <t>PASS</t>
        </is>
      </c>
      <c r="G992" s="48" t="inlineStr">
        <is>
          <t>Pass</t>
        </is>
      </c>
      <c r="H992" s="50" t="inlineStr">
        <is>
          <t>FTP_RATE_LIST_HIST có workbook thiết kế: 067. OCB_GOLD_TCKH_AR_DIM_HOP.xlsx</t>
        </is>
      </c>
      <c r="I992" s="50" t="inlineStr">
        <is>
          <t>Đảm bảo object có workbook thiết kế tương ứng trong thư mục --mapping-dir. Muốn đối chiếu với danh sách đã duyệt thì chạy thêm tham số --gold-list "&lt;file danh sách Gold&gt;.xlsx".</t>
        </is>
      </c>
      <c r="J992" s="48" t="inlineStr">
        <is>
          <t>068. OCB_GOLD_TCKH_FTP_RATE_LIST_HIST_PHAT.xlsx [Script: FTP_RATE_LIST_HIST]</t>
        </is>
      </c>
    </row>
    <row r="993">
      <c r="A993" s="48" t="inlineStr">
        <is>
          <t>TCKH.FTP_RATE_LIST_HIST</t>
        </is>
      </c>
      <c r="B993" s="48" t="inlineStr">
        <is>
          <t>GOLD_DERIVED</t>
        </is>
      </c>
      <c r="C993" s="48" t="inlineStr">
        <is>
          <t>2.1</t>
        </is>
      </c>
      <c r="D993" s="48" t="inlineStr">
        <is>
          <t>Nhom 2 - Logic</t>
        </is>
      </c>
      <c r="E993" s="48" t="inlineStr">
        <is>
          <t>Chỉ lấy bản ghi active, loại bản ghi đã xóa (qua sts_hub)</t>
        </is>
      </c>
      <c r="F993" s="48" t="inlineStr">
        <is>
          <t>N-A</t>
        </is>
      </c>
      <c r="G993" s="48" t="inlineStr">
        <is>
          <t>Pass</t>
        </is>
      </c>
      <c r="H993" s="50" t="inlineStr">
        <is>
          <t>khong ap dung cho profile GOLD_DERIVED</t>
        </is>
      </c>
      <c r="I993"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93" s="48" t="inlineStr">
        <is>
          <t>068. OCB_GOLD_TCKH_FTP_RATE_LIST_HIST_PHAT.xlsx [Script: FTP_RATE_LIST_HIST]</t>
        </is>
      </c>
    </row>
    <row r="994">
      <c r="A994" s="48" t="inlineStr">
        <is>
          <t>TCKH.FTP_RATE_LIST_HIST</t>
        </is>
      </c>
      <c r="B994" s="48" t="inlineStr">
        <is>
          <t>GOLD_DERIVED</t>
        </is>
      </c>
      <c r="C994" s="48" t="inlineStr">
        <is>
          <t>2.2</t>
        </is>
      </c>
      <c r="D994" s="48" t="inlineStr">
        <is>
          <t>Nhom 2 - Logic</t>
        </is>
      </c>
      <c r="E994" s="48" t="inlineStr">
        <is>
          <t>Thống nhất MỘT pattern duy nhất xác định bản ghi active mới nhất</t>
        </is>
      </c>
      <c r="F994" s="48" t="inlineStr">
        <is>
          <t>N-A</t>
        </is>
      </c>
      <c r="G994" s="48" t="inlineStr">
        <is>
          <t>Pass</t>
        </is>
      </c>
      <c r="H994" s="50" t="inlineStr">
        <is>
          <t>khong ap dung cho profile GOLD_DERIVED</t>
        </is>
      </c>
      <c r="I994"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94" s="48" t="inlineStr">
        <is>
          <t>068. OCB_GOLD_TCKH_FTP_RATE_LIST_HIST_PHAT.xlsx [Script: FTP_RATE_LIST_HIST]</t>
        </is>
      </c>
    </row>
    <row r="995">
      <c r="A995" s="48" t="inlineStr">
        <is>
          <t>TCKH.FTP_RATE_LIST_HIST</t>
        </is>
      </c>
      <c r="B995" s="48" t="inlineStr">
        <is>
          <t>GOLD_DERIVED</t>
        </is>
      </c>
      <c r="C995" s="48" t="inlineStr">
        <is>
          <t>2.3</t>
        </is>
      </c>
      <c r="D995" s="48" t="inlineStr">
        <is>
          <t>Nhom 2 - Logic</t>
        </is>
      </c>
      <c r="E995" s="48" t="inlineStr">
        <is>
          <t>Điều kiện lọc trạng thái đặt SAU khi xác định bản ghi mới nhất</t>
        </is>
      </c>
      <c r="F995" s="49" t="inlineStr">
        <is>
          <t>PASS</t>
        </is>
      </c>
      <c r="G995" s="48" t="inlineStr">
        <is>
          <t>Pass</t>
        </is>
      </c>
      <c r="H995" s="50" t="inlineStr">
        <is>
          <t>không có điều kiện trạng thái nào lồng trong JOIN ON</t>
        </is>
      </c>
      <c r="I995"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95" s="48" t="inlineStr">
        <is>
          <t>068. OCB_GOLD_TCKH_FTP_RATE_LIST_HIST_PHAT.xlsx [Script: FTP_RATE_LIST_HIST]</t>
        </is>
      </c>
    </row>
    <row r="996">
      <c r="A996" s="48" t="inlineStr">
        <is>
          <t>TCKH.FTP_RATE_LIST_HIST</t>
        </is>
      </c>
      <c r="B996" s="48" t="inlineStr">
        <is>
          <t>GOLD_DERIVED</t>
        </is>
      </c>
      <c r="C996" s="48" t="inlineStr">
        <is>
          <t>2.4</t>
        </is>
      </c>
      <c r="D996" s="48" t="inlineStr">
        <is>
          <t>Nhom 2 - Logic</t>
        </is>
      </c>
      <c r="E996" s="48" t="inlineStr">
        <is>
          <t>source_event_date áp dụng đúng dạng theo loại bảng</t>
        </is>
      </c>
      <c r="F996" s="48" t="inlineStr">
        <is>
          <t>N-A</t>
        </is>
      </c>
      <c r="G996" s="48" t="inlineStr">
        <is>
          <t>Pass</t>
        </is>
      </c>
      <c r="H996" s="50" t="inlineStr">
        <is>
          <t>khong ap dung cho profile GOLD_DERIVED</t>
        </is>
      </c>
      <c r="I996"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96" s="48" t="inlineStr">
        <is>
          <t>068. OCB_GOLD_TCKH_FTP_RATE_LIST_HIST_PHAT.xlsx [Script: FTP_RATE_LIST_HIST]</t>
        </is>
      </c>
    </row>
    <row r="997">
      <c r="A997" s="48" t="inlineStr">
        <is>
          <t>TCKH.FTP_RATE_LIST_HIST</t>
        </is>
      </c>
      <c r="B997" s="48" t="inlineStr">
        <is>
          <t>GOLD_DERIVED</t>
        </is>
      </c>
      <c r="C997" s="48" t="inlineStr">
        <is>
          <t>2.5</t>
        </is>
      </c>
      <c r="D997" s="48" t="inlineStr">
        <is>
          <t>Nhom 2 - Logic</t>
        </is>
      </c>
      <c r="E997" s="48" t="inlineStr">
        <is>
          <t>Không lặp lại lỗi logic cũ đã được DA Data Vault fix</t>
        </is>
      </c>
      <c r="F997" s="49" t="inlineStr">
        <is>
          <t>PASS</t>
        </is>
      </c>
      <c r="G997" s="48" t="inlineStr">
        <is>
          <t>Pass</t>
        </is>
      </c>
      <c r="H997" s="50" t="inlineStr">
        <is>
          <t>không trùng lỗi nào trong Issue log của DA Data Vault</t>
        </is>
      </c>
      <c r="I997"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97" s="48" t="inlineStr">
        <is>
          <t>068. OCB_GOLD_TCKH_FTP_RATE_LIST_HIST_PHAT.xlsx [Script: FTP_RATE_LIST_HIST]</t>
        </is>
      </c>
    </row>
    <row r="998">
      <c r="A998" s="48" t="inlineStr">
        <is>
          <t>TCKH.FTP_RATE_LIST_HIST</t>
        </is>
      </c>
      <c r="B998" s="48" t="inlineStr">
        <is>
          <t>GOLD_DERIVED</t>
        </is>
      </c>
      <c r="C998" s="48" t="inlineStr">
        <is>
          <t>2.6</t>
        </is>
      </c>
      <c r="D998" s="48" t="inlineStr">
        <is>
          <t>Nhom 2 - Logic</t>
        </is>
      </c>
      <c r="E998" s="48" t="inlineStr">
        <is>
          <t>SCD Type 2 cho bảng DIM áp dụng đúng kỹ thuật đã thống nhất</t>
        </is>
      </c>
      <c r="F998" s="48" t="inlineStr">
        <is>
          <t>N-A</t>
        </is>
      </c>
      <c r="G998" s="48" t="inlineStr">
        <is>
          <t>Pass</t>
        </is>
      </c>
      <c r="H998" s="50" t="inlineStr">
        <is>
          <t>object không phải bảng DIM nên không áp dụng SCD Type 2</t>
        </is>
      </c>
      <c r="I998"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98" s="48" t="inlineStr">
        <is>
          <t>068. OCB_GOLD_TCKH_FTP_RATE_LIST_HIST_PHAT.xlsx [Script: FTP_RATE_LIST_HIST]</t>
        </is>
      </c>
    </row>
    <row r="999">
      <c r="A999" s="48" t="inlineStr">
        <is>
          <t>TCKH.FTP_RATE_LIST_HIST</t>
        </is>
      </c>
      <c r="B999" s="48" t="inlineStr">
        <is>
          <t>GOLD_DERIVED</t>
        </is>
      </c>
      <c r="C999" s="48" t="inlineStr">
        <is>
          <t>2.7</t>
        </is>
      </c>
      <c r="D999" s="48" t="inlineStr">
        <is>
          <t>Nhom 2 - Logic</t>
        </is>
      </c>
      <c r="E999" s="48" t="inlineStr">
        <is>
          <t>CASE WHEN cover đủ nhánh như job on-prem</t>
        </is>
      </c>
      <c r="F999" s="48" t="inlineStr">
        <is>
          <t>N-A</t>
        </is>
      </c>
      <c r="G999" s="48" t="inlineStr">
        <is>
          <t>Pass</t>
        </is>
      </c>
      <c r="H999" s="50" t="inlineStr">
        <is>
          <t>script không có CASE WHEN nào</t>
        </is>
      </c>
      <c r="I999" s="50" t="inlineStr">
        <is>
          <t>Mở job on-prem tương ứng (DataStage DSX hoặc SQL cũ), đối chiếu từng nhánh WHEN và cả nhánh ELSE. CASE không có ELSE sẽ trả NULL âm thầm — xác nhận đó là ý muốn hay thiếu nhánh.</t>
        </is>
      </c>
      <c r="J999" s="48" t="inlineStr">
        <is>
          <t>068. OCB_GOLD_TCKH_FTP_RATE_LIST_HIST_PHAT.xlsx [Script: FTP_RATE_LIST_HIST]</t>
        </is>
      </c>
    </row>
    <row r="1000">
      <c r="A1000" s="48" t="inlineStr">
        <is>
          <t>TCKH.FTP_RATE_LIST_HIST</t>
        </is>
      </c>
      <c r="B1000" s="48" t="inlineStr">
        <is>
          <t>GOLD_DERIVED</t>
        </is>
      </c>
      <c r="C1000" s="48" t="inlineStr">
        <is>
          <t>2.8</t>
        </is>
      </c>
      <c r="D1000" s="48" t="inlineStr">
        <is>
          <t>Nhom 2 - Logic</t>
        </is>
      </c>
      <c r="E1000" s="48" t="inlineStr">
        <is>
          <t>Cột SUM/COUNT được COALESCE/NVL hợp lý</t>
        </is>
      </c>
      <c r="F1000" s="49" t="inlineStr">
        <is>
          <t>PASS</t>
        </is>
      </c>
      <c r="G1000" s="48" t="inlineStr">
        <is>
          <t>Pass</t>
        </is>
      </c>
      <c r="H1000" s="50" t="inlineStr">
        <is>
          <t>mọi SUM/COUNT đều đã coalesce (trực tiếp hoặc ở lớp ngoài)</t>
        </is>
      </c>
      <c r="I1000"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00" s="48" t="inlineStr">
        <is>
          <t>068. OCB_GOLD_TCKH_FTP_RATE_LIST_HIST_PHAT.xlsx [Script: FTP_RATE_LIST_HIST]</t>
        </is>
      </c>
    </row>
    <row r="1001">
      <c r="A1001" s="48" t="inlineStr">
        <is>
          <t>TCKH.FTP_RATE_LIST_HIST</t>
        </is>
      </c>
      <c r="B1001" s="48" t="inlineStr">
        <is>
          <t>GOLD_DERIVED</t>
        </is>
      </c>
      <c r="C1001" s="48" t="inlineStr">
        <is>
          <t>2.9</t>
        </is>
      </c>
      <c r="D1001" s="48" t="inlineStr">
        <is>
          <t>Nhom 2 - Logic</t>
        </is>
      </c>
      <c r="E1001" s="48" t="inlineStr">
        <is>
          <t>Subquery / custom function / điều kiện LIKE đúng ý nghĩa nghiệp vụ</t>
        </is>
      </c>
      <c r="F1001" s="48" t="inlineStr">
        <is>
          <t>N-A</t>
        </is>
      </c>
      <c r="G1001" s="48" t="inlineStr">
        <is>
          <t>Pass</t>
        </is>
      </c>
      <c r="H1001" s="50" t="inlineStr">
        <is>
          <t>script không có điều kiện LIKE hay scalar subquery nào</t>
        </is>
      </c>
      <c r="I1001" s="50" t="inlineStr">
        <is>
          <t>Đọc lại từng điều kiện LIKE và từng subquery, đối chiếu ý nghĩa nghiệp vụ với on-prem — đúng cú pháp không đủ. Chú ý pattern LIKE có ký tự % ở đầu/cuối và phân biệt chữ hoa/thường.</t>
        </is>
      </c>
      <c r="J1001" s="48" t="inlineStr">
        <is>
          <t>068. OCB_GOLD_TCKH_FTP_RATE_LIST_HIST_PHAT.xlsx [Script: FTP_RATE_LIST_HIST]</t>
        </is>
      </c>
    </row>
    <row r="1002">
      <c r="A1002" s="48" t="inlineStr">
        <is>
          <t>TCKH.FTP_RATE_LIST_HIST</t>
        </is>
      </c>
      <c r="B1002" s="48" t="inlineStr">
        <is>
          <t>GOLD_DERIVED</t>
        </is>
      </c>
      <c r="C1002" s="48" t="inlineStr">
        <is>
          <t>2.10</t>
        </is>
      </c>
      <c r="D1002" s="48" t="inlineStr">
        <is>
          <t>Nhom 2 - Logic</t>
        </is>
      </c>
      <c r="E1002" s="48" t="inlineStr">
        <is>
          <t>Aggregation kèm filter date range chính xác</t>
        </is>
      </c>
      <c r="F1002" s="49" t="inlineStr">
        <is>
          <t>PASS</t>
        </is>
      </c>
      <c r="G1002" s="48" t="inlineStr">
        <is>
          <t>Pass</t>
        </is>
      </c>
      <c r="H1002" s="50" t="inlineStr">
        <is>
          <t>mọi khối tổng hợp đều có điều kiện theo kỳ dữ liệu</t>
        </is>
      </c>
      <c r="I1002" s="50" t="inlineStr">
        <is>
          <t>Mỗi khối SUM/COUNT/AVG phải có điều kiện lọc theo kỳ dữ liệu (CDR_DT_ID, DATA_DATE, :DATADT…). Nếu điều kiện nằm ở CTE nguồn thì ghi rõ trong comment để người review không phải truy ngược.</t>
        </is>
      </c>
      <c r="J1002" s="48" t="inlineStr">
        <is>
          <t>068. OCB_GOLD_TCKH_FTP_RATE_LIST_HIST_PHAT.xlsx [Script: FTP_RATE_LIST_HIST]</t>
        </is>
      </c>
    </row>
    <row r="1003">
      <c r="A1003" s="48" t="inlineStr">
        <is>
          <t>TCKH.FTP_RATE_LIST_HIST</t>
        </is>
      </c>
      <c r="B1003" s="48" t="inlineStr">
        <is>
          <t>GOLD_DERIVED</t>
        </is>
      </c>
      <c r="C1003" s="48" t="inlineStr">
        <is>
          <t>2.11</t>
        </is>
      </c>
      <c r="D1003" s="48" t="inlineStr">
        <is>
          <t>Nhom 2 - Logic</t>
        </is>
      </c>
      <c r="E1003" s="48" t="inlineStr">
        <is>
          <t>Join dùng key hợp lý, không lạm dụng UNION ALL + EXISTS/NOT EXISTS</t>
        </is>
      </c>
      <c r="F1003" s="49" t="inlineStr">
        <is>
          <t>PASS</t>
        </is>
      </c>
      <c r="G1003" s="48" t="inlineStr">
        <is>
          <t>Pass</t>
        </is>
      </c>
      <c r="H1003" s="50" t="inlineStr">
        <is>
          <t>join đều theo điều kiện bằng, không lạm dụng UNION ALL + EXISTS</t>
        </is>
      </c>
      <c r="I1003" s="50" t="inlineStr">
        <is>
          <t>Ưu tiên LEFT JOIN theo business key hoặc hashkey. Xem lại các chỗ dùng UNION ALL kết hợp EXISTS/NOT EXISTS — thường thay được bằng một LEFT JOIN. Join không có điều kiện bằng (=) dễ tạo tích Descartes.</t>
        </is>
      </c>
      <c r="J1003" s="48" t="inlineStr">
        <is>
          <t>068. OCB_GOLD_TCKH_FTP_RATE_LIST_HIST_PHAT.xlsx [Script: FTP_RATE_LIST_HIST]</t>
        </is>
      </c>
    </row>
    <row r="1004">
      <c r="A1004" s="48" t="inlineStr">
        <is>
          <t>TCKH.FTP_RATE_LIST_HIST</t>
        </is>
      </c>
      <c r="B1004" s="48" t="inlineStr">
        <is>
          <t>GOLD_DERIVED</t>
        </is>
      </c>
      <c r="C1004" s="48" t="inlineStr">
        <is>
          <t>2.12</t>
        </is>
      </c>
      <c r="D1004" s="48" t="inlineStr">
        <is>
          <t>Nhom 2 - Logic</t>
        </is>
      </c>
      <c r="E1004" s="48" t="inlineStr">
        <is>
          <t>Build Gold từ CTE snapshot Silver, không build nhiều tầng chồng chéo</t>
        </is>
      </c>
      <c r="F1004" s="49" t="inlineStr">
        <is>
          <t>PASS</t>
        </is>
      </c>
      <c r="G1004" s="48" t="inlineStr">
        <is>
          <t>Pass</t>
        </is>
      </c>
      <c r="H1004" s="50" t="inlineStr">
        <is>
          <t>mỗi bảng nguồn chỉ đọc trong 1 khối SELECT</t>
        </is>
      </c>
      <c r="I1004"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04" s="48" t="inlineStr">
        <is>
          <t>068. OCB_GOLD_TCKH_FTP_RATE_LIST_HIST_PHAT.xlsx [Script: FTP_RATE_LIST_HIST]</t>
        </is>
      </c>
    </row>
    <row r="1005">
      <c r="A1005" s="48" t="inlineStr">
        <is>
          <t>TCKH.FTP_RATE_LIST_HIST</t>
        </is>
      </c>
      <c r="B1005" s="48" t="inlineStr">
        <is>
          <t>GOLD_DERIVED</t>
        </is>
      </c>
      <c r="C1005" s="48" t="inlineStr">
        <is>
          <t>3.1</t>
        </is>
      </c>
      <c r="D1005" s="48" t="inlineStr">
        <is>
          <t>Nhom 3 - Optimization</t>
        </is>
      </c>
      <c r="E1005" s="48" t="inlineStr">
        <is>
          <t>Không SELECT *</t>
        </is>
      </c>
      <c r="F1005" s="49" t="inlineStr">
        <is>
          <t>PASS</t>
        </is>
      </c>
      <c r="G1005" s="48" t="inlineStr">
        <is>
          <t>Pass</t>
        </is>
      </c>
      <c r="H1005" s="50" t="inlineStr">
        <is>
          <t>không dùng SELECT * ở đâu</t>
        </is>
      </c>
      <c r="I1005" s="50" t="inlineStr">
        <is>
          <t>Liệt kê tường minh các cột cần dùng, kể cả trong CTE trung gian. SELECT * làm tăng IO/memory và vỡ script khi bảng nguồn thêm cột.</t>
        </is>
      </c>
      <c r="J1005" s="48" t="inlineStr">
        <is>
          <t>068. OCB_GOLD_TCKH_FTP_RATE_LIST_HIST_PHAT.xlsx [Script: FTP_RATE_LIST_HIST]</t>
        </is>
      </c>
    </row>
    <row r="1006">
      <c r="A1006" s="48" t="inlineStr">
        <is>
          <t>TCKH.FTP_RATE_LIST_HIST</t>
        </is>
      </c>
      <c r="B1006" s="48" t="inlineStr">
        <is>
          <t>GOLD_DERIVED</t>
        </is>
      </c>
      <c r="C1006" s="48" t="inlineStr">
        <is>
          <t>3.2</t>
        </is>
      </c>
      <c r="D1006" s="48" t="inlineStr">
        <is>
          <t>Nhom 3 - Optimization</t>
        </is>
      </c>
      <c r="E1006" s="48" t="inlineStr">
        <is>
          <t>CTE không bị scan lại nhiều lần</t>
        </is>
      </c>
      <c r="F1006" s="49" t="inlineStr">
        <is>
          <t>PASS</t>
        </is>
      </c>
      <c r="G1006" s="48" t="inlineStr">
        <is>
          <t>Pass</t>
        </is>
      </c>
      <c r="H1006" s="50" t="inlineStr">
        <is>
          <t>không có CTE nào bị gọi lại</t>
        </is>
      </c>
      <c r="I1006" s="50" t="inlineStr">
        <is>
          <t>Với CTE nặng (đọc nhiều bảng Silver) bị tham chiếu từ 2 chỗ trở lên: gom lại còn một lần dùng, hoặc vật chất hóa (CACHE / bảng tạm). CTE nhẹ chỉ chứa tham số thì bỏ qua được — tự tick Pass.</t>
        </is>
      </c>
      <c r="J1006" s="48" t="inlineStr">
        <is>
          <t>068. OCB_GOLD_TCKH_FTP_RATE_LIST_HIST_PHAT.xlsx [Script: FTP_RATE_LIST_HIST]</t>
        </is>
      </c>
    </row>
    <row r="1007">
      <c r="A1007" s="48" t="inlineStr">
        <is>
          <t>TCKH.FTP_RATE_LIST_HIST</t>
        </is>
      </c>
      <c r="B1007" s="48" t="inlineStr">
        <is>
          <t>GOLD_DERIVED</t>
        </is>
      </c>
      <c r="C1007" s="48" t="inlineStr">
        <is>
          <t>3.3</t>
        </is>
      </c>
      <c r="D1007" s="48" t="inlineStr">
        <is>
          <t>Nhom 3 - Optimization</t>
        </is>
      </c>
      <c r="E1007" s="48" t="inlineStr">
        <is>
          <t>Filter trước khi join, tận dụng partition pruning</t>
        </is>
      </c>
      <c r="F1007" s="49" t="inlineStr">
        <is>
          <t>PASS</t>
        </is>
      </c>
      <c r="G1007" s="48" t="inlineStr">
        <is>
          <t>Pass</t>
        </is>
      </c>
      <c r="H1007" s="50" t="inlineStr">
        <is>
          <t>các bảng join đều được filter trước</t>
        </is>
      </c>
      <c r="I1007" s="50" t="inlineStr">
        <is>
          <t>Đưa điều kiện lọc (ngày dữ liệu, trạng thái) vào subquery của từng bảng TRƯỚC khi join, để tận dụng partition pruning. Bảng dim nhỏ không partition thì không cần — tự tick Pass.</t>
        </is>
      </c>
      <c r="J1007" s="48" t="inlineStr">
        <is>
          <t>068. OCB_GOLD_TCKH_FTP_RATE_LIST_HIST_PHAT.xlsx [Script: FTP_RATE_LIST_HIST]</t>
        </is>
      </c>
    </row>
    <row r="1008">
      <c r="A1008" s="48" t="inlineStr">
        <is>
          <t>TCKH.FTP_RATE_LIST_HIST</t>
        </is>
      </c>
      <c r="B1008" s="48" t="inlineStr">
        <is>
          <t>GOLD_DERIVED</t>
        </is>
      </c>
      <c r="C1008" s="48" t="inlineStr">
        <is>
          <t>3.4</t>
        </is>
      </c>
      <c r="D1008" s="48" t="inlineStr">
        <is>
          <t>Nhom 3 - Optimization</t>
        </is>
      </c>
      <c r="E1008" s="48" t="inlineStr">
        <is>
          <t>Sử dụng CACHE cho query lặp lại trong cùng luồng</t>
        </is>
      </c>
      <c r="F1008" s="48" t="inlineStr">
        <is>
          <t>N-A</t>
        </is>
      </c>
      <c r="G1008" s="48" t="inlineStr">
        <is>
          <t>Pass</t>
        </is>
      </c>
      <c r="H1008" s="50" t="inlineStr">
        <is>
          <t>không có kết quả nào được dùng lại nhiều lần nên chưa cần CACHE</t>
        </is>
      </c>
      <c r="I1008" s="50" t="inlineStr">
        <is>
          <t>Nếu một kết quả nặng được dùng lại nhiều bước trong cùng luồng, thêm CACHE TABLE / CACHE SELECT. Kết quả nhỏ thì cache còn chậm hơn — tự tick Pass.</t>
        </is>
      </c>
      <c r="J1008" s="48" t="inlineStr">
        <is>
          <t>068. OCB_GOLD_TCKH_FTP_RATE_LIST_HIST_PHAT.xlsx [Script: FTP_RATE_LIST_HIST]</t>
        </is>
      </c>
    </row>
    <row r="1009">
      <c r="A1009" s="48" t="inlineStr">
        <is>
          <t>TCKH.FTP_RATE_LIST_HIST</t>
        </is>
      </c>
      <c r="B1009" s="48" t="inlineStr">
        <is>
          <t>GOLD_DERIVED</t>
        </is>
      </c>
      <c r="C1009" s="48" t="inlineStr">
        <is>
          <t>3.5</t>
        </is>
      </c>
      <c r="D1009" s="48" t="inlineStr">
        <is>
          <t>Nhom 3 - Optimization</t>
        </is>
      </c>
      <c r="E1009" s="48" t="inlineStr">
        <is>
          <t>Ưu tiên MAX_BY + QUALIFY thay ROW_NUMBER() + WHERE rn = 1</t>
        </is>
      </c>
      <c r="F1009" s="48" t="inlineStr">
        <is>
          <t>N-A</t>
        </is>
      </c>
      <c r="G1009" s="48" t="inlineStr">
        <is>
          <t>Pass</t>
        </is>
      </c>
      <c r="H1009" s="50" t="inlineStr">
        <is>
          <t>script không dùng ROW_NUMBER</t>
        </is>
      </c>
      <c r="I1009"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09" s="48" t="inlineStr">
        <is>
          <t>068. OCB_GOLD_TCKH_FTP_RATE_LIST_HIST_PHAT.xlsx [Script: FTP_RATE_LIST_HIST]</t>
        </is>
      </c>
    </row>
    <row r="1010">
      <c r="A1010" s="48" t="inlineStr">
        <is>
          <t>TCKH.FTP_RATE_LIST_HIST</t>
        </is>
      </c>
      <c r="B1010" s="48" t="inlineStr">
        <is>
          <t>GOLD_DERIVED</t>
        </is>
      </c>
      <c r="C1010" s="48" t="inlineStr">
        <is>
          <t>3.6</t>
        </is>
      </c>
      <c r="D1010" s="48" t="inlineStr">
        <is>
          <t>Nhom 3 - Optimization</t>
        </is>
      </c>
      <c r="E1010" s="48" t="inlineStr">
        <is>
          <t>Không lạm dụng window function; có comment khi dùng</t>
        </is>
      </c>
      <c r="F1010" s="48" t="inlineStr">
        <is>
          <t>N-A</t>
        </is>
      </c>
      <c r="G1010" s="48" t="inlineStr">
        <is>
          <t>Pass</t>
        </is>
      </c>
      <c r="H1010" s="50" t="inlineStr">
        <is>
          <t>script không dùng window function</t>
        </is>
      </c>
      <c r="I1010" s="50" t="inlineStr">
        <is>
          <t>Mỗi window function cần một comment ngay trên khối CTE chứa nó, nói rõ vì sao không dùng được max_by/QUALIFY đơn giản hơn.</t>
        </is>
      </c>
      <c r="J1010" s="48" t="inlineStr">
        <is>
          <t>068. OCB_GOLD_TCKH_FTP_RATE_LIST_HIST_PHAT.xlsx [Script: FTP_RATE_LIST_HIST]</t>
        </is>
      </c>
    </row>
    <row r="1011">
      <c r="A1011" s="48" t="inlineStr">
        <is>
          <t>TCKH.FTP_RATE_LIST_HIST</t>
        </is>
      </c>
      <c r="B1011" s="48" t="inlineStr">
        <is>
          <t>GOLD_DERIVED</t>
        </is>
      </c>
      <c r="C1011" s="48" t="inlineStr">
        <is>
          <t>X.1</t>
        </is>
      </c>
      <c r="D1011" s="48" t="inlineStr">
        <is>
          <t>Nhom X - Bo sung Raffles</t>
        </is>
      </c>
      <c r="E1011" s="48" t="inlineStr">
        <is>
          <t>[Bổ sung] Link phải rút về current trước khi join (chống fan-out)</t>
        </is>
      </c>
      <c r="F1011" s="48" t="inlineStr">
        <is>
          <t>N-A</t>
        </is>
      </c>
      <c r="G1011" s="48" t="inlineStr">
        <is>
          <t>Pass</t>
        </is>
      </c>
      <c r="H1011" s="50" t="inlineStr">
        <is>
          <t>khong ap dung cho profile GOLD_DERIVED</t>
        </is>
      </c>
      <c r="I1011"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11" s="48" t="inlineStr">
        <is>
          <t>068. OCB_GOLD_TCKH_FTP_RATE_LIST_HIST_PHAT.xlsx [Script: FTP_RATE_LIST_HIST]</t>
        </is>
      </c>
    </row>
    <row r="1012">
      <c r="A1012" s="48" t="inlineStr">
        <is>
          <t>TCKH.FTP_RATE_LIST_HIST</t>
        </is>
      </c>
      <c r="B1012" s="48" t="inlineStr">
        <is>
          <t>GOLD_DERIVED</t>
        </is>
      </c>
      <c r="C1012" s="48" t="inlineStr">
        <is>
          <t>X.6</t>
        </is>
      </c>
      <c r="D1012" s="48" t="inlineStr">
        <is>
          <t>Nhom X - Bo sung Raffles</t>
        </is>
      </c>
      <c r="E1012" s="48" t="inlineStr">
        <is>
          <t>[Bổ sung] Satellite phải LEFT JOIN, không INNER JOIN</t>
        </is>
      </c>
      <c r="F1012" s="48" t="inlineStr">
        <is>
          <t>N-A</t>
        </is>
      </c>
      <c r="G1012" s="48" t="inlineStr">
        <is>
          <t>Pass</t>
        </is>
      </c>
      <c r="H1012" s="50" t="inlineStr">
        <is>
          <t>khong ap dung cho profile GOLD_DERIVED</t>
        </is>
      </c>
      <c r="I1012" s="50" t="inlineStr">
        <is>
          <t>Technical Document III.4.2.2 nguyên tắc 1: làm giàu thuộc tính luôn dùng LEFT JOIN. INNER JOIN satellite sẽ loại mất bản ghi Hub đang còn hiệu lực nhưng chưa có dòng satellite.</t>
        </is>
      </c>
      <c r="J1012" s="48" t="inlineStr">
        <is>
          <t>068. OCB_GOLD_TCKH_FTP_RATE_LIST_HIST_PHAT.xlsx [Script: FTP_RATE_LIST_HIST]</t>
        </is>
      </c>
    </row>
    <row r="1013">
      <c r="A1013" s="48" t="inlineStr">
        <is>
          <t>TCKH.FTP_RATE_LIST_HIST</t>
        </is>
      </c>
      <c r="B1013" s="48" t="inlineStr">
        <is>
          <t>GOLD_DERIVED</t>
        </is>
      </c>
      <c r="C1013" s="48" t="inlineStr">
        <is>
          <t>X.7</t>
        </is>
      </c>
      <c r="D1013" s="48" t="inlineStr">
        <is>
          <t>Nhom X - Bo sung Raffles</t>
        </is>
      </c>
      <c r="E1013" s="48" t="inlineStr">
        <is>
          <t>[Bổ sung] Không hard-code catalog, dùng biến môi trường</t>
        </is>
      </c>
      <c r="F1013" s="49" t="inlineStr">
        <is>
          <t>PASS</t>
        </is>
      </c>
      <c r="G1013" s="48" t="inlineStr">
        <is>
          <t>Pass</t>
        </is>
      </c>
      <c r="H1013" s="50" t="inlineStr">
        <is>
          <t>dùng biến môi trường cho catalog</t>
        </is>
      </c>
      <c r="I1013"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13" s="48" t="inlineStr">
        <is>
          <t>068. OCB_GOLD_TCKH_FTP_RATE_LIST_HIST_PHAT.xlsx [Script: FTP_RATE_LIST_HIST]</t>
        </is>
      </c>
    </row>
    <row r="1014">
      <c r="A1014" s="48" t="inlineStr">
        <is>
          <t>TCKH.GL_ACCT_DIM</t>
        </is>
      </c>
      <c r="B1014" s="48" t="inlineStr">
        <is>
          <t>SILVER_CONSUMER</t>
        </is>
      </c>
      <c r="C1014" s="48" t="inlineStr">
        <is>
          <t>1.1</t>
        </is>
      </c>
      <c r="D1014" s="48" t="inlineStr">
        <is>
          <t>Nhom 1 - Mapping</t>
        </is>
      </c>
      <c r="E1014" s="48" t="inlineStr">
        <is>
          <t>Đầy đủ mapping từ Silver/manual sang Gold</t>
        </is>
      </c>
      <c r="F1014" s="49" t="inlineStr">
        <is>
          <t>PASS</t>
        </is>
      </c>
      <c r="G1014" s="48" t="inlineStr">
        <is>
          <t>Pass</t>
        </is>
      </c>
      <c r="H1014" s="50" t="inlineStr">
        <is>
          <t>workbook 058. OCB_GOLD_TCKH_V_SBV_1.xlsx: thiết kế 3 field, SQL có 3 cột</t>
        </is>
      </c>
      <c r="I1014"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14" s="48" t="inlineStr">
        <is>
          <t>069. OCB_GOLD_TCKH_GL_ACCT_DIM_BAOANH.xlsx [SCRIPT: GL_ACCT_DIM]</t>
        </is>
      </c>
    </row>
    <row r="1015">
      <c r="A1015" s="48" t="inlineStr">
        <is>
          <t>TCKH.GL_ACCT_DIM</t>
        </is>
      </c>
      <c r="B1015" s="48" t="inlineStr">
        <is>
          <t>SILVER_CONSUMER</t>
        </is>
      </c>
      <c r="C1015" s="48" t="inlineStr">
        <is>
          <t>1.2</t>
        </is>
      </c>
      <c r="D1015" s="48" t="inlineStr">
        <is>
          <t>Nhom 1 - Mapping</t>
        </is>
      </c>
      <c r="E1015" s="48" t="inlineStr">
        <is>
          <t>Danh sách bảng/view Gold khớp tài liệu thiết kế đã duyệt</t>
        </is>
      </c>
      <c r="F1015" s="49" t="inlineStr">
        <is>
          <t>PASS</t>
        </is>
      </c>
      <c r="G1015" s="48" t="inlineStr">
        <is>
          <t>Pass</t>
        </is>
      </c>
      <c r="H1015" s="50" t="inlineStr">
        <is>
          <t>GL_ACCT_DIM có workbook thiết kế: 058. OCB_GOLD_TCKH_V_SBV_1.xlsx</t>
        </is>
      </c>
      <c r="I1015" s="50" t="inlineStr">
        <is>
          <t>Đảm bảo object có workbook thiết kế tương ứng trong thư mục --mapping-dir. Muốn đối chiếu với danh sách đã duyệt thì chạy thêm tham số --gold-list "&lt;file danh sách Gold&gt;.xlsx".</t>
        </is>
      </c>
      <c r="J1015" s="48" t="inlineStr">
        <is>
          <t>069. OCB_GOLD_TCKH_GL_ACCT_DIM_BAOANH.xlsx [SCRIPT: GL_ACCT_DIM]</t>
        </is>
      </c>
    </row>
    <row r="1016">
      <c r="A1016" s="48" t="inlineStr">
        <is>
          <t>TCKH.GL_ACCT_DIM</t>
        </is>
      </c>
      <c r="B1016" s="48" t="inlineStr">
        <is>
          <t>SILVER_CONSUMER</t>
        </is>
      </c>
      <c r="C1016" s="48" t="inlineStr">
        <is>
          <t>2.1</t>
        </is>
      </c>
      <c r="D1016" s="48" t="inlineStr">
        <is>
          <t>Nhom 2 - Logic</t>
        </is>
      </c>
      <c r="E1016" s="48" t="inlineStr">
        <is>
          <t>Chỉ lấy bản ghi active, loại bản ghi đã xóa (qua sts_hub)</t>
        </is>
      </c>
      <c r="F1016" s="48" t="inlineStr">
        <is>
          <t>N-A</t>
        </is>
      </c>
      <c r="G1016" s="48" t="inlineStr">
        <is>
          <t>Pass</t>
        </is>
      </c>
      <c r="H1016" s="50" t="inlineStr">
        <is>
          <t>script không đọc sts_hub/satellite nào nên không có bản ghi xóa để lọc</t>
        </is>
      </c>
      <c r="I1016"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16" s="48" t="inlineStr">
        <is>
          <t>069. OCB_GOLD_TCKH_GL_ACCT_DIM_BAOANH.xlsx [SCRIPT: GL_ACCT_DIM]</t>
        </is>
      </c>
    </row>
    <row r="1017">
      <c r="A1017" s="48" t="inlineStr">
        <is>
          <t>TCKH.GL_ACCT_DIM</t>
        </is>
      </c>
      <c r="B1017" s="48" t="inlineStr">
        <is>
          <t>SILVER_CONSUMER</t>
        </is>
      </c>
      <c r="C1017" s="48" t="inlineStr">
        <is>
          <t>2.2</t>
        </is>
      </c>
      <c r="D1017" s="48" t="inlineStr">
        <is>
          <t>Nhom 2 - Logic</t>
        </is>
      </c>
      <c r="E1017" s="48" t="inlineStr">
        <is>
          <t>Thống nhất MỘT pattern duy nhất xác định bản ghi active mới nhất</t>
        </is>
      </c>
      <c r="F1017" s="48" t="inlineStr">
        <is>
          <t>N-A</t>
        </is>
      </c>
      <c r="G1017" s="48" t="inlineStr">
        <is>
          <t>Pass</t>
        </is>
      </c>
      <c r="H1017" s="50" t="inlineStr">
        <is>
          <t>script không có bước lấy bản ghi mới nhất từ satellite</t>
        </is>
      </c>
      <c r="I1017"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17" s="48" t="inlineStr">
        <is>
          <t>069. OCB_GOLD_TCKH_GL_ACCT_DIM_BAOANH.xlsx [SCRIPT: GL_ACCT_DIM]</t>
        </is>
      </c>
    </row>
    <row r="1018">
      <c r="A1018" s="48" t="inlineStr">
        <is>
          <t>TCKH.GL_ACCT_DIM</t>
        </is>
      </c>
      <c r="B1018" s="48" t="inlineStr">
        <is>
          <t>SILVER_CONSUMER</t>
        </is>
      </c>
      <c r="C1018" s="48" t="inlineStr">
        <is>
          <t>2.3</t>
        </is>
      </c>
      <c r="D1018" s="48" t="inlineStr">
        <is>
          <t>Nhom 2 - Logic</t>
        </is>
      </c>
      <c r="E1018" s="48" t="inlineStr">
        <is>
          <t>Điều kiện lọc trạng thái đặt SAU khi xác định bản ghi mới nhất</t>
        </is>
      </c>
      <c r="F1018" s="49" t="inlineStr">
        <is>
          <t>PASS</t>
        </is>
      </c>
      <c r="G1018" s="48" t="inlineStr">
        <is>
          <t>Pass</t>
        </is>
      </c>
      <c r="H1018" s="50" t="inlineStr">
        <is>
          <t>không có điều kiện trạng thái nào lồng trong JOIN ON</t>
        </is>
      </c>
      <c r="I1018"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18" s="48" t="inlineStr">
        <is>
          <t>069. OCB_GOLD_TCKH_GL_ACCT_DIM_BAOANH.xlsx [SCRIPT: GL_ACCT_DIM]</t>
        </is>
      </c>
    </row>
    <row r="1019">
      <c r="A1019" s="48" t="inlineStr">
        <is>
          <t>TCKH.GL_ACCT_DIM</t>
        </is>
      </c>
      <c r="B1019" s="48" t="inlineStr">
        <is>
          <t>SILVER_CONSUMER</t>
        </is>
      </c>
      <c r="C1019" s="48" t="inlineStr">
        <is>
          <t>2.4</t>
        </is>
      </c>
      <c r="D1019" s="48" t="inlineStr">
        <is>
          <t>Nhom 2 - Logic</t>
        </is>
      </c>
      <c r="E1019" s="48" t="inlineStr">
        <is>
          <t>source_event_date áp dụng đúng dạng theo loại bảng</t>
        </is>
      </c>
      <c r="F1019" s="48" t="inlineStr">
        <is>
          <t>N-A</t>
        </is>
      </c>
      <c r="G1019" s="48" t="inlineStr">
        <is>
          <t>Pass</t>
        </is>
      </c>
      <c r="H1019" s="50" t="inlineStr">
        <is>
          <t>script không đọc satellite nào</t>
        </is>
      </c>
      <c r="I1019"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19" s="48" t="inlineStr">
        <is>
          <t>069. OCB_GOLD_TCKH_GL_ACCT_DIM_BAOANH.xlsx [SCRIPT: GL_ACCT_DIM]</t>
        </is>
      </c>
    </row>
    <row r="1020">
      <c r="A1020" s="48" t="inlineStr">
        <is>
          <t>TCKH.GL_ACCT_DIM</t>
        </is>
      </c>
      <c r="B1020" s="48" t="inlineStr">
        <is>
          <t>SILVER_CONSUMER</t>
        </is>
      </c>
      <c r="C1020" s="48" t="inlineStr">
        <is>
          <t>2.5</t>
        </is>
      </c>
      <c r="D1020" s="48" t="inlineStr">
        <is>
          <t>Nhom 2 - Logic</t>
        </is>
      </c>
      <c r="E1020" s="48" t="inlineStr">
        <is>
          <t>Không lặp lại lỗi logic cũ đã được DA Data Vault fix</t>
        </is>
      </c>
      <c r="F1020" s="49" t="inlineStr">
        <is>
          <t>PASS</t>
        </is>
      </c>
      <c r="G1020" s="48" t="inlineStr">
        <is>
          <t>Pass</t>
        </is>
      </c>
      <c r="H1020" s="50" t="inlineStr">
        <is>
          <t>không trùng lỗi nào trong Issue log của DA Data Vault</t>
        </is>
      </c>
      <c r="I1020"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20" s="48" t="inlineStr">
        <is>
          <t>069. OCB_GOLD_TCKH_GL_ACCT_DIM_BAOANH.xlsx [SCRIPT: GL_ACCT_DIM]</t>
        </is>
      </c>
    </row>
    <row r="1021">
      <c r="A1021" s="48" t="inlineStr">
        <is>
          <t>TCKH.GL_ACCT_DIM</t>
        </is>
      </c>
      <c r="B1021" s="48" t="inlineStr">
        <is>
          <t>SILVER_CONSUMER</t>
        </is>
      </c>
      <c r="C1021" s="48" t="inlineStr">
        <is>
          <t>2.6</t>
        </is>
      </c>
      <c r="D1021" s="48" t="inlineStr">
        <is>
          <t>Nhom 2 - Logic</t>
        </is>
      </c>
      <c r="E1021" s="48" t="inlineStr">
        <is>
          <t>SCD Type 2 cho bảng DIM áp dụng đúng kỹ thuật đã thống nhất</t>
        </is>
      </c>
      <c r="F1021" s="52" t="inlineStr">
        <is>
          <t>FAIL</t>
        </is>
      </c>
      <c r="G1021" s="48" t="inlineStr">
        <is>
          <t>Fail</t>
        </is>
      </c>
      <c r="H1021" s="50" t="inlineStr">
        <is>
          <t>không dùng APPLY CHANGES ... SCD TYPE 2 và cũng không có cột effective_date/end_date/current_flag để tự quản hiệu lực</t>
        </is>
      </c>
      <c r="I1021"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21" s="48" t="inlineStr">
        <is>
          <t>069. OCB_GOLD_TCKH_GL_ACCT_DIM_BAOANH.xlsx [SCRIPT: GL_ACCT_DIM]</t>
        </is>
      </c>
    </row>
    <row r="1022">
      <c r="A1022" s="48" t="inlineStr">
        <is>
          <t>TCKH.GL_ACCT_DIM</t>
        </is>
      </c>
      <c r="B1022" s="48" t="inlineStr">
        <is>
          <t>SILVER_CONSUMER</t>
        </is>
      </c>
      <c r="C1022" s="48" t="inlineStr">
        <is>
          <t>2.7</t>
        </is>
      </c>
      <c r="D1022" s="48" t="inlineStr">
        <is>
          <t>Nhom 2 - Logic</t>
        </is>
      </c>
      <c r="E1022" s="48" t="inlineStr">
        <is>
          <t>CASE WHEN cover đủ nhánh như job on-prem</t>
        </is>
      </c>
      <c r="F1022" s="48" t="inlineStr">
        <is>
          <t>N-A</t>
        </is>
      </c>
      <c r="G1022" s="48" t="inlineStr">
        <is>
          <t>Pass</t>
        </is>
      </c>
      <c r="H1022" s="50" t="inlineStr">
        <is>
          <t>script không có CASE WHEN nào</t>
        </is>
      </c>
      <c r="I1022" s="50" t="inlineStr">
        <is>
          <t>Mở job on-prem tương ứng (DataStage DSX hoặc SQL cũ), đối chiếu từng nhánh WHEN và cả nhánh ELSE. CASE không có ELSE sẽ trả NULL âm thầm — xác nhận đó là ý muốn hay thiếu nhánh.</t>
        </is>
      </c>
      <c r="J1022" s="48" t="inlineStr">
        <is>
          <t>069. OCB_GOLD_TCKH_GL_ACCT_DIM_BAOANH.xlsx [SCRIPT: GL_ACCT_DIM]</t>
        </is>
      </c>
    </row>
    <row r="1023">
      <c r="A1023" s="48" t="inlineStr">
        <is>
          <t>TCKH.GL_ACCT_DIM</t>
        </is>
      </c>
      <c r="B1023" s="48" t="inlineStr">
        <is>
          <t>SILVER_CONSUMER</t>
        </is>
      </c>
      <c r="C1023" s="48" t="inlineStr">
        <is>
          <t>2.8</t>
        </is>
      </c>
      <c r="D1023" s="48" t="inlineStr">
        <is>
          <t>Nhom 2 - Logic</t>
        </is>
      </c>
      <c r="E1023" s="48" t="inlineStr">
        <is>
          <t>Cột SUM/COUNT được COALESCE/NVL hợp lý</t>
        </is>
      </c>
      <c r="F1023" s="49" t="inlineStr">
        <is>
          <t>PASS</t>
        </is>
      </c>
      <c r="G1023" s="48" t="inlineStr">
        <is>
          <t>Pass</t>
        </is>
      </c>
      <c r="H1023" s="50" t="inlineStr">
        <is>
          <t>mọi SUM/COUNT đều đã coalesce (trực tiếp hoặc ở lớp ngoài)</t>
        </is>
      </c>
      <c r="I1023"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23" s="48" t="inlineStr">
        <is>
          <t>069. OCB_GOLD_TCKH_GL_ACCT_DIM_BAOANH.xlsx [SCRIPT: GL_ACCT_DIM]</t>
        </is>
      </c>
    </row>
    <row r="1024">
      <c r="A1024" s="48" t="inlineStr">
        <is>
          <t>TCKH.GL_ACCT_DIM</t>
        </is>
      </c>
      <c r="B1024" s="48" t="inlineStr">
        <is>
          <t>SILVER_CONSUMER</t>
        </is>
      </c>
      <c r="C1024" s="48" t="inlineStr">
        <is>
          <t>2.9</t>
        </is>
      </c>
      <c r="D1024" s="48" t="inlineStr">
        <is>
          <t>Nhom 2 - Logic</t>
        </is>
      </c>
      <c r="E1024" s="48" t="inlineStr">
        <is>
          <t>Subquery / custom function / điều kiện LIKE đúng ý nghĩa nghiệp vụ</t>
        </is>
      </c>
      <c r="F1024" s="48" t="inlineStr">
        <is>
          <t>N-A</t>
        </is>
      </c>
      <c r="G1024" s="48" t="inlineStr">
        <is>
          <t>Pass</t>
        </is>
      </c>
      <c r="H1024" s="50" t="inlineStr">
        <is>
          <t>script không có điều kiện LIKE hay scalar subquery nào</t>
        </is>
      </c>
      <c r="I1024" s="50" t="inlineStr">
        <is>
          <t>Đọc lại từng điều kiện LIKE và từng subquery, đối chiếu ý nghĩa nghiệp vụ với on-prem — đúng cú pháp không đủ. Chú ý pattern LIKE có ký tự % ở đầu/cuối và phân biệt chữ hoa/thường.</t>
        </is>
      </c>
      <c r="J1024" s="48" t="inlineStr">
        <is>
          <t>069. OCB_GOLD_TCKH_GL_ACCT_DIM_BAOANH.xlsx [SCRIPT: GL_ACCT_DIM]</t>
        </is>
      </c>
    </row>
    <row r="1025">
      <c r="A1025" s="48" t="inlineStr">
        <is>
          <t>TCKH.GL_ACCT_DIM</t>
        </is>
      </c>
      <c r="B1025" s="48" t="inlineStr">
        <is>
          <t>SILVER_CONSUMER</t>
        </is>
      </c>
      <c r="C1025" s="48" t="inlineStr">
        <is>
          <t>2.10</t>
        </is>
      </c>
      <c r="D1025" s="48" t="inlineStr">
        <is>
          <t>Nhom 2 - Logic</t>
        </is>
      </c>
      <c r="E1025" s="48" t="inlineStr">
        <is>
          <t>Aggregation kèm filter date range chính xác</t>
        </is>
      </c>
      <c r="F1025" s="49" t="inlineStr">
        <is>
          <t>PASS</t>
        </is>
      </c>
      <c r="G1025" s="48" t="inlineStr">
        <is>
          <t>Pass</t>
        </is>
      </c>
      <c r="H1025" s="50" t="inlineStr">
        <is>
          <t>mọi khối tổng hợp đều có điều kiện theo kỳ dữ liệu</t>
        </is>
      </c>
      <c r="I1025" s="50" t="inlineStr">
        <is>
          <t>Mỗi khối SUM/COUNT/AVG phải có điều kiện lọc theo kỳ dữ liệu (CDR_DT_ID, DATA_DATE, :DATADT…). Nếu điều kiện nằm ở CTE nguồn thì ghi rõ trong comment để người review không phải truy ngược.</t>
        </is>
      </c>
      <c r="J1025" s="48" t="inlineStr">
        <is>
          <t>069. OCB_GOLD_TCKH_GL_ACCT_DIM_BAOANH.xlsx [SCRIPT: GL_ACCT_DIM]</t>
        </is>
      </c>
    </row>
    <row r="1026">
      <c r="A1026" s="48" t="inlineStr">
        <is>
          <t>TCKH.GL_ACCT_DIM</t>
        </is>
      </c>
      <c r="B1026" s="48" t="inlineStr">
        <is>
          <t>SILVER_CONSUMER</t>
        </is>
      </c>
      <c r="C1026" s="48" t="inlineStr">
        <is>
          <t>2.11</t>
        </is>
      </c>
      <c r="D1026" s="48" t="inlineStr">
        <is>
          <t>Nhom 2 - Logic</t>
        </is>
      </c>
      <c r="E1026" s="48" t="inlineStr">
        <is>
          <t>Join dùng key hợp lý, không lạm dụng UNION ALL + EXISTS/NOT EXISTS</t>
        </is>
      </c>
      <c r="F1026" s="49" t="inlineStr">
        <is>
          <t>PASS</t>
        </is>
      </c>
      <c r="G1026" s="48" t="inlineStr">
        <is>
          <t>Pass</t>
        </is>
      </c>
      <c r="H1026" s="50" t="inlineStr">
        <is>
          <t>join đều theo điều kiện bằng, không lạm dụng UNION ALL + EXISTS</t>
        </is>
      </c>
      <c r="I1026" s="50" t="inlineStr">
        <is>
          <t>Ưu tiên LEFT JOIN theo business key hoặc hashkey. Xem lại các chỗ dùng UNION ALL kết hợp EXISTS/NOT EXISTS — thường thay được bằng một LEFT JOIN. Join không có điều kiện bằng (=) dễ tạo tích Descartes.</t>
        </is>
      </c>
      <c r="J1026" s="48" t="inlineStr">
        <is>
          <t>069. OCB_GOLD_TCKH_GL_ACCT_DIM_BAOANH.xlsx [SCRIPT: GL_ACCT_DIM]</t>
        </is>
      </c>
    </row>
    <row r="1027">
      <c r="A1027" s="48" t="inlineStr">
        <is>
          <t>TCKH.GL_ACCT_DIM</t>
        </is>
      </c>
      <c r="B1027" s="48" t="inlineStr">
        <is>
          <t>SILVER_CONSUMER</t>
        </is>
      </c>
      <c r="C1027" s="48" t="inlineStr">
        <is>
          <t>2.12</t>
        </is>
      </c>
      <c r="D1027" s="48" t="inlineStr">
        <is>
          <t>Nhom 2 - Logic</t>
        </is>
      </c>
      <c r="E1027" s="48" t="inlineStr">
        <is>
          <t>Build Gold từ CTE snapshot Silver, không build nhiều tầng chồng chéo</t>
        </is>
      </c>
      <c r="F1027" s="49" t="inlineStr">
        <is>
          <t>PASS</t>
        </is>
      </c>
      <c r="G1027" s="48" t="inlineStr">
        <is>
          <t>Pass</t>
        </is>
      </c>
      <c r="H1027" s="50" t="inlineStr">
        <is>
          <t>mỗi bảng nguồn chỉ đọc trong 1 khối SELECT</t>
        </is>
      </c>
      <c r="I1027"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27" s="48" t="inlineStr">
        <is>
          <t>069. OCB_GOLD_TCKH_GL_ACCT_DIM_BAOANH.xlsx [SCRIPT: GL_ACCT_DIM]</t>
        </is>
      </c>
    </row>
    <row r="1028">
      <c r="A1028" s="48" t="inlineStr">
        <is>
          <t>TCKH.GL_ACCT_DIM</t>
        </is>
      </c>
      <c r="B1028" s="48" t="inlineStr">
        <is>
          <t>SILVER_CONSUMER</t>
        </is>
      </c>
      <c r="C1028" s="48" t="inlineStr">
        <is>
          <t>3.1</t>
        </is>
      </c>
      <c r="D1028" s="48" t="inlineStr">
        <is>
          <t>Nhom 3 - Optimization</t>
        </is>
      </c>
      <c r="E1028" s="48" t="inlineStr">
        <is>
          <t>Không SELECT *</t>
        </is>
      </c>
      <c r="F1028" s="49" t="inlineStr">
        <is>
          <t>PASS</t>
        </is>
      </c>
      <c r="G1028" s="48" t="inlineStr">
        <is>
          <t>Pass</t>
        </is>
      </c>
      <c r="H1028" s="50" t="inlineStr">
        <is>
          <t>không dùng SELECT * ở đâu</t>
        </is>
      </c>
      <c r="I1028" s="50" t="inlineStr">
        <is>
          <t>Liệt kê tường minh các cột cần dùng, kể cả trong CTE trung gian. SELECT * làm tăng IO/memory và vỡ script khi bảng nguồn thêm cột.</t>
        </is>
      </c>
      <c r="J1028" s="48" t="inlineStr">
        <is>
          <t>069. OCB_GOLD_TCKH_GL_ACCT_DIM_BAOANH.xlsx [SCRIPT: GL_ACCT_DIM]</t>
        </is>
      </c>
    </row>
    <row r="1029">
      <c r="A1029" s="48" t="inlineStr">
        <is>
          <t>TCKH.GL_ACCT_DIM</t>
        </is>
      </c>
      <c r="B1029" s="48" t="inlineStr">
        <is>
          <t>SILVER_CONSUMER</t>
        </is>
      </c>
      <c r="C1029" s="48" t="inlineStr">
        <is>
          <t>3.2</t>
        </is>
      </c>
      <c r="D1029" s="48" t="inlineStr">
        <is>
          <t>Nhom 3 - Optimization</t>
        </is>
      </c>
      <c r="E1029" s="48" t="inlineStr">
        <is>
          <t>CTE không bị scan lại nhiều lần</t>
        </is>
      </c>
      <c r="F1029" s="49" t="inlineStr">
        <is>
          <t>PASS</t>
        </is>
      </c>
      <c r="G1029" s="48" t="inlineStr">
        <is>
          <t>Pass</t>
        </is>
      </c>
      <c r="H1029" s="50" t="inlineStr">
        <is>
          <t>không có CTE nào bị gọi lại</t>
        </is>
      </c>
      <c r="I1029" s="50" t="inlineStr">
        <is>
          <t>Với CTE nặng (đọc nhiều bảng Silver) bị tham chiếu từ 2 chỗ trở lên: gom lại còn một lần dùng, hoặc vật chất hóa (CACHE / bảng tạm). CTE nhẹ chỉ chứa tham số thì bỏ qua được — tự tick Pass.</t>
        </is>
      </c>
      <c r="J1029" s="48" t="inlineStr">
        <is>
          <t>069. OCB_GOLD_TCKH_GL_ACCT_DIM_BAOANH.xlsx [SCRIPT: GL_ACCT_DIM]</t>
        </is>
      </c>
    </row>
    <row r="1030">
      <c r="A1030" s="48" t="inlineStr">
        <is>
          <t>TCKH.GL_ACCT_DIM</t>
        </is>
      </c>
      <c r="B1030" s="48" t="inlineStr">
        <is>
          <t>SILVER_CONSUMER</t>
        </is>
      </c>
      <c r="C1030" s="48" t="inlineStr">
        <is>
          <t>3.3</t>
        </is>
      </c>
      <c r="D1030" s="48" t="inlineStr">
        <is>
          <t>Nhom 3 - Optimization</t>
        </is>
      </c>
      <c r="E1030" s="48" t="inlineStr">
        <is>
          <t>Filter trước khi join, tận dụng partition pruning</t>
        </is>
      </c>
      <c r="F1030" s="49" t="inlineStr">
        <is>
          <t>PASS</t>
        </is>
      </c>
      <c r="G1030" s="48" t="inlineStr">
        <is>
          <t>Pass</t>
        </is>
      </c>
      <c r="H1030" s="50" t="inlineStr">
        <is>
          <t>các bảng join đều được filter trước</t>
        </is>
      </c>
      <c r="I1030" s="50" t="inlineStr">
        <is>
          <t>Đưa điều kiện lọc (ngày dữ liệu, trạng thái) vào subquery của từng bảng TRƯỚC khi join, để tận dụng partition pruning. Bảng dim nhỏ không partition thì không cần — tự tick Pass.</t>
        </is>
      </c>
      <c r="J1030" s="48" t="inlineStr">
        <is>
          <t>069. OCB_GOLD_TCKH_GL_ACCT_DIM_BAOANH.xlsx [SCRIPT: GL_ACCT_DIM]</t>
        </is>
      </c>
    </row>
    <row r="1031">
      <c r="A1031" s="48" t="inlineStr">
        <is>
          <t>TCKH.GL_ACCT_DIM</t>
        </is>
      </c>
      <c r="B1031" s="48" t="inlineStr">
        <is>
          <t>SILVER_CONSUMER</t>
        </is>
      </c>
      <c r="C1031" s="48" t="inlineStr">
        <is>
          <t>3.4</t>
        </is>
      </c>
      <c r="D1031" s="48" t="inlineStr">
        <is>
          <t>Nhom 3 - Optimization</t>
        </is>
      </c>
      <c r="E1031" s="48" t="inlineStr">
        <is>
          <t>Sử dụng CACHE cho query lặp lại trong cùng luồng</t>
        </is>
      </c>
      <c r="F1031" s="48" t="inlineStr">
        <is>
          <t>N-A</t>
        </is>
      </c>
      <c r="G1031" s="48" t="inlineStr">
        <is>
          <t>Pass</t>
        </is>
      </c>
      <c r="H1031" s="50" t="inlineStr">
        <is>
          <t>không có kết quả nào được dùng lại nhiều lần nên chưa cần CACHE</t>
        </is>
      </c>
      <c r="I1031" s="50" t="inlineStr">
        <is>
          <t>Nếu một kết quả nặng được dùng lại nhiều bước trong cùng luồng, thêm CACHE TABLE / CACHE SELECT. Kết quả nhỏ thì cache còn chậm hơn — tự tick Pass.</t>
        </is>
      </c>
      <c r="J1031" s="48" t="inlineStr">
        <is>
          <t>069. OCB_GOLD_TCKH_GL_ACCT_DIM_BAOANH.xlsx [SCRIPT: GL_ACCT_DIM]</t>
        </is>
      </c>
    </row>
    <row r="1032">
      <c r="A1032" s="48" t="inlineStr">
        <is>
          <t>TCKH.GL_ACCT_DIM</t>
        </is>
      </c>
      <c r="B1032" s="48" t="inlineStr">
        <is>
          <t>SILVER_CONSUMER</t>
        </is>
      </c>
      <c r="C1032" s="48" t="inlineStr">
        <is>
          <t>3.5</t>
        </is>
      </c>
      <c r="D1032" s="48" t="inlineStr">
        <is>
          <t>Nhom 3 - Optimization</t>
        </is>
      </c>
      <c r="E1032" s="48" t="inlineStr">
        <is>
          <t>Ưu tiên MAX_BY + QUALIFY thay ROW_NUMBER() + WHERE rn = 1</t>
        </is>
      </c>
      <c r="F1032" s="48" t="inlineStr">
        <is>
          <t>N-A</t>
        </is>
      </c>
      <c r="G1032" s="48" t="inlineStr">
        <is>
          <t>Pass</t>
        </is>
      </c>
      <c r="H1032" s="50" t="inlineStr">
        <is>
          <t>script không dùng ROW_NUMBER</t>
        </is>
      </c>
      <c r="I1032"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32" s="48" t="inlineStr">
        <is>
          <t>069. OCB_GOLD_TCKH_GL_ACCT_DIM_BAOANH.xlsx [SCRIPT: GL_ACCT_DIM]</t>
        </is>
      </c>
    </row>
    <row r="1033">
      <c r="A1033" s="48" t="inlineStr">
        <is>
          <t>TCKH.GL_ACCT_DIM</t>
        </is>
      </c>
      <c r="B1033" s="48" t="inlineStr">
        <is>
          <t>SILVER_CONSUMER</t>
        </is>
      </c>
      <c r="C1033" s="48" t="inlineStr">
        <is>
          <t>3.6</t>
        </is>
      </c>
      <c r="D1033" s="48" t="inlineStr">
        <is>
          <t>Nhom 3 - Optimization</t>
        </is>
      </c>
      <c r="E1033" s="48" t="inlineStr">
        <is>
          <t>Không lạm dụng window function; có comment khi dùng</t>
        </is>
      </c>
      <c r="F1033" s="48" t="inlineStr">
        <is>
          <t>N-A</t>
        </is>
      </c>
      <c r="G1033" s="48" t="inlineStr">
        <is>
          <t>Pass</t>
        </is>
      </c>
      <c r="H1033" s="50" t="inlineStr">
        <is>
          <t>script không dùng window function</t>
        </is>
      </c>
      <c r="I1033" s="50" t="inlineStr">
        <is>
          <t>Mỗi window function cần một comment ngay trên khối CTE chứa nó, nói rõ vì sao không dùng được max_by/QUALIFY đơn giản hơn.</t>
        </is>
      </c>
      <c r="J1033" s="48" t="inlineStr">
        <is>
          <t>069. OCB_GOLD_TCKH_GL_ACCT_DIM_BAOANH.xlsx [SCRIPT: GL_ACCT_DIM]</t>
        </is>
      </c>
    </row>
    <row r="1034">
      <c r="A1034" s="48" t="inlineStr">
        <is>
          <t>TCKH.GL_ACCT_DIM</t>
        </is>
      </c>
      <c r="B1034" s="48" t="inlineStr">
        <is>
          <t>SILVER_CONSUMER</t>
        </is>
      </c>
      <c r="C1034" s="48" t="inlineStr">
        <is>
          <t>X.1</t>
        </is>
      </c>
      <c r="D1034" s="48" t="inlineStr">
        <is>
          <t>Nhom X - Bo sung Raffles</t>
        </is>
      </c>
      <c r="E1034" s="48" t="inlineStr">
        <is>
          <t>[Bổ sung] Link phải rút về current trước khi join (chống fan-out)</t>
        </is>
      </c>
      <c r="F1034" s="49" t="inlineStr">
        <is>
          <t>PASS</t>
        </is>
      </c>
      <c r="G1034" s="48" t="inlineStr">
        <is>
          <t>Pass</t>
        </is>
      </c>
      <c r="H1034" s="50" t="inlineStr">
        <is>
          <t>các bảng link_* đều được rút về current trước khi join</t>
        </is>
      </c>
      <c r="I1034"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34" s="48" t="inlineStr">
        <is>
          <t>069. OCB_GOLD_TCKH_GL_ACCT_DIM_BAOANH.xlsx [SCRIPT: GL_ACCT_DIM]</t>
        </is>
      </c>
    </row>
    <row r="1035">
      <c r="A1035" s="48" t="inlineStr">
        <is>
          <t>TCKH.GL_ACCT_DIM</t>
        </is>
      </c>
      <c r="B1035" s="48" t="inlineStr">
        <is>
          <t>SILVER_CONSUMER</t>
        </is>
      </c>
      <c r="C1035" s="48" t="inlineStr">
        <is>
          <t>X.6</t>
        </is>
      </c>
      <c r="D1035" s="48" t="inlineStr">
        <is>
          <t>Nhom X - Bo sung Raffles</t>
        </is>
      </c>
      <c r="E1035" s="48" t="inlineStr">
        <is>
          <t>[Bổ sung] Satellite phải LEFT JOIN, không INNER JOIN</t>
        </is>
      </c>
      <c r="F1035" s="48" t="inlineStr">
        <is>
          <t>N-A</t>
        </is>
      </c>
      <c r="G1035" s="48" t="inlineStr">
        <is>
          <t>Pass</t>
        </is>
      </c>
      <c r="H1035" s="50" t="inlineStr">
        <is>
          <t>không join satellite trực tiếp</t>
        </is>
      </c>
      <c r="I1035" s="50" t="inlineStr">
        <is>
          <t>Technical Document III.4.2.2 nguyên tắc 1: làm giàu thuộc tính luôn dùng LEFT JOIN. INNER JOIN satellite sẽ loại mất bản ghi Hub đang còn hiệu lực nhưng chưa có dòng satellite.</t>
        </is>
      </c>
      <c r="J1035" s="48" t="inlineStr">
        <is>
          <t>069. OCB_GOLD_TCKH_GL_ACCT_DIM_BAOANH.xlsx [SCRIPT: GL_ACCT_DIM]</t>
        </is>
      </c>
    </row>
    <row r="1036">
      <c r="A1036" s="48" t="inlineStr">
        <is>
          <t>TCKH.GL_ACCT_DIM</t>
        </is>
      </c>
      <c r="B1036" s="48" t="inlineStr">
        <is>
          <t>SILVER_CONSUMER</t>
        </is>
      </c>
      <c r="C1036" s="48" t="inlineStr">
        <is>
          <t>X.7</t>
        </is>
      </c>
      <c r="D1036" s="48" t="inlineStr">
        <is>
          <t>Nhom X - Bo sung Raffles</t>
        </is>
      </c>
      <c r="E1036" s="48" t="inlineStr">
        <is>
          <t>[Bổ sung] Không hard-code catalog, dùng biến môi trường</t>
        </is>
      </c>
      <c r="F1036" s="49" t="inlineStr">
        <is>
          <t>PASS</t>
        </is>
      </c>
      <c r="G1036" s="48" t="inlineStr">
        <is>
          <t>Pass</t>
        </is>
      </c>
      <c r="H1036" s="50" t="inlineStr">
        <is>
          <t>dùng biến môi trường cho catalog</t>
        </is>
      </c>
      <c r="I1036"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36" s="48" t="inlineStr">
        <is>
          <t>069. OCB_GOLD_TCKH_GL_ACCT_DIM_BAOANH.xlsx [SCRIPT: GL_ACCT_DIM]</t>
        </is>
      </c>
    </row>
    <row r="1037">
      <c r="A1037" s="48" t="inlineStr">
        <is>
          <t>TCKH.LD_FTP_RATE</t>
        </is>
      </c>
      <c r="B1037" s="48" t="inlineStr">
        <is>
          <t>GOLD_DERIVED</t>
        </is>
      </c>
      <c r="C1037" s="48" t="inlineStr">
        <is>
          <t>1.1</t>
        </is>
      </c>
      <c r="D1037" s="48" t="inlineStr">
        <is>
          <t>Nhom 1 - Mapping</t>
        </is>
      </c>
      <c r="E1037" s="48" t="inlineStr">
        <is>
          <t>Đầy đủ mapping từ Silver/manual sang Gold</t>
        </is>
      </c>
      <c r="F1037" s="49" t="inlineStr">
        <is>
          <t>PASS</t>
        </is>
      </c>
      <c r="G1037" s="48" t="inlineStr">
        <is>
          <t>Pass</t>
        </is>
      </c>
      <c r="H1037" s="50" t="inlineStr">
        <is>
          <t>workbook 052. OCB_GOLD_TCKH_V_FTP_RATE_PHAT.xlsx: thiết kế 6 field, SQL có 6 cột</t>
        </is>
      </c>
      <c r="I103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37" s="48" t="inlineStr">
        <is>
          <t>070. OCB_GOLD_TCKH_LD_FTP_RATE_PHAT.xlsx [Script: LD_FTP_RATE]</t>
        </is>
      </c>
    </row>
    <row r="1038">
      <c r="A1038" s="48" t="inlineStr">
        <is>
          <t>TCKH.LD_FTP_RATE</t>
        </is>
      </c>
      <c r="B1038" s="48" t="inlineStr">
        <is>
          <t>GOLD_DERIVED</t>
        </is>
      </c>
      <c r="C1038" s="48" t="inlineStr">
        <is>
          <t>1.2</t>
        </is>
      </c>
      <c r="D1038" s="48" t="inlineStr">
        <is>
          <t>Nhom 1 - Mapping</t>
        </is>
      </c>
      <c r="E1038" s="48" t="inlineStr">
        <is>
          <t>Danh sách bảng/view Gold khớp tài liệu thiết kế đã duyệt</t>
        </is>
      </c>
      <c r="F1038" s="49" t="inlineStr">
        <is>
          <t>PASS</t>
        </is>
      </c>
      <c r="G1038" s="48" t="inlineStr">
        <is>
          <t>Pass</t>
        </is>
      </c>
      <c r="H1038" s="50" t="inlineStr">
        <is>
          <t>LD_FTP_RATE có workbook thiết kế: 052. OCB_GOLD_TCKH_V_FTP_RATE_PHAT.xlsx</t>
        </is>
      </c>
      <c r="I1038" s="50" t="inlineStr">
        <is>
          <t>Đảm bảo object có workbook thiết kế tương ứng trong thư mục --mapping-dir. Muốn đối chiếu với danh sách đã duyệt thì chạy thêm tham số --gold-list "&lt;file danh sách Gold&gt;.xlsx".</t>
        </is>
      </c>
      <c r="J1038" s="48" t="inlineStr">
        <is>
          <t>070. OCB_GOLD_TCKH_LD_FTP_RATE_PHAT.xlsx [Script: LD_FTP_RATE]</t>
        </is>
      </c>
    </row>
    <row r="1039">
      <c r="A1039" s="48" t="inlineStr">
        <is>
          <t>TCKH.LD_FTP_RATE</t>
        </is>
      </c>
      <c r="B1039" s="48" t="inlineStr">
        <is>
          <t>GOLD_DERIVED</t>
        </is>
      </c>
      <c r="C1039" s="48" t="inlineStr">
        <is>
          <t>2.1</t>
        </is>
      </c>
      <c r="D1039" s="48" t="inlineStr">
        <is>
          <t>Nhom 2 - Logic</t>
        </is>
      </c>
      <c r="E1039" s="48" t="inlineStr">
        <is>
          <t>Chỉ lấy bản ghi active, loại bản ghi đã xóa (qua sts_hub)</t>
        </is>
      </c>
      <c r="F1039" s="48" t="inlineStr">
        <is>
          <t>N-A</t>
        </is>
      </c>
      <c r="G1039" s="48" t="inlineStr">
        <is>
          <t>Pass</t>
        </is>
      </c>
      <c r="H1039" s="50" t="inlineStr">
        <is>
          <t>khong ap dung cho profile GOLD_DERIVED</t>
        </is>
      </c>
      <c r="I103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39" s="48" t="inlineStr">
        <is>
          <t>070. OCB_GOLD_TCKH_LD_FTP_RATE_PHAT.xlsx [Script: LD_FTP_RATE]</t>
        </is>
      </c>
    </row>
    <row r="1040">
      <c r="A1040" s="48" t="inlineStr">
        <is>
          <t>TCKH.LD_FTP_RATE</t>
        </is>
      </c>
      <c r="B1040" s="48" t="inlineStr">
        <is>
          <t>GOLD_DERIVED</t>
        </is>
      </c>
      <c r="C1040" s="48" t="inlineStr">
        <is>
          <t>2.2</t>
        </is>
      </c>
      <c r="D1040" s="48" t="inlineStr">
        <is>
          <t>Nhom 2 - Logic</t>
        </is>
      </c>
      <c r="E1040" s="48" t="inlineStr">
        <is>
          <t>Thống nhất MỘT pattern duy nhất xác định bản ghi active mới nhất</t>
        </is>
      </c>
      <c r="F1040" s="48" t="inlineStr">
        <is>
          <t>N-A</t>
        </is>
      </c>
      <c r="G1040" s="48" t="inlineStr">
        <is>
          <t>Pass</t>
        </is>
      </c>
      <c r="H1040" s="50" t="inlineStr">
        <is>
          <t>khong ap dung cho profile GOLD_DERIVED</t>
        </is>
      </c>
      <c r="I104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40" s="48" t="inlineStr">
        <is>
          <t>070. OCB_GOLD_TCKH_LD_FTP_RATE_PHAT.xlsx [Script: LD_FTP_RATE]</t>
        </is>
      </c>
    </row>
    <row r="1041">
      <c r="A1041" s="48" t="inlineStr">
        <is>
          <t>TCKH.LD_FTP_RATE</t>
        </is>
      </c>
      <c r="B1041" s="48" t="inlineStr">
        <is>
          <t>GOLD_DERIVED</t>
        </is>
      </c>
      <c r="C1041" s="48" t="inlineStr">
        <is>
          <t>2.3</t>
        </is>
      </c>
      <c r="D1041" s="48" t="inlineStr">
        <is>
          <t>Nhom 2 - Logic</t>
        </is>
      </c>
      <c r="E1041" s="48" t="inlineStr">
        <is>
          <t>Điều kiện lọc trạng thái đặt SAU khi xác định bản ghi mới nhất</t>
        </is>
      </c>
      <c r="F1041" s="49" t="inlineStr">
        <is>
          <t>PASS</t>
        </is>
      </c>
      <c r="G1041" s="48" t="inlineStr">
        <is>
          <t>Pass</t>
        </is>
      </c>
      <c r="H1041" s="50" t="inlineStr">
        <is>
          <t>không có điều kiện trạng thái nào lồng trong JOIN ON</t>
        </is>
      </c>
      <c r="I104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41" s="48" t="inlineStr">
        <is>
          <t>070. OCB_GOLD_TCKH_LD_FTP_RATE_PHAT.xlsx [Script: LD_FTP_RATE]</t>
        </is>
      </c>
    </row>
    <row r="1042">
      <c r="A1042" s="48" t="inlineStr">
        <is>
          <t>TCKH.LD_FTP_RATE</t>
        </is>
      </c>
      <c r="B1042" s="48" t="inlineStr">
        <is>
          <t>GOLD_DERIVED</t>
        </is>
      </c>
      <c r="C1042" s="48" t="inlineStr">
        <is>
          <t>2.4</t>
        </is>
      </c>
      <c r="D1042" s="48" t="inlineStr">
        <is>
          <t>Nhom 2 - Logic</t>
        </is>
      </c>
      <c r="E1042" s="48" t="inlineStr">
        <is>
          <t>source_event_date áp dụng đúng dạng theo loại bảng</t>
        </is>
      </c>
      <c r="F1042" s="48" t="inlineStr">
        <is>
          <t>N-A</t>
        </is>
      </c>
      <c r="G1042" s="48" t="inlineStr">
        <is>
          <t>Pass</t>
        </is>
      </c>
      <c r="H1042" s="50" t="inlineStr">
        <is>
          <t>khong ap dung cho profile GOLD_DERIVED</t>
        </is>
      </c>
      <c r="I104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42" s="48" t="inlineStr">
        <is>
          <t>070. OCB_GOLD_TCKH_LD_FTP_RATE_PHAT.xlsx [Script: LD_FTP_RATE]</t>
        </is>
      </c>
    </row>
    <row r="1043">
      <c r="A1043" s="48" t="inlineStr">
        <is>
          <t>TCKH.LD_FTP_RATE</t>
        </is>
      </c>
      <c r="B1043" s="48" t="inlineStr">
        <is>
          <t>GOLD_DERIVED</t>
        </is>
      </c>
      <c r="C1043" s="48" t="inlineStr">
        <is>
          <t>2.5</t>
        </is>
      </c>
      <c r="D1043" s="48" t="inlineStr">
        <is>
          <t>Nhom 2 - Logic</t>
        </is>
      </c>
      <c r="E1043" s="48" t="inlineStr">
        <is>
          <t>Không lặp lại lỗi logic cũ đã được DA Data Vault fix</t>
        </is>
      </c>
      <c r="F1043" s="49" t="inlineStr">
        <is>
          <t>PASS</t>
        </is>
      </c>
      <c r="G1043" s="48" t="inlineStr">
        <is>
          <t>Pass</t>
        </is>
      </c>
      <c r="H1043" s="50" t="inlineStr">
        <is>
          <t>không trùng lỗi nào trong Issue log của DA Data Vault</t>
        </is>
      </c>
      <c r="I104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43" s="48" t="inlineStr">
        <is>
          <t>070. OCB_GOLD_TCKH_LD_FTP_RATE_PHAT.xlsx [Script: LD_FTP_RATE]</t>
        </is>
      </c>
    </row>
    <row r="1044">
      <c r="A1044" s="48" t="inlineStr">
        <is>
          <t>TCKH.LD_FTP_RATE</t>
        </is>
      </c>
      <c r="B1044" s="48" t="inlineStr">
        <is>
          <t>GOLD_DERIVED</t>
        </is>
      </c>
      <c r="C1044" s="48" t="inlineStr">
        <is>
          <t>2.6</t>
        </is>
      </c>
      <c r="D1044" s="48" t="inlineStr">
        <is>
          <t>Nhom 2 - Logic</t>
        </is>
      </c>
      <c r="E1044" s="48" t="inlineStr">
        <is>
          <t>SCD Type 2 cho bảng DIM áp dụng đúng kỹ thuật đã thống nhất</t>
        </is>
      </c>
      <c r="F1044" s="48" t="inlineStr">
        <is>
          <t>N-A</t>
        </is>
      </c>
      <c r="G1044" s="48" t="inlineStr">
        <is>
          <t>Pass</t>
        </is>
      </c>
      <c r="H1044" s="50" t="inlineStr">
        <is>
          <t>object không phải bảng DIM nên không áp dụng SCD Type 2</t>
        </is>
      </c>
      <c r="I104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44" s="48" t="inlineStr">
        <is>
          <t>070. OCB_GOLD_TCKH_LD_FTP_RATE_PHAT.xlsx [Script: LD_FTP_RATE]</t>
        </is>
      </c>
    </row>
    <row r="1045">
      <c r="A1045" s="48" t="inlineStr">
        <is>
          <t>TCKH.LD_FTP_RATE</t>
        </is>
      </c>
      <c r="B1045" s="48" t="inlineStr">
        <is>
          <t>GOLD_DERIVED</t>
        </is>
      </c>
      <c r="C1045" s="48" t="inlineStr">
        <is>
          <t>2.7</t>
        </is>
      </c>
      <c r="D1045" s="48" t="inlineStr">
        <is>
          <t>Nhom 2 - Logic</t>
        </is>
      </c>
      <c r="E1045" s="48" t="inlineStr">
        <is>
          <t>CASE WHEN cover đủ nhánh như job on-prem</t>
        </is>
      </c>
      <c r="F1045" s="48" t="inlineStr">
        <is>
          <t>N-A</t>
        </is>
      </c>
      <c r="G1045" s="48" t="inlineStr">
        <is>
          <t>Pass</t>
        </is>
      </c>
      <c r="H1045" s="50" t="inlineStr">
        <is>
          <t>script không có CASE WHEN nào</t>
        </is>
      </c>
      <c r="I1045" s="50" t="inlineStr">
        <is>
          <t>Mở job on-prem tương ứng (DataStage DSX hoặc SQL cũ), đối chiếu từng nhánh WHEN và cả nhánh ELSE. CASE không có ELSE sẽ trả NULL âm thầm — xác nhận đó là ý muốn hay thiếu nhánh.</t>
        </is>
      </c>
      <c r="J1045" s="48" t="inlineStr">
        <is>
          <t>070. OCB_GOLD_TCKH_LD_FTP_RATE_PHAT.xlsx [Script: LD_FTP_RATE]</t>
        </is>
      </c>
    </row>
    <row r="1046">
      <c r="A1046" s="48" t="inlineStr">
        <is>
          <t>TCKH.LD_FTP_RATE</t>
        </is>
      </c>
      <c r="B1046" s="48" t="inlineStr">
        <is>
          <t>GOLD_DERIVED</t>
        </is>
      </c>
      <c r="C1046" s="48" t="inlineStr">
        <is>
          <t>2.8</t>
        </is>
      </c>
      <c r="D1046" s="48" t="inlineStr">
        <is>
          <t>Nhom 2 - Logic</t>
        </is>
      </c>
      <c r="E1046" s="48" t="inlineStr">
        <is>
          <t>Cột SUM/COUNT được COALESCE/NVL hợp lý</t>
        </is>
      </c>
      <c r="F1046" s="49" t="inlineStr">
        <is>
          <t>PASS</t>
        </is>
      </c>
      <c r="G1046" s="48" t="inlineStr">
        <is>
          <t>Pass</t>
        </is>
      </c>
      <c r="H1046" s="50" t="inlineStr">
        <is>
          <t>mọi SUM/COUNT đều đã coalesce (trực tiếp hoặc ở lớp ngoài)</t>
        </is>
      </c>
      <c r="I104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46" s="48" t="inlineStr">
        <is>
          <t>070. OCB_GOLD_TCKH_LD_FTP_RATE_PHAT.xlsx [Script: LD_FTP_RATE]</t>
        </is>
      </c>
    </row>
    <row r="1047">
      <c r="A1047" s="48" t="inlineStr">
        <is>
          <t>TCKH.LD_FTP_RATE</t>
        </is>
      </c>
      <c r="B1047" s="48" t="inlineStr">
        <is>
          <t>GOLD_DERIVED</t>
        </is>
      </c>
      <c r="C1047" s="48" t="inlineStr">
        <is>
          <t>2.9</t>
        </is>
      </c>
      <c r="D1047" s="48" t="inlineStr">
        <is>
          <t>Nhom 2 - Logic</t>
        </is>
      </c>
      <c r="E1047" s="48" t="inlineStr">
        <is>
          <t>Subquery / custom function / điều kiện LIKE đúng ý nghĩa nghiệp vụ</t>
        </is>
      </c>
      <c r="F1047" s="48" t="inlineStr">
        <is>
          <t>N-A</t>
        </is>
      </c>
      <c r="G1047" s="48" t="inlineStr">
        <is>
          <t>Pass</t>
        </is>
      </c>
      <c r="H1047" s="50" t="inlineStr">
        <is>
          <t>script không có điều kiện LIKE hay scalar subquery nào</t>
        </is>
      </c>
      <c r="I1047" s="50" t="inlineStr">
        <is>
          <t>Đọc lại từng điều kiện LIKE và từng subquery, đối chiếu ý nghĩa nghiệp vụ với on-prem — đúng cú pháp không đủ. Chú ý pattern LIKE có ký tự % ở đầu/cuối và phân biệt chữ hoa/thường.</t>
        </is>
      </c>
      <c r="J1047" s="48" t="inlineStr">
        <is>
          <t>070. OCB_GOLD_TCKH_LD_FTP_RATE_PHAT.xlsx [Script: LD_FTP_RATE]</t>
        </is>
      </c>
    </row>
    <row r="1048">
      <c r="A1048" s="48" t="inlineStr">
        <is>
          <t>TCKH.LD_FTP_RATE</t>
        </is>
      </c>
      <c r="B1048" s="48" t="inlineStr">
        <is>
          <t>GOLD_DERIVED</t>
        </is>
      </c>
      <c r="C1048" s="48" t="inlineStr">
        <is>
          <t>2.10</t>
        </is>
      </c>
      <c r="D1048" s="48" t="inlineStr">
        <is>
          <t>Nhom 2 - Logic</t>
        </is>
      </c>
      <c r="E1048" s="48" t="inlineStr">
        <is>
          <t>Aggregation kèm filter date range chính xác</t>
        </is>
      </c>
      <c r="F1048" s="49" t="inlineStr">
        <is>
          <t>PASS</t>
        </is>
      </c>
      <c r="G1048" s="48" t="inlineStr">
        <is>
          <t>Pass</t>
        </is>
      </c>
      <c r="H1048" s="50" t="inlineStr">
        <is>
          <t>mọi khối tổng hợp đều có điều kiện theo kỳ dữ liệu</t>
        </is>
      </c>
      <c r="I1048" s="50" t="inlineStr">
        <is>
          <t>Mỗi khối SUM/COUNT/AVG phải có điều kiện lọc theo kỳ dữ liệu (CDR_DT_ID, DATA_DATE, :DATADT…). Nếu điều kiện nằm ở CTE nguồn thì ghi rõ trong comment để người review không phải truy ngược.</t>
        </is>
      </c>
      <c r="J1048" s="48" t="inlineStr">
        <is>
          <t>070. OCB_GOLD_TCKH_LD_FTP_RATE_PHAT.xlsx [Script: LD_FTP_RATE]</t>
        </is>
      </c>
    </row>
    <row r="1049">
      <c r="A1049" s="48" t="inlineStr">
        <is>
          <t>TCKH.LD_FTP_RATE</t>
        </is>
      </c>
      <c r="B1049" s="48" t="inlineStr">
        <is>
          <t>GOLD_DERIVED</t>
        </is>
      </c>
      <c r="C1049" s="48" t="inlineStr">
        <is>
          <t>2.11</t>
        </is>
      </c>
      <c r="D1049" s="48" t="inlineStr">
        <is>
          <t>Nhom 2 - Logic</t>
        </is>
      </c>
      <c r="E1049" s="48" t="inlineStr">
        <is>
          <t>Join dùng key hợp lý, không lạm dụng UNION ALL + EXISTS/NOT EXISTS</t>
        </is>
      </c>
      <c r="F1049" s="49" t="inlineStr">
        <is>
          <t>PASS</t>
        </is>
      </c>
      <c r="G1049" s="48" t="inlineStr">
        <is>
          <t>Pass</t>
        </is>
      </c>
      <c r="H1049" s="50" t="inlineStr">
        <is>
          <t>join đều theo điều kiện bằng, không lạm dụng UNION ALL + EXISTS</t>
        </is>
      </c>
      <c r="I1049" s="50" t="inlineStr">
        <is>
          <t>Ưu tiên LEFT JOIN theo business key hoặc hashkey. Xem lại các chỗ dùng UNION ALL kết hợp EXISTS/NOT EXISTS — thường thay được bằng một LEFT JOIN. Join không có điều kiện bằng (=) dễ tạo tích Descartes.</t>
        </is>
      </c>
      <c r="J1049" s="48" t="inlineStr">
        <is>
          <t>070. OCB_GOLD_TCKH_LD_FTP_RATE_PHAT.xlsx [Script: LD_FTP_RATE]</t>
        </is>
      </c>
    </row>
    <row r="1050">
      <c r="A1050" s="48" t="inlineStr">
        <is>
          <t>TCKH.LD_FTP_RATE</t>
        </is>
      </c>
      <c r="B1050" s="48" t="inlineStr">
        <is>
          <t>GOLD_DERIVED</t>
        </is>
      </c>
      <c r="C1050" s="48" t="inlineStr">
        <is>
          <t>2.12</t>
        </is>
      </c>
      <c r="D1050" s="48" t="inlineStr">
        <is>
          <t>Nhom 2 - Logic</t>
        </is>
      </c>
      <c r="E1050" s="48" t="inlineStr">
        <is>
          <t>Build Gold từ CTE snapshot Silver, không build nhiều tầng chồng chéo</t>
        </is>
      </c>
      <c r="F1050" s="49" t="inlineStr">
        <is>
          <t>PASS</t>
        </is>
      </c>
      <c r="G1050" s="48" t="inlineStr">
        <is>
          <t>Pass</t>
        </is>
      </c>
      <c r="H1050" s="50" t="inlineStr">
        <is>
          <t>mỗi bảng nguồn chỉ đọc trong 1 khối SELECT</t>
        </is>
      </c>
      <c r="I105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50" s="48" t="inlineStr">
        <is>
          <t>070. OCB_GOLD_TCKH_LD_FTP_RATE_PHAT.xlsx [Script: LD_FTP_RATE]</t>
        </is>
      </c>
    </row>
    <row r="1051">
      <c r="A1051" s="48" t="inlineStr">
        <is>
          <t>TCKH.LD_FTP_RATE</t>
        </is>
      </c>
      <c r="B1051" s="48" t="inlineStr">
        <is>
          <t>GOLD_DERIVED</t>
        </is>
      </c>
      <c r="C1051" s="48" t="inlineStr">
        <is>
          <t>3.1</t>
        </is>
      </c>
      <c r="D1051" s="48" t="inlineStr">
        <is>
          <t>Nhom 3 - Optimization</t>
        </is>
      </c>
      <c r="E1051" s="48" t="inlineStr">
        <is>
          <t>Không SELECT *</t>
        </is>
      </c>
      <c r="F1051" s="49" t="inlineStr">
        <is>
          <t>PASS</t>
        </is>
      </c>
      <c r="G1051" s="48" t="inlineStr">
        <is>
          <t>Pass</t>
        </is>
      </c>
      <c r="H1051" s="50" t="inlineStr">
        <is>
          <t>không dùng SELECT * ở đâu</t>
        </is>
      </c>
      <c r="I1051" s="50" t="inlineStr">
        <is>
          <t>Liệt kê tường minh các cột cần dùng, kể cả trong CTE trung gian. SELECT * làm tăng IO/memory và vỡ script khi bảng nguồn thêm cột.</t>
        </is>
      </c>
      <c r="J1051" s="48" t="inlineStr">
        <is>
          <t>070. OCB_GOLD_TCKH_LD_FTP_RATE_PHAT.xlsx [Script: LD_FTP_RATE]</t>
        </is>
      </c>
    </row>
    <row r="1052">
      <c r="A1052" s="48" t="inlineStr">
        <is>
          <t>TCKH.LD_FTP_RATE</t>
        </is>
      </c>
      <c r="B1052" s="48" t="inlineStr">
        <is>
          <t>GOLD_DERIVED</t>
        </is>
      </c>
      <c r="C1052" s="48" t="inlineStr">
        <is>
          <t>3.2</t>
        </is>
      </c>
      <c r="D1052" s="48" t="inlineStr">
        <is>
          <t>Nhom 3 - Optimization</t>
        </is>
      </c>
      <c r="E1052" s="48" t="inlineStr">
        <is>
          <t>CTE không bị scan lại nhiều lần</t>
        </is>
      </c>
      <c r="F1052" s="49" t="inlineStr">
        <is>
          <t>PASS</t>
        </is>
      </c>
      <c r="G1052" s="48" t="inlineStr">
        <is>
          <t>Pass</t>
        </is>
      </c>
      <c r="H1052" s="50" t="inlineStr">
        <is>
          <t>không có CTE nào bị gọi lại</t>
        </is>
      </c>
      <c r="I1052" s="50" t="inlineStr">
        <is>
          <t>Với CTE nặng (đọc nhiều bảng Silver) bị tham chiếu từ 2 chỗ trở lên: gom lại còn một lần dùng, hoặc vật chất hóa (CACHE / bảng tạm). CTE nhẹ chỉ chứa tham số thì bỏ qua được — tự tick Pass.</t>
        </is>
      </c>
      <c r="J1052" s="48" t="inlineStr">
        <is>
          <t>070. OCB_GOLD_TCKH_LD_FTP_RATE_PHAT.xlsx [Script: LD_FTP_RATE]</t>
        </is>
      </c>
    </row>
    <row r="1053">
      <c r="A1053" s="48" t="inlineStr">
        <is>
          <t>TCKH.LD_FTP_RATE</t>
        </is>
      </c>
      <c r="B1053" s="48" t="inlineStr">
        <is>
          <t>GOLD_DERIVED</t>
        </is>
      </c>
      <c r="C1053" s="48" t="inlineStr">
        <is>
          <t>3.3</t>
        </is>
      </c>
      <c r="D1053" s="48" t="inlineStr">
        <is>
          <t>Nhom 3 - Optimization</t>
        </is>
      </c>
      <c r="E1053" s="48" t="inlineStr">
        <is>
          <t>Filter trước khi join, tận dụng partition pruning</t>
        </is>
      </c>
      <c r="F1053" s="49" t="inlineStr">
        <is>
          <t>PASS</t>
        </is>
      </c>
      <c r="G1053" s="48" t="inlineStr">
        <is>
          <t>Pass</t>
        </is>
      </c>
      <c r="H1053" s="50" t="inlineStr">
        <is>
          <t>các bảng join đều được filter trước</t>
        </is>
      </c>
      <c r="I1053" s="50" t="inlineStr">
        <is>
          <t>Đưa điều kiện lọc (ngày dữ liệu, trạng thái) vào subquery của từng bảng TRƯỚC khi join, để tận dụng partition pruning. Bảng dim nhỏ không partition thì không cần — tự tick Pass.</t>
        </is>
      </c>
      <c r="J1053" s="48" t="inlineStr">
        <is>
          <t>070. OCB_GOLD_TCKH_LD_FTP_RATE_PHAT.xlsx [Script: LD_FTP_RATE]</t>
        </is>
      </c>
    </row>
    <row r="1054">
      <c r="A1054" s="48" t="inlineStr">
        <is>
          <t>TCKH.LD_FTP_RATE</t>
        </is>
      </c>
      <c r="B1054" s="48" t="inlineStr">
        <is>
          <t>GOLD_DERIVED</t>
        </is>
      </c>
      <c r="C1054" s="48" t="inlineStr">
        <is>
          <t>3.4</t>
        </is>
      </c>
      <c r="D1054" s="48" t="inlineStr">
        <is>
          <t>Nhom 3 - Optimization</t>
        </is>
      </c>
      <c r="E1054" s="48" t="inlineStr">
        <is>
          <t>Sử dụng CACHE cho query lặp lại trong cùng luồng</t>
        </is>
      </c>
      <c r="F1054" s="48" t="inlineStr">
        <is>
          <t>N-A</t>
        </is>
      </c>
      <c r="G1054" s="48" t="inlineStr">
        <is>
          <t>Pass</t>
        </is>
      </c>
      <c r="H1054" s="50" t="inlineStr">
        <is>
          <t>không có kết quả nào được dùng lại nhiều lần nên chưa cần CACHE</t>
        </is>
      </c>
      <c r="I1054" s="50" t="inlineStr">
        <is>
          <t>Nếu một kết quả nặng được dùng lại nhiều bước trong cùng luồng, thêm CACHE TABLE / CACHE SELECT. Kết quả nhỏ thì cache còn chậm hơn — tự tick Pass.</t>
        </is>
      </c>
      <c r="J1054" s="48" t="inlineStr">
        <is>
          <t>070. OCB_GOLD_TCKH_LD_FTP_RATE_PHAT.xlsx [Script: LD_FTP_RATE]</t>
        </is>
      </c>
    </row>
    <row r="1055">
      <c r="A1055" s="48" t="inlineStr">
        <is>
          <t>TCKH.LD_FTP_RATE</t>
        </is>
      </c>
      <c r="B1055" s="48" t="inlineStr">
        <is>
          <t>GOLD_DERIVED</t>
        </is>
      </c>
      <c r="C1055" s="48" t="inlineStr">
        <is>
          <t>3.5</t>
        </is>
      </c>
      <c r="D1055" s="48" t="inlineStr">
        <is>
          <t>Nhom 3 - Optimization</t>
        </is>
      </c>
      <c r="E1055" s="48" t="inlineStr">
        <is>
          <t>Ưu tiên MAX_BY + QUALIFY thay ROW_NUMBER() + WHERE rn = 1</t>
        </is>
      </c>
      <c r="F1055" s="48" t="inlineStr">
        <is>
          <t>N-A</t>
        </is>
      </c>
      <c r="G1055" s="48" t="inlineStr">
        <is>
          <t>Pass</t>
        </is>
      </c>
      <c r="H1055" s="50" t="inlineStr">
        <is>
          <t>script không dùng ROW_NUMBER</t>
        </is>
      </c>
      <c r="I105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55" s="48" t="inlineStr">
        <is>
          <t>070. OCB_GOLD_TCKH_LD_FTP_RATE_PHAT.xlsx [Script: LD_FTP_RATE]</t>
        </is>
      </c>
    </row>
    <row r="1056">
      <c r="A1056" s="48" t="inlineStr">
        <is>
          <t>TCKH.LD_FTP_RATE</t>
        </is>
      </c>
      <c r="B1056" s="48" t="inlineStr">
        <is>
          <t>GOLD_DERIVED</t>
        </is>
      </c>
      <c r="C1056" s="48" t="inlineStr">
        <is>
          <t>3.6</t>
        </is>
      </c>
      <c r="D1056" s="48" t="inlineStr">
        <is>
          <t>Nhom 3 - Optimization</t>
        </is>
      </c>
      <c r="E1056" s="48" t="inlineStr">
        <is>
          <t>Không lạm dụng window function; có comment khi dùng</t>
        </is>
      </c>
      <c r="F1056" s="48" t="inlineStr">
        <is>
          <t>N-A</t>
        </is>
      </c>
      <c r="G1056" s="48" t="inlineStr">
        <is>
          <t>Pass</t>
        </is>
      </c>
      <c r="H1056" s="50" t="inlineStr">
        <is>
          <t>script không dùng window function</t>
        </is>
      </c>
      <c r="I1056" s="50" t="inlineStr">
        <is>
          <t>Mỗi window function cần một comment ngay trên khối CTE chứa nó, nói rõ vì sao không dùng được max_by/QUALIFY đơn giản hơn.</t>
        </is>
      </c>
      <c r="J1056" s="48" t="inlineStr">
        <is>
          <t>070. OCB_GOLD_TCKH_LD_FTP_RATE_PHAT.xlsx [Script: LD_FTP_RATE]</t>
        </is>
      </c>
    </row>
    <row r="1057">
      <c r="A1057" s="48" t="inlineStr">
        <is>
          <t>TCKH.LD_FTP_RATE</t>
        </is>
      </c>
      <c r="B1057" s="48" t="inlineStr">
        <is>
          <t>GOLD_DERIVED</t>
        </is>
      </c>
      <c r="C1057" s="48" t="inlineStr">
        <is>
          <t>X.1</t>
        </is>
      </c>
      <c r="D1057" s="48" t="inlineStr">
        <is>
          <t>Nhom X - Bo sung Raffles</t>
        </is>
      </c>
      <c r="E1057" s="48" t="inlineStr">
        <is>
          <t>[Bổ sung] Link phải rút về current trước khi join (chống fan-out)</t>
        </is>
      </c>
      <c r="F1057" s="48" t="inlineStr">
        <is>
          <t>N-A</t>
        </is>
      </c>
      <c r="G1057" s="48" t="inlineStr">
        <is>
          <t>Pass</t>
        </is>
      </c>
      <c r="H1057" s="50" t="inlineStr">
        <is>
          <t>khong ap dung cho profile GOLD_DERIVED</t>
        </is>
      </c>
      <c r="I105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57" s="48" t="inlineStr">
        <is>
          <t>070. OCB_GOLD_TCKH_LD_FTP_RATE_PHAT.xlsx [Script: LD_FTP_RATE]</t>
        </is>
      </c>
    </row>
    <row r="1058">
      <c r="A1058" s="48" t="inlineStr">
        <is>
          <t>TCKH.LD_FTP_RATE</t>
        </is>
      </c>
      <c r="B1058" s="48" t="inlineStr">
        <is>
          <t>GOLD_DERIVED</t>
        </is>
      </c>
      <c r="C1058" s="48" t="inlineStr">
        <is>
          <t>X.6</t>
        </is>
      </c>
      <c r="D1058" s="48" t="inlineStr">
        <is>
          <t>Nhom X - Bo sung Raffles</t>
        </is>
      </c>
      <c r="E1058" s="48" t="inlineStr">
        <is>
          <t>[Bổ sung] Satellite phải LEFT JOIN, không INNER JOIN</t>
        </is>
      </c>
      <c r="F1058" s="48" t="inlineStr">
        <is>
          <t>N-A</t>
        </is>
      </c>
      <c r="G1058" s="48" t="inlineStr">
        <is>
          <t>Pass</t>
        </is>
      </c>
      <c r="H1058" s="50" t="inlineStr">
        <is>
          <t>khong ap dung cho profile GOLD_DERIVED</t>
        </is>
      </c>
      <c r="I1058" s="50" t="inlineStr">
        <is>
          <t>Technical Document III.4.2.2 nguyên tắc 1: làm giàu thuộc tính luôn dùng LEFT JOIN. INNER JOIN satellite sẽ loại mất bản ghi Hub đang còn hiệu lực nhưng chưa có dòng satellite.</t>
        </is>
      </c>
      <c r="J1058" s="48" t="inlineStr">
        <is>
          <t>070. OCB_GOLD_TCKH_LD_FTP_RATE_PHAT.xlsx [Script: LD_FTP_RATE]</t>
        </is>
      </c>
    </row>
    <row r="1059">
      <c r="A1059" s="48" t="inlineStr">
        <is>
          <t>TCKH.LD_FTP_RATE</t>
        </is>
      </c>
      <c r="B1059" s="48" t="inlineStr">
        <is>
          <t>GOLD_DERIVED</t>
        </is>
      </c>
      <c r="C1059" s="48" t="inlineStr">
        <is>
          <t>X.7</t>
        </is>
      </c>
      <c r="D1059" s="48" t="inlineStr">
        <is>
          <t>Nhom X - Bo sung Raffles</t>
        </is>
      </c>
      <c r="E1059" s="48" t="inlineStr">
        <is>
          <t>[Bổ sung] Không hard-code catalog, dùng biến môi trường</t>
        </is>
      </c>
      <c r="F1059" s="49" t="inlineStr">
        <is>
          <t>PASS</t>
        </is>
      </c>
      <c r="G1059" s="48" t="inlineStr">
        <is>
          <t>Pass</t>
        </is>
      </c>
      <c r="H1059" s="50" t="inlineStr">
        <is>
          <t>dùng biến môi trường cho catalog</t>
        </is>
      </c>
      <c r="I105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59" s="48" t="inlineStr">
        <is>
          <t>070. OCB_GOLD_TCKH_LD_FTP_RATE_PHAT.xlsx [Script: LD_FTP_RATE]</t>
        </is>
      </c>
    </row>
    <row r="1060">
      <c r="A1060" s="48" t="inlineStr">
        <is>
          <t>TCKH.OPEX_DTL</t>
        </is>
      </c>
      <c r="B1060" s="48" t="inlineStr">
        <is>
          <t>GOLD_DERIVED</t>
        </is>
      </c>
      <c r="C1060" s="48" t="inlineStr">
        <is>
          <t>1.1</t>
        </is>
      </c>
      <c r="D1060" s="48" t="inlineStr">
        <is>
          <t>Nhom 1 - Mapping</t>
        </is>
      </c>
      <c r="E1060" s="48" t="inlineStr">
        <is>
          <t>Đầy đủ mapping từ Silver/manual sang Gold</t>
        </is>
      </c>
      <c r="F1060" s="49" t="inlineStr">
        <is>
          <t>PASS</t>
        </is>
      </c>
      <c r="G1060" s="48" t="inlineStr">
        <is>
          <t>Pass</t>
        </is>
      </c>
      <c r="H1060" s="50" t="inlineStr">
        <is>
          <t>workbook 071. OCB_GOLD_TCKH_OPEX_DTL_HOP.xlsx: thiết kế 21 field, SQL có 21 cột</t>
        </is>
      </c>
      <c r="I1060"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60" s="48" t="inlineStr">
        <is>
          <t>071. OCB_GOLD_TCKH_OPEX_DTL_HOP.xlsx [SCRIPT: OPEX_DTL]</t>
        </is>
      </c>
    </row>
    <row r="1061">
      <c r="A1061" s="48" t="inlineStr">
        <is>
          <t>TCKH.OPEX_DTL</t>
        </is>
      </c>
      <c r="B1061" s="48" t="inlineStr">
        <is>
          <t>GOLD_DERIVED</t>
        </is>
      </c>
      <c r="C1061" s="48" t="inlineStr">
        <is>
          <t>1.2</t>
        </is>
      </c>
      <c r="D1061" s="48" t="inlineStr">
        <is>
          <t>Nhom 1 - Mapping</t>
        </is>
      </c>
      <c r="E1061" s="48" t="inlineStr">
        <is>
          <t>Danh sách bảng/view Gold khớp tài liệu thiết kế đã duyệt</t>
        </is>
      </c>
      <c r="F1061" s="49" t="inlineStr">
        <is>
          <t>PASS</t>
        </is>
      </c>
      <c r="G1061" s="48" t="inlineStr">
        <is>
          <t>Pass</t>
        </is>
      </c>
      <c r="H1061" s="50" t="inlineStr">
        <is>
          <t>OPEX_DTL có workbook thiết kế: 071. OCB_GOLD_TCKH_OPEX_DTL_HOP.xlsx</t>
        </is>
      </c>
      <c r="I1061" s="50" t="inlineStr">
        <is>
          <t>Đảm bảo object có workbook thiết kế tương ứng trong thư mục --mapping-dir. Muốn đối chiếu với danh sách đã duyệt thì chạy thêm tham số --gold-list "&lt;file danh sách Gold&gt;.xlsx".</t>
        </is>
      </c>
      <c r="J1061" s="48" t="inlineStr">
        <is>
          <t>071. OCB_GOLD_TCKH_OPEX_DTL_HOP.xlsx [SCRIPT: OPEX_DTL]</t>
        </is>
      </c>
    </row>
    <row r="1062">
      <c r="A1062" s="48" t="inlineStr">
        <is>
          <t>TCKH.OPEX_DTL</t>
        </is>
      </c>
      <c r="B1062" s="48" t="inlineStr">
        <is>
          <t>GOLD_DERIVED</t>
        </is>
      </c>
      <c r="C1062" s="48" t="inlineStr">
        <is>
          <t>2.1</t>
        </is>
      </c>
      <c r="D1062" s="48" t="inlineStr">
        <is>
          <t>Nhom 2 - Logic</t>
        </is>
      </c>
      <c r="E1062" s="48" t="inlineStr">
        <is>
          <t>Chỉ lấy bản ghi active, loại bản ghi đã xóa (qua sts_hub)</t>
        </is>
      </c>
      <c r="F1062" s="48" t="inlineStr">
        <is>
          <t>N-A</t>
        </is>
      </c>
      <c r="G1062" s="48" t="inlineStr">
        <is>
          <t>Pass</t>
        </is>
      </c>
      <c r="H1062" s="50" t="inlineStr">
        <is>
          <t>khong ap dung cho profile GOLD_DERIVED</t>
        </is>
      </c>
      <c r="I1062"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62" s="48" t="inlineStr">
        <is>
          <t>071. OCB_GOLD_TCKH_OPEX_DTL_HOP.xlsx [SCRIPT: OPEX_DTL]</t>
        </is>
      </c>
    </row>
    <row r="1063">
      <c r="A1063" s="48" t="inlineStr">
        <is>
          <t>TCKH.OPEX_DTL</t>
        </is>
      </c>
      <c r="B1063" s="48" t="inlineStr">
        <is>
          <t>GOLD_DERIVED</t>
        </is>
      </c>
      <c r="C1063" s="48" t="inlineStr">
        <is>
          <t>2.2</t>
        </is>
      </c>
      <c r="D1063" s="48" t="inlineStr">
        <is>
          <t>Nhom 2 - Logic</t>
        </is>
      </c>
      <c r="E1063" s="48" t="inlineStr">
        <is>
          <t>Thống nhất MỘT pattern duy nhất xác định bản ghi active mới nhất</t>
        </is>
      </c>
      <c r="F1063" s="48" t="inlineStr">
        <is>
          <t>N-A</t>
        </is>
      </c>
      <c r="G1063" s="48" t="inlineStr">
        <is>
          <t>Pass</t>
        </is>
      </c>
      <c r="H1063" s="50" t="inlineStr">
        <is>
          <t>khong ap dung cho profile GOLD_DERIVED</t>
        </is>
      </c>
      <c r="I1063"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63" s="48" t="inlineStr">
        <is>
          <t>071. OCB_GOLD_TCKH_OPEX_DTL_HOP.xlsx [SCRIPT: OPEX_DTL]</t>
        </is>
      </c>
    </row>
    <row r="1064">
      <c r="A1064" s="48" t="inlineStr">
        <is>
          <t>TCKH.OPEX_DTL</t>
        </is>
      </c>
      <c r="B1064" s="48" t="inlineStr">
        <is>
          <t>GOLD_DERIVED</t>
        </is>
      </c>
      <c r="C1064" s="48" t="inlineStr">
        <is>
          <t>2.3</t>
        </is>
      </c>
      <c r="D1064" s="48" t="inlineStr">
        <is>
          <t>Nhom 2 - Logic</t>
        </is>
      </c>
      <c r="E1064" s="48" t="inlineStr">
        <is>
          <t>Điều kiện lọc trạng thái đặt SAU khi xác định bản ghi mới nhất</t>
        </is>
      </c>
      <c r="F1064" s="49" t="inlineStr">
        <is>
          <t>PASS</t>
        </is>
      </c>
      <c r="G1064" s="48" t="inlineStr">
        <is>
          <t>Pass</t>
        </is>
      </c>
      <c r="H1064" s="50" t="inlineStr">
        <is>
          <t>không có điều kiện trạng thái nào lồng trong JOIN ON</t>
        </is>
      </c>
      <c r="I1064"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64" s="48" t="inlineStr">
        <is>
          <t>071. OCB_GOLD_TCKH_OPEX_DTL_HOP.xlsx [SCRIPT: OPEX_DTL]</t>
        </is>
      </c>
    </row>
    <row r="1065">
      <c r="A1065" s="48" t="inlineStr">
        <is>
          <t>TCKH.OPEX_DTL</t>
        </is>
      </c>
      <c r="B1065" s="48" t="inlineStr">
        <is>
          <t>GOLD_DERIVED</t>
        </is>
      </c>
      <c r="C1065" s="48" t="inlineStr">
        <is>
          <t>2.4</t>
        </is>
      </c>
      <c r="D1065" s="48" t="inlineStr">
        <is>
          <t>Nhom 2 - Logic</t>
        </is>
      </c>
      <c r="E1065" s="48" t="inlineStr">
        <is>
          <t>source_event_date áp dụng đúng dạng theo loại bảng</t>
        </is>
      </c>
      <c r="F1065" s="48" t="inlineStr">
        <is>
          <t>N-A</t>
        </is>
      </c>
      <c r="G1065" s="48" t="inlineStr">
        <is>
          <t>Pass</t>
        </is>
      </c>
      <c r="H1065" s="50" t="inlineStr">
        <is>
          <t>khong ap dung cho profile GOLD_DERIVED</t>
        </is>
      </c>
      <c r="I1065"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65" s="48" t="inlineStr">
        <is>
          <t>071. OCB_GOLD_TCKH_OPEX_DTL_HOP.xlsx [SCRIPT: OPEX_DTL]</t>
        </is>
      </c>
    </row>
    <row r="1066">
      <c r="A1066" s="48" t="inlineStr">
        <is>
          <t>TCKH.OPEX_DTL</t>
        </is>
      </c>
      <c r="B1066" s="48" t="inlineStr">
        <is>
          <t>GOLD_DERIVED</t>
        </is>
      </c>
      <c r="C1066" s="48" t="inlineStr">
        <is>
          <t>2.5</t>
        </is>
      </c>
      <c r="D1066" s="48" t="inlineStr">
        <is>
          <t>Nhom 2 - Logic</t>
        </is>
      </c>
      <c r="E1066" s="48" t="inlineStr">
        <is>
          <t>Không lặp lại lỗi logic cũ đã được DA Data Vault fix</t>
        </is>
      </c>
      <c r="F1066" s="49" t="inlineStr">
        <is>
          <t>PASS</t>
        </is>
      </c>
      <c r="G1066" s="48" t="inlineStr">
        <is>
          <t>Pass</t>
        </is>
      </c>
      <c r="H1066" s="50" t="inlineStr">
        <is>
          <t>không trùng lỗi nào trong Issue log của DA Data Vault</t>
        </is>
      </c>
      <c r="I1066"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66" s="48" t="inlineStr">
        <is>
          <t>071. OCB_GOLD_TCKH_OPEX_DTL_HOP.xlsx [SCRIPT: OPEX_DTL]</t>
        </is>
      </c>
    </row>
    <row r="1067">
      <c r="A1067" s="48" t="inlineStr">
        <is>
          <t>TCKH.OPEX_DTL</t>
        </is>
      </c>
      <c r="B1067" s="48" t="inlineStr">
        <is>
          <t>GOLD_DERIVED</t>
        </is>
      </c>
      <c r="C1067" s="48" t="inlineStr">
        <is>
          <t>2.6</t>
        </is>
      </c>
      <c r="D1067" s="48" t="inlineStr">
        <is>
          <t>Nhom 2 - Logic</t>
        </is>
      </c>
      <c r="E1067" s="48" t="inlineStr">
        <is>
          <t>SCD Type 2 cho bảng DIM áp dụng đúng kỹ thuật đã thống nhất</t>
        </is>
      </c>
      <c r="F1067" s="48" t="inlineStr">
        <is>
          <t>N-A</t>
        </is>
      </c>
      <c r="G1067" s="48" t="inlineStr">
        <is>
          <t>Pass</t>
        </is>
      </c>
      <c r="H1067" s="50" t="inlineStr">
        <is>
          <t>object không phải bảng DIM nên không áp dụng SCD Type 2</t>
        </is>
      </c>
      <c r="I1067"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67" s="48" t="inlineStr">
        <is>
          <t>071. OCB_GOLD_TCKH_OPEX_DTL_HOP.xlsx [SCRIPT: OPEX_DTL]</t>
        </is>
      </c>
    </row>
    <row r="1068">
      <c r="A1068" s="48" t="inlineStr">
        <is>
          <t>TCKH.OPEX_DTL</t>
        </is>
      </c>
      <c r="B1068" s="48" t="inlineStr">
        <is>
          <t>GOLD_DERIVED</t>
        </is>
      </c>
      <c r="C1068" s="48" t="inlineStr">
        <is>
          <t>2.7</t>
        </is>
      </c>
      <c r="D1068" s="48" t="inlineStr">
        <is>
          <t>Nhom 2 - Logic</t>
        </is>
      </c>
      <c r="E1068" s="48" t="inlineStr">
        <is>
          <t>CASE WHEN cover đủ nhánh như job on-prem</t>
        </is>
      </c>
      <c r="F1068" s="48" t="inlineStr">
        <is>
          <t>N-A</t>
        </is>
      </c>
      <c r="G1068" s="48" t="inlineStr">
        <is>
          <t>Pass</t>
        </is>
      </c>
      <c r="H1068" s="50" t="inlineStr">
        <is>
          <t>script không có CASE WHEN nào</t>
        </is>
      </c>
      <c r="I1068" s="50" t="inlineStr">
        <is>
          <t>Mở job on-prem tương ứng (DataStage DSX hoặc SQL cũ), đối chiếu từng nhánh WHEN và cả nhánh ELSE. CASE không có ELSE sẽ trả NULL âm thầm — xác nhận đó là ý muốn hay thiếu nhánh.</t>
        </is>
      </c>
      <c r="J1068" s="48" t="inlineStr">
        <is>
          <t>071. OCB_GOLD_TCKH_OPEX_DTL_HOP.xlsx [SCRIPT: OPEX_DTL]</t>
        </is>
      </c>
    </row>
    <row r="1069">
      <c r="A1069" s="48" t="inlineStr">
        <is>
          <t>TCKH.OPEX_DTL</t>
        </is>
      </c>
      <c r="B1069" s="48" t="inlineStr">
        <is>
          <t>GOLD_DERIVED</t>
        </is>
      </c>
      <c r="C1069" s="48" t="inlineStr">
        <is>
          <t>2.8</t>
        </is>
      </c>
      <c r="D1069" s="48" t="inlineStr">
        <is>
          <t>Nhom 2 - Logic</t>
        </is>
      </c>
      <c r="E1069" s="48" t="inlineStr">
        <is>
          <t>Cột SUM/COUNT được COALESCE/NVL hợp lý</t>
        </is>
      </c>
      <c r="F1069" s="49" t="inlineStr">
        <is>
          <t>PASS</t>
        </is>
      </c>
      <c r="G1069" s="48" t="inlineStr">
        <is>
          <t>Pass</t>
        </is>
      </c>
      <c r="H1069" s="50" t="inlineStr">
        <is>
          <t>mọi SUM/COUNT đều đã coalesce (trực tiếp hoặc ở lớp ngoài)</t>
        </is>
      </c>
      <c r="I1069"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69" s="48" t="inlineStr">
        <is>
          <t>071. OCB_GOLD_TCKH_OPEX_DTL_HOP.xlsx [SCRIPT: OPEX_DTL]</t>
        </is>
      </c>
    </row>
    <row r="1070">
      <c r="A1070" s="48" t="inlineStr">
        <is>
          <t>TCKH.OPEX_DTL</t>
        </is>
      </c>
      <c r="B1070" s="48" t="inlineStr">
        <is>
          <t>GOLD_DERIVED</t>
        </is>
      </c>
      <c r="C1070" s="48" t="inlineStr">
        <is>
          <t>2.9</t>
        </is>
      </c>
      <c r="D1070" s="48" t="inlineStr">
        <is>
          <t>Nhom 2 - Logic</t>
        </is>
      </c>
      <c r="E1070" s="48" t="inlineStr">
        <is>
          <t>Subquery / custom function / điều kiện LIKE đúng ý nghĩa nghiệp vụ</t>
        </is>
      </c>
      <c r="F1070" s="48" t="inlineStr">
        <is>
          <t>N-A</t>
        </is>
      </c>
      <c r="G1070" s="48" t="inlineStr">
        <is>
          <t>Pass</t>
        </is>
      </c>
      <c r="H1070" s="50" t="inlineStr">
        <is>
          <t>script không có điều kiện LIKE hay scalar subquery nào</t>
        </is>
      </c>
      <c r="I1070" s="50" t="inlineStr">
        <is>
          <t>Đọc lại từng điều kiện LIKE và từng subquery, đối chiếu ý nghĩa nghiệp vụ với on-prem — đúng cú pháp không đủ. Chú ý pattern LIKE có ký tự % ở đầu/cuối và phân biệt chữ hoa/thường.</t>
        </is>
      </c>
      <c r="J1070" s="48" t="inlineStr">
        <is>
          <t>071. OCB_GOLD_TCKH_OPEX_DTL_HOP.xlsx [SCRIPT: OPEX_DTL]</t>
        </is>
      </c>
    </row>
    <row r="1071">
      <c r="A1071" s="48" t="inlineStr">
        <is>
          <t>TCKH.OPEX_DTL</t>
        </is>
      </c>
      <c r="B1071" s="48" t="inlineStr">
        <is>
          <t>GOLD_DERIVED</t>
        </is>
      </c>
      <c r="C1071" s="48" t="inlineStr">
        <is>
          <t>2.10</t>
        </is>
      </c>
      <c r="D1071" s="48" t="inlineStr">
        <is>
          <t>Nhom 2 - Logic</t>
        </is>
      </c>
      <c r="E1071" s="48" t="inlineStr">
        <is>
          <t>Aggregation kèm filter date range chính xác</t>
        </is>
      </c>
      <c r="F1071" s="49" t="inlineStr">
        <is>
          <t>PASS</t>
        </is>
      </c>
      <c r="G1071" s="48" t="inlineStr">
        <is>
          <t>Pass</t>
        </is>
      </c>
      <c r="H1071" s="50" t="inlineStr">
        <is>
          <t>mọi khối tổng hợp đều có điều kiện theo kỳ dữ liệu</t>
        </is>
      </c>
      <c r="I1071" s="50" t="inlineStr">
        <is>
          <t>Mỗi khối SUM/COUNT/AVG phải có điều kiện lọc theo kỳ dữ liệu (CDR_DT_ID, DATA_DATE, :DATADT…). Nếu điều kiện nằm ở CTE nguồn thì ghi rõ trong comment để người review không phải truy ngược.</t>
        </is>
      </c>
      <c r="J1071" s="48" t="inlineStr">
        <is>
          <t>071. OCB_GOLD_TCKH_OPEX_DTL_HOP.xlsx [SCRIPT: OPEX_DTL]</t>
        </is>
      </c>
    </row>
    <row r="1072">
      <c r="A1072" s="48" t="inlineStr">
        <is>
          <t>TCKH.OPEX_DTL</t>
        </is>
      </c>
      <c r="B1072" s="48" t="inlineStr">
        <is>
          <t>GOLD_DERIVED</t>
        </is>
      </c>
      <c r="C1072" s="48" t="inlineStr">
        <is>
          <t>2.11</t>
        </is>
      </c>
      <c r="D1072" s="48" t="inlineStr">
        <is>
          <t>Nhom 2 - Logic</t>
        </is>
      </c>
      <c r="E1072" s="48" t="inlineStr">
        <is>
          <t>Join dùng key hợp lý, không lạm dụng UNION ALL + EXISTS/NOT EXISTS</t>
        </is>
      </c>
      <c r="F1072" s="49" t="inlineStr">
        <is>
          <t>PASS</t>
        </is>
      </c>
      <c r="G1072" s="48" t="inlineStr">
        <is>
          <t>Pass</t>
        </is>
      </c>
      <c r="H1072" s="50" t="inlineStr">
        <is>
          <t>join đều theo điều kiện bằng, không lạm dụng UNION ALL + EXISTS</t>
        </is>
      </c>
      <c r="I1072" s="50" t="inlineStr">
        <is>
          <t>Ưu tiên LEFT JOIN theo business key hoặc hashkey. Xem lại các chỗ dùng UNION ALL kết hợp EXISTS/NOT EXISTS — thường thay được bằng một LEFT JOIN. Join không có điều kiện bằng (=) dễ tạo tích Descartes.</t>
        </is>
      </c>
      <c r="J1072" s="48" t="inlineStr">
        <is>
          <t>071. OCB_GOLD_TCKH_OPEX_DTL_HOP.xlsx [SCRIPT: OPEX_DTL]</t>
        </is>
      </c>
    </row>
    <row r="1073">
      <c r="A1073" s="48" t="inlineStr">
        <is>
          <t>TCKH.OPEX_DTL</t>
        </is>
      </c>
      <c r="B1073" s="48" t="inlineStr">
        <is>
          <t>GOLD_DERIVED</t>
        </is>
      </c>
      <c r="C1073" s="48" t="inlineStr">
        <is>
          <t>2.12</t>
        </is>
      </c>
      <c r="D1073" s="48" t="inlineStr">
        <is>
          <t>Nhom 2 - Logic</t>
        </is>
      </c>
      <c r="E1073" s="48" t="inlineStr">
        <is>
          <t>Build Gold từ CTE snapshot Silver, không build nhiều tầng chồng chéo</t>
        </is>
      </c>
      <c r="F1073" s="49" t="inlineStr">
        <is>
          <t>PASS</t>
        </is>
      </c>
      <c r="G1073" s="48" t="inlineStr">
        <is>
          <t>Pass</t>
        </is>
      </c>
      <c r="H1073" s="50" t="inlineStr">
        <is>
          <t>mỗi bảng nguồn chỉ đọc trong 1 khối SELECT</t>
        </is>
      </c>
      <c r="I1073"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73" s="48" t="inlineStr">
        <is>
          <t>071. OCB_GOLD_TCKH_OPEX_DTL_HOP.xlsx [SCRIPT: OPEX_DTL]</t>
        </is>
      </c>
    </row>
    <row r="1074">
      <c r="A1074" s="48" t="inlineStr">
        <is>
          <t>TCKH.OPEX_DTL</t>
        </is>
      </c>
      <c r="B1074" s="48" t="inlineStr">
        <is>
          <t>GOLD_DERIVED</t>
        </is>
      </c>
      <c r="C1074" s="48" t="inlineStr">
        <is>
          <t>3.1</t>
        </is>
      </c>
      <c r="D1074" s="48" t="inlineStr">
        <is>
          <t>Nhom 3 - Optimization</t>
        </is>
      </c>
      <c r="E1074" s="48" t="inlineStr">
        <is>
          <t>Không SELECT *</t>
        </is>
      </c>
      <c r="F1074" s="49" t="inlineStr">
        <is>
          <t>PASS</t>
        </is>
      </c>
      <c r="G1074" s="48" t="inlineStr">
        <is>
          <t>Pass</t>
        </is>
      </c>
      <c r="H1074" s="50" t="inlineStr">
        <is>
          <t>không dùng SELECT * ở đâu</t>
        </is>
      </c>
      <c r="I1074" s="50" t="inlineStr">
        <is>
          <t>Liệt kê tường minh các cột cần dùng, kể cả trong CTE trung gian. SELECT * làm tăng IO/memory và vỡ script khi bảng nguồn thêm cột.</t>
        </is>
      </c>
      <c r="J1074" s="48" t="inlineStr">
        <is>
          <t>071. OCB_GOLD_TCKH_OPEX_DTL_HOP.xlsx [SCRIPT: OPEX_DTL]</t>
        </is>
      </c>
    </row>
    <row r="1075">
      <c r="A1075" s="48" t="inlineStr">
        <is>
          <t>TCKH.OPEX_DTL</t>
        </is>
      </c>
      <c r="B1075" s="48" t="inlineStr">
        <is>
          <t>GOLD_DERIVED</t>
        </is>
      </c>
      <c r="C1075" s="48" t="inlineStr">
        <is>
          <t>3.2</t>
        </is>
      </c>
      <c r="D1075" s="48" t="inlineStr">
        <is>
          <t>Nhom 3 - Optimization</t>
        </is>
      </c>
      <c r="E1075" s="48" t="inlineStr">
        <is>
          <t>CTE không bị scan lại nhiều lần</t>
        </is>
      </c>
      <c r="F1075" s="49" t="inlineStr">
        <is>
          <t>PASS</t>
        </is>
      </c>
      <c r="G1075" s="48" t="inlineStr">
        <is>
          <t>Pass</t>
        </is>
      </c>
      <c r="H1075" s="50" t="inlineStr">
        <is>
          <t>không có CTE nào bị gọi lại</t>
        </is>
      </c>
      <c r="I1075" s="50" t="inlineStr">
        <is>
          <t>Với CTE nặng (đọc nhiều bảng Silver) bị tham chiếu từ 2 chỗ trở lên: gom lại còn một lần dùng, hoặc vật chất hóa (CACHE / bảng tạm). CTE nhẹ chỉ chứa tham số thì bỏ qua được — tự tick Pass.</t>
        </is>
      </c>
      <c r="J1075" s="48" t="inlineStr">
        <is>
          <t>071. OCB_GOLD_TCKH_OPEX_DTL_HOP.xlsx [SCRIPT: OPEX_DTL]</t>
        </is>
      </c>
    </row>
    <row r="1076">
      <c r="A1076" s="48" t="inlineStr">
        <is>
          <t>TCKH.OPEX_DTL</t>
        </is>
      </c>
      <c r="B1076" s="48" t="inlineStr">
        <is>
          <t>GOLD_DERIVED</t>
        </is>
      </c>
      <c r="C1076" s="48" t="inlineStr">
        <is>
          <t>3.3</t>
        </is>
      </c>
      <c r="D1076" s="48" t="inlineStr">
        <is>
          <t>Nhom 3 - Optimization</t>
        </is>
      </c>
      <c r="E1076" s="48" t="inlineStr">
        <is>
          <t>Filter trước khi join, tận dụng partition pruning</t>
        </is>
      </c>
      <c r="F1076" s="49" t="inlineStr">
        <is>
          <t>PASS</t>
        </is>
      </c>
      <c r="G1076" s="48" t="inlineStr">
        <is>
          <t>Pass</t>
        </is>
      </c>
      <c r="H1076" s="50" t="inlineStr">
        <is>
          <t>các bảng join đều được filter trước</t>
        </is>
      </c>
      <c r="I1076" s="50" t="inlineStr">
        <is>
          <t>Đưa điều kiện lọc (ngày dữ liệu, trạng thái) vào subquery của từng bảng TRƯỚC khi join, để tận dụng partition pruning. Bảng dim nhỏ không partition thì không cần — tự tick Pass.</t>
        </is>
      </c>
      <c r="J1076" s="48" t="inlineStr">
        <is>
          <t>071. OCB_GOLD_TCKH_OPEX_DTL_HOP.xlsx [SCRIPT: OPEX_DTL]</t>
        </is>
      </c>
    </row>
    <row r="1077">
      <c r="A1077" s="48" t="inlineStr">
        <is>
          <t>TCKH.OPEX_DTL</t>
        </is>
      </c>
      <c r="B1077" s="48" t="inlineStr">
        <is>
          <t>GOLD_DERIVED</t>
        </is>
      </c>
      <c r="C1077" s="48" t="inlineStr">
        <is>
          <t>3.4</t>
        </is>
      </c>
      <c r="D1077" s="48" t="inlineStr">
        <is>
          <t>Nhom 3 - Optimization</t>
        </is>
      </c>
      <c r="E1077" s="48" t="inlineStr">
        <is>
          <t>Sử dụng CACHE cho query lặp lại trong cùng luồng</t>
        </is>
      </c>
      <c r="F1077" s="48" t="inlineStr">
        <is>
          <t>N-A</t>
        </is>
      </c>
      <c r="G1077" s="48" t="inlineStr">
        <is>
          <t>Pass</t>
        </is>
      </c>
      <c r="H1077" s="50" t="inlineStr">
        <is>
          <t>không có kết quả nào được dùng lại nhiều lần nên chưa cần CACHE</t>
        </is>
      </c>
      <c r="I1077" s="50" t="inlineStr">
        <is>
          <t>Nếu một kết quả nặng được dùng lại nhiều bước trong cùng luồng, thêm CACHE TABLE / CACHE SELECT. Kết quả nhỏ thì cache còn chậm hơn — tự tick Pass.</t>
        </is>
      </c>
      <c r="J1077" s="48" t="inlineStr">
        <is>
          <t>071. OCB_GOLD_TCKH_OPEX_DTL_HOP.xlsx [SCRIPT: OPEX_DTL]</t>
        </is>
      </c>
    </row>
    <row r="1078">
      <c r="A1078" s="48" t="inlineStr">
        <is>
          <t>TCKH.OPEX_DTL</t>
        </is>
      </c>
      <c r="B1078" s="48" t="inlineStr">
        <is>
          <t>GOLD_DERIVED</t>
        </is>
      </c>
      <c r="C1078" s="48" t="inlineStr">
        <is>
          <t>3.5</t>
        </is>
      </c>
      <c r="D1078" s="48" t="inlineStr">
        <is>
          <t>Nhom 3 - Optimization</t>
        </is>
      </c>
      <c r="E1078" s="48" t="inlineStr">
        <is>
          <t>Ưu tiên MAX_BY + QUALIFY thay ROW_NUMBER() + WHERE rn = 1</t>
        </is>
      </c>
      <c r="F1078" s="48" t="inlineStr">
        <is>
          <t>N-A</t>
        </is>
      </c>
      <c r="G1078" s="48" t="inlineStr">
        <is>
          <t>Pass</t>
        </is>
      </c>
      <c r="H1078" s="50" t="inlineStr">
        <is>
          <t>script không dùng ROW_NUMBER</t>
        </is>
      </c>
      <c r="I1078"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78" s="48" t="inlineStr">
        <is>
          <t>071. OCB_GOLD_TCKH_OPEX_DTL_HOP.xlsx [SCRIPT: OPEX_DTL]</t>
        </is>
      </c>
    </row>
    <row r="1079">
      <c r="A1079" s="48" t="inlineStr">
        <is>
          <t>TCKH.OPEX_DTL</t>
        </is>
      </c>
      <c r="B1079" s="48" t="inlineStr">
        <is>
          <t>GOLD_DERIVED</t>
        </is>
      </c>
      <c r="C1079" s="48" t="inlineStr">
        <is>
          <t>3.6</t>
        </is>
      </c>
      <c r="D1079" s="48" t="inlineStr">
        <is>
          <t>Nhom 3 - Optimization</t>
        </is>
      </c>
      <c r="E1079" s="48" t="inlineStr">
        <is>
          <t>Không lạm dụng window function; có comment khi dùng</t>
        </is>
      </c>
      <c r="F1079" s="48" t="inlineStr">
        <is>
          <t>N-A</t>
        </is>
      </c>
      <c r="G1079" s="48" t="inlineStr">
        <is>
          <t>Pass</t>
        </is>
      </c>
      <c r="H1079" s="50" t="inlineStr">
        <is>
          <t>script không dùng window function</t>
        </is>
      </c>
      <c r="I1079" s="50" t="inlineStr">
        <is>
          <t>Mỗi window function cần một comment ngay trên khối CTE chứa nó, nói rõ vì sao không dùng được max_by/QUALIFY đơn giản hơn.</t>
        </is>
      </c>
      <c r="J1079" s="48" t="inlineStr">
        <is>
          <t>071. OCB_GOLD_TCKH_OPEX_DTL_HOP.xlsx [SCRIPT: OPEX_DTL]</t>
        </is>
      </c>
    </row>
    <row r="1080">
      <c r="A1080" s="48" t="inlineStr">
        <is>
          <t>TCKH.OPEX_DTL</t>
        </is>
      </c>
      <c r="B1080" s="48" t="inlineStr">
        <is>
          <t>GOLD_DERIVED</t>
        </is>
      </c>
      <c r="C1080" s="48" t="inlineStr">
        <is>
          <t>X.1</t>
        </is>
      </c>
      <c r="D1080" s="48" t="inlineStr">
        <is>
          <t>Nhom X - Bo sung Raffles</t>
        </is>
      </c>
      <c r="E1080" s="48" t="inlineStr">
        <is>
          <t>[Bổ sung] Link phải rút về current trước khi join (chống fan-out)</t>
        </is>
      </c>
      <c r="F1080" s="48" t="inlineStr">
        <is>
          <t>N-A</t>
        </is>
      </c>
      <c r="G1080" s="48" t="inlineStr">
        <is>
          <t>Pass</t>
        </is>
      </c>
      <c r="H1080" s="50" t="inlineStr">
        <is>
          <t>khong ap dung cho profile GOLD_DERIVED</t>
        </is>
      </c>
      <c r="I1080"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80" s="48" t="inlineStr">
        <is>
          <t>071. OCB_GOLD_TCKH_OPEX_DTL_HOP.xlsx [SCRIPT: OPEX_DTL]</t>
        </is>
      </c>
    </row>
    <row r="1081">
      <c r="A1081" s="48" t="inlineStr">
        <is>
          <t>TCKH.OPEX_DTL</t>
        </is>
      </c>
      <c r="B1081" s="48" t="inlineStr">
        <is>
          <t>GOLD_DERIVED</t>
        </is>
      </c>
      <c r="C1081" s="48" t="inlineStr">
        <is>
          <t>X.6</t>
        </is>
      </c>
      <c r="D1081" s="48" t="inlineStr">
        <is>
          <t>Nhom X - Bo sung Raffles</t>
        </is>
      </c>
      <c r="E1081" s="48" t="inlineStr">
        <is>
          <t>[Bổ sung] Satellite phải LEFT JOIN, không INNER JOIN</t>
        </is>
      </c>
      <c r="F1081" s="48" t="inlineStr">
        <is>
          <t>N-A</t>
        </is>
      </c>
      <c r="G1081" s="48" t="inlineStr">
        <is>
          <t>Pass</t>
        </is>
      </c>
      <c r="H1081" s="50" t="inlineStr">
        <is>
          <t>khong ap dung cho profile GOLD_DERIVED</t>
        </is>
      </c>
      <c r="I1081" s="50" t="inlineStr">
        <is>
          <t>Technical Document III.4.2.2 nguyên tắc 1: làm giàu thuộc tính luôn dùng LEFT JOIN. INNER JOIN satellite sẽ loại mất bản ghi Hub đang còn hiệu lực nhưng chưa có dòng satellite.</t>
        </is>
      </c>
      <c r="J1081" s="48" t="inlineStr">
        <is>
          <t>071. OCB_GOLD_TCKH_OPEX_DTL_HOP.xlsx [SCRIPT: OPEX_DTL]</t>
        </is>
      </c>
    </row>
    <row r="1082">
      <c r="A1082" s="48" t="inlineStr">
        <is>
          <t>TCKH.OPEX_DTL</t>
        </is>
      </c>
      <c r="B1082" s="48" t="inlineStr">
        <is>
          <t>GOLD_DERIVED</t>
        </is>
      </c>
      <c r="C1082" s="48" t="inlineStr">
        <is>
          <t>X.7</t>
        </is>
      </c>
      <c r="D1082" s="48" t="inlineStr">
        <is>
          <t>Nhom X - Bo sung Raffles</t>
        </is>
      </c>
      <c r="E1082" s="48" t="inlineStr">
        <is>
          <t>[Bổ sung] Không hard-code catalog, dùng biến môi trường</t>
        </is>
      </c>
      <c r="F1082" s="49" t="inlineStr">
        <is>
          <t>PASS</t>
        </is>
      </c>
      <c r="G1082" s="48" t="inlineStr">
        <is>
          <t>Pass</t>
        </is>
      </c>
      <c r="H1082" s="50" t="inlineStr">
        <is>
          <t>dùng biến môi trường cho catalog</t>
        </is>
      </c>
      <c r="I1082"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82" s="48" t="inlineStr">
        <is>
          <t>071. OCB_GOLD_TCKH_OPEX_DTL_HOP.xlsx [SCRIPT: OPEX_DTL]</t>
        </is>
      </c>
    </row>
    <row r="1083">
      <c r="A1083" s="48" t="inlineStr">
        <is>
          <t>TCKH.T24_USER</t>
        </is>
      </c>
      <c r="B1083" s="48" t="inlineStr">
        <is>
          <t>SILVER_CONSUMER</t>
        </is>
      </c>
      <c r="C1083" s="48" t="inlineStr">
        <is>
          <t>1.1</t>
        </is>
      </c>
      <c r="D1083" s="48" t="inlineStr">
        <is>
          <t>Nhom 1 - Mapping</t>
        </is>
      </c>
      <c r="E1083" s="48" t="inlineStr">
        <is>
          <t>Đầy đủ mapping từ Silver/manual sang Gold</t>
        </is>
      </c>
      <c r="F1083" s="49" t="inlineStr">
        <is>
          <t>PASS</t>
        </is>
      </c>
      <c r="G1083" s="48" t="inlineStr">
        <is>
          <t>Pass</t>
        </is>
      </c>
      <c r="H1083" s="50" t="inlineStr">
        <is>
          <t>workbook 074. OCB_GOLD_TCKH_T24_USER_BAOANH.xlsx: thiết kế 41 field, SQL có 41 cột</t>
        </is>
      </c>
      <c r="I1083"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83" s="48" t="inlineStr">
        <is>
          <t>074. OCB_GOLD_TCKH_T24_USER_BAOANH.xlsx [SCRIPT: T24_USER]</t>
        </is>
      </c>
    </row>
    <row r="1084">
      <c r="A1084" s="48" t="inlineStr">
        <is>
          <t>TCKH.T24_USER</t>
        </is>
      </c>
      <c r="B1084" s="48" t="inlineStr">
        <is>
          <t>SILVER_CONSUMER</t>
        </is>
      </c>
      <c r="C1084" s="48" t="inlineStr">
        <is>
          <t>1.2</t>
        </is>
      </c>
      <c r="D1084" s="48" t="inlineStr">
        <is>
          <t>Nhom 1 - Mapping</t>
        </is>
      </c>
      <c r="E1084" s="48" t="inlineStr">
        <is>
          <t>Danh sách bảng/view Gold khớp tài liệu thiết kế đã duyệt</t>
        </is>
      </c>
      <c r="F1084" s="49" t="inlineStr">
        <is>
          <t>PASS</t>
        </is>
      </c>
      <c r="G1084" s="48" t="inlineStr">
        <is>
          <t>Pass</t>
        </is>
      </c>
      <c r="H1084" s="50" t="inlineStr">
        <is>
          <t>T24_USER có workbook thiết kế: 074. OCB_GOLD_TCKH_T24_USER_BAOANH.xlsx</t>
        </is>
      </c>
      <c r="I1084" s="50" t="inlineStr">
        <is>
          <t>Đảm bảo object có workbook thiết kế tương ứng trong thư mục --mapping-dir. Muốn đối chiếu với danh sách đã duyệt thì chạy thêm tham số --gold-list "&lt;file danh sách Gold&gt;.xlsx".</t>
        </is>
      </c>
      <c r="J1084" s="48" t="inlineStr">
        <is>
          <t>074. OCB_GOLD_TCKH_T24_USER_BAOANH.xlsx [SCRIPT: T24_USER]</t>
        </is>
      </c>
    </row>
    <row r="1085">
      <c r="A1085" s="48" t="inlineStr">
        <is>
          <t>TCKH.T24_USER</t>
        </is>
      </c>
      <c r="B1085" s="48" t="inlineStr">
        <is>
          <t>SILVER_CONSUMER</t>
        </is>
      </c>
      <c r="C1085" s="48" t="inlineStr">
        <is>
          <t>2.1</t>
        </is>
      </c>
      <c r="D1085" s="48" t="inlineStr">
        <is>
          <t>Nhom 2 - Logic</t>
        </is>
      </c>
      <c r="E1085" s="48" t="inlineStr">
        <is>
          <t>Chỉ lấy bản ghi active, loại bản ghi đã xóa (qua sts_hub)</t>
        </is>
      </c>
      <c r="F1085" s="49" t="inlineStr">
        <is>
          <t>PASS</t>
        </is>
      </c>
      <c r="G1085" s="48" t="inlineStr">
        <is>
          <t>Pass</t>
        </is>
      </c>
      <c r="H1085" s="50" t="inlineStr">
        <is>
          <t>1 sts_hub_* đọc đúng format</t>
        </is>
      </c>
      <c r="I1085"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85" s="48" t="inlineStr">
        <is>
          <t>074. OCB_GOLD_TCKH_T24_USER_BAOANH.xlsx [SCRIPT: T24_USER]</t>
        </is>
      </c>
    </row>
    <row r="1086">
      <c r="A1086" s="48" t="inlineStr">
        <is>
          <t>TCKH.T24_USER</t>
        </is>
      </c>
      <c r="B1086" s="48" t="inlineStr">
        <is>
          <t>SILVER_CONSUMER</t>
        </is>
      </c>
      <c r="C1086" s="48" t="inlineStr">
        <is>
          <t>2.2</t>
        </is>
      </c>
      <c r="D1086" s="48" t="inlineStr">
        <is>
          <t>Nhom 2 - Logic</t>
        </is>
      </c>
      <c r="E1086" s="48" t="inlineStr">
        <is>
          <t>Thống nhất MỘT pattern duy nhất xác định bản ghi active mới nhất</t>
        </is>
      </c>
      <c r="F1086" s="49" t="inlineStr">
        <is>
          <t>PASS</t>
        </is>
      </c>
      <c r="G1086" s="48" t="inlineStr">
        <is>
          <t>Pass</t>
        </is>
      </c>
      <c r="H1086" s="50" t="inlineStr">
        <is>
          <t>file này dùng: ['MAX_BY']; toàn batch dùng: ['MAX_BY']</t>
        </is>
      </c>
      <c r="I1086"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86" s="48" t="inlineStr">
        <is>
          <t>074. OCB_GOLD_TCKH_T24_USER_BAOANH.xlsx [SCRIPT: T24_USER]</t>
        </is>
      </c>
    </row>
    <row r="1087">
      <c r="A1087" s="48" t="inlineStr">
        <is>
          <t>TCKH.T24_USER</t>
        </is>
      </c>
      <c r="B1087" s="48" t="inlineStr">
        <is>
          <t>SILVER_CONSUMER</t>
        </is>
      </c>
      <c r="C1087" s="48" t="inlineStr">
        <is>
          <t>2.3</t>
        </is>
      </c>
      <c r="D1087" s="48" t="inlineStr">
        <is>
          <t>Nhom 2 - Logic</t>
        </is>
      </c>
      <c r="E1087" s="48" t="inlineStr">
        <is>
          <t>Điều kiện lọc trạng thái đặt SAU khi xác định bản ghi mới nhất</t>
        </is>
      </c>
      <c r="F1087" s="49" t="inlineStr">
        <is>
          <t>PASS</t>
        </is>
      </c>
      <c r="G1087" s="48" t="inlineStr">
        <is>
          <t>Pass</t>
        </is>
      </c>
      <c r="H1087" s="50" t="inlineStr">
        <is>
          <t>không có điều kiện trạng thái nào lồng trong JOIN ON</t>
        </is>
      </c>
      <c r="I1087"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87" s="48" t="inlineStr">
        <is>
          <t>074. OCB_GOLD_TCKH_T24_USER_BAOANH.xlsx [SCRIPT: T24_USER]</t>
        </is>
      </c>
    </row>
    <row r="1088">
      <c r="A1088" s="48" t="inlineStr">
        <is>
          <t>TCKH.T24_USER</t>
        </is>
      </c>
      <c r="B1088" s="48" t="inlineStr">
        <is>
          <t>SILVER_CONSUMER</t>
        </is>
      </c>
      <c r="C1088" s="48" t="inlineStr">
        <is>
          <t>2.4</t>
        </is>
      </c>
      <c r="D1088" s="48" t="inlineStr">
        <is>
          <t>Nhom 2 - Logic</t>
        </is>
      </c>
      <c r="E1088" s="48" t="inlineStr">
        <is>
          <t>source_event_date áp dụng đúng dạng theo loại bảng</t>
        </is>
      </c>
      <c r="F1088" s="49" t="inlineStr">
        <is>
          <t>PASS</t>
        </is>
      </c>
      <c r="G1088" s="48" t="inlineStr">
        <is>
          <t>Pass</t>
        </is>
      </c>
      <c r="H1088" s="50" t="inlineStr">
        <is>
          <t>3 satellite đều đúng dạng điều kiện source_event_date</t>
        </is>
      </c>
      <c r="I1088"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88" s="48" t="inlineStr">
        <is>
          <t>074. OCB_GOLD_TCKH_T24_USER_BAOANH.xlsx [SCRIPT: T24_USER]</t>
        </is>
      </c>
    </row>
    <row r="1089">
      <c r="A1089" s="48" t="inlineStr">
        <is>
          <t>TCKH.T24_USER</t>
        </is>
      </c>
      <c r="B1089" s="48" t="inlineStr">
        <is>
          <t>SILVER_CONSUMER</t>
        </is>
      </c>
      <c r="C1089" s="48" t="inlineStr">
        <is>
          <t>2.5</t>
        </is>
      </c>
      <c r="D1089" s="48" t="inlineStr">
        <is>
          <t>Nhom 2 - Logic</t>
        </is>
      </c>
      <c r="E1089" s="48" t="inlineStr">
        <is>
          <t>Không lặp lại lỗi logic cũ đã được DA Data Vault fix</t>
        </is>
      </c>
      <c r="F1089" s="49" t="inlineStr">
        <is>
          <t>PASS</t>
        </is>
      </c>
      <c r="G1089" s="48" t="inlineStr">
        <is>
          <t>Pass</t>
        </is>
      </c>
      <c r="H1089" s="50" t="inlineStr">
        <is>
          <t>không trùng lỗi nào trong Issue log của DA Data Vault</t>
        </is>
      </c>
      <c r="I1089"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9" s="48" t="inlineStr">
        <is>
          <t>074. OCB_GOLD_TCKH_T24_USER_BAOANH.xlsx [SCRIPT: T24_USER]</t>
        </is>
      </c>
    </row>
    <row r="1090">
      <c r="A1090" s="48" t="inlineStr">
        <is>
          <t>TCKH.T24_USER</t>
        </is>
      </c>
      <c r="B1090" s="48" t="inlineStr">
        <is>
          <t>SILVER_CONSUMER</t>
        </is>
      </c>
      <c r="C1090" s="48" t="inlineStr">
        <is>
          <t>2.6</t>
        </is>
      </c>
      <c r="D1090" s="48" t="inlineStr">
        <is>
          <t>Nhom 2 - Logic</t>
        </is>
      </c>
      <c r="E1090" s="48" t="inlineStr">
        <is>
          <t>SCD Type 2 cho bảng DIM áp dụng đúng kỹ thuật đã thống nhất</t>
        </is>
      </c>
      <c r="F1090" s="48" t="inlineStr">
        <is>
          <t>N-A</t>
        </is>
      </c>
      <c r="G1090" s="48" t="inlineStr">
        <is>
          <t>Pass</t>
        </is>
      </c>
      <c r="H1090" s="50" t="inlineStr">
        <is>
          <t>object không phải bảng DIM nên không áp dụng SCD Type 2</t>
        </is>
      </c>
      <c r="I1090"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90" s="48" t="inlineStr">
        <is>
          <t>074. OCB_GOLD_TCKH_T24_USER_BAOANH.xlsx [SCRIPT: T24_USER]</t>
        </is>
      </c>
    </row>
    <row r="1091">
      <c r="A1091" s="48" t="inlineStr">
        <is>
          <t>TCKH.T24_USER</t>
        </is>
      </c>
      <c r="B1091" s="48" t="inlineStr">
        <is>
          <t>SILVER_CONSUMER</t>
        </is>
      </c>
      <c r="C1091" s="48" t="inlineStr">
        <is>
          <t>2.7</t>
        </is>
      </c>
      <c r="D1091" s="48" t="inlineStr">
        <is>
          <t>Nhom 2 - Logic</t>
        </is>
      </c>
      <c r="E1091" s="48" t="inlineStr">
        <is>
          <t>CASE WHEN cover đủ nhánh như job on-prem</t>
        </is>
      </c>
      <c r="F1091" s="48" t="inlineStr">
        <is>
          <t>N-A</t>
        </is>
      </c>
      <c r="G1091" s="48" t="inlineStr">
        <is>
          <t>Pass</t>
        </is>
      </c>
      <c r="H1091" s="50" t="inlineStr">
        <is>
          <t>script không có CASE WHEN nào</t>
        </is>
      </c>
      <c r="I1091" s="50" t="inlineStr">
        <is>
          <t>Mở job on-prem tương ứng (DataStage DSX hoặc SQL cũ), đối chiếu từng nhánh WHEN và cả nhánh ELSE. CASE không có ELSE sẽ trả NULL âm thầm — xác nhận đó là ý muốn hay thiếu nhánh.</t>
        </is>
      </c>
      <c r="J1091" s="48" t="inlineStr">
        <is>
          <t>074. OCB_GOLD_TCKH_T24_USER_BAOANH.xlsx [SCRIPT: T24_USER]</t>
        </is>
      </c>
    </row>
    <row r="1092">
      <c r="A1092" s="48" t="inlineStr">
        <is>
          <t>TCKH.T24_USER</t>
        </is>
      </c>
      <c r="B1092" s="48" t="inlineStr">
        <is>
          <t>SILVER_CONSUMER</t>
        </is>
      </c>
      <c r="C1092" s="48" t="inlineStr">
        <is>
          <t>2.8</t>
        </is>
      </c>
      <c r="D1092" s="48" t="inlineStr">
        <is>
          <t>Nhom 2 - Logic</t>
        </is>
      </c>
      <c r="E1092" s="48" t="inlineStr">
        <is>
          <t>Cột SUM/COUNT được COALESCE/NVL hợp lý</t>
        </is>
      </c>
      <c r="F1092" s="49" t="inlineStr">
        <is>
          <t>PASS</t>
        </is>
      </c>
      <c r="G1092" s="48" t="inlineStr">
        <is>
          <t>Pass</t>
        </is>
      </c>
      <c r="H1092" s="50" t="inlineStr">
        <is>
          <t>mọi SUM/COUNT đều đã coalesce (trực tiếp hoặc ở lớp ngoài)</t>
        </is>
      </c>
      <c r="I1092"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92" s="48" t="inlineStr">
        <is>
          <t>074. OCB_GOLD_TCKH_T24_USER_BAOANH.xlsx [SCRIPT: T24_USER]</t>
        </is>
      </c>
    </row>
    <row r="1093">
      <c r="A1093" s="48" t="inlineStr">
        <is>
          <t>TCKH.T24_USER</t>
        </is>
      </c>
      <c r="B1093" s="48" t="inlineStr">
        <is>
          <t>SILVER_CONSUMER</t>
        </is>
      </c>
      <c r="C1093" s="48" t="inlineStr">
        <is>
          <t>2.9</t>
        </is>
      </c>
      <c r="D1093" s="48" t="inlineStr">
        <is>
          <t>Nhom 2 - Logic</t>
        </is>
      </c>
      <c r="E1093" s="48" t="inlineStr">
        <is>
          <t>Subquery / custom function / điều kiện LIKE đúng ý nghĩa nghiệp vụ</t>
        </is>
      </c>
      <c r="F1093" s="48" t="inlineStr">
        <is>
          <t>N-A</t>
        </is>
      </c>
      <c r="G1093" s="48" t="inlineStr">
        <is>
          <t>Pass</t>
        </is>
      </c>
      <c r="H1093" s="50" t="inlineStr">
        <is>
          <t>script không có điều kiện LIKE hay scalar subquery nào</t>
        </is>
      </c>
      <c r="I1093" s="50" t="inlineStr">
        <is>
          <t>Đọc lại từng điều kiện LIKE và từng subquery, đối chiếu ý nghĩa nghiệp vụ với on-prem — đúng cú pháp không đủ. Chú ý pattern LIKE có ký tự % ở đầu/cuối và phân biệt chữ hoa/thường.</t>
        </is>
      </c>
      <c r="J1093" s="48" t="inlineStr">
        <is>
          <t>074. OCB_GOLD_TCKH_T24_USER_BAOANH.xlsx [SCRIPT: T24_USER]</t>
        </is>
      </c>
    </row>
    <row r="1094">
      <c r="A1094" s="48" t="inlineStr">
        <is>
          <t>TCKH.T24_USER</t>
        </is>
      </c>
      <c r="B1094" s="48" t="inlineStr">
        <is>
          <t>SILVER_CONSUMER</t>
        </is>
      </c>
      <c r="C1094" s="48" t="inlineStr">
        <is>
          <t>2.10</t>
        </is>
      </c>
      <c r="D1094" s="48" t="inlineStr">
        <is>
          <t>Nhom 2 - Logic</t>
        </is>
      </c>
      <c r="E1094" s="48" t="inlineStr">
        <is>
          <t>Aggregation kèm filter date range chính xác</t>
        </is>
      </c>
      <c r="F1094" s="49" t="inlineStr">
        <is>
          <t>PASS</t>
        </is>
      </c>
      <c r="G1094" s="48" t="inlineStr">
        <is>
          <t>Pass</t>
        </is>
      </c>
      <c r="H1094" s="50" t="inlineStr">
        <is>
          <t>mọi khối tổng hợp đều có điều kiện theo kỳ dữ liệu</t>
        </is>
      </c>
      <c r="I1094" s="50" t="inlineStr">
        <is>
          <t>Mỗi khối SUM/COUNT/AVG phải có điều kiện lọc theo kỳ dữ liệu (CDR_DT_ID, DATA_DATE, :DATADT…). Nếu điều kiện nằm ở CTE nguồn thì ghi rõ trong comment để người review không phải truy ngược.</t>
        </is>
      </c>
      <c r="J1094" s="48" t="inlineStr">
        <is>
          <t>074. OCB_GOLD_TCKH_T24_USER_BAOANH.xlsx [SCRIPT: T24_USER]</t>
        </is>
      </c>
    </row>
    <row r="1095">
      <c r="A1095" s="48" t="inlineStr">
        <is>
          <t>TCKH.T24_USER</t>
        </is>
      </c>
      <c r="B1095" s="48" t="inlineStr">
        <is>
          <t>SILVER_CONSUMER</t>
        </is>
      </c>
      <c r="C1095" s="48" t="inlineStr">
        <is>
          <t>2.11</t>
        </is>
      </c>
      <c r="D1095" s="48" t="inlineStr">
        <is>
          <t>Nhom 2 - Logic</t>
        </is>
      </c>
      <c r="E1095" s="48" t="inlineStr">
        <is>
          <t>Join dùng key hợp lý, không lạm dụng UNION ALL + EXISTS/NOT EXISTS</t>
        </is>
      </c>
      <c r="F1095" s="49" t="inlineStr">
        <is>
          <t>PASS</t>
        </is>
      </c>
      <c r="G1095" s="48" t="inlineStr">
        <is>
          <t>Pass</t>
        </is>
      </c>
      <c r="H1095" s="50" t="inlineStr">
        <is>
          <t>join đều theo điều kiện bằng, không lạm dụng UNION ALL + EXISTS</t>
        </is>
      </c>
      <c r="I1095" s="50" t="inlineStr">
        <is>
          <t>Ưu tiên LEFT JOIN theo business key hoặc hashkey. Xem lại các chỗ dùng UNION ALL kết hợp EXISTS/NOT EXISTS — thường thay được bằng một LEFT JOIN. Join không có điều kiện bằng (=) dễ tạo tích Descartes.</t>
        </is>
      </c>
      <c r="J1095" s="48" t="inlineStr">
        <is>
          <t>074. OCB_GOLD_TCKH_T24_USER_BAOANH.xlsx [SCRIPT: T24_USER]</t>
        </is>
      </c>
    </row>
    <row r="1096">
      <c r="A1096" s="48" t="inlineStr">
        <is>
          <t>TCKH.T24_USER</t>
        </is>
      </c>
      <c r="B1096" s="48" t="inlineStr">
        <is>
          <t>SILVER_CONSUMER</t>
        </is>
      </c>
      <c r="C1096" s="48" t="inlineStr">
        <is>
          <t>2.12</t>
        </is>
      </c>
      <c r="D1096" s="48" t="inlineStr">
        <is>
          <t>Nhom 2 - Logic</t>
        </is>
      </c>
      <c r="E1096" s="48" t="inlineStr">
        <is>
          <t>Build Gold từ CTE snapshot Silver, không build nhiều tầng chồng chéo</t>
        </is>
      </c>
      <c r="F1096" s="49" t="inlineStr">
        <is>
          <t>PASS</t>
        </is>
      </c>
      <c r="G1096" s="48" t="inlineStr">
        <is>
          <t>Pass</t>
        </is>
      </c>
      <c r="H1096" s="50" t="inlineStr">
        <is>
          <t>mỗi bảng nguồn chỉ đọc trong 1 khối SELECT</t>
        </is>
      </c>
      <c r="I1096"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96" s="48" t="inlineStr">
        <is>
          <t>074. OCB_GOLD_TCKH_T24_USER_BAOANH.xlsx [SCRIPT: T24_USER]</t>
        </is>
      </c>
    </row>
    <row r="1097">
      <c r="A1097" s="48" t="inlineStr">
        <is>
          <t>TCKH.T24_USER</t>
        </is>
      </c>
      <c r="B1097" s="48" t="inlineStr">
        <is>
          <t>SILVER_CONSUMER</t>
        </is>
      </c>
      <c r="C1097" s="48" t="inlineStr">
        <is>
          <t>3.1</t>
        </is>
      </c>
      <c r="D1097" s="48" t="inlineStr">
        <is>
          <t>Nhom 3 - Optimization</t>
        </is>
      </c>
      <c r="E1097" s="48" t="inlineStr">
        <is>
          <t>Không SELECT *</t>
        </is>
      </c>
      <c r="F1097" s="49" t="inlineStr">
        <is>
          <t>PASS</t>
        </is>
      </c>
      <c r="G1097" s="48" t="inlineStr">
        <is>
          <t>Pass</t>
        </is>
      </c>
      <c r="H1097" s="50" t="inlineStr">
        <is>
          <t>không dùng SELECT * ở đâu</t>
        </is>
      </c>
      <c r="I1097" s="50" t="inlineStr">
        <is>
          <t>Liệt kê tường minh các cột cần dùng, kể cả trong CTE trung gian. SELECT * làm tăng IO/memory và vỡ script khi bảng nguồn thêm cột.</t>
        </is>
      </c>
      <c r="J1097" s="48" t="inlineStr">
        <is>
          <t>074. OCB_GOLD_TCKH_T24_USER_BAOANH.xlsx [SCRIPT: T24_USER]</t>
        </is>
      </c>
    </row>
    <row r="1098">
      <c r="A1098" s="48" t="inlineStr">
        <is>
          <t>TCKH.T24_USER</t>
        </is>
      </c>
      <c r="B1098" s="48" t="inlineStr">
        <is>
          <t>SILVER_CONSUMER</t>
        </is>
      </c>
      <c r="C1098" s="48" t="inlineStr">
        <is>
          <t>3.2</t>
        </is>
      </c>
      <c r="D1098" s="48" t="inlineStr">
        <is>
          <t>Nhom 3 - Optimization</t>
        </is>
      </c>
      <c r="E1098" s="48" t="inlineStr">
        <is>
          <t>CTE không bị scan lại nhiều lần</t>
        </is>
      </c>
      <c r="F1098" s="49" t="inlineStr">
        <is>
          <t>PASS</t>
        </is>
      </c>
      <c r="G1098" s="48" t="inlineStr">
        <is>
          <t>Pass</t>
        </is>
      </c>
      <c r="H1098" s="50" t="inlineStr">
        <is>
          <t>không có CTE nào bị gọi lại</t>
        </is>
      </c>
      <c r="I1098" s="50" t="inlineStr">
        <is>
          <t>Với CTE nặng (đọc nhiều bảng Silver) bị tham chiếu từ 2 chỗ trở lên: gom lại còn một lần dùng, hoặc vật chất hóa (CACHE / bảng tạm). CTE nhẹ chỉ chứa tham số thì bỏ qua được — tự tick Pass.</t>
        </is>
      </c>
      <c r="J1098" s="48" t="inlineStr">
        <is>
          <t>074. OCB_GOLD_TCKH_T24_USER_BAOANH.xlsx [SCRIPT: T24_USER]</t>
        </is>
      </c>
    </row>
    <row r="1099">
      <c r="A1099" s="48" t="inlineStr">
        <is>
          <t>TCKH.T24_USER</t>
        </is>
      </c>
      <c r="B1099" s="48" t="inlineStr">
        <is>
          <t>SILVER_CONSUMER</t>
        </is>
      </c>
      <c r="C1099" s="48" t="inlineStr">
        <is>
          <t>3.3</t>
        </is>
      </c>
      <c r="D1099" s="48" t="inlineStr">
        <is>
          <t>Nhom 3 - Optimization</t>
        </is>
      </c>
      <c r="E1099" s="48" t="inlineStr">
        <is>
          <t>Filter trước khi join, tận dụng partition pruning</t>
        </is>
      </c>
      <c r="F1099" s="49" t="inlineStr">
        <is>
          <t>PASS</t>
        </is>
      </c>
      <c r="G1099" s="48" t="inlineStr">
        <is>
          <t>Pass</t>
        </is>
      </c>
      <c r="H1099" s="50" t="inlineStr">
        <is>
          <t>các bảng join đều được filter trước</t>
        </is>
      </c>
      <c r="I1099" s="50" t="inlineStr">
        <is>
          <t>Đưa điều kiện lọc (ngày dữ liệu, trạng thái) vào subquery của từng bảng TRƯỚC khi join, để tận dụng partition pruning. Bảng dim nhỏ không partition thì không cần — tự tick Pass.</t>
        </is>
      </c>
      <c r="J1099" s="48" t="inlineStr">
        <is>
          <t>074. OCB_GOLD_TCKH_T24_USER_BAOANH.xlsx [SCRIPT: T24_USER]</t>
        </is>
      </c>
    </row>
    <row r="1100">
      <c r="A1100" s="48" t="inlineStr">
        <is>
          <t>TCKH.T24_USER</t>
        </is>
      </c>
      <c r="B1100" s="48" t="inlineStr">
        <is>
          <t>SILVER_CONSUMER</t>
        </is>
      </c>
      <c r="C1100" s="48" t="inlineStr">
        <is>
          <t>3.4</t>
        </is>
      </c>
      <c r="D1100" s="48" t="inlineStr">
        <is>
          <t>Nhom 3 - Optimization</t>
        </is>
      </c>
      <c r="E1100" s="48" t="inlineStr">
        <is>
          <t>Sử dụng CACHE cho query lặp lại trong cùng luồng</t>
        </is>
      </c>
      <c r="F1100" s="48" t="inlineStr">
        <is>
          <t>N-A</t>
        </is>
      </c>
      <c r="G1100" s="48" t="inlineStr">
        <is>
          <t>Pass</t>
        </is>
      </c>
      <c r="H1100" s="50" t="inlineStr">
        <is>
          <t>không có kết quả nào được dùng lại nhiều lần nên chưa cần CACHE</t>
        </is>
      </c>
      <c r="I1100" s="50" t="inlineStr">
        <is>
          <t>Nếu một kết quả nặng được dùng lại nhiều bước trong cùng luồng, thêm CACHE TABLE / CACHE SELECT. Kết quả nhỏ thì cache còn chậm hơn — tự tick Pass.</t>
        </is>
      </c>
      <c r="J1100" s="48" t="inlineStr">
        <is>
          <t>074. OCB_GOLD_TCKH_T24_USER_BAOANH.xlsx [SCRIPT: T24_USER]</t>
        </is>
      </c>
    </row>
    <row r="1101">
      <c r="A1101" s="48" t="inlineStr">
        <is>
          <t>TCKH.T24_USER</t>
        </is>
      </c>
      <c r="B1101" s="48" t="inlineStr">
        <is>
          <t>SILVER_CONSUMER</t>
        </is>
      </c>
      <c r="C1101" s="48" t="inlineStr">
        <is>
          <t>3.5</t>
        </is>
      </c>
      <c r="D1101" s="48" t="inlineStr">
        <is>
          <t>Nhom 3 - Optimization</t>
        </is>
      </c>
      <c r="E1101" s="48" t="inlineStr">
        <is>
          <t>Ưu tiên MAX_BY + QUALIFY thay ROW_NUMBER() + WHERE rn = 1</t>
        </is>
      </c>
      <c r="F1101" s="48" t="inlineStr">
        <is>
          <t>N-A</t>
        </is>
      </c>
      <c r="G1101" s="48" t="inlineStr">
        <is>
          <t>Pass</t>
        </is>
      </c>
      <c r="H1101" s="50" t="inlineStr">
        <is>
          <t>script không dùng ROW_NUMBER</t>
        </is>
      </c>
      <c r="I1101"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01" s="48" t="inlineStr">
        <is>
          <t>074. OCB_GOLD_TCKH_T24_USER_BAOANH.xlsx [SCRIPT: T24_USER]</t>
        </is>
      </c>
    </row>
    <row r="1102">
      <c r="A1102" s="48" t="inlineStr">
        <is>
          <t>TCKH.T24_USER</t>
        </is>
      </c>
      <c r="B1102" s="48" t="inlineStr">
        <is>
          <t>SILVER_CONSUMER</t>
        </is>
      </c>
      <c r="C1102" s="48" t="inlineStr">
        <is>
          <t>3.6</t>
        </is>
      </c>
      <c r="D1102" s="48" t="inlineStr">
        <is>
          <t>Nhom 3 - Optimization</t>
        </is>
      </c>
      <c r="E1102" s="48" t="inlineStr">
        <is>
          <t>Không lạm dụng window function; có comment khi dùng</t>
        </is>
      </c>
      <c r="F1102" s="48" t="inlineStr">
        <is>
          <t>N-A</t>
        </is>
      </c>
      <c r="G1102" s="48" t="inlineStr">
        <is>
          <t>Pass</t>
        </is>
      </c>
      <c r="H1102" s="50" t="inlineStr">
        <is>
          <t>script không dùng window function</t>
        </is>
      </c>
      <c r="I1102" s="50" t="inlineStr">
        <is>
          <t>Mỗi window function cần một comment ngay trên khối CTE chứa nó, nói rõ vì sao không dùng được max_by/QUALIFY đơn giản hơn.</t>
        </is>
      </c>
      <c r="J1102" s="48" t="inlineStr">
        <is>
          <t>074. OCB_GOLD_TCKH_T24_USER_BAOANH.xlsx [SCRIPT: T24_USER]</t>
        </is>
      </c>
    </row>
    <row r="1103">
      <c r="A1103" s="48" t="inlineStr">
        <is>
          <t>TCKH.T24_USER</t>
        </is>
      </c>
      <c r="B1103" s="48" t="inlineStr">
        <is>
          <t>SILVER_CONSUMER</t>
        </is>
      </c>
      <c r="C1103" s="48" t="inlineStr">
        <is>
          <t>X.1</t>
        </is>
      </c>
      <c r="D1103" s="48" t="inlineStr">
        <is>
          <t>Nhom X - Bo sung Raffles</t>
        </is>
      </c>
      <c r="E1103" s="48" t="inlineStr">
        <is>
          <t>[Bổ sung] Link phải rút về current trước khi join (chống fan-out)</t>
        </is>
      </c>
      <c r="F1103" s="49" t="inlineStr">
        <is>
          <t>PASS</t>
        </is>
      </c>
      <c r="G1103" s="48" t="inlineStr">
        <is>
          <t>Pass</t>
        </is>
      </c>
      <c r="H1103" s="50" t="inlineStr">
        <is>
          <t>các bảng link_* đều được rút về current trước khi join</t>
        </is>
      </c>
      <c r="I1103"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03" s="48" t="inlineStr">
        <is>
          <t>074. OCB_GOLD_TCKH_T24_USER_BAOANH.xlsx [SCRIPT: T24_USER]</t>
        </is>
      </c>
    </row>
    <row r="1104">
      <c r="A1104" s="48" t="inlineStr">
        <is>
          <t>TCKH.T24_USER</t>
        </is>
      </c>
      <c r="B1104" s="48" t="inlineStr">
        <is>
          <t>SILVER_CONSUMER</t>
        </is>
      </c>
      <c r="C1104" s="48" t="inlineStr">
        <is>
          <t>X.6</t>
        </is>
      </c>
      <c r="D1104" s="48" t="inlineStr">
        <is>
          <t>Nhom X - Bo sung Raffles</t>
        </is>
      </c>
      <c r="E1104" s="48" t="inlineStr">
        <is>
          <t>[Bổ sung] Satellite phải LEFT JOIN, không INNER JOIN</t>
        </is>
      </c>
      <c r="F1104" s="49" t="inlineStr">
        <is>
          <t>PASS</t>
        </is>
      </c>
      <c r="G1104" s="48" t="inlineStr">
        <is>
          <t>Pass</t>
        </is>
      </c>
      <c r="H1104" s="50" t="inlineStr">
        <is>
          <t>các satellite đều LEFT JOIN</t>
        </is>
      </c>
      <c r="I1104" s="50" t="inlineStr">
        <is>
          <t>Technical Document III.4.2.2 nguyên tắc 1: làm giàu thuộc tính luôn dùng LEFT JOIN. INNER JOIN satellite sẽ loại mất bản ghi Hub đang còn hiệu lực nhưng chưa có dòng satellite.</t>
        </is>
      </c>
      <c r="J1104" s="48" t="inlineStr">
        <is>
          <t>074. OCB_GOLD_TCKH_T24_USER_BAOANH.xlsx [SCRIPT: T24_USER]</t>
        </is>
      </c>
    </row>
    <row r="1105">
      <c r="A1105" s="48" t="inlineStr">
        <is>
          <t>TCKH.T24_USER</t>
        </is>
      </c>
      <c r="B1105" s="48" t="inlineStr">
        <is>
          <t>SILVER_CONSUMER</t>
        </is>
      </c>
      <c r="C1105" s="48" t="inlineStr">
        <is>
          <t>X.7</t>
        </is>
      </c>
      <c r="D1105" s="48" t="inlineStr">
        <is>
          <t>Nhom X - Bo sung Raffles</t>
        </is>
      </c>
      <c r="E1105" s="48" t="inlineStr">
        <is>
          <t>[Bổ sung] Không hard-code catalog, dùng biến môi trường</t>
        </is>
      </c>
      <c r="F1105" s="49" t="inlineStr">
        <is>
          <t>PASS</t>
        </is>
      </c>
      <c r="G1105" s="48" t="inlineStr">
        <is>
          <t>Pass</t>
        </is>
      </c>
      <c r="H1105" s="50" t="inlineStr">
        <is>
          <t>dùng biến môi trường cho catalog</t>
        </is>
      </c>
      <c r="I1105"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05" s="48" t="inlineStr">
        <is>
          <t>074. OCB_GOLD_TCKH_T24_USER_BAOANH.xlsx [SCRIPT: T24_USER]</t>
        </is>
      </c>
    </row>
    <row r="1106">
      <c r="A1106" s="48" t="inlineStr">
        <is>
          <t>TCKH.TXN_TP_DIM</t>
        </is>
      </c>
      <c r="B1106" s="48" t="inlineStr">
        <is>
          <t>SILVER_CONSUMER</t>
        </is>
      </c>
      <c r="C1106" s="48" t="inlineStr">
        <is>
          <t>1.1</t>
        </is>
      </c>
      <c r="D1106" s="48" t="inlineStr">
        <is>
          <t>Nhom 1 - Mapping</t>
        </is>
      </c>
      <c r="E1106" s="48" t="inlineStr">
        <is>
          <t>Đầy đủ mapping từ Silver/manual sang Gold</t>
        </is>
      </c>
      <c r="F1106" s="49" t="inlineStr">
        <is>
          <t>PASS</t>
        </is>
      </c>
      <c r="G1106" s="48" t="inlineStr">
        <is>
          <t>Pass</t>
        </is>
      </c>
      <c r="H1106" s="50" t="inlineStr">
        <is>
          <t>workbook 071. OCB_GOLD_TCKH_OPEX_DTL_HOP.xlsx: thiết kế 4 field, SQL có 4 cột</t>
        </is>
      </c>
      <c r="I1106"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06" s="48" t="inlineStr">
        <is>
          <t>076. OCB_GOLD_TCKH_TXN_TP_DIM_HOP.xlsx [SCRIPT: TXN_TP_DIM]</t>
        </is>
      </c>
    </row>
    <row r="1107">
      <c r="A1107" s="48" t="inlineStr">
        <is>
          <t>TCKH.TXN_TP_DIM</t>
        </is>
      </c>
      <c r="B1107" s="48" t="inlineStr">
        <is>
          <t>SILVER_CONSUMER</t>
        </is>
      </c>
      <c r="C1107" s="48" t="inlineStr">
        <is>
          <t>1.2</t>
        </is>
      </c>
      <c r="D1107" s="48" t="inlineStr">
        <is>
          <t>Nhom 1 - Mapping</t>
        </is>
      </c>
      <c r="E1107" s="48" t="inlineStr">
        <is>
          <t>Danh sách bảng/view Gold khớp tài liệu thiết kế đã duyệt</t>
        </is>
      </c>
      <c r="F1107" s="49" t="inlineStr">
        <is>
          <t>PASS</t>
        </is>
      </c>
      <c r="G1107" s="48" t="inlineStr">
        <is>
          <t>Pass</t>
        </is>
      </c>
      <c r="H1107" s="50" t="inlineStr">
        <is>
          <t>TXN_TP_DIM có workbook thiết kế: 071. OCB_GOLD_TCKH_OPEX_DTL_HOP.xlsx</t>
        </is>
      </c>
      <c r="I1107" s="50" t="inlineStr">
        <is>
          <t>Đảm bảo object có workbook thiết kế tương ứng trong thư mục --mapping-dir. Muốn đối chiếu với danh sách đã duyệt thì chạy thêm tham số --gold-list "&lt;file danh sách Gold&gt;.xlsx".</t>
        </is>
      </c>
      <c r="J1107" s="48" t="inlineStr">
        <is>
          <t>076. OCB_GOLD_TCKH_TXN_TP_DIM_HOP.xlsx [SCRIPT: TXN_TP_DIM]</t>
        </is>
      </c>
    </row>
    <row r="1108">
      <c r="A1108" s="48" t="inlineStr">
        <is>
          <t>TCKH.TXN_TP_DIM</t>
        </is>
      </c>
      <c r="B1108" s="48" t="inlineStr">
        <is>
          <t>SILVER_CONSUMER</t>
        </is>
      </c>
      <c r="C1108" s="48" t="inlineStr">
        <is>
          <t>2.1</t>
        </is>
      </c>
      <c r="D1108" s="48" t="inlineStr">
        <is>
          <t>Nhom 2 - Logic</t>
        </is>
      </c>
      <c r="E1108" s="48" t="inlineStr">
        <is>
          <t>Chỉ lấy bản ghi active, loại bản ghi đã xóa (qua sts_hub)</t>
        </is>
      </c>
      <c r="F1108" s="48" t="inlineStr">
        <is>
          <t>N-A</t>
        </is>
      </c>
      <c r="G1108" s="48" t="inlineStr">
        <is>
          <t>Pass</t>
        </is>
      </c>
      <c r="H1108" s="50" t="inlineStr">
        <is>
          <t>script không đọc sts_hub/satellite nào nên không có bản ghi xóa để lọc</t>
        </is>
      </c>
      <c r="I1108"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08" s="48" t="inlineStr">
        <is>
          <t>076. OCB_GOLD_TCKH_TXN_TP_DIM_HOP.xlsx [SCRIPT: TXN_TP_DIM]</t>
        </is>
      </c>
    </row>
    <row r="1109">
      <c r="A1109" s="48" t="inlineStr">
        <is>
          <t>TCKH.TXN_TP_DIM</t>
        </is>
      </c>
      <c r="B1109" s="48" t="inlineStr">
        <is>
          <t>SILVER_CONSUMER</t>
        </is>
      </c>
      <c r="C1109" s="48" t="inlineStr">
        <is>
          <t>2.2</t>
        </is>
      </c>
      <c r="D1109" s="48" t="inlineStr">
        <is>
          <t>Nhom 2 - Logic</t>
        </is>
      </c>
      <c r="E1109" s="48" t="inlineStr">
        <is>
          <t>Thống nhất MỘT pattern duy nhất xác định bản ghi active mới nhất</t>
        </is>
      </c>
      <c r="F1109" s="48" t="inlineStr">
        <is>
          <t>N-A</t>
        </is>
      </c>
      <c r="G1109" s="48" t="inlineStr">
        <is>
          <t>Pass</t>
        </is>
      </c>
      <c r="H1109" s="50" t="inlineStr">
        <is>
          <t>script không có bước lấy bản ghi mới nhất từ satellite</t>
        </is>
      </c>
      <c r="I1109"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09" s="48" t="inlineStr">
        <is>
          <t>076. OCB_GOLD_TCKH_TXN_TP_DIM_HOP.xlsx [SCRIPT: TXN_TP_DIM]</t>
        </is>
      </c>
    </row>
    <row r="1110">
      <c r="A1110" s="48" t="inlineStr">
        <is>
          <t>TCKH.TXN_TP_DIM</t>
        </is>
      </c>
      <c r="B1110" s="48" t="inlineStr">
        <is>
          <t>SILVER_CONSUMER</t>
        </is>
      </c>
      <c r="C1110" s="48" t="inlineStr">
        <is>
          <t>2.3</t>
        </is>
      </c>
      <c r="D1110" s="48" t="inlineStr">
        <is>
          <t>Nhom 2 - Logic</t>
        </is>
      </c>
      <c r="E1110" s="48" t="inlineStr">
        <is>
          <t>Điều kiện lọc trạng thái đặt SAU khi xác định bản ghi mới nhất</t>
        </is>
      </c>
      <c r="F1110" s="49" t="inlineStr">
        <is>
          <t>PASS</t>
        </is>
      </c>
      <c r="G1110" s="48" t="inlineStr">
        <is>
          <t>Pass</t>
        </is>
      </c>
      <c r="H1110" s="50" t="inlineStr">
        <is>
          <t>không có điều kiện trạng thái nào lồng trong JOIN ON</t>
        </is>
      </c>
      <c r="I1110"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10" s="48" t="inlineStr">
        <is>
          <t>076. OCB_GOLD_TCKH_TXN_TP_DIM_HOP.xlsx [SCRIPT: TXN_TP_DIM]</t>
        </is>
      </c>
    </row>
    <row r="1111">
      <c r="A1111" s="48" t="inlineStr">
        <is>
          <t>TCKH.TXN_TP_DIM</t>
        </is>
      </c>
      <c r="B1111" s="48" t="inlineStr">
        <is>
          <t>SILVER_CONSUMER</t>
        </is>
      </c>
      <c r="C1111" s="48" t="inlineStr">
        <is>
          <t>2.4</t>
        </is>
      </c>
      <c r="D1111" s="48" t="inlineStr">
        <is>
          <t>Nhom 2 - Logic</t>
        </is>
      </c>
      <c r="E1111" s="48" t="inlineStr">
        <is>
          <t>source_event_date áp dụng đúng dạng theo loại bảng</t>
        </is>
      </c>
      <c r="F1111" s="48" t="inlineStr">
        <is>
          <t>N-A</t>
        </is>
      </c>
      <c r="G1111" s="48" t="inlineStr">
        <is>
          <t>Pass</t>
        </is>
      </c>
      <c r="H1111" s="50" t="inlineStr">
        <is>
          <t>script không đọc satellite nào</t>
        </is>
      </c>
      <c r="I1111"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11" s="48" t="inlineStr">
        <is>
          <t>076. OCB_GOLD_TCKH_TXN_TP_DIM_HOP.xlsx [SCRIPT: TXN_TP_DIM]</t>
        </is>
      </c>
    </row>
    <row r="1112">
      <c r="A1112" s="48" t="inlineStr">
        <is>
          <t>TCKH.TXN_TP_DIM</t>
        </is>
      </c>
      <c r="B1112" s="48" t="inlineStr">
        <is>
          <t>SILVER_CONSUMER</t>
        </is>
      </c>
      <c r="C1112" s="48" t="inlineStr">
        <is>
          <t>2.5</t>
        </is>
      </c>
      <c r="D1112" s="48" t="inlineStr">
        <is>
          <t>Nhom 2 - Logic</t>
        </is>
      </c>
      <c r="E1112" s="48" t="inlineStr">
        <is>
          <t>Không lặp lại lỗi logic cũ đã được DA Data Vault fix</t>
        </is>
      </c>
      <c r="F1112" s="49" t="inlineStr">
        <is>
          <t>PASS</t>
        </is>
      </c>
      <c r="G1112" s="48" t="inlineStr">
        <is>
          <t>Pass</t>
        </is>
      </c>
      <c r="H1112" s="50" t="inlineStr">
        <is>
          <t>không trùng lỗi nào trong Issue log của DA Data Vault</t>
        </is>
      </c>
      <c r="I1112"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12" s="48" t="inlineStr">
        <is>
          <t>076. OCB_GOLD_TCKH_TXN_TP_DIM_HOP.xlsx [SCRIPT: TXN_TP_DIM]</t>
        </is>
      </c>
    </row>
    <row r="1113">
      <c r="A1113" s="48" t="inlineStr">
        <is>
          <t>TCKH.TXN_TP_DIM</t>
        </is>
      </c>
      <c r="B1113" s="48" t="inlineStr">
        <is>
          <t>SILVER_CONSUMER</t>
        </is>
      </c>
      <c r="C1113" s="48" t="inlineStr">
        <is>
          <t>2.6</t>
        </is>
      </c>
      <c r="D1113" s="48" t="inlineStr">
        <is>
          <t>Nhom 2 - Logic</t>
        </is>
      </c>
      <c r="E1113" s="48" t="inlineStr">
        <is>
          <t>SCD Type 2 cho bảng DIM áp dụng đúng kỹ thuật đã thống nhất</t>
        </is>
      </c>
      <c r="F1113" s="52" t="inlineStr">
        <is>
          <t>FAIL</t>
        </is>
      </c>
      <c r="G1113" s="48" t="inlineStr">
        <is>
          <t>Fail</t>
        </is>
      </c>
      <c r="H1113" s="50" t="inlineStr">
        <is>
          <t>không dùng APPLY CHANGES ... SCD TYPE 2 và cũng không có cột effective_date/end_date/current_flag để tự quản hiệu lực</t>
        </is>
      </c>
      <c r="I1113"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13" s="48" t="inlineStr">
        <is>
          <t>076. OCB_GOLD_TCKH_TXN_TP_DIM_HOP.xlsx [SCRIPT: TXN_TP_DIM]</t>
        </is>
      </c>
    </row>
    <row r="1114">
      <c r="A1114" s="48" t="inlineStr">
        <is>
          <t>TCKH.TXN_TP_DIM</t>
        </is>
      </c>
      <c r="B1114" s="48" t="inlineStr">
        <is>
          <t>SILVER_CONSUMER</t>
        </is>
      </c>
      <c r="C1114" s="48" t="inlineStr">
        <is>
          <t>2.7</t>
        </is>
      </c>
      <c r="D1114" s="48" t="inlineStr">
        <is>
          <t>Nhom 2 - Logic</t>
        </is>
      </c>
      <c r="E1114" s="48" t="inlineStr">
        <is>
          <t>CASE WHEN cover đủ nhánh như job on-prem</t>
        </is>
      </c>
      <c r="F1114" s="49" t="inlineStr">
        <is>
          <t>PASS</t>
        </is>
      </c>
      <c r="G1114" s="48" t="inlineStr">
        <is>
          <t>Pass</t>
        </is>
      </c>
      <c r="H1114" s="50" t="inlineStr">
        <is>
          <t>cả 2 CASE đều có nhánh ELSE</t>
        </is>
      </c>
      <c r="I1114" s="50" t="inlineStr">
        <is>
          <t>Mở job on-prem tương ứng (DataStage DSX hoặc SQL cũ), đối chiếu từng nhánh WHEN và cả nhánh ELSE. CASE không có ELSE sẽ trả NULL âm thầm — xác nhận đó là ý muốn hay thiếu nhánh.</t>
        </is>
      </c>
      <c r="J1114" s="48" t="inlineStr">
        <is>
          <t>076. OCB_GOLD_TCKH_TXN_TP_DIM_HOP.xlsx [SCRIPT: TXN_TP_DIM]</t>
        </is>
      </c>
    </row>
    <row r="1115">
      <c r="A1115" s="48" t="inlineStr">
        <is>
          <t>TCKH.TXN_TP_DIM</t>
        </is>
      </c>
      <c r="B1115" s="48" t="inlineStr">
        <is>
          <t>SILVER_CONSUMER</t>
        </is>
      </c>
      <c r="C1115" s="48" t="inlineStr">
        <is>
          <t>2.8</t>
        </is>
      </c>
      <c r="D1115" s="48" t="inlineStr">
        <is>
          <t>Nhom 2 - Logic</t>
        </is>
      </c>
      <c r="E1115" s="48" t="inlineStr">
        <is>
          <t>Cột SUM/COUNT được COALESCE/NVL hợp lý</t>
        </is>
      </c>
      <c r="F1115" s="49" t="inlineStr">
        <is>
          <t>PASS</t>
        </is>
      </c>
      <c r="G1115" s="48" t="inlineStr">
        <is>
          <t>Pass</t>
        </is>
      </c>
      <c r="H1115" s="50" t="inlineStr">
        <is>
          <t>mọi SUM/COUNT đều đã coalesce (trực tiếp hoặc ở lớp ngoài)</t>
        </is>
      </c>
      <c r="I1115"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5" s="48" t="inlineStr">
        <is>
          <t>076. OCB_GOLD_TCKH_TXN_TP_DIM_HOP.xlsx [SCRIPT: TXN_TP_DIM]</t>
        </is>
      </c>
    </row>
    <row r="1116">
      <c r="A1116" s="48" t="inlineStr">
        <is>
          <t>TCKH.TXN_TP_DIM</t>
        </is>
      </c>
      <c r="B1116" s="48" t="inlineStr">
        <is>
          <t>SILVER_CONSUMER</t>
        </is>
      </c>
      <c r="C1116" s="48" t="inlineStr">
        <is>
          <t>2.9</t>
        </is>
      </c>
      <c r="D1116" s="48" t="inlineStr">
        <is>
          <t>Nhom 2 - Logic</t>
        </is>
      </c>
      <c r="E1116" s="48" t="inlineStr">
        <is>
          <t>Subquery / custom function / điều kiện LIKE đúng ý nghĩa nghiệp vụ</t>
        </is>
      </c>
      <c r="F1116" s="48" t="inlineStr">
        <is>
          <t>N-A</t>
        </is>
      </c>
      <c r="G1116" s="48" t="inlineStr">
        <is>
          <t>Pass</t>
        </is>
      </c>
      <c r="H1116" s="50" t="inlineStr">
        <is>
          <t>script không có điều kiện LIKE hay scalar subquery nào</t>
        </is>
      </c>
      <c r="I1116" s="50" t="inlineStr">
        <is>
          <t>Đọc lại từng điều kiện LIKE và từng subquery, đối chiếu ý nghĩa nghiệp vụ với on-prem — đúng cú pháp không đủ. Chú ý pattern LIKE có ký tự % ở đầu/cuối và phân biệt chữ hoa/thường.</t>
        </is>
      </c>
      <c r="J1116" s="48" t="inlineStr">
        <is>
          <t>076. OCB_GOLD_TCKH_TXN_TP_DIM_HOP.xlsx [SCRIPT: TXN_TP_DIM]</t>
        </is>
      </c>
    </row>
    <row r="1117">
      <c r="A1117" s="48" t="inlineStr">
        <is>
          <t>TCKH.TXN_TP_DIM</t>
        </is>
      </c>
      <c r="B1117" s="48" t="inlineStr">
        <is>
          <t>SILVER_CONSUMER</t>
        </is>
      </c>
      <c r="C1117" s="48" t="inlineStr">
        <is>
          <t>2.10</t>
        </is>
      </c>
      <c r="D1117" s="48" t="inlineStr">
        <is>
          <t>Nhom 2 - Logic</t>
        </is>
      </c>
      <c r="E1117" s="48" t="inlineStr">
        <is>
          <t>Aggregation kèm filter date range chính xác</t>
        </is>
      </c>
      <c r="F1117" s="49" t="inlineStr">
        <is>
          <t>PASS</t>
        </is>
      </c>
      <c r="G1117" s="48" t="inlineStr">
        <is>
          <t>Pass</t>
        </is>
      </c>
      <c r="H1117" s="50" t="inlineStr">
        <is>
          <t>mọi khối tổng hợp đều có điều kiện theo kỳ dữ liệu</t>
        </is>
      </c>
      <c r="I1117" s="50" t="inlineStr">
        <is>
          <t>Mỗi khối SUM/COUNT/AVG phải có điều kiện lọc theo kỳ dữ liệu (CDR_DT_ID, DATA_DATE, :DATADT…). Nếu điều kiện nằm ở CTE nguồn thì ghi rõ trong comment để người review không phải truy ngược.</t>
        </is>
      </c>
      <c r="J1117" s="48" t="inlineStr">
        <is>
          <t>076. OCB_GOLD_TCKH_TXN_TP_DIM_HOP.xlsx [SCRIPT: TXN_TP_DIM]</t>
        </is>
      </c>
    </row>
    <row r="1118">
      <c r="A1118" s="48" t="inlineStr">
        <is>
          <t>TCKH.TXN_TP_DIM</t>
        </is>
      </c>
      <c r="B1118" s="48" t="inlineStr">
        <is>
          <t>SILVER_CONSUMER</t>
        </is>
      </c>
      <c r="C1118" s="48" t="inlineStr">
        <is>
          <t>2.11</t>
        </is>
      </c>
      <c r="D1118" s="48" t="inlineStr">
        <is>
          <t>Nhom 2 - Logic</t>
        </is>
      </c>
      <c r="E1118" s="48" t="inlineStr">
        <is>
          <t>Join dùng key hợp lý, không lạm dụng UNION ALL + EXISTS/NOT EXISTS</t>
        </is>
      </c>
      <c r="F1118" s="49" t="inlineStr">
        <is>
          <t>PASS</t>
        </is>
      </c>
      <c r="G1118" s="48" t="inlineStr">
        <is>
          <t>Pass</t>
        </is>
      </c>
      <c r="H1118" s="50" t="inlineStr">
        <is>
          <t>join đều theo điều kiện bằng, không lạm dụng UNION ALL + EXISTS</t>
        </is>
      </c>
      <c r="I1118" s="50" t="inlineStr">
        <is>
          <t>Ưu tiên LEFT JOIN theo business key hoặc hashkey. Xem lại các chỗ dùng UNION ALL kết hợp EXISTS/NOT EXISTS — thường thay được bằng một LEFT JOIN. Join không có điều kiện bằng (=) dễ tạo tích Descartes.</t>
        </is>
      </c>
      <c r="J1118" s="48" t="inlineStr">
        <is>
          <t>076. OCB_GOLD_TCKH_TXN_TP_DIM_HOP.xlsx [SCRIPT: TXN_TP_DIM]</t>
        </is>
      </c>
    </row>
    <row r="1119">
      <c r="A1119" s="48" t="inlineStr">
        <is>
          <t>TCKH.TXN_TP_DIM</t>
        </is>
      </c>
      <c r="B1119" s="48" t="inlineStr">
        <is>
          <t>SILVER_CONSUMER</t>
        </is>
      </c>
      <c r="C1119" s="48" t="inlineStr">
        <is>
          <t>2.12</t>
        </is>
      </c>
      <c r="D1119" s="48" t="inlineStr">
        <is>
          <t>Nhom 2 - Logic</t>
        </is>
      </c>
      <c r="E1119" s="48" t="inlineStr">
        <is>
          <t>Build Gold từ CTE snapshot Silver, không build nhiều tầng chồng chéo</t>
        </is>
      </c>
      <c r="F1119" s="49" t="inlineStr">
        <is>
          <t>PASS</t>
        </is>
      </c>
      <c r="G1119" s="48" t="inlineStr">
        <is>
          <t>Pass</t>
        </is>
      </c>
      <c r="H1119" s="50" t="inlineStr">
        <is>
          <t>mỗi bảng nguồn chỉ đọc trong 1 khối SELECT</t>
        </is>
      </c>
      <c r="I1119"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19" s="48" t="inlineStr">
        <is>
          <t>076. OCB_GOLD_TCKH_TXN_TP_DIM_HOP.xlsx [SCRIPT: TXN_TP_DIM]</t>
        </is>
      </c>
    </row>
    <row r="1120">
      <c r="A1120" s="48" t="inlineStr">
        <is>
          <t>TCKH.TXN_TP_DIM</t>
        </is>
      </c>
      <c r="B1120" s="48" t="inlineStr">
        <is>
          <t>SILVER_CONSUMER</t>
        </is>
      </c>
      <c r="C1120" s="48" t="inlineStr">
        <is>
          <t>3.1</t>
        </is>
      </c>
      <c r="D1120" s="48" t="inlineStr">
        <is>
          <t>Nhom 3 - Optimization</t>
        </is>
      </c>
      <c r="E1120" s="48" t="inlineStr">
        <is>
          <t>Không SELECT *</t>
        </is>
      </c>
      <c r="F1120" s="49" t="inlineStr">
        <is>
          <t>PASS</t>
        </is>
      </c>
      <c r="G1120" s="48" t="inlineStr">
        <is>
          <t>Pass</t>
        </is>
      </c>
      <c r="H1120" s="50" t="inlineStr">
        <is>
          <t>không dùng SELECT * ở đâu</t>
        </is>
      </c>
      <c r="I1120" s="50" t="inlineStr">
        <is>
          <t>Liệt kê tường minh các cột cần dùng, kể cả trong CTE trung gian. SELECT * làm tăng IO/memory và vỡ script khi bảng nguồn thêm cột.</t>
        </is>
      </c>
      <c r="J1120" s="48" t="inlineStr">
        <is>
          <t>076. OCB_GOLD_TCKH_TXN_TP_DIM_HOP.xlsx [SCRIPT: TXN_TP_DIM]</t>
        </is>
      </c>
    </row>
    <row r="1121">
      <c r="A1121" s="48" t="inlineStr">
        <is>
          <t>TCKH.TXN_TP_DIM</t>
        </is>
      </c>
      <c r="B1121" s="48" t="inlineStr">
        <is>
          <t>SILVER_CONSUMER</t>
        </is>
      </c>
      <c r="C1121" s="48" t="inlineStr">
        <is>
          <t>3.2</t>
        </is>
      </c>
      <c r="D1121" s="48" t="inlineStr">
        <is>
          <t>Nhom 3 - Optimization</t>
        </is>
      </c>
      <c r="E1121" s="48" t="inlineStr">
        <is>
          <t>CTE không bị scan lại nhiều lần</t>
        </is>
      </c>
      <c r="F1121" s="49" t="inlineStr">
        <is>
          <t>PASS</t>
        </is>
      </c>
      <c r="G1121" s="48" t="inlineStr">
        <is>
          <t>Pass</t>
        </is>
      </c>
      <c r="H1121" s="50" t="inlineStr">
        <is>
          <t>không có CTE nào bị gọi lại</t>
        </is>
      </c>
      <c r="I1121" s="50" t="inlineStr">
        <is>
          <t>Với CTE nặng (đọc nhiều bảng Silver) bị tham chiếu từ 2 chỗ trở lên: gom lại còn một lần dùng, hoặc vật chất hóa (CACHE / bảng tạm). CTE nhẹ chỉ chứa tham số thì bỏ qua được — tự tick Pass.</t>
        </is>
      </c>
      <c r="J1121" s="48" t="inlineStr">
        <is>
          <t>076. OCB_GOLD_TCKH_TXN_TP_DIM_HOP.xlsx [SCRIPT: TXN_TP_DIM]</t>
        </is>
      </c>
    </row>
    <row r="1122">
      <c r="A1122" s="48" t="inlineStr">
        <is>
          <t>TCKH.TXN_TP_DIM</t>
        </is>
      </c>
      <c r="B1122" s="48" t="inlineStr">
        <is>
          <t>SILVER_CONSUMER</t>
        </is>
      </c>
      <c r="C1122" s="48" t="inlineStr">
        <is>
          <t>3.3</t>
        </is>
      </c>
      <c r="D1122" s="48" t="inlineStr">
        <is>
          <t>Nhom 3 - Optimization</t>
        </is>
      </c>
      <c r="E1122" s="48" t="inlineStr">
        <is>
          <t>Filter trước khi join, tận dụng partition pruning</t>
        </is>
      </c>
      <c r="F1122" s="49" t="inlineStr">
        <is>
          <t>PASS</t>
        </is>
      </c>
      <c r="G1122" s="48" t="inlineStr">
        <is>
          <t>Pass</t>
        </is>
      </c>
      <c r="H1122" s="50" t="inlineStr">
        <is>
          <t>các bảng join đều được filter trước</t>
        </is>
      </c>
      <c r="I1122" s="50" t="inlineStr">
        <is>
          <t>Đưa điều kiện lọc (ngày dữ liệu, trạng thái) vào subquery của từng bảng TRƯỚC khi join, để tận dụng partition pruning. Bảng dim nhỏ không partition thì không cần — tự tick Pass.</t>
        </is>
      </c>
      <c r="J1122" s="48" t="inlineStr">
        <is>
          <t>076. OCB_GOLD_TCKH_TXN_TP_DIM_HOP.xlsx [SCRIPT: TXN_TP_DIM]</t>
        </is>
      </c>
    </row>
    <row r="1123">
      <c r="A1123" s="48" t="inlineStr">
        <is>
          <t>TCKH.TXN_TP_DIM</t>
        </is>
      </c>
      <c r="B1123" s="48" t="inlineStr">
        <is>
          <t>SILVER_CONSUMER</t>
        </is>
      </c>
      <c r="C1123" s="48" t="inlineStr">
        <is>
          <t>3.4</t>
        </is>
      </c>
      <c r="D1123" s="48" t="inlineStr">
        <is>
          <t>Nhom 3 - Optimization</t>
        </is>
      </c>
      <c r="E1123" s="48" t="inlineStr">
        <is>
          <t>Sử dụng CACHE cho query lặp lại trong cùng luồng</t>
        </is>
      </c>
      <c r="F1123" s="48" t="inlineStr">
        <is>
          <t>N-A</t>
        </is>
      </c>
      <c r="G1123" s="48" t="inlineStr">
        <is>
          <t>Pass</t>
        </is>
      </c>
      <c r="H1123" s="50" t="inlineStr">
        <is>
          <t>không có kết quả nào được dùng lại nhiều lần nên chưa cần CACHE</t>
        </is>
      </c>
      <c r="I1123" s="50" t="inlineStr">
        <is>
          <t>Nếu một kết quả nặng được dùng lại nhiều bước trong cùng luồng, thêm CACHE TABLE / CACHE SELECT. Kết quả nhỏ thì cache còn chậm hơn — tự tick Pass.</t>
        </is>
      </c>
      <c r="J1123" s="48" t="inlineStr">
        <is>
          <t>076. OCB_GOLD_TCKH_TXN_TP_DIM_HOP.xlsx [SCRIPT: TXN_TP_DIM]</t>
        </is>
      </c>
    </row>
    <row r="1124">
      <c r="A1124" s="48" t="inlineStr">
        <is>
          <t>TCKH.TXN_TP_DIM</t>
        </is>
      </c>
      <c r="B1124" s="48" t="inlineStr">
        <is>
          <t>SILVER_CONSUMER</t>
        </is>
      </c>
      <c r="C1124" s="48" t="inlineStr">
        <is>
          <t>3.5</t>
        </is>
      </c>
      <c r="D1124" s="48" t="inlineStr">
        <is>
          <t>Nhom 3 - Optimization</t>
        </is>
      </c>
      <c r="E1124" s="48" t="inlineStr">
        <is>
          <t>Ưu tiên MAX_BY + QUALIFY thay ROW_NUMBER() + WHERE rn = 1</t>
        </is>
      </c>
      <c r="F1124" s="48" t="inlineStr">
        <is>
          <t>N-A</t>
        </is>
      </c>
      <c r="G1124" s="48" t="inlineStr">
        <is>
          <t>Pass</t>
        </is>
      </c>
      <c r="H1124" s="50" t="inlineStr">
        <is>
          <t>script không dùng ROW_NUMBER</t>
        </is>
      </c>
      <c r="I1124"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24" s="48" t="inlineStr">
        <is>
          <t>076. OCB_GOLD_TCKH_TXN_TP_DIM_HOP.xlsx [SCRIPT: TXN_TP_DIM]</t>
        </is>
      </c>
    </row>
    <row r="1125">
      <c r="A1125" s="48" t="inlineStr">
        <is>
          <t>TCKH.TXN_TP_DIM</t>
        </is>
      </c>
      <c r="B1125" s="48" t="inlineStr">
        <is>
          <t>SILVER_CONSUMER</t>
        </is>
      </c>
      <c r="C1125" s="48" t="inlineStr">
        <is>
          <t>3.6</t>
        </is>
      </c>
      <c r="D1125" s="48" t="inlineStr">
        <is>
          <t>Nhom 3 - Optimization</t>
        </is>
      </c>
      <c r="E1125" s="48" t="inlineStr">
        <is>
          <t>Không lạm dụng window function; có comment khi dùng</t>
        </is>
      </c>
      <c r="F1125" s="48" t="inlineStr">
        <is>
          <t>N-A</t>
        </is>
      </c>
      <c r="G1125" s="48" t="inlineStr">
        <is>
          <t>Pass</t>
        </is>
      </c>
      <c r="H1125" s="50" t="inlineStr">
        <is>
          <t>script không dùng window function</t>
        </is>
      </c>
      <c r="I1125" s="50" t="inlineStr">
        <is>
          <t>Mỗi window function cần một comment ngay trên khối CTE chứa nó, nói rõ vì sao không dùng được max_by/QUALIFY đơn giản hơn.</t>
        </is>
      </c>
      <c r="J1125" s="48" t="inlineStr">
        <is>
          <t>076. OCB_GOLD_TCKH_TXN_TP_DIM_HOP.xlsx [SCRIPT: TXN_TP_DIM]</t>
        </is>
      </c>
    </row>
    <row r="1126">
      <c r="A1126" s="48" t="inlineStr">
        <is>
          <t>TCKH.TXN_TP_DIM</t>
        </is>
      </c>
      <c r="B1126" s="48" t="inlineStr">
        <is>
          <t>SILVER_CONSUMER</t>
        </is>
      </c>
      <c r="C1126" s="48" t="inlineStr">
        <is>
          <t>X.1</t>
        </is>
      </c>
      <c r="D1126" s="48" t="inlineStr">
        <is>
          <t>Nhom X - Bo sung Raffles</t>
        </is>
      </c>
      <c r="E1126" s="48" t="inlineStr">
        <is>
          <t>[Bổ sung] Link phải rút về current trước khi join (chống fan-out)</t>
        </is>
      </c>
      <c r="F1126" s="49" t="inlineStr">
        <is>
          <t>PASS</t>
        </is>
      </c>
      <c r="G1126" s="48" t="inlineStr">
        <is>
          <t>Pass</t>
        </is>
      </c>
      <c r="H1126" s="50" t="inlineStr">
        <is>
          <t>các bảng link_* đều được rút về current trước khi join</t>
        </is>
      </c>
      <c r="I1126"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26" s="48" t="inlineStr">
        <is>
          <t>076. OCB_GOLD_TCKH_TXN_TP_DIM_HOP.xlsx [SCRIPT: TXN_TP_DIM]</t>
        </is>
      </c>
    </row>
    <row r="1127">
      <c r="A1127" s="48" t="inlineStr">
        <is>
          <t>TCKH.TXN_TP_DIM</t>
        </is>
      </c>
      <c r="B1127" s="48" t="inlineStr">
        <is>
          <t>SILVER_CONSUMER</t>
        </is>
      </c>
      <c r="C1127" s="48" t="inlineStr">
        <is>
          <t>X.6</t>
        </is>
      </c>
      <c r="D1127" s="48" t="inlineStr">
        <is>
          <t>Nhom X - Bo sung Raffles</t>
        </is>
      </c>
      <c r="E1127" s="48" t="inlineStr">
        <is>
          <t>[Bổ sung] Satellite phải LEFT JOIN, không INNER JOIN</t>
        </is>
      </c>
      <c r="F1127" s="48" t="inlineStr">
        <is>
          <t>N-A</t>
        </is>
      </c>
      <c r="G1127" s="48" t="inlineStr">
        <is>
          <t>Pass</t>
        </is>
      </c>
      <c r="H1127" s="50" t="inlineStr">
        <is>
          <t>không join satellite trực tiếp</t>
        </is>
      </c>
      <c r="I1127" s="50" t="inlineStr">
        <is>
          <t>Technical Document III.4.2.2 nguyên tắc 1: làm giàu thuộc tính luôn dùng LEFT JOIN. INNER JOIN satellite sẽ loại mất bản ghi Hub đang còn hiệu lực nhưng chưa có dòng satellite.</t>
        </is>
      </c>
      <c r="J1127" s="48" t="inlineStr">
        <is>
          <t>076. OCB_GOLD_TCKH_TXN_TP_DIM_HOP.xlsx [SCRIPT: TXN_TP_DIM]</t>
        </is>
      </c>
    </row>
    <row r="1128">
      <c r="A1128" s="48" t="inlineStr">
        <is>
          <t>TCKH.TXN_TP_DIM</t>
        </is>
      </c>
      <c r="B1128" s="48" t="inlineStr">
        <is>
          <t>SILVER_CONSUMER</t>
        </is>
      </c>
      <c r="C1128" s="48" t="inlineStr">
        <is>
          <t>X.7</t>
        </is>
      </c>
      <c r="D1128" s="48" t="inlineStr">
        <is>
          <t>Nhom X - Bo sung Raffles</t>
        </is>
      </c>
      <c r="E1128" s="48" t="inlineStr">
        <is>
          <t>[Bổ sung] Không hard-code catalog, dùng biến môi trường</t>
        </is>
      </c>
      <c r="F1128" s="49" t="inlineStr">
        <is>
          <t>PASS</t>
        </is>
      </c>
      <c r="G1128" s="48" t="inlineStr">
        <is>
          <t>Pass</t>
        </is>
      </c>
      <c r="H1128" s="50" t="inlineStr">
        <is>
          <t>dùng biến môi trường cho catalog</t>
        </is>
      </c>
      <c r="I1128"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28" s="48" t="inlineStr">
        <is>
          <t>076. OCB_GOLD_TCKH_TXN_TP_DIM_HOP.xlsx [SCRIPT: TXN_TP_DIM]</t>
        </is>
      </c>
    </row>
    <row r="1129">
      <c r="A1129" s="48" t="inlineStr">
        <is>
          <t>TCKH.CB_OU_DIM</t>
        </is>
      </c>
      <c r="B1129" s="48" t="inlineStr">
        <is>
          <t>SILVER_CONSUMER</t>
        </is>
      </c>
      <c r="C1129" s="48" t="inlineStr">
        <is>
          <t>1.1</t>
        </is>
      </c>
      <c r="D1129" s="48" t="inlineStr">
        <is>
          <t>Nhom 1 - Mapping</t>
        </is>
      </c>
      <c r="E1129" s="48" t="inlineStr">
        <is>
          <t>Đầy đủ mapping từ Silver/manual sang Gold</t>
        </is>
      </c>
      <c r="F1129" s="49" t="inlineStr">
        <is>
          <t>PASS</t>
        </is>
      </c>
      <c r="G1129" s="48" t="inlineStr">
        <is>
          <t>Pass</t>
        </is>
      </c>
      <c r="H1129" s="50" t="inlineStr">
        <is>
          <t>workbook 063. OCB_GOLD_TCKH_CB_OFCR_DIM_HOP.xlsx: thiết kế 15 field, SQL có 15 cột</t>
        </is>
      </c>
      <c r="I1129"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29" s="48" t="inlineStr">
        <is>
          <t>079. OCB_GOLD_TCKH_CB_OU_DIM_HOP.xlsx [SCRIPT: CB_OU_DIM]</t>
        </is>
      </c>
    </row>
    <row r="1130">
      <c r="A1130" s="48" t="inlineStr">
        <is>
          <t>TCKH.CB_OU_DIM</t>
        </is>
      </c>
      <c r="B1130" s="48" t="inlineStr">
        <is>
          <t>SILVER_CONSUMER</t>
        </is>
      </c>
      <c r="C1130" s="48" t="inlineStr">
        <is>
          <t>1.2</t>
        </is>
      </c>
      <c r="D1130" s="48" t="inlineStr">
        <is>
          <t>Nhom 1 - Mapping</t>
        </is>
      </c>
      <c r="E1130" s="48" t="inlineStr">
        <is>
          <t>Danh sách bảng/view Gold khớp tài liệu thiết kế đã duyệt</t>
        </is>
      </c>
      <c r="F1130" s="49" t="inlineStr">
        <is>
          <t>PASS</t>
        </is>
      </c>
      <c r="G1130" s="48" t="inlineStr">
        <is>
          <t>Pass</t>
        </is>
      </c>
      <c r="H1130" s="50" t="inlineStr">
        <is>
          <t>CB_OU_DIM có workbook thiết kế: 063. OCB_GOLD_TCKH_CB_OFCR_DIM_HOP.xlsx</t>
        </is>
      </c>
      <c r="I1130" s="50" t="inlineStr">
        <is>
          <t>Đảm bảo object có workbook thiết kế tương ứng trong thư mục --mapping-dir. Muốn đối chiếu với danh sách đã duyệt thì chạy thêm tham số --gold-list "&lt;file danh sách Gold&gt;.xlsx".</t>
        </is>
      </c>
      <c r="J1130" s="48" t="inlineStr">
        <is>
          <t>079. OCB_GOLD_TCKH_CB_OU_DIM_HOP.xlsx [SCRIPT: CB_OU_DIM]</t>
        </is>
      </c>
    </row>
    <row r="1131">
      <c r="A1131" s="48" t="inlineStr">
        <is>
          <t>TCKH.CB_OU_DIM</t>
        </is>
      </c>
      <c r="B1131" s="48" t="inlineStr">
        <is>
          <t>SILVER_CONSUMER</t>
        </is>
      </c>
      <c r="C1131" s="48" t="inlineStr">
        <is>
          <t>2.1</t>
        </is>
      </c>
      <c r="D1131" s="48" t="inlineStr">
        <is>
          <t>Nhom 2 - Logic</t>
        </is>
      </c>
      <c r="E1131" s="48" t="inlineStr">
        <is>
          <t>Chỉ lấy bản ghi active, loại bản ghi đã xóa (qua sts_hub)</t>
        </is>
      </c>
      <c r="F1131" s="49" t="inlineStr">
        <is>
          <t>PASS</t>
        </is>
      </c>
      <c r="G1131" s="48" t="inlineStr">
        <is>
          <t>Pass</t>
        </is>
      </c>
      <c r="H1131" s="50" t="inlineStr">
        <is>
          <t>1 sts_hub_* đọc đúng format</t>
        </is>
      </c>
      <c r="I1131"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31" s="48" t="inlineStr">
        <is>
          <t>079. OCB_GOLD_TCKH_CB_OU_DIM_HOP.xlsx [SCRIPT: CB_OU_DIM]</t>
        </is>
      </c>
    </row>
    <row r="1132">
      <c r="A1132" s="48" t="inlineStr">
        <is>
          <t>TCKH.CB_OU_DIM</t>
        </is>
      </c>
      <c r="B1132" s="48" t="inlineStr">
        <is>
          <t>SILVER_CONSUMER</t>
        </is>
      </c>
      <c r="C1132" s="48" t="inlineStr">
        <is>
          <t>2.2</t>
        </is>
      </c>
      <c r="D1132" s="48" t="inlineStr">
        <is>
          <t>Nhom 2 - Logic</t>
        </is>
      </c>
      <c r="E1132" s="48" t="inlineStr">
        <is>
          <t>Thống nhất MỘT pattern duy nhất xác định bản ghi active mới nhất</t>
        </is>
      </c>
      <c r="F1132" s="49" t="inlineStr">
        <is>
          <t>PASS</t>
        </is>
      </c>
      <c r="G1132" s="48" t="inlineStr">
        <is>
          <t>Pass</t>
        </is>
      </c>
      <c r="H1132" s="50" t="inlineStr">
        <is>
          <t>file này dùng: ['MAX_BY']; toàn batch dùng: ['MAX_BY']</t>
        </is>
      </c>
      <c r="I1132"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32" s="48" t="inlineStr">
        <is>
          <t>079. OCB_GOLD_TCKH_CB_OU_DIM_HOP.xlsx [SCRIPT: CB_OU_DIM]</t>
        </is>
      </c>
    </row>
    <row r="1133">
      <c r="A1133" s="48" t="inlineStr">
        <is>
          <t>TCKH.CB_OU_DIM</t>
        </is>
      </c>
      <c r="B1133" s="48" t="inlineStr">
        <is>
          <t>SILVER_CONSUMER</t>
        </is>
      </c>
      <c r="C1133" s="48" t="inlineStr">
        <is>
          <t>2.3</t>
        </is>
      </c>
      <c r="D1133" s="48" t="inlineStr">
        <is>
          <t>Nhom 2 - Logic</t>
        </is>
      </c>
      <c r="E1133" s="48" t="inlineStr">
        <is>
          <t>Điều kiện lọc trạng thái đặt SAU khi xác định bản ghi mới nhất</t>
        </is>
      </c>
      <c r="F1133" s="49" t="inlineStr">
        <is>
          <t>PASS</t>
        </is>
      </c>
      <c r="G1133" s="48" t="inlineStr">
        <is>
          <t>Pass</t>
        </is>
      </c>
      <c r="H1133" s="50" t="inlineStr">
        <is>
          <t>không có điều kiện trạng thái nào lồng trong JOIN ON</t>
        </is>
      </c>
      <c r="I1133"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33" s="48" t="inlineStr">
        <is>
          <t>079. OCB_GOLD_TCKH_CB_OU_DIM_HOP.xlsx [SCRIPT: CB_OU_DIM]</t>
        </is>
      </c>
    </row>
    <row r="1134">
      <c r="A1134" s="48" t="inlineStr">
        <is>
          <t>TCKH.CB_OU_DIM</t>
        </is>
      </c>
      <c r="B1134" s="48" t="inlineStr">
        <is>
          <t>SILVER_CONSUMER</t>
        </is>
      </c>
      <c r="C1134" s="48" t="inlineStr">
        <is>
          <t>2.4</t>
        </is>
      </c>
      <c r="D1134" s="48" t="inlineStr">
        <is>
          <t>Nhom 2 - Logic</t>
        </is>
      </c>
      <c r="E1134" s="48" t="inlineStr">
        <is>
          <t>source_event_date áp dụng đúng dạng theo loại bảng</t>
        </is>
      </c>
      <c r="F1134" s="49" t="inlineStr">
        <is>
          <t>PASS</t>
        </is>
      </c>
      <c r="G1134" s="48" t="inlineStr">
        <is>
          <t>Pass</t>
        </is>
      </c>
      <c r="H1134" s="50" t="inlineStr">
        <is>
          <t>2 satellite đều đúng dạng điều kiện source_event_date</t>
        </is>
      </c>
      <c r="I1134"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34" s="48" t="inlineStr">
        <is>
          <t>079. OCB_GOLD_TCKH_CB_OU_DIM_HOP.xlsx [SCRIPT: CB_OU_DIM]</t>
        </is>
      </c>
    </row>
    <row r="1135">
      <c r="A1135" s="48" t="inlineStr">
        <is>
          <t>TCKH.CB_OU_DIM</t>
        </is>
      </c>
      <c r="B1135" s="48" t="inlineStr">
        <is>
          <t>SILVER_CONSUMER</t>
        </is>
      </c>
      <c r="C1135" s="48" t="inlineStr">
        <is>
          <t>2.5</t>
        </is>
      </c>
      <c r="D1135" s="48" t="inlineStr">
        <is>
          <t>Nhom 2 - Logic</t>
        </is>
      </c>
      <c r="E1135" s="48" t="inlineStr">
        <is>
          <t>Không lặp lại lỗi logic cũ đã được DA Data Vault fix</t>
        </is>
      </c>
      <c r="F1135" s="52" t="inlineStr">
        <is>
          <t>FAIL</t>
        </is>
      </c>
      <c r="G1135" s="48" t="inlineStr">
        <is>
          <t>Fail</t>
        </is>
      </c>
      <c r="H1135" s="50" t="inlineStr">
        <is>
          <t>lặp lại 2 lỗi DA Data Vault đã nêu ở Issue log: Issue#4 surrogate key DIM sinh bang MAX(&lt;DIM_ID&gt;) + ROW_NUMBER (trung khi chay song song) @ dòng [5]; Issue#4 COALESCE(MAX(&lt;DIM_ID&gt;),0) lam moc tang dan cho surrogate key @ dòng [97]</t>
        </is>
      </c>
      <c r="I1135"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35" s="48" t="inlineStr">
        <is>
          <t>079. OCB_GOLD_TCKH_CB_OU_DIM_HOP.xlsx [SCRIPT: CB_OU_DIM]</t>
        </is>
      </c>
    </row>
    <row r="1136">
      <c r="A1136" s="48" t="inlineStr">
        <is>
          <t>TCKH.CB_OU_DIM</t>
        </is>
      </c>
      <c r="B1136" s="48" t="inlineStr">
        <is>
          <t>SILVER_CONSUMER</t>
        </is>
      </c>
      <c r="C1136" s="48" t="inlineStr">
        <is>
          <t>2.6</t>
        </is>
      </c>
      <c r="D1136" s="48" t="inlineStr">
        <is>
          <t>Nhom 2 - Logic</t>
        </is>
      </c>
      <c r="E1136" s="48" t="inlineStr">
        <is>
          <t>SCD Type 2 cho bảng DIM áp dụng đúng kỹ thuật đã thống nhất</t>
        </is>
      </c>
      <c r="F1136" s="52" t="inlineStr">
        <is>
          <t>FAIL</t>
        </is>
      </c>
      <c r="G1136" s="48" t="inlineStr">
        <is>
          <t>Fail</t>
        </is>
      </c>
      <c r="H1136" s="50" t="inlineStr">
        <is>
          <t>dùng antipattern MAX(ID) + ROW_NUMBER để sinh surrogate key ở dòng [5, 130] (Issue log #4)</t>
        </is>
      </c>
      <c r="I1136"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36" s="48" t="inlineStr">
        <is>
          <t>079. OCB_GOLD_TCKH_CB_OU_DIM_HOP.xlsx [SCRIPT: CB_OU_DIM]</t>
        </is>
      </c>
    </row>
    <row r="1137">
      <c r="A1137" s="48" t="inlineStr">
        <is>
          <t>TCKH.CB_OU_DIM</t>
        </is>
      </c>
      <c r="B1137" s="48" t="inlineStr">
        <is>
          <t>SILVER_CONSUMER</t>
        </is>
      </c>
      <c r="C1137" s="48" t="inlineStr">
        <is>
          <t>2.7</t>
        </is>
      </c>
      <c r="D1137" s="48" t="inlineStr">
        <is>
          <t>Nhom 2 - Logic</t>
        </is>
      </c>
      <c r="E1137" s="48" t="inlineStr">
        <is>
          <t>CASE WHEN cover đủ nhánh như job on-prem</t>
        </is>
      </c>
      <c r="F1137" s="49" t="inlineStr">
        <is>
          <t>PASS</t>
        </is>
      </c>
      <c r="G1137" s="48" t="inlineStr">
        <is>
          <t>Pass</t>
        </is>
      </c>
      <c r="H1137" s="50" t="inlineStr">
        <is>
          <t>cả 1 CASE đều có nhánh ELSE</t>
        </is>
      </c>
      <c r="I1137" s="50" t="inlineStr">
        <is>
          <t>Mở job on-prem tương ứng (DataStage DSX hoặc SQL cũ), đối chiếu từng nhánh WHEN và cả nhánh ELSE. CASE không có ELSE sẽ trả NULL âm thầm — xác nhận đó là ý muốn hay thiếu nhánh.</t>
        </is>
      </c>
      <c r="J1137" s="48" t="inlineStr">
        <is>
          <t>079. OCB_GOLD_TCKH_CB_OU_DIM_HOP.xlsx [SCRIPT: CB_OU_DIM]</t>
        </is>
      </c>
    </row>
    <row r="1138">
      <c r="A1138" s="48" t="inlineStr">
        <is>
          <t>TCKH.CB_OU_DIM</t>
        </is>
      </c>
      <c r="B1138" s="48" t="inlineStr">
        <is>
          <t>SILVER_CONSUMER</t>
        </is>
      </c>
      <c r="C1138" s="48" t="inlineStr">
        <is>
          <t>2.8</t>
        </is>
      </c>
      <c r="D1138" s="48" t="inlineStr">
        <is>
          <t>Nhom 2 - Logic</t>
        </is>
      </c>
      <c r="E1138" s="48" t="inlineStr">
        <is>
          <t>Cột SUM/COUNT được COALESCE/NVL hợp lý</t>
        </is>
      </c>
      <c r="F1138" s="49" t="inlineStr">
        <is>
          <t>PASS</t>
        </is>
      </c>
      <c r="G1138" s="48" t="inlineStr">
        <is>
          <t>Pass</t>
        </is>
      </c>
      <c r="H1138" s="50" t="inlineStr">
        <is>
          <t>mọi SUM/COUNT đều đã coalesce (trực tiếp hoặc ở lớp ngoài)</t>
        </is>
      </c>
      <c r="I1138"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38" s="48" t="inlineStr">
        <is>
          <t>079. OCB_GOLD_TCKH_CB_OU_DIM_HOP.xlsx [SCRIPT: CB_OU_DIM]</t>
        </is>
      </c>
    </row>
    <row r="1139">
      <c r="A1139" s="48" t="inlineStr">
        <is>
          <t>TCKH.CB_OU_DIM</t>
        </is>
      </c>
      <c r="B1139" s="48" t="inlineStr">
        <is>
          <t>SILVER_CONSUMER</t>
        </is>
      </c>
      <c r="C1139" s="48" t="inlineStr">
        <is>
          <t>2.9</t>
        </is>
      </c>
      <c r="D1139" s="48" t="inlineStr">
        <is>
          <t>Nhom 2 - Logic</t>
        </is>
      </c>
      <c r="E1139" s="48" t="inlineStr">
        <is>
          <t>Subquery / custom function / điều kiện LIKE đúng ý nghĩa nghiệp vụ</t>
        </is>
      </c>
      <c r="F1139" s="49" t="inlineStr">
        <is>
          <t>PASS</t>
        </is>
      </c>
      <c r="G1139" s="48" t="inlineStr">
        <is>
          <t>Pass</t>
        </is>
      </c>
      <c r="H1139" s="50" t="inlineStr">
        <is>
          <t>2 subquery nằm trong điều kiện; cú pháp hợp lệ; ý nghĩa nghiệp vụ cần người review đối chiếu job on-prem</t>
        </is>
      </c>
      <c r="I1139" s="50" t="inlineStr">
        <is>
          <t>Đọc lại từng điều kiện LIKE và từng subquery, đối chiếu ý nghĩa nghiệp vụ với on-prem — đúng cú pháp không đủ. Chú ý pattern LIKE có ký tự % ở đầu/cuối và phân biệt chữ hoa/thường.</t>
        </is>
      </c>
      <c r="J1139" s="48" t="inlineStr">
        <is>
          <t>079. OCB_GOLD_TCKH_CB_OU_DIM_HOP.xlsx [SCRIPT: CB_OU_DIM]</t>
        </is>
      </c>
    </row>
    <row r="1140">
      <c r="A1140" s="48" t="inlineStr">
        <is>
          <t>TCKH.CB_OU_DIM</t>
        </is>
      </c>
      <c r="B1140" s="48" t="inlineStr">
        <is>
          <t>SILVER_CONSUMER</t>
        </is>
      </c>
      <c r="C1140" s="48" t="inlineStr">
        <is>
          <t>2.10</t>
        </is>
      </c>
      <c r="D1140" s="48" t="inlineStr">
        <is>
          <t>Nhom 2 - Logic</t>
        </is>
      </c>
      <c r="E1140" s="48" t="inlineStr">
        <is>
          <t>Aggregation kèm filter date range chính xác</t>
        </is>
      </c>
      <c r="F1140" s="51" t="inlineStr">
        <is>
          <t>WARN</t>
        </is>
      </c>
      <c r="G1140" s="48" t="inlineStr">
        <is>
          <t>WARN</t>
        </is>
      </c>
      <c r="H1140" s="50" t="inlineStr">
        <is>
          <t>1 khối tổng hợp không thấy filter theo ngày/tham số: max_id</t>
        </is>
      </c>
      <c r="I1140" s="50" t="inlineStr">
        <is>
          <t>Mỗi khối SUM/COUNT/AVG phải có điều kiện lọc theo kỳ dữ liệu (CDR_DT_ID, DATA_DATE, :DATADT…). Nếu điều kiện nằm ở CTE nguồn thì ghi rõ trong comment để người review không phải truy ngược.</t>
        </is>
      </c>
      <c r="J1140" s="48" t="inlineStr">
        <is>
          <t>079. OCB_GOLD_TCKH_CB_OU_DIM_HOP.xlsx [SCRIPT: CB_OU_DIM]</t>
        </is>
      </c>
    </row>
    <row r="1141">
      <c r="A1141" s="48" t="inlineStr">
        <is>
          <t>TCKH.CB_OU_DIM</t>
        </is>
      </c>
      <c r="B1141" s="48" t="inlineStr">
        <is>
          <t>SILVER_CONSUMER</t>
        </is>
      </c>
      <c r="C1141" s="48" t="inlineStr">
        <is>
          <t>2.11</t>
        </is>
      </c>
      <c r="D1141" s="48" t="inlineStr">
        <is>
          <t>Nhom 2 - Logic</t>
        </is>
      </c>
      <c r="E1141" s="48" t="inlineStr">
        <is>
          <t>Join dùng key hợp lý, không lạm dụng UNION ALL + EXISTS/NOT EXISTS</t>
        </is>
      </c>
      <c r="F1141" s="49" t="inlineStr">
        <is>
          <t>PASS</t>
        </is>
      </c>
      <c r="G1141" s="48" t="inlineStr">
        <is>
          <t>Pass</t>
        </is>
      </c>
      <c r="H1141" s="50" t="inlineStr">
        <is>
          <t>join đều theo điều kiện bằng, không lạm dụng UNION ALL + EXISTS</t>
        </is>
      </c>
      <c r="I1141" s="50" t="inlineStr">
        <is>
          <t>Ưu tiên LEFT JOIN theo business key hoặc hashkey. Xem lại các chỗ dùng UNION ALL kết hợp EXISTS/NOT EXISTS — thường thay được bằng một LEFT JOIN. Join không có điều kiện bằng (=) dễ tạo tích Descartes.</t>
        </is>
      </c>
      <c r="J1141" s="48" t="inlineStr">
        <is>
          <t>079. OCB_GOLD_TCKH_CB_OU_DIM_HOP.xlsx [SCRIPT: CB_OU_DIM]</t>
        </is>
      </c>
    </row>
    <row r="1142">
      <c r="A1142" s="48" t="inlineStr">
        <is>
          <t>TCKH.CB_OU_DIM</t>
        </is>
      </c>
      <c r="B1142" s="48" t="inlineStr">
        <is>
          <t>SILVER_CONSUMER</t>
        </is>
      </c>
      <c r="C1142" s="48" t="inlineStr">
        <is>
          <t>2.12</t>
        </is>
      </c>
      <c r="D1142" s="48" t="inlineStr">
        <is>
          <t>Nhom 2 - Logic</t>
        </is>
      </c>
      <c r="E1142" s="48" t="inlineStr">
        <is>
          <t>Build Gold từ CTE snapshot Silver, không build nhiều tầng chồng chéo</t>
        </is>
      </c>
      <c r="F1142" s="49" t="inlineStr">
        <is>
          <t>PASS</t>
        </is>
      </c>
      <c r="G1142" s="48" t="inlineStr">
        <is>
          <t>Pass</t>
        </is>
      </c>
      <c r="H1142" s="50" t="inlineStr">
        <is>
          <t>mỗi bảng nguồn chỉ đọc trong 1 khối SELECT</t>
        </is>
      </c>
      <c r="I1142"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42" s="48" t="inlineStr">
        <is>
          <t>079. OCB_GOLD_TCKH_CB_OU_DIM_HOP.xlsx [SCRIPT: CB_OU_DIM]</t>
        </is>
      </c>
    </row>
    <row r="1143">
      <c r="A1143" s="48" t="inlineStr">
        <is>
          <t>TCKH.CB_OU_DIM</t>
        </is>
      </c>
      <c r="B1143" s="48" t="inlineStr">
        <is>
          <t>SILVER_CONSUMER</t>
        </is>
      </c>
      <c r="C1143" s="48" t="inlineStr">
        <is>
          <t>3.1</t>
        </is>
      </c>
      <c r="D1143" s="48" t="inlineStr">
        <is>
          <t>Nhom 3 - Optimization</t>
        </is>
      </c>
      <c r="E1143" s="48" t="inlineStr">
        <is>
          <t>Không SELECT *</t>
        </is>
      </c>
      <c r="F1143" s="52" t="inlineStr">
        <is>
          <t>FAIL</t>
        </is>
      </c>
      <c r="G1143" s="48" t="inlineStr">
        <is>
          <t>Fail</t>
        </is>
      </c>
      <c r="H1143" s="50" t="inlineStr">
        <is>
          <t>có 2 lần SELECT * ở dòng [165, 167]</t>
        </is>
      </c>
      <c r="I1143" s="50" t="inlineStr">
        <is>
          <t>Liệt kê tường minh các cột cần dùng, kể cả trong CTE trung gian. SELECT * làm tăng IO/memory và vỡ script khi bảng nguồn thêm cột.</t>
        </is>
      </c>
      <c r="J1143" s="48" t="inlineStr">
        <is>
          <t>079. OCB_GOLD_TCKH_CB_OU_DIM_HOP.xlsx [SCRIPT: CB_OU_DIM]</t>
        </is>
      </c>
    </row>
    <row r="1144">
      <c r="A1144" s="48" t="inlineStr">
        <is>
          <t>TCKH.CB_OU_DIM</t>
        </is>
      </c>
      <c r="B1144" s="48" t="inlineStr">
        <is>
          <t>SILVER_CONSUMER</t>
        </is>
      </c>
      <c r="C1144" s="48" t="inlineStr">
        <is>
          <t>3.2</t>
        </is>
      </c>
      <c r="D1144" s="48" t="inlineStr">
        <is>
          <t>Nhom 3 - Optimization</t>
        </is>
      </c>
      <c r="E1144" s="48" t="inlineStr">
        <is>
          <t>CTE không bị scan lại nhiều lần</t>
        </is>
      </c>
      <c r="F1144" s="51" t="inlineStr">
        <is>
          <t>WARN</t>
        </is>
      </c>
      <c r="G1144" s="48" t="inlineStr">
        <is>
          <t>WARN</t>
        </is>
      </c>
      <c r="H1144" s="50" t="inlineStr">
        <is>
          <t>CTE bị tham chiếu lại nhiều lần: hub_active x2, sat_latest x2, source_data x3, changed x2</t>
        </is>
      </c>
      <c r="I1144" s="50" t="inlineStr">
        <is>
          <t>Với CTE nặng (đọc nhiều bảng Silver) bị tham chiếu từ 2 chỗ trở lên: gom lại còn một lần dùng, hoặc vật chất hóa (CACHE / bảng tạm). CTE nhẹ chỉ chứa tham số thì bỏ qua được — tự tick Pass.</t>
        </is>
      </c>
      <c r="J1144" s="48" t="inlineStr">
        <is>
          <t>079. OCB_GOLD_TCKH_CB_OU_DIM_HOP.xlsx [SCRIPT: CB_OU_DIM]</t>
        </is>
      </c>
    </row>
    <row r="1145">
      <c r="A1145" s="48" t="inlineStr">
        <is>
          <t>TCKH.CB_OU_DIM</t>
        </is>
      </c>
      <c r="B1145" s="48" t="inlineStr">
        <is>
          <t>SILVER_CONSUMER</t>
        </is>
      </c>
      <c r="C1145" s="48" t="inlineStr">
        <is>
          <t>3.3</t>
        </is>
      </c>
      <c r="D1145" s="48" t="inlineStr">
        <is>
          <t>Nhom 3 - Optimization</t>
        </is>
      </c>
      <c r="E1145" s="48" t="inlineStr">
        <is>
          <t>Filter trước khi join, tận dụng partition pruning</t>
        </is>
      </c>
      <c r="F1145" s="51" t="inlineStr">
        <is>
          <t>WARN</t>
        </is>
      </c>
      <c r="G1145" s="48" t="inlineStr">
        <is>
          <t>WARN</t>
        </is>
      </c>
      <c r="H1145" s="50" t="inlineStr">
        <is>
          <t>1 bảng join trực tiếp mà không có filter riêng: ou_area_mapping (am)</t>
        </is>
      </c>
      <c r="I1145" s="50" t="inlineStr">
        <is>
          <t>Đưa điều kiện lọc (ngày dữ liệu, trạng thái) vào subquery của từng bảng TRƯỚC khi join, để tận dụng partition pruning. Bảng dim nhỏ không partition thì không cần — tự tick Pass.</t>
        </is>
      </c>
      <c r="J1145" s="48" t="inlineStr">
        <is>
          <t>079. OCB_GOLD_TCKH_CB_OU_DIM_HOP.xlsx [SCRIPT: CB_OU_DIM]</t>
        </is>
      </c>
    </row>
    <row r="1146">
      <c r="A1146" s="48" t="inlineStr">
        <is>
          <t>TCKH.CB_OU_DIM</t>
        </is>
      </c>
      <c r="B1146" s="48" t="inlineStr">
        <is>
          <t>SILVER_CONSUMER</t>
        </is>
      </c>
      <c r="C1146" s="48" t="inlineStr">
        <is>
          <t>3.4</t>
        </is>
      </c>
      <c r="D1146" s="48" t="inlineStr">
        <is>
          <t>Nhom 3 - Optimization</t>
        </is>
      </c>
      <c r="E1146" s="48" t="inlineStr">
        <is>
          <t>Sử dụng CACHE cho query lặp lại trong cùng luồng</t>
        </is>
      </c>
      <c r="F1146" s="51" t="inlineStr">
        <is>
          <t>WARN</t>
        </is>
      </c>
      <c r="G1146" s="48" t="inlineStr">
        <is>
          <t>WARN</t>
        </is>
      </c>
      <c r="H1146" s="50" t="inlineStr">
        <is>
          <t>4 CTE nặng dùng lại &gt;= 2 lần mà không có CACHE: changed, hub_active, sat_latest, source_data</t>
        </is>
      </c>
      <c r="I1146" s="50" t="inlineStr">
        <is>
          <t>Nếu một kết quả nặng được dùng lại nhiều bước trong cùng luồng, thêm CACHE TABLE / CACHE SELECT. Kết quả nhỏ thì cache còn chậm hơn — tự tick Pass.</t>
        </is>
      </c>
      <c r="J1146" s="48" t="inlineStr">
        <is>
          <t>079. OCB_GOLD_TCKH_CB_OU_DIM_HOP.xlsx [SCRIPT: CB_OU_DIM]</t>
        </is>
      </c>
    </row>
    <row r="1147">
      <c r="A1147" s="48" t="inlineStr">
        <is>
          <t>TCKH.CB_OU_DIM</t>
        </is>
      </c>
      <c r="B1147" s="48" t="inlineStr">
        <is>
          <t>SILVER_CONSUMER</t>
        </is>
      </c>
      <c r="C1147" s="48" t="inlineStr">
        <is>
          <t>3.5</t>
        </is>
      </c>
      <c r="D1147" s="48" t="inlineStr">
        <is>
          <t>Nhom 3 - Optimization</t>
        </is>
      </c>
      <c r="E1147" s="48" t="inlineStr">
        <is>
          <t>Ưu tiên MAX_BY + QUALIFY thay ROW_NUMBER() + WHERE rn = 1</t>
        </is>
      </c>
      <c r="F1147" s="49" t="inlineStr">
        <is>
          <t>PASS</t>
        </is>
      </c>
      <c r="G1147" s="48" t="inlineStr">
        <is>
          <t>Pass</t>
        </is>
      </c>
      <c r="H1147" s="50" t="inlineStr">
        <is>
          <t>đã dùng MAX_BY</t>
        </is>
      </c>
      <c r="I1147"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47" s="48" t="inlineStr">
        <is>
          <t>079. OCB_GOLD_TCKH_CB_OU_DIM_HOP.xlsx [SCRIPT: CB_OU_DIM]</t>
        </is>
      </c>
    </row>
    <row r="1148">
      <c r="A1148" s="48" t="inlineStr">
        <is>
          <t>TCKH.CB_OU_DIM</t>
        </is>
      </c>
      <c r="B1148" s="48" t="inlineStr">
        <is>
          <t>SILVER_CONSUMER</t>
        </is>
      </c>
      <c r="C1148" s="48" t="inlineStr">
        <is>
          <t>3.6</t>
        </is>
      </c>
      <c r="D1148" s="48" t="inlineStr">
        <is>
          <t>Nhom 3 - Optimization</t>
        </is>
      </c>
      <c r="E1148" s="48" t="inlineStr">
        <is>
          <t>Không lạm dụng window function; có comment khi dùng</t>
        </is>
      </c>
      <c r="F1148" s="51" t="inlineStr">
        <is>
          <t>WARN</t>
        </is>
      </c>
      <c r="G1148" s="48" t="inlineStr">
        <is>
          <t>WARN</t>
        </is>
      </c>
      <c r="H1148" s="50" t="inlineStr">
        <is>
          <t>1/1 window function không có comment giải thích, ở dòng [130]</t>
        </is>
      </c>
      <c r="I1148" s="50" t="inlineStr">
        <is>
          <t>Mỗi window function cần một comment ngay trên khối CTE chứa nó, nói rõ vì sao không dùng được max_by/QUALIFY đơn giản hơn.</t>
        </is>
      </c>
      <c r="J1148" s="48" t="inlineStr">
        <is>
          <t>079. OCB_GOLD_TCKH_CB_OU_DIM_HOP.xlsx [SCRIPT: CB_OU_DIM]</t>
        </is>
      </c>
    </row>
    <row r="1149">
      <c r="A1149" s="48" t="inlineStr">
        <is>
          <t>TCKH.CB_OU_DIM</t>
        </is>
      </c>
      <c r="B1149" s="48" t="inlineStr">
        <is>
          <t>SILVER_CONSUMER</t>
        </is>
      </c>
      <c r="C1149" s="48" t="inlineStr">
        <is>
          <t>X.1</t>
        </is>
      </c>
      <c r="D1149" s="48" t="inlineStr">
        <is>
          <t>Nhom X - Bo sung Raffles</t>
        </is>
      </c>
      <c r="E1149" s="48" t="inlineStr">
        <is>
          <t>[Bổ sung] Link phải rút về current trước khi join (chống fan-out)</t>
        </is>
      </c>
      <c r="F1149" s="49" t="inlineStr">
        <is>
          <t>PASS</t>
        </is>
      </c>
      <c r="G1149" s="48" t="inlineStr">
        <is>
          <t>Pass</t>
        </is>
      </c>
      <c r="H1149" s="50" t="inlineStr">
        <is>
          <t>các bảng link_* đều được rút về current trước khi join</t>
        </is>
      </c>
      <c r="I1149"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49" s="48" t="inlineStr">
        <is>
          <t>079. OCB_GOLD_TCKH_CB_OU_DIM_HOP.xlsx [SCRIPT: CB_OU_DIM]</t>
        </is>
      </c>
    </row>
    <row r="1150">
      <c r="A1150" s="48" t="inlineStr">
        <is>
          <t>TCKH.CB_OU_DIM</t>
        </is>
      </c>
      <c r="B1150" s="48" t="inlineStr">
        <is>
          <t>SILVER_CONSUMER</t>
        </is>
      </c>
      <c r="C1150" s="48" t="inlineStr">
        <is>
          <t>X.6</t>
        </is>
      </c>
      <c r="D1150" s="48" t="inlineStr">
        <is>
          <t>Nhom X - Bo sung Raffles</t>
        </is>
      </c>
      <c r="E1150" s="48" t="inlineStr">
        <is>
          <t>[Bổ sung] Satellite phải LEFT JOIN, không INNER JOIN</t>
        </is>
      </c>
      <c r="F1150" s="49" t="inlineStr">
        <is>
          <t>PASS</t>
        </is>
      </c>
      <c r="G1150" s="48" t="inlineStr">
        <is>
          <t>Pass</t>
        </is>
      </c>
      <c r="H1150" s="50" t="inlineStr">
        <is>
          <t>các satellite đều LEFT JOIN</t>
        </is>
      </c>
      <c r="I1150" s="50" t="inlineStr">
        <is>
          <t>Technical Document III.4.2.2 nguyên tắc 1: làm giàu thuộc tính luôn dùng LEFT JOIN. INNER JOIN satellite sẽ loại mất bản ghi Hub đang còn hiệu lực nhưng chưa có dòng satellite.</t>
        </is>
      </c>
      <c r="J1150" s="48" t="inlineStr">
        <is>
          <t>079. OCB_GOLD_TCKH_CB_OU_DIM_HOP.xlsx [SCRIPT: CB_OU_DIM]</t>
        </is>
      </c>
    </row>
    <row r="1151">
      <c r="A1151" s="48" t="inlineStr">
        <is>
          <t>TCKH.CB_OU_DIM</t>
        </is>
      </c>
      <c r="B1151" s="48" t="inlineStr">
        <is>
          <t>SILVER_CONSUMER</t>
        </is>
      </c>
      <c r="C1151" s="48" t="inlineStr">
        <is>
          <t>X.7</t>
        </is>
      </c>
      <c r="D1151" s="48" t="inlineStr">
        <is>
          <t>Nhom X - Bo sung Raffles</t>
        </is>
      </c>
      <c r="E1151" s="48" t="inlineStr">
        <is>
          <t>[Bổ sung] Không hard-code catalog, dùng biến môi trường</t>
        </is>
      </c>
      <c r="F1151" s="49" t="inlineStr">
        <is>
          <t>PASS</t>
        </is>
      </c>
      <c r="G1151" s="48" t="inlineStr">
        <is>
          <t>Pass</t>
        </is>
      </c>
      <c r="H1151" s="50" t="inlineStr">
        <is>
          <t>dùng biến môi trường cho catalog</t>
        </is>
      </c>
      <c r="I1151"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51" s="48" t="inlineStr">
        <is>
          <t>079. OCB_GOLD_TCKH_CB_OU_DIM_HOP.xlsx [SCRIPT: CB_OU_DIM]</t>
        </is>
      </c>
    </row>
    <row r="1152">
      <c r="A1152" s="48" t="inlineStr">
        <is>
          <t>TCKH.V_DATE_OF_WORK</t>
        </is>
      </c>
      <c r="B1152" s="48" t="inlineStr">
        <is>
          <t>SILVER_CONSUMER</t>
        </is>
      </c>
      <c r="C1152" s="48" t="inlineStr">
        <is>
          <t>1.1</t>
        </is>
      </c>
      <c r="D1152" s="48" t="inlineStr">
        <is>
          <t>Nhom 1 - Mapping</t>
        </is>
      </c>
      <c r="E1152" s="48" t="inlineStr">
        <is>
          <t>Đầy đủ mapping từ Silver/manual sang Gold</t>
        </is>
      </c>
      <c r="F1152" s="49" t="inlineStr">
        <is>
          <t>PASS</t>
        </is>
      </c>
      <c r="G1152" s="48" t="inlineStr">
        <is>
          <t>Pass</t>
        </is>
      </c>
      <c r="H1152" s="50" t="inlineStr">
        <is>
          <t>workbook 065. OCB_GOLD_TCKH_RT_AR_DTL_HOP.xlsx: thiết kế 20 field, SQL có 20 cột</t>
        </is>
      </c>
      <c r="I11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52" s="48" t="inlineStr">
        <is>
          <t>081. OCB_GOLD_TCKH_V_DATE_OF_WORK_HOP.xlsx [SCRIPT: V_DATE_OF_WORK]</t>
        </is>
      </c>
    </row>
    <row r="1153">
      <c r="A1153" s="48" t="inlineStr">
        <is>
          <t>TCKH.V_DATE_OF_WORK</t>
        </is>
      </c>
      <c r="B1153" s="48" t="inlineStr">
        <is>
          <t>SILVER_CONSUMER</t>
        </is>
      </c>
      <c r="C1153" s="48" t="inlineStr">
        <is>
          <t>1.2</t>
        </is>
      </c>
      <c r="D1153" s="48" t="inlineStr">
        <is>
          <t>Nhom 1 - Mapping</t>
        </is>
      </c>
      <c r="E1153" s="48" t="inlineStr">
        <is>
          <t>Danh sách bảng/view Gold khớp tài liệu thiết kế đã duyệt</t>
        </is>
      </c>
      <c r="F1153" s="49" t="inlineStr">
        <is>
          <t>PASS</t>
        </is>
      </c>
      <c r="G1153" s="48" t="inlineStr">
        <is>
          <t>Pass</t>
        </is>
      </c>
      <c r="H1153" s="50" t="inlineStr">
        <is>
          <t>V_DATE_OF_WORK có workbook thiết kế: 065. OCB_GOLD_TCKH_RT_AR_DTL_HOP.xlsx</t>
        </is>
      </c>
      <c r="I1153" s="50" t="inlineStr">
        <is>
          <t>Đảm bảo object có workbook thiết kế tương ứng trong thư mục --mapping-dir. Muốn đối chiếu với danh sách đã duyệt thì chạy thêm tham số --gold-list "&lt;file danh sách Gold&gt;.xlsx".</t>
        </is>
      </c>
      <c r="J1153" s="48" t="inlineStr">
        <is>
          <t>081. OCB_GOLD_TCKH_V_DATE_OF_WORK_HOP.xlsx [SCRIPT: V_DATE_OF_WORK]</t>
        </is>
      </c>
    </row>
    <row r="1154">
      <c r="A1154" s="48" t="inlineStr">
        <is>
          <t>TCKH.V_DATE_OF_WORK</t>
        </is>
      </c>
      <c r="B1154" s="48" t="inlineStr">
        <is>
          <t>SILVER_CONSUMER</t>
        </is>
      </c>
      <c r="C1154" s="48" t="inlineStr">
        <is>
          <t>2.1</t>
        </is>
      </c>
      <c r="D1154" s="48" t="inlineStr">
        <is>
          <t>Nhom 2 - Logic</t>
        </is>
      </c>
      <c r="E1154" s="48" t="inlineStr">
        <is>
          <t>Chỉ lấy bản ghi active, loại bản ghi đã xóa (qua sts_hub)</t>
        </is>
      </c>
      <c r="F1154" s="48" t="inlineStr">
        <is>
          <t>N-A</t>
        </is>
      </c>
      <c r="G1154" s="48" t="inlineStr">
        <is>
          <t>Pass</t>
        </is>
      </c>
      <c r="H1154" s="50" t="inlineStr">
        <is>
          <t>script không đọc sts_hub/satellite nào nên không có bản ghi xóa để lọc</t>
        </is>
      </c>
      <c r="I11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54" s="48" t="inlineStr">
        <is>
          <t>081. OCB_GOLD_TCKH_V_DATE_OF_WORK_HOP.xlsx [SCRIPT: V_DATE_OF_WORK]</t>
        </is>
      </c>
    </row>
    <row r="1155">
      <c r="A1155" s="48" t="inlineStr">
        <is>
          <t>TCKH.V_DATE_OF_WORK</t>
        </is>
      </c>
      <c r="B1155" s="48" t="inlineStr">
        <is>
          <t>SILVER_CONSUMER</t>
        </is>
      </c>
      <c r="C1155" s="48" t="inlineStr">
        <is>
          <t>2.2</t>
        </is>
      </c>
      <c r="D1155" s="48" t="inlineStr">
        <is>
          <t>Nhom 2 - Logic</t>
        </is>
      </c>
      <c r="E1155" s="48" t="inlineStr">
        <is>
          <t>Thống nhất MỘT pattern duy nhất xác định bản ghi active mới nhất</t>
        </is>
      </c>
      <c r="F1155" s="48" t="inlineStr">
        <is>
          <t>N-A</t>
        </is>
      </c>
      <c r="G1155" s="48" t="inlineStr">
        <is>
          <t>Pass</t>
        </is>
      </c>
      <c r="H1155" s="50" t="inlineStr">
        <is>
          <t>script không có bước lấy bản ghi mới nhất từ satellite</t>
        </is>
      </c>
      <c r="I11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55" s="48" t="inlineStr">
        <is>
          <t>081. OCB_GOLD_TCKH_V_DATE_OF_WORK_HOP.xlsx [SCRIPT: V_DATE_OF_WORK]</t>
        </is>
      </c>
    </row>
    <row r="1156">
      <c r="A1156" s="48" t="inlineStr">
        <is>
          <t>TCKH.V_DATE_OF_WORK</t>
        </is>
      </c>
      <c r="B1156" s="48" t="inlineStr">
        <is>
          <t>SILVER_CONSUMER</t>
        </is>
      </c>
      <c r="C1156" s="48" t="inlineStr">
        <is>
          <t>2.3</t>
        </is>
      </c>
      <c r="D1156" s="48" t="inlineStr">
        <is>
          <t>Nhom 2 - Logic</t>
        </is>
      </c>
      <c r="E1156" s="48" t="inlineStr">
        <is>
          <t>Điều kiện lọc trạng thái đặt SAU khi xác định bản ghi mới nhất</t>
        </is>
      </c>
      <c r="F1156" s="49" t="inlineStr">
        <is>
          <t>PASS</t>
        </is>
      </c>
      <c r="G1156" s="48" t="inlineStr">
        <is>
          <t>Pass</t>
        </is>
      </c>
      <c r="H1156" s="50" t="inlineStr">
        <is>
          <t>không có điều kiện trạng thái nào lồng trong JOIN ON</t>
        </is>
      </c>
      <c r="I11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56" s="48" t="inlineStr">
        <is>
          <t>081. OCB_GOLD_TCKH_V_DATE_OF_WORK_HOP.xlsx [SCRIPT: V_DATE_OF_WORK]</t>
        </is>
      </c>
    </row>
    <row r="1157">
      <c r="A1157" s="48" t="inlineStr">
        <is>
          <t>TCKH.V_DATE_OF_WORK</t>
        </is>
      </c>
      <c r="B1157" s="48" t="inlineStr">
        <is>
          <t>SILVER_CONSUMER</t>
        </is>
      </c>
      <c r="C1157" s="48" t="inlineStr">
        <is>
          <t>2.4</t>
        </is>
      </c>
      <c r="D1157" s="48" t="inlineStr">
        <is>
          <t>Nhom 2 - Logic</t>
        </is>
      </c>
      <c r="E1157" s="48" t="inlineStr">
        <is>
          <t>source_event_date áp dụng đúng dạng theo loại bảng</t>
        </is>
      </c>
      <c r="F1157" s="48" t="inlineStr">
        <is>
          <t>N-A</t>
        </is>
      </c>
      <c r="G1157" s="48" t="inlineStr">
        <is>
          <t>Pass</t>
        </is>
      </c>
      <c r="H1157" s="50" t="inlineStr">
        <is>
          <t>script không đọc satellite nào</t>
        </is>
      </c>
      <c r="I11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57" s="48" t="inlineStr">
        <is>
          <t>081. OCB_GOLD_TCKH_V_DATE_OF_WORK_HOP.xlsx [SCRIPT: V_DATE_OF_WORK]</t>
        </is>
      </c>
    </row>
    <row r="1158">
      <c r="A1158" s="48" t="inlineStr">
        <is>
          <t>TCKH.V_DATE_OF_WORK</t>
        </is>
      </c>
      <c r="B1158" s="48" t="inlineStr">
        <is>
          <t>SILVER_CONSUMER</t>
        </is>
      </c>
      <c r="C1158" s="48" t="inlineStr">
        <is>
          <t>2.5</t>
        </is>
      </c>
      <c r="D1158" s="48" t="inlineStr">
        <is>
          <t>Nhom 2 - Logic</t>
        </is>
      </c>
      <c r="E1158" s="48" t="inlineStr">
        <is>
          <t>Không lặp lại lỗi logic cũ đã được DA Data Vault fix</t>
        </is>
      </c>
      <c r="F1158" s="49" t="inlineStr">
        <is>
          <t>PASS</t>
        </is>
      </c>
      <c r="G1158" s="48" t="inlineStr">
        <is>
          <t>Pass</t>
        </is>
      </c>
      <c r="H1158" s="50" t="inlineStr">
        <is>
          <t>không trùng lỗi nào trong Issue log của DA Data Vault</t>
        </is>
      </c>
      <c r="I11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58" s="48" t="inlineStr">
        <is>
          <t>081. OCB_GOLD_TCKH_V_DATE_OF_WORK_HOP.xlsx [SCRIPT: V_DATE_OF_WORK]</t>
        </is>
      </c>
    </row>
    <row r="1159">
      <c r="A1159" s="48" t="inlineStr">
        <is>
          <t>TCKH.V_DATE_OF_WORK</t>
        </is>
      </c>
      <c r="B1159" s="48" t="inlineStr">
        <is>
          <t>SILVER_CONSUMER</t>
        </is>
      </c>
      <c r="C1159" s="48" t="inlineStr">
        <is>
          <t>2.6</t>
        </is>
      </c>
      <c r="D1159" s="48" t="inlineStr">
        <is>
          <t>Nhom 2 - Logic</t>
        </is>
      </c>
      <c r="E1159" s="48" t="inlineStr">
        <is>
          <t>SCD Type 2 cho bảng DIM áp dụng đúng kỹ thuật đã thống nhất</t>
        </is>
      </c>
      <c r="F1159" s="48" t="inlineStr">
        <is>
          <t>N-A</t>
        </is>
      </c>
      <c r="G1159" s="48" t="inlineStr">
        <is>
          <t>Pass</t>
        </is>
      </c>
      <c r="H1159" s="50" t="inlineStr">
        <is>
          <t>object không phải bảng DIM nên không áp dụng SCD Type 2</t>
        </is>
      </c>
      <c r="I11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59" s="48" t="inlineStr">
        <is>
          <t>081. OCB_GOLD_TCKH_V_DATE_OF_WORK_HOP.xlsx [SCRIPT: V_DATE_OF_WORK]</t>
        </is>
      </c>
    </row>
    <row r="1160">
      <c r="A1160" s="48" t="inlineStr">
        <is>
          <t>TCKH.V_DATE_OF_WORK</t>
        </is>
      </c>
      <c r="B1160" s="48" t="inlineStr">
        <is>
          <t>SILVER_CONSUMER</t>
        </is>
      </c>
      <c r="C1160" s="48" t="inlineStr">
        <is>
          <t>2.7</t>
        </is>
      </c>
      <c r="D1160" s="48" t="inlineStr">
        <is>
          <t>Nhom 2 - Logic</t>
        </is>
      </c>
      <c r="E1160" s="48" t="inlineStr">
        <is>
          <t>CASE WHEN cover đủ nhánh như job on-prem</t>
        </is>
      </c>
      <c r="F1160" s="48" t="inlineStr">
        <is>
          <t>N-A</t>
        </is>
      </c>
      <c r="G1160" s="48" t="inlineStr">
        <is>
          <t>Pass</t>
        </is>
      </c>
      <c r="H1160" s="50" t="inlineStr">
        <is>
          <t>script không có CASE WHEN nào</t>
        </is>
      </c>
      <c r="I1160" s="50" t="inlineStr">
        <is>
          <t>Mở job on-prem tương ứng (DataStage DSX hoặc SQL cũ), đối chiếu từng nhánh WHEN và cả nhánh ELSE. CASE không có ELSE sẽ trả NULL âm thầm — xác nhận đó là ý muốn hay thiếu nhánh.</t>
        </is>
      </c>
      <c r="J1160" s="48" t="inlineStr">
        <is>
          <t>081. OCB_GOLD_TCKH_V_DATE_OF_WORK_HOP.xlsx [SCRIPT: V_DATE_OF_WORK]</t>
        </is>
      </c>
    </row>
    <row r="1161">
      <c r="A1161" s="48" t="inlineStr">
        <is>
          <t>TCKH.V_DATE_OF_WORK</t>
        </is>
      </c>
      <c r="B1161" s="48" t="inlineStr">
        <is>
          <t>SILVER_CONSUMER</t>
        </is>
      </c>
      <c r="C1161" s="48" t="inlineStr">
        <is>
          <t>2.8</t>
        </is>
      </c>
      <c r="D1161" s="48" t="inlineStr">
        <is>
          <t>Nhom 2 - Logic</t>
        </is>
      </c>
      <c r="E1161" s="48" t="inlineStr">
        <is>
          <t>Cột SUM/COUNT được COALESCE/NVL hợp lý</t>
        </is>
      </c>
      <c r="F1161" s="49" t="inlineStr">
        <is>
          <t>PASS</t>
        </is>
      </c>
      <c r="G1161" s="48" t="inlineStr">
        <is>
          <t>Pass</t>
        </is>
      </c>
      <c r="H1161" s="50" t="inlineStr">
        <is>
          <t>mọi SUM/COUNT đều đã coalesce (trực tiếp hoặc ở lớp ngoài)</t>
        </is>
      </c>
      <c r="I11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61" s="48" t="inlineStr">
        <is>
          <t>081. OCB_GOLD_TCKH_V_DATE_OF_WORK_HOP.xlsx [SCRIPT: V_DATE_OF_WORK]</t>
        </is>
      </c>
    </row>
    <row r="1162">
      <c r="A1162" s="48" t="inlineStr">
        <is>
          <t>TCKH.V_DATE_OF_WORK</t>
        </is>
      </c>
      <c r="B1162" s="48" t="inlineStr">
        <is>
          <t>SILVER_CONSUMER</t>
        </is>
      </c>
      <c r="C1162" s="48" t="inlineStr">
        <is>
          <t>2.9</t>
        </is>
      </c>
      <c r="D1162" s="48" t="inlineStr">
        <is>
          <t>Nhom 2 - Logic</t>
        </is>
      </c>
      <c r="E1162" s="48" t="inlineStr">
        <is>
          <t>Subquery / custom function / điều kiện LIKE đúng ý nghĩa nghiệp vụ</t>
        </is>
      </c>
      <c r="F1162" s="48" t="inlineStr">
        <is>
          <t>N-A</t>
        </is>
      </c>
      <c r="G1162" s="48" t="inlineStr">
        <is>
          <t>Pass</t>
        </is>
      </c>
      <c r="H1162" s="50" t="inlineStr">
        <is>
          <t>script không có điều kiện LIKE hay scalar subquery nào</t>
        </is>
      </c>
      <c r="I1162" s="50" t="inlineStr">
        <is>
          <t>Đọc lại từng điều kiện LIKE và từng subquery, đối chiếu ý nghĩa nghiệp vụ với on-prem — đúng cú pháp không đủ. Chú ý pattern LIKE có ký tự % ở đầu/cuối và phân biệt chữ hoa/thường.</t>
        </is>
      </c>
      <c r="J1162" s="48" t="inlineStr">
        <is>
          <t>081. OCB_GOLD_TCKH_V_DATE_OF_WORK_HOP.xlsx [SCRIPT: V_DATE_OF_WORK]</t>
        </is>
      </c>
    </row>
    <row r="1163">
      <c r="A1163" s="48" t="inlineStr">
        <is>
          <t>TCKH.V_DATE_OF_WORK</t>
        </is>
      </c>
      <c r="B1163" s="48" t="inlineStr">
        <is>
          <t>SILVER_CONSUMER</t>
        </is>
      </c>
      <c r="C1163" s="48" t="inlineStr">
        <is>
          <t>2.10</t>
        </is>
      </c>
      <c r="D1163" s="48" t="inlineStr">
        <is>
          <t>Nhom 2 - Logic</t>
        </is>
      </c>
      <c r="E1163" s="48" t="inlineStr">
        <is>
          <t>Aggregation kèm filter date range chính xác</t>
        </is>
      </c>
      <c r="F1163" s="49" t="inlineStr">
        <is>
          <t>PASS</t>
        </is>
      </c>
      <c r="G1163" s="48" t="inlineStr">
        <is>
          <t>Pass</t>
        </is>
      </c>
      <c r="H1163" s="50" t="inlineStr">
        <is>
          <t>mọi khối tổng hợp đều có điều kiện theo kỳ dữ liệu</t>
        </is>
      </c>
      <c r="I1163" s="50" t="inlineStr">
        <is>
          <t>Mỗi khối SUM/COUNT/AVG phải có điều kiện lọc theo kỳ dữ liệu (CDR_DT_ID, DATA_DATE, :DATADT…). Nếu điều kiện nằm ở CTE nguồn thì ghi rõ trong comment để người review không phải truy ngược.</t>
        </is>
      </c>
      <c r="J1163" s="48" t="inlineStr">
        <is>
          <t>081. OCB_GOLD_TCKH_V_DATE_OF_WORK_HOP.xlsx [SCRIPT: V_DATE_OF_WORK]</t>
        </is>
      </c>
    </row>
    <row r="1164">
      <c r="A1164" s="48" t="inlineStr">
        <is>
          <t>TCKH.V_DATE_OF_WORK</t>
        </is>
      </c>
      <c r="B1164" s="48" t="inlineStr">
        <is>
          <t>SILVER_CONSUMER</t>
        </is>
      </c>
      <c r="C1164" s="48" t="inlineStr">
        <is>
          <t>2.11</t>
        </is>
      </c>
      <c r="D1164" s="48" t="inlineStr">
        <is>
          <t>Nhom 2 - Logic</t>
        </is>
      </c>
      <c r="E1164" s="48" t="inlineStr">
        <is>
          <t>Join dùng key hợp lý, không lạm dụng UNION ALL + EXISTS/NOT EXISTS</t>
        </is>
      </c>
      <c r="F1164" s="49" t="inlineStr">
        <is>
          <t>PASS</t>
        </is>
      </c>
      <c r="G1164" s="48" t="inlineStr">
        <is>
          <t>Pass</t>
        </is>
      </c>
      <c r="H1164" s="50" t="inlineStr">
        <is>
          <t>join đều theo điều kiện bằng, không lạm dụng UNION ALL + EXISTS</t>
        </is>
      </c>
      <c r="I1164" s="50" t="inlineStr">
        <is>
          <t>Ưu tiên LEFT JOIN theo business key hoặc hashkey. Xem lại các chỗ dùng UNION ALL kết hợp EXISTS/NOT EXISTS — thường thay được bằng một LEFT JOIN. Join không có điều kiện bằng (=) dễ tạo tích Descartes.</t>
        </is>
      </c>
      <c r="J1164" s="48" t="inlineStr">
        <is>
          <t>081. OCB_GOLD_TCKH_V_DATE_OF_WORK_HOP.xlsx [SCRIPT: V_DATE_OF_WORK]</t>
        </is>
      </c>
    </row>
    <row r="1165">
      <c r="A1165" s="48" t="inlineStr">
        <is>
          <t>TCKH.V_DATE_OF_WORK</t>
        </is>
      </c>
      <c r="B1165" s="48" t="inlineStr">
        <is>
          <t>SILVER_CONSUMER</t>
        </is>
      </c>
      <c r="C1165" s="48" t="inlineStr">
        <is>
          <t>2.12</t>
        </is>
      </c>
      <c r="D1165" s="48" t="inlineStr">
        <is>
          <t>Nhom 2 - Logic</t>
        </is>
      </c>
      <c r="E1165" s="48" t="inlineStr">
        <is>
          <t>Build Gold từ CTE snapshot Silver, không build nhiều tầng chồng chéo</t>
        </is>
      </c>
      <c r="F1165" s="49" t="inlineStr">
        <is>
          <t>PASS</t>
        </is>
      </c>
      <c r="G1165" s="48" t="inlineStr">
        <is>
          <t>Pass</t>
        </is>
      </c>
      <c r="H1165" s="50" t="inlineStr">
        <is>
          <t>mỗi bảng nguồn chỉ đọc trong 1 khối SELECT</t>
        </is>
      </c>
      <c r="I11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65" s="48" t="inlineStr">
        <is>
          <t>081. OCB_GOLD_TCKH_V_DATE_OF_WORK_HOP.xlsx [SCRIPT: V_DATE_OF_WORK]</t>
        </is>
      </c>
    </row>
    <row r="1166">
      <c r="A1166" s="48" t="inlineStr">
        <is>
          <t>TCKH.V_DATE_OF_WORK</t>
        </is>
      </c>
      <c r="B1166" s="48" t="inlineStr">
        <is>
          <t>SILVER_CONSUMER</t>
        </is>
      </c>
      <c r="C1166" s="48" t="inlineStr">
        <is>
          <t>3.1</t>
        </is>
      </c>
      <c r="D1166" s="48" t="inlineStr">
        <is>
          <t>Nhom 3 - Optimization</t>
        </is>
      </c>
      <c r="E1166" s="48" t="inlineStr">
        <is>
          <t>Không SELECT *</t>
        </is>
      </c>
      <c r="F1166" s="49" t="inlineStr">
        <is>
          <t>PASS</t>
        </is>
      </c>
      <c r="G1166" s="48" t="inlineStr">
        <is>
          <t>Pass</t>
        </is>
      </c>
      <c r="H1166" s="50" t="inlineStr">
        <is>
          <t>không dùng SELECT * ở đâu</t>
        </is>
      </c>
      <c r="I1166" s="50" t="inlineStr">
        <is>
          <t>Liệt kê tường minh các cột cần dùng, kể cả trong CTE trung gian. SELECT * làm tăng IO/memory và vỡ script khi bảng nguồn thêm cột.</t>
        </is>
      </c>
      <c r="J1166" s="48" t="inlineStr">
        <is>
          <t>081. OCB_GOLD_TCKH_V_DATE_OF_WORK_HOP.xlsx [SCRIPT: V_DATE_OF_WORK]</t>
        </is>
      </c>
    </row>
    <row r="1167">
      <c r="A1167" s="48" t="inlineStr">
        <is>
          <t>TCKH.V_DATE_OF_WORK</t>
        </is>
      </c>
      <c r="B1167" s="48" t="inlineStr">
        <is>
          <t>SILVER_CONSUMER</t>
        </is>
      </c>
      <c r="C1167" s="48" t="inlineStr">
        <is>
          <t>3.2</t>
        </is>
      </c>
      <c r="D1167" s="48" t="inlineStr">
        <is>
          <t>Nhom 3 - Optimization</t>
        </is>
      </c>
      <c r="E1167" s="48" t="inlineStr">
        <is>
          <t>CTE không bị scan lại nhiều lần</t>
        </is>
      </c>
      <c r="F1167" s="49" t="inlineStr">
        <is>
          <t>PASS</t>
        </is>
      </c>
      <c r="G1167" s="48" t="inlineStr">
        <is>
          <t>Pass</t>
        </is>
      </c>
      <c r="H1167" s="50" t="inlineStr">
        <is>
          <t>không có CTE nào bị gọi lại</t>
        </is>
      </c>
      <c r="I1167" s="50" t="inlineStr">
        <is>
          <t>Với CTE nặng (đọc nhiều bảng Silver) bị tham chiếu từ 2 chỗ trở lên: gom lại còn một lần dùng, hoặc vật chất hóa (CACHE / bảng tạm). CTE nhẹ chỉ chứa tham số thì bỏ qua được — tự tick Pass.</t>
        </is>
      </c>
      <c r="J1167" s="48" t="inlineStr">
        <is>
          <t>081. OCB_GOLD_TCKH_V_DATE_OF_WORK_HOP.xlsx [SCRIPT: V_DATE_OF_WORK]</t>
        </is>
      </c>
    </row>
    <row r="1168">
      <c r="A1168" s="48" t="inlineStr">
        <is>
          <t>TCKH.V_DATE_OF_WORK</t>
        </is>
      </c>
      <c r="B1168" s="48" t="inlineStr">
        <is>
          <t>SILVER_CONSUMER</t>
        </is>
      </c>
      <c r="C1168" s="48" t="inlineStr">
        <is>
          <t>3.3</t>
        </is>
      </c>
      <c r="D1168" s="48" t="inlineStr">
        <is>
          <t>Nhom 3 - Optimization</t>
        </is>
      </c>
      <c r="E1168" s="48" t="inlineStr">
        <is>
          <t>Filter trước khi join, tận dụng partition pruning</t>
        </is>
      </c>
      <c r="F1168" s="49" t="inlineStr">
        <is>
          <t>PASS</t>
        </is>
      </c>
      <c r="G1168" s="48" t="inlineStr">
        <is>
          <t>Pass</t>
        </is>
      </c>
      <c r="H1168" s="50" t="inlineStr">
        <is>
          <t>các bảng join đều được filter trước</t>
        </is>
      </c>
      <c r="I1168" s="50" t="inlineStr">
        <is>
          <t>Đưa điều kiện lọc (ngày dữ liệu, trạng thái) vào subquery của từng bảng TRƯỚC khi join, để tận dụng partition pruning. Bảng dim nhỏ không partition thì không cần — tự tick Pass.</t>
        </is>
      </c>
      <c r="J1168" s="48" t="inlineStr">
        <is>
          <t>081. OCB_GOLD_TCKH_V_DATE_OF_WORK_HOP.xlsx [SCRIPT: V_DATE_OF_WORK]</t>
        </is>
      </c>
    </row>
    <row r="1169">
      <c r="A1169" s="48" t="inlineStr">
        <is>
          <t>TCKH.V_DATE_OF_WORK</t>
        </is>
      </c>
      <c r="B1169" s="48" t="inlineStr">
        <is>
          <t>SILVER_CONSUMER</t>
        </is>
      </c>
      <c r="C1169" s="48" t="inlineStr">
        <is>
          <t>3.4</t>
        </is>
      </c>
      <c r="D1169" s="48" t="inlineStr">
        <is>
          <t>Nhom 3 - Optimization</t>
        </is>
      </c>
      <c r="E1169" s="48" t="inlineStr">
        <is>
          <t>Sử dụng CACHE cho query lặp lại trong cùng luồng</t>
        </is>
      </c>
      <c r="F1169" s="48" t="inlineStr">
        <is>
          <t>N-A</t>
        </is>
      </c>
      <c r="G1169" s="48" t="inlineStr">
        <is>
          <t>Pass</t>
        </is>
      </c>
      <c r="H1169" s="50" t="inlineStr">
        <is>
          <t>không có kết quả nào được dùng lại nhiều lần nên chưa cần CACHE</t>
        </is>
      </c>
      <c r="I1169" s="50" t="inlineStr">
        <is>
          <t>Nếu một kết quả nặng được dùng lại nhiều bước trong cùng luồng, thêm CACHE TABLE / CACHE SELECT. Kết quả nhỏ thì cache còn chậm hơn — tự tick Pass.</t>
        </is>
      </c>
      <c r="J1169" s="48" t="inlineStr">
        <is>
          <t>081. OCB_GOLD_TCKH_V_DATE_OF_WORK_HOP.xlsx [SCRIPT: V_DATE_OF_WORK]</t>
        </is>
      </c>
    </row>
    <row r="1170">
      <c r="A1170" s="48" t="inlineStr">
        <is>
          <t>TCKH.V_DATE_OF_WORK</t>
        </is>
      </c>
      <c r="B1170" s="48" t="inlineStr">
        <is>
          <t>SILVER_CONSUMER</t>
        </is>
      </c>
      <c r="C1170" s="48" t="inlineStr">
        <is>
          <t>3.5</t>
        </is>
      </c>
      <c r="D1170" s="48" t="inlineStr">
        <is>
          <t>Nhom 3 - Optimization</t>
        </is>
      </c>
      <c r="E1170" s="48" t="inlineStr">
        <is>
          <t>Ưu tiên MAX_BY + QUALIFY thay ROW_NUMBER() + WHERE rn = 1</t>
        </is>
      </c>
      <c r="F1170" s="48" t="inlineStr">
        <is>
          <t>N-A</t>
        </is>
      </c>
      <c r="G1170" s="48" t="inlineStr">
        <is>
          <t>Pass</t>
        </is>
      </c>
      <c r="H1170" s="50" t="inlineStr">
        <is>
          <t>script không dùng ROW_NUMBER</t>
        </is>
      </c>
      <c r="I11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70" s="48" t="inlineStr">
        <is>
          <t>081. OCB_GOLD_TCKH_V_DATE_OF_WORK_HOP.xlsx [SCRIPT: V_DATE_OF_WORK]</t>
        </is>
      </c>
    </row>
    <row r="1171">
      <c r="A1171" s="48" t="inlineStr">
        <is>
          <t>TCKH.V_DATE_OF_WORK</t>
        </is>
      </c>
      <c r="B1171" s="48" t="inlineStr">
        <is>
          <t>SILVER_CONSUMER</t>
        </is>
      </c>
      <c r="C1171" s="48" t="inlineStr">
        <is>
          <t>3.6</t>
        </is>
      </c>
      <c r="D1171" s="48" t="inlineStr">
        <is>
          <t>Nhom 3 - Optimization</t>
        </is>
      </c>
      <c r="E1171" s="48" t="inlineStr">
        <is>
          <t>Không lạm dụng window function; có comment khi dùng</t>
        </is>
      </c>
      <c r="F1171" s="48" t="inlineStr">
        <is>
          <t>N-A</t>
        </is>
      </c>
      <c r="G1171" s="48" t="inlineStr">
        <is>
          <t>Pass</t>
        </is>
      </c>
      <c r="H1171" s="50" t="inlineStr">
        <is>
          <t>script không dùng window function</t>
        </is>
      </c>
      <c r="I1171" s="50" t="inlineStr">
        <is>
          <t>Mỗi window function cần một comment ngay trên khối CTE chứa nó, nói rõ vì sao không dùng được max_by/QUALIFY đơn giản hơn.</t>
        </is>
      </c>
      <c r="J1171" s="48" t="inlineStr">
        <is>
          <t>081. OCB_GOLD_TCKH_V_DATE_OF_WORK_HOP.xlsx [SCRIPT: V_DATE_OF_WORK]</t>
        </is>
      </c>
    </row>
    <row r="1172">
      <c r="A1172" s="48" t="inlineStr">
        <is>
          <t>TCKH.V_DATE_OF_WORK</t>
        </is>
      </c>
      <c r="B1172" s="48" t="inlineStr">
        <is>
          <t>SILVER_CONSUMER</t>
        </is>
      </c>
      <c r="C1172" s="48" t="inlineStr">
        <is>
          <t>X.1</t>
        </is>
      </c>
      <c r="D1172" s="48" t="inlineStr">
        <is>
          <t>Nhom X - Bo sung Raffles</t>
        </is>
      </c>
      <c r="E1172" s="48" t="inlineStr">
        <is>
          <t>[Bổ sung] Link phải rút về current trước khi join (chống fan-out)</t>
        </is>
      </c>
      <c r="F1172" s="49" t="inlineStr">
        <is>
          <t>PASS</t>
        </is>
      </c>
      <c r="G1172" s="48" t="inlineStr">
        <is>
          <t>Pass</t>
        </is>
      </c>
      <c r="H1172" s="50" t="inlineStr">
        <is>
          <t>các bảng link_* đều được rút về current trước khi join</t>
        </is>
      </c>
      <c r="I11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72" s="48" t="inlineStr">
        <is>
          <t>081. OCB_GOLD_TCKH_V_DATE_OF_WORK_HOP.xlsx [SCRIPT: V_DATE_OF_WORK]</t>
        </is>
      </c>
    </row>
    <row r="1173">
      <c r="A1173" s="48" t="inlineStr">
        <is>
          <t>TCKH.V_DATE_OF_WORK</t>
        </is>
      </c>
      <c r="B1173" s="48" t="inlineStr">
        <is>
          <t>SILVER_CONSUMER</t>
        </is>
      </c>
      <c r="C1173" s="48" t="inlineStr">
        <is>
          <t>X.6</t>
        </is>
      </c>
      <c r="D1173" s="48" t="inlineStr">
        <is>
          <t>Nhom X - Bo sung Raffles</t>
        </is>
      </c>
      <c r="E1173" s="48" t="inlineStr">
        <is>
          <t>[Bổ sung] Satellite phải LEFT JOIN, không INNER JOIN</t>
        </is>
      </c>
      <c r="F1173" s="48" t="inlineStr">
        <is>
          <t>N-A</t>
        </is>
      </c>
      <c r="G1173" s="48" t="inlineStr">
        <is>
          <t>Pass</t>
        </is>
      </c>
      <c r="H1173" s="50" t="inlineStr">
        <is>
          <t>không join satellite trực tiếp</t>
        </is>
      </c>
      <c r="I1173" s="50" t="inlineStr">
        <is>
          <t>Technical Document III.4.2.2 nguyên tắc 1: làm giàu thuộc tính luôn dùng LEFT JOIN. INNER JOIN satellite sẽ loại mất bản ghi Hub đang còn hiệu lực nhưng chưa có dòng satellite.</t>
        </is>
      </c>
      <c r="J1173" s="48" t="inlineStr">
        <is>
          <t>081. OCB_GOLD_TCKH_V_DATE_OF_WORK_HOP.xlsx [SCRIPT: V_DATE_OF_WORK]</t>
        </is>
      </c>
    </row>
    <row r="1174">
      <c r="A1174" s="48" t="inlineStr">
        <is>
          <t>TCKH.V_DATE_OF_WORK</t>
        </is>
      </c>
      <c r="B1174" s="48" t="inlineStr">
        <is>
          <t>SILVER_CONSUMER</t>
        </is>
      </c>
      <c r="C1174" s="48" t="inlineStr">
        <is>
          <t>X.7</t>
        </is>
      </c>
      <c r="D1174" s="48" t="inlineStr">
        <is>
          <t>Nhom X - Bo sung Raffles</t>
        </is>
      </c>
      <c r="E1174" s="48" t="inlineStr">
        <is>
          <t>[Bổ sung] Không hard-code catalog, dùng biến môi trường</t>
        </is>
      </c>
      <c r="F1174" s="49" t="inlineStr">
        <is>
          <t>PASS</t>
        </is>
      </c>
      <c r="G1174" s="48" t="inlineStr">
        <is>
          <t>Pass</t>
        </is>
      </c>
      <c r="H1174" s="50" t="inlineStr">
        <is>
          <t>dùng biến môi trường cho catalog</t>
        </is>
      </c>
      <c r="I11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74" s="48" t="inlineStr">
        <is>
          <t>081. OCB_GOLD_TCKH_V_DATE_OF_WORK_HOP.xlsx [SCRIPT: V_DATE_OF_WORK]</t>
        </is>
      </c>
    </row>
    <row r="1175">
      <c r="A1175" s="48" t="inlineStr">
        <is>
          <t>TCKH.V_LD_FTP_RATE</t>
        </is>
      </c>
      <c r="B1175" s="48" t="inlineStr">
        <is>
          <t>GOLD_DERIVED</t>
        </is>
      </c>
      <c r="C1175" s="48" t="inlineStr">
        <is>
          <t>1.1</t>
        </is>
      </c>
      <c r="D1175" s="48" t="inlineStr">
        <is>
          <t>Nhom 1 - Mapping</t>
        </is>
      </c>
      <c r="E1175" s="48" t="inlineStr">
        <is>
          <t>Đầy đủ mapping từ Silver/manual sang Gold</t>
        </is>
      </c>
      <c r="F1175" s="49" t="inlineStr">
        <is>
          <t>PASS</t>
        </is>
      </c>
      <c r="G1175" s="48" t="inlineStr">
        <is>
          <t>Pass</t>
        </is>
      </c>
      <c r="H1175" s="50" t="inlineStr">
        <is>
          <t>workbook 052. OCB_GOLD_TCKH_V_FTP_RATE_PHAT.xlsx: thiết kế 6 field, SQL có 6 cột</t>
        </is>
      </c>
      <c r="I1175"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75" s="48" t="inlineStr">
        <is>
          <t>082. OCB_GOLD_TCKH_V_LD_FTP_RATE_PHAT.xlsx [Script: V_LD_FTP_RATE]</t>
        </is>
      </c>
    </row>
    <row r="1176">
      <c r="A1176" s="48" t="inlineStr">
        <is>
          <t>TCKH.V_LD_FTP_RATE</t>
        </is>
      </c>
      <c r="B1176" s="48" t="inlineStr">
        <is>
          <t>GOLD_DERIVED</t>
        </is>
      </c>
      <c r="C1176" s="48" t="inlineStr">
        <is>
          <t>1.2</t>
        </is>
      </c>
      <c r="D1176" s="48" t="inlineStr">
        <is>
          <t>Nhom 1 - Mapping</t>
        </is>
      </c>
      <c r="E1176" s="48" t="inlineStr">
        <is>
          <t>Danh sách bảng/view Gold khớp tài liệu thiết kế đã duyệt</t>
        </is>
      </c>
      <c r="F1176" s="49" t="inlineStr">
        <is>
          <t>PASS</t>
        </is>
      </c>
      <c r="G1176" s="48" t="inlineStr">
        <is>
          <t>Pass</t>
        </is>
      </c>
      <c r="H1176" s="50" t="inlineStr">
        <is>
          <t>V_LD_FTP_RATE có workbook thiết kế: 052. OCB_GOLD_TCKH_V_FTP_RATE_PHAT.xlsx</t>
        </is>
      </c>
      <c r="I1176" s="50" t="inlineStr">
        <is>
          <t>Đảm bảo object có workbook thiết kế tương ứng trong thư mục --mapping-dir. Muốn đối chiếu với danh sách đã duyệt thì chạy thêm tham số --gold-list "&lt;file danh sách Gold&gt;.xlsx".</t>
        </is>
      </c>
      <c r="J1176" s="48" t="inlineStr">
        <is>
          <t>082. OCB_GOLD_TCKH_V_LD_FTP_RATE_PHAT.xlsx [Script: V_LD_FTP_RATE]</t>
        </is>
      </c>
    </row>
    <row r="1177">
      <c r="A1177" s="48" t="inlineStr">
        <is>
          <t>TCKH.V_LD_FTP_RATE</t>
        </is>
      </c>
      <c r="B1177" s="48" t="inlineStr">
        <is>
          <t>GOLD_DERIVED</t>
        </is>
      </c>
      <c r="C1177" s="48" t="inlineStr">
        <is>
          <t>2.1</t>
        </is>
      </c>
      <c r="D1177" s="48" t="inlineStr">
        <is>
          <t>Nhom 2 - Logic</t>
        </is>
      </c>
      <c r="E1177" s="48" t="inlineStr">
        <is>
          <t>Chỉ lấy bản ghi active, loại bản ghi đã xóa (qua sts_hub)</t>
        </is>
      </c>
      <c r="F1177" s="48" t="inlineStr">
        <is>
          <t>N-A</t>
        </is>
      </c>
      <c r="G1177" s="48" t="inlineStr">
        <is>
          <t>Pass</t>
        </is>
      </c>
      <c r="H1177" s="50" t="inlineStr">
        <is>
          <t>khong ap dung cho profile GOLD_DERIVED</t>
        </is>
      </c>
      <c r="I1177"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77" s="48" t="inlineStr">
        <is>
          <t>082. OCB_GOLD_TCKH_V_LD_FTP_RATE_PHAT.xlsx [Script: V_LD_FTP_RATE]</t>
        </is>
      </c>
    </row>
    <row r="1178">
      <c r="A1178" s="48" t="inlineStr">
        <is>
          <t>TCKH.V_LD_FTP_RATE</t>
        </is>
      </c>
      <c r="B1178" s="48" t="inlineStr">
        <is>
          <t>GOLD_DERIVED</t>
        </is>
      </c>
      <c r="C1178" s="48" t="inlineStr">
        <is>
          <t>2.2</t>
        </is>
      </c>
      <c r="D1178" s="48" t="inlineStr">
        <is>
          <t>Nhom 2 - Logic</t>
        </is>
      </c>
      <c r="E1178" s="48" t="inlineStr">
        <is>
          <t>Thống nhất MỘT pattern duy nhất xác định bản ghi active mới nhất</t>
        </is>
      </c>
      <c r="F1178" s="48" t="inlineStr">
        <is>
          <t>N-A</t>
        </is>
      </c>
      <c r="G1178" s="48" t="inlineStr">
        <is>
          <t>Pass</t>
        </is>
      </c>
      <c r="H1178" s="50" t="inlineStr">
        <is>
          <t>khong ap dung cho profile GOLD_DERIVED</t>
        </is>
      </c>
      <c r="I1178"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78" s="48" t="inlineStr">
        <is>
          <t>082. OCB_GOLD_TCKH_V_LD_FTP_RATE_PHAT.xlsx [Script: V_LD_FTP_RATE]</t>
        </is>
      </c>
    </row>
    <row r="1179">
      <c r="A1179" s="48" t="inlineStr">
        <is>
          <t>TCKH.V_LD_FTP_RATE</t>
        </is>
      </c>
      <c r="B1179" s="48" t="inlineStr">
        <is>
          <t>GOLD_DERIVED</t>
        </is>
      </c>
      <c r="C1179" s="48" t="inlineStr">
        <is>
          <t>2.3</t>
        </is>
      </c>
      <c r="D1179" s="48" t="inlineStr">
        <is>
          <t>Nhom 2 - Logic</t>
        </is>
      </c>
      <c r="E1179" s="48" t="inlineStr">
        <is>
          <t>Điều kiện lọc trạng thái đặt SAU khi xác định bản ghi mới nhất</t>
        </is>
      </c>
      <c r="F1179" s="49" t="inlineStr">
        <is>
          <t>PASS</t>
        </is>
      </c>
      <c r="G1179" s="48" t="inlineStr">
        <is>
          <t>Pass</t>
        </is>
      </c>
      <c r="H1179" s="50" t="inlineStr">
        <is>
          <t>không có điều kiện trạng thái nào lồng trong JOIN ON</t>
        </is>
      </c>
      <c r="I1179"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79" s="48" t="inlineStr">
        <is>
          <t>082. OCB_GOLD_TCKH_V_LD_FTP_RATE_PHAT.xlsx [Script: V_LD_FTP_RATE]</t>
        </is>
      </c>
    </row>
    <row r="1180">
      <c r="A1180" s="48" t="inlineStr">
        <is>
          <t>TCKH.V_LD_FTP_RATE</t>
        </is>
      </c>
      <c r="B1180" s="48" t="inlineStr">
        <is>
          <t>GOLD_DERIVED</t>
        </is>
      </c>
      <c r="C1180" s="48" t="inlineStr">
        <is>
          <t>2.4</t>
        </is>
      </c>
      <c r="D1180" s="48" t="inlineStr">
        <is>
          <t>Nhom 2 - Logic</t>
        </is>
      </c>
      <c r="E1180" s="48" t="inlineStr">
        <is>
          <t>source_event_date áp dụng đúng dạng theo loại bảng</t>
        </is>
      </c>
      <c r="F1180" s="48" t="inlineStr">
        <is>
          <t>N-A</t>
        </is>
      </c>
      <c r="G1180" s="48" t="inlineStr">
        <is>
          <t>Pass</t>
        </is>
      </c>
      <c r="H1180" s="50" t="inlineStr">
        <is>
          <t>khong ap dung cho profile GOLD_DERIVED</t>
        </is>
      </c>
      <c r="I1180"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80" s="48" t="inlineStr">
        <is>
          <t>082. OCB_GOLD_TCKH_V_LD_FTP_RATE_PHAT.xlsx [Script: V_LD_FTP_RATE]</t>
        </is>
      </c>
    </row>
    <row r="1181">
      <c r="A1181" s="48" t="inlineStr">
        <is>
          <t>TCKH.V_LD_FTP_RATE</t>
        </is>
      </c>
      <c r="B1181" s="48" t="inlineStr">
        <is>
          <t>GOLD_DERIVED</t>
        </is>
      </c>
      <c r="C1181" s="48" t="inlineStr">
        <is>
          <t>2.5</t>
        </is>
      </c>
      <c r="D1181" s="48" t="inlineStr">
        <is>
          <t>Nhom 2 - Logic</t>
        </is>
      </c>
      <c r="E1181" s="48" t="inlineStr">
        <is>
          <t>Không lặp lại lỗi logic cũ đã được DA Data Vault fix</t>
        </is>
      </c>
      <c r="F1181" s="49" t="inlineStr">
        <is>
          <t>PASS</t>
        </is>
      </c>
      <c r="G1181" s="48" t="inlineStr">
        <is>
          <t>Pass</t>
        </is>
      </c>
      <c r="H1181" s="50" t="inlineStr">
        <is>
          <t>không trùng lỗi nào trong Issue log của DA Data Vault</t>
        </is>
      </c>
      <c r="I1181"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81" s="48" t="inlineStr">
        <is>
          <t>082. OCB_GOLD_TCKH_V_LD_FTP_RATE_PHAT.xlsx [Script: V_LD_FTP_RATE]</t>
        </is>
      </c>
    </row>
    <row r="1182">
      <c r="A1182" s="48" t="inlineStr">
        <is>
          <t>TCKH.V_LD_FTP_RATE</t>
        </is>
      </c>
      <c r="B1182" s="48" t="inlineStr">
        <is>
          <t>GOLD_DERIVED</t>
        </is>
      </c>
      <c r="C1182" s="48" t="inlineStr">
        <is>
          <t>2.6</t>
        </is>
      </c>
      <c r="D1182" s="48" t="inlineStr">
        <is>
          <t>Nhom 2 - Logic</t>
        </is>
      </c>
      <c r="E1182" s="48" t="inlineStr">
        <is>
          <t>SCD Type 2 cho bảng DIM áp dụng đúng kỹ thuật đã thống nhất</t>
        </is>
      </c>
      <c r="F1182" s="48" t="inlineStr">
        <is>
          <t>N-A</t>
        </is>
      </c>
      <c r="G1182" s="48" t="inlineStr">
        <is>
          <t>Pass</t>
        </is>
      </c>
      <c r="H1182" s="50" t="inlineStr">
        <is>
          <t>object không phải bảng DIM nên không áp dụng SCD Type 2</t>
        </is>
      </c>
      <c r="I1182"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82" s="48" t="inlineStr">
        <is>
          <t>082. OCB_GOLD_TCKH_V_LD_FTP_RATE_PHAT.xlsx [Script: V_LD_FTP_RATE]</t>
        </is>
      </c>
    </row>
    <row r="1183">
      <c r="A1183" s="48" t="inlineStr">
        <is>
          <t>TCKH.V_LD_FTP_RATE</t>
        </is>
      </c>
      <c r="B1183" s="48" t="inlineStr">
        <is>
          <t>GOLD_DERIVED</t>
        </is>
      </c>
      <c r="C1183" s="48" t="inlineStr">
        <is>
          <t>2.7</t>
        </is>
      </c>
      <c r="D1183" s="48" t="inlineStr">
        <is>
          <t>Nhom 2 - Logic</t>
        </is>
      </c>
      <c r="E1183" s="48" t="inlineStr">
        <is>
          <t>CASE WHEN cover đủ nhánh như job on-prem</t>
        </is>
      </c>
      <c r="F1183" s="49" t="inlineStr">
        <is>
          <t>PASS</t>
        </is>
      </c>
      <c r="G1183" s="48" t="inlineStr">
        <is>
          <t>Pass</t>
        </is>
      </c>
      <c r="H1183" s="50" t="inlineStr">
        <is>
          <t>cả 2 CASE đều có nhánh ELSE</t>
        </is>
      </c>
      <c r="I1183" s="50" t="inlineStr">
        <is>
          <t>Mở job on-prem tương ứng (DataStage DSX hoặc SQL cũ), đối chiếu từng nhánh WHEN và cả nhánh ELSE. CASE không có ELSE sẽ trả NULL âm thầm — xác nhận đó là ý muốn hay thiếu nhánh.</t>
        </is>
      </c>
      <c r="J1183" s="48" t="inlineStr">
        <is>
          <t>082. OCB_GOLD_TCKH_V_LD_FTP_RATE_PHAT.xlsx [Script: V_LD_FTP_RATE]</t>
        </is>
      </c>
    </row>
    <row r="1184">
      <c r="A1184" s="48" t="inlineStr">
        <is>
          <t>TCKH.V_LD_FTP_RATE</t>
        </is>
      </c>
      <c r="B1184" s="48" t="inlineStr">
        <is>
          <t>GOLD_DERIVED</t>
        </is>
      </c>
      <c r="C1184" s="48" t="inlineStr">
        <is>
          <t>2.8</t>
        </is>
      </c>
      <c r="D1184" s="48" t="inlineStr">
        <is>
          <t>Nhom 2 - Logic</t>
        </is>
      </c>
      <c r="E1184" s="48" t="inlineStr">
        <is>
          <t>Cột SUM/COUNT được COALESCE/NVL hợp lý</t>
        </is>
      </c>
      <c r="F1184" s="51" t="inlineStr">
        <is>
          <t>WARN</t>
        </is>
      </c>
      <c r="G1184" s="48" t="inlineStr">
        <is>
          <t>WARN</t>
        </is>
      </c>
      <c r="H1184" s="50" t="inlineStr">
        <is>
          <t>2 biểu thức tổng hợp chưa coalesce: SUM(CASE WHEN SUBSTRING(h.REF_NO, 1, 2) &lt;&gt; 'PD' AND h.SYSTEM; SUM(CASE WHEN SUBSTRING(h.REF_NO, 1, 2) = 'PD' THEN 0 ELSE h; khi đối soát với hệ thống cũ phải bọc NVL/ISNULL CẢ HAI phía để không lệch khi trừ (Checklist RVN-OCB #11)</t>
        </is>
      </c>
      <c r="I1184"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84" s="48" t="inlineStr">
        <is>
          <t>082. OCB_GOLD_TCKH_V_LD_FTP_RATE_PHAT.xlsx [Script: V_LD_FTP_RATE]</t>
        </is>
      </c>
    </row>
    <row r="1185">
      <c r="A1185" s="48" t="inlineStr">
        <is>
          <t>TCKH.V_LD_FTP_RATE</t>
        </is>
      </c>
      <c r="B1185" s="48" t="inlineStr">
        <is>
          <t>GOLD_DERIVED</t>
        </is>
      </c>
      <c r="C1185" s="48" t="inlineStr">
        <is>
          <t>2.9</t>
        </is>
      </c>
      <c r="D1185" s="48" t="inlineStr">
        <is>
          <t>Nhom 2 - Logic</t>
        </is>
      </c>
      <c r="E1185" s="48" t="inlineStr">
        <is>
          <t>Subquery / custom function / điều kiện LIKE đúng ý nghĩa nghiệp vụ</t>
        </is>
      </c>
      <c r="F1185" s="48" t="inlineStr">
        <is>
          <t>N-A</t>
        </is>
      </c>
      <c r="G1185" s="48" t="inlineStr">
        <is>
          <t>Pass</t>
        </is>
      </c>
      <c r="H1185" s="50" t="inlineStr">
        <is>
          <t>script không có điều kiện LIKE hay scalar subquery nào</t>
        </is>
      </c>
      <c r="I1185" s="50" t="inlineStr">
        <is>
          <t>Đọc lại từng điều kiện LIKE và từng subquery, đối chiếu ý nghĩa nghiệp vụ với on-prem — đúng cú pháp không đủ. Chú ý pattern LIKE có ký tự % ở đầu/cuối và phân biệt chữ hoa/thường.</t>
        </is>
      </c>
      <c r="J1185" s="48" t="inlineStr">
        <is>
          <t>082. OCB_GOLD_TCKH_V_LD_FTP_RATE_PHAT.xlsx [Script: V_LD_FTP_RATE]</t>
        </is>
      </c>
    </row>
    <row r="1186">
      <c r="A1186" s="48" t="inlineStr">
        <is>
          <t>TCKH.V_LD_FTP_RATE</t>
        </is>
      </c>
      <c r="B1186" s="48" t="inlineStr">
        <is>
          <t>GOLD_DERIVED</t>
        </is>
      </c>
      <c r="C1186" s="48" t="inlineStr">
        <is>
          <t>2.10</t>
        </is>
      </c>
      <c r="D1186" s="48" t="inlineStr">
        <is>
          <t>Nhom 2 - Logic</t>
        </is>
      </c>
      <c r="E1186" s="48" t="inlineStr">
        <is>
          <t>Aggregation kèm filter date range chính xác</t>
        </is>
      </c>
      <c r="F1186" s="51" t="inlineStr">
        <is>
          <t>WARN</t>
        </is>
      </c>
      <c r="G1186" s="48" t="inlineStr">
        <is>
          <t>WARN</t>
        </is>
      </c>
      <c r="H1186" s="50" t="inlineStr">
        <is>
          <t>1 khối tổng hợp không thấy filter theo ngày/tham số: SELECT tu FTP_CONTRACT_HIST</t>
        </is>
      </c>
      <c r="I1186" s="50" t="inlineStr">
        <is>
          <t>Mỗi khối SUM/COUNT/AVG phải có điều kiện lọc theo kỳ dữ liệu (CDR_DT_ID, DATA_DATE, :DATADT…). Nếu điều kiện nằm ở CTE nguồn thì ghi rõ trong comment để người review không phải truy ngược.</t>
        </is>
      </c>
      <c r="J1186" s="48" t="inlineStr">
        <is>
          <t>082. OCB_GOLD_TCKH_V_LD_FTP_RATE_PHAT.xlsx [Script: V_LD_FTP_RATE]</t>
        </is>
      </c>
    </row>
    <row r="1187">
      <c r="A1187" s="48" t="inlineStr">
        <is>
          <t>TCKH.V_LD_FTP_RATE</t>
        </is>
      </c>
      <c r="B1187" s="48" t="inlineStr">
        <is>
          <t>GOLD_DERIVED</t>
        </is>
      </c>
      <c r="C1187" s="48" t="inlineStr">
        <is>
          <t>2.11</t>
        </is>
      </c>
      <c r="D1187" s="48" t="inlineStr">
        <is>
          <t>Nhom 2 - Logic</t>
        </is>
      </c>
      <c r="E1187" s="48" t="inlineStr">
        <is>
          <t>Join dùng key hợp lý, không lạm dụng UNION ALL + EXISTS/NOT EXISTS</t>
        </is>
      </c>
      <c r="F1187" s="49" t="inlineStr">
        <is>
          <t>PASS</t>
        </is>
      </c>
      <c r="G1187" s="48" t="inlineStr">
        <is>
          <t>Pass</t>
        </is>
      </c>
      <c r="H1187" s="50" t="inlineStr">
        <is>
          <t>join đều theo điều kiện bằng, không lạm dụng UNION ALL + EXISTS</t>
        </is>
      </c>
      <c r="I1187" s="50" t="inlineStr">
        <is>
          <t>Ưu tiên LEFT JOIN theo business key hoặc hashkey. Xem lại các chỗ dùng UNION ALL kết hợp EXISTS/NOT EXISTS — thường thay được bằng một LEFT JOIN. Join không có điều kiện bằng (=) dễ tạo tích Descartes.</t>
        </is>
      </c>
      <c r="J1187" s="48" t="inlineStr">
        <is>
          <t>082. OCB_GOLD_TCKH_V_LD_FTP_RATE_PHAT.xlsx [Script: V_LD_FTP_RATE]</t>
        </is>
      </c>
    </row>
    <row r="1188">
      <c r="A1188" s="48" t="inlineStr">
        <is>
          <t>TCKH.V_LD_FTP_RATE</t>
        </is>
      </c>
      <c r="B1188" s="48" t="inlineStr">
        <is>
          <t>GOLD_DERIVED</t>
        </is>
      </c>
      <c r="C1188" s="48" t="inlineStr">
        <is>
          <t>2.12</t>
        </is>
      </c>
      <c r="D1188" s="48" t="inlineStr">
        <is>
          <t>Nhom 2 - Logic</t>
        </is>
      </c>
      <c r="E1188" s="48" t="inlineStr">
        <is>
          <t>Build Gold từ CTE snapshot Silver, không build nhiều tầng chồng chéo</t>
        </is>
      </c>
      <c r="F1188" s="49" t="inlineStr">
        <is>
          <t>PASS</t>
        </is>
      </c>
      <c r="G1188" s="48" t="inlineStr">
        <is>
          <t>Pass</t>
        </is>
      </c>
      <c r="H1188" s="50" t="inlineStr">
        <is>
          <t>mỗi bảng nguồn chỉ đọc trong 1 khối SELECT</t>
        </is>
      </c>
      <c r="I1188"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88" s="48" t="inlineStr">
        <is>
          <t>082. OCB_GOLD_TCKH_V_LD_FTP_RATE_PHAT.xlsx [Script: V_LD_FTP_RATE]</t>
        </is>
      </c>
    </row>
    <row r="1189">
      <c r="A1189" s="48" t="inlineStr">
        <is>
          <t>TCKH.V_LD_FTP_RATE</t>
        </is>
      </c>
      <c r="B1189" s="48" t="inlineStr">
        <is>
          <t>GOLD_DERIVED</t>
        </is>
      </c>
      <c r="C1189" s="48" t="inlineStr">
        <is>
          <t>3.1</t>
        </is>
      </c>
      <c r="D1189" s="48" t="inlineStr">
        <is>
          <t>Nhom 3 - Optimization</t>
        </is>
      </c>
      <c r="E1189" s="48" t="inlineStr">
        <is>
          <t>Không SELECT *</t>
        </is>
      </c>
      <c r="F1189" s="49" t="inlineStr">
        <is>
          <t>PASS</t>
        </is>
      </c>
      <c r="G1189" s="48" t="inlineStr">
        <is>
          <t>Pass</t>
        </is>
      </c>
      <c r="H1189" s="50" t="inlineStr">
        <is>
          <t>không dùng SELECT * ở đâu</t>
        </is>
      </c>
      <c r="I1189" s="50" t="inlineStr">
        <is>
          <t>Liệt kê tường minh các cột cần dùng, kể cả trong CTE trung gian. SELECT * làm tăng IO/memory và vỡ script khi bảng nguồn thêm cột.</t>
        </is>
      </c>
      <c r="J1189" s="48" t="inlineStr">
        <is>
          <t>082. OCB_GOLD_TCKH_V_LD_FTP_RATE_PHAT.xlsx [Script: V_LD_FTP_RATE]</t>
        </is>
      </c>
    </row>
    <row r="1190">
      <c r="A1190" s="48" t="inlineStr">
        <is>
          <t>TCKH.V_LD_FTP_RATE</t>
        </is>
      </c>
      <c r="B1190" s="48" t="inlineStr">
        <is>
          <t>GOLD_DERIVED</t>
        </is>
      </c>
      <c r="C1190" s="48" t="inlineStr">
        <is>
          <t>3.2</t>
        </is>
      </c>
      <c r="D1190" s="48" t="inlineStr">
        <is>
          <t>Nhom 3 - Optimization</t>
        </is>
      </c>
      <c r="E1190" s="48" t="inlineStr">
        <is>
          <t>CTE không bị scan lại nhiều lần</t>
        </is>
      </c>
      <c r="F1190" s="49" t="inlineStr">
        <is>
          <t>PASS</t>
        </is>
      </c>
      <c r="G1190" s="48" t="inlineStr">
        <is>
          <t>Pass</t>
        </is>
      </c>
      <c r="H1190" s="50" t="inlineStr">
        <is>
          <t>không có CTE nào bị gọi lại</t>
        </is>
      </c>
      <c r="I1190" s="50" t="inlineStr">
        <is>
          <t>Với CTE nặng (đọc nhiều bảng Silver) bị tham chiếu từ 2 chỗ trở lên: gom lại còn một lần dùng, hoặc vật chất hóa (CACHE / bảng tạm). CTE nhẹ chỉ chứa tham số thì bỏ qua được — tự tick Pass.</t>
        </is>
      </c>
      <c r="J1190" s="48" t="inlineStr">
        <is>
          <t>082. OCB_GOLD_TCKH_V_LD_FTP_RATE_PHAT.xlsx [Script: V_LD_FTP_RATE]</t>
        </is>
      </c>
    </row>
    <row r="1191">
      <c r="A1191" s="48" t="inlineStr">
        <is>
          <t>TCKH.V_LD_FTP_RATE</t>
        </is>
      </c>
      <c r="B1191" s="48" t="inlineStr">
        <is>
          <t>GOLD_DERIVED</t>
        </is>
      </c>
      <c r="C1191" s="48" t="inlineStr">
        <is>
          <t>3.3</t>
        </is>
      </c>
      <c r="D1191" s="48" t="inlineStr">
        <is>
          <t>Nhom 3 - Optimization</t>
        </is>
      </c>
      <c r="E1191" s="48" t="inlineStr">
        <is>
          <t>Filter trước khi join, tận dụng partition pruning</t>
        </is>
      </c>
      <c r="F1191" s="49" t="inlineStr">
        <is>
          <t>PASS</t>
        </is>
      </c>
      <c r="G1191" s="48" t="inlineStr">
        <is>
          <t>Pass</t>
        </is>
      </c>
      <c r="H1191" s="50" t="inlineStr">
        <is>
          <t>các bảng join đều được filter trước</t>
        </is>
      </c>
      <c r="I1191" s="50" t="inlineStr">
        <is>
          <t>Đưa điều kiện lọc (ngày dữ liệu, trạng thái) vào subquery của từng bảng TRƯỚC khi join, để tận dụng partition pruning. Bảng dim nhỏ không partition thì không cần — tự tick Pass.</t>
        </is>
      </c>
      <c r="J1191" s="48" t="inlineStr">
        <is>
          <t>082. OCB_GOLD_TCKH_V_LD_FTP_RATE_PHAT.xlsx [Script: V_LD_FTP_RATE]</t>
        </is>
      </c>
    </row>
    <row r="1192">
      <c r="A1192" s="48" t="inlineStr">
        <is>
          <t>TCKH.V_LD_FTP_RATE</t>
        </is>
      </c>
      <c r="B1192" s="48" t="inlineStr">
        <is>
          <t>GOLD_DERIVED</t>
        </is>
      </c>
      <c r="C1192" s="48" t="inlineStr">
        <is>
          <t>3.4</t>
        </is>
      </c>
      <c r="D1192" s="48" t="inlineStr">
        <is>
          <t>Nhom 3 - Optimization</t>
        </is>
      </c>
      <c r="E1192" s="48" t="inlineStr">
        <is>
          <t>Sử dụng CACHE cho query lặp lại trong cùng luồng</t>
        </is>
      </c>
      <c r="F1192" s="48" t="inlineStr">
        <is>
          <t>N-A</t>
        </is>
      </c>
      <c r="G1192" s="48" t="inlineStr">
        <is>
          <t>Pass</t>
        </is>
      </c>
      <c r="H1192" s="50" t="inlineStr">
        <is>
          <t>không có kết quả nào được dùng lại nhiều lần nên chưa cần CACHE</t>
        </is>
      </c>
      <c r="I1192" s="50" t="inlineStr">
        <is>
          <t>Nếu một kết quả nặng được dùng lại nhiều bước trong cùng luồng, thêm CACHE TABLE / CACHE SELECT. Kết quả nhỏ thì cache còn chậm hơn — tự tick Pass.</t>
        </is>
      </c>
      <c r="J1192" s="48" t="inlineStr">
        <is>
          <t>082. OCB_GOLD_TCKH_V_LD_FTP_RATE_PHAT.xlsx [Script: V_LD_FTP_RATE]</t>
        </is>
      </c>
    </row>
    <row r="1193">
      <c r="A1193" s="48" t="inlineStr">
        <is>
          <t>TCKH.V_LD_FTP_RATE</t>
        </is>
      </c>
      <c r="B1193" s="48" t="inlineStr">
        <is>
          <t>GOLD_DERIVED</t>
        </is>
      </c>
      <c r="C1193" s="48" t="inlineStr">
        <is>
          <t>3.5</t>
        </is>
      </c>
      <c r="D1193" s="48" t="inlineStr">
        <is>
          <t>Nhom 3 - Optimization</t>
        </is>
      </c>
      <c r="E1193" s="48" t="inlineStr">
        <is>
          <t>Ưu tiên MAX_BY + QUALIFY thay ROW_NUMBER() + WHERE rn = 1</t>
        </is>
      </c>
      <c r="F1193" s="48" t="inlineStr">
        <is>
          <t>N-A</t>
        </is>
      </c>
      <c r="G1193" s="48" t="inlineStr">
        <is>
          <t>Pass</t>
        </is>
      </c>
      <c r="H1193" s="50" t="inlineStr">
        <is>
          <t>script không dùng ROW_NUMBER</t>
        </is>
      </c>
      <c r="I1193"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93" s="48" t="inlineStr">
        <is>
          <t>082. OCB_GOLD_TCKH_V_LD_FTP_RATE_PHAT.xlsx [Script: V_LD_FTP_RATE]</t>
        </is>
      </c>
    </row>
    <row r="1194">
      <c r="A1194" s="48" t="inlineStr">
        <is>
          <t>TCKH.V_LD_FTP_RATE</t>
        </is>
      </c>
      <c r="B1194" s="48" t="inlineStr">
        <is>
          <t>GOLD_DERIVED</t>
        </is>
      </c>
      <c r="C1194" s="48" t="inlineStr">
        <is>
          <t>3.6</t>
        </is>
      </c>
      <c r="D1194" s="48" t="inlineStr">
        <is>
          <t>Nhom 3 - Optimization</t>
        </is>
      </c>
      <c r="E1194" s="48" t="inlineStr">
        <is>
          <t>Không lạm dụng window function; có comment khi dùng</t>
        </is>
      </c>
      <c r="F1194" s="48" t="inlineStr">
        <is>
          <t>N-A</t>
        </is>
      </c>
      <c r="G1194" s="48" t="inlineStr">
        <is>
          <t>Pass</t>
        </is>
      </c>
      <c r="H1194" s="50" t="inlineStr">
        <is>
          <t>script không dùng window function</t>
        </is>
      </c>
      <c r="I1194" s="50" t="inlineStr">
        <is>
          <t>Mỗi window function cần một comment ngay trên khối CTE chứa nó, nói rõ vì sao không dùng được max_by/QUALIFY đơn giản hơn.</t>
        </is>
      </c>
      <c r="J1194" s="48" t="inlineStr">
        <is>
          <t>082. OCB_GOLD_TCKH_V_LD_FTP_RATE_PHAT.xlsx [Script: V_LD_FTP_RATE]</t>
        </is>
      </c>
    </row>
    <row r="1195">
      <c r="A1195" s="48" t="inlineStr">
        <is>
          <t>TCKH.V_LD_FTP_RATE</t>
        </is>
      </c>
      <c r="B1195" s="48" t="inlineStr">
        <is>
          <t>GOLD_DERIVED</t>
        </is>
      </c>
      <c r="C1195" s="48" t="inlineStr">
        <is>
          <t>X.1</t>
        </is>
      </c>
      <c r="D1195" s="48" t="inlineStr">
        <is>
          <t>Nhom X - Bo sung Raffles</t>
        </is>
      </c>
      <c r="E1195" s="48" t="inlineStr">
        <is>
          <t>[Bổ sung] Link phải rút về current trước khi join (chống fan-out)</t>
        </is>
      </c>
      <c r="F1195" s="48" t="inlineStr">
        <is>
          <t>N-A</t>
        </is>
      </c>
      <c r="G1195" s="48" t="inlineStr">
        <is>
          <t>Pass</t>
        </is>
      </c>
      <c r="H1195" s="50" t="inlineStr">
        <is>
          <t>khong ap dung cho profile GOLD_DERIVED</t>
        </is>
      </c>
      <c r="I1195"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95" s="48" t="inlineStr">
        <is>
          <t>082. OCB_GOLD_TCKH_V_LD_FTP_RATE_PHAT.xlsx [Script: V_LD_FTP_RATE]</t>
        </is>
      </c>
    </row>
    <row r="1196">
      <c r="A1196" s="48" t="inlineStr">
        <is>
          <t>TCKH.V_LD_FTP_RATE</t>
        </is>
      </c>
      <c r="B1196" s="48" t="inlineStr">
        <is>
          <t>GOLD_DERIVED</t>
        </is>
      </c>
      <c r="C1196" s="48" t="inlineStr">
        <is>
          <t>X.6</t>
        </is>
      </c>
      <c r="D1196" s="48" t="inlineStr">
        <is>
          <t>Nhom X - Bo sung Raffles</t>
        </is>
      </c>
      <c r="E1196" s="48" t="inlineStr">
        <is>
          <t>[Bổ sung] Satellite phải LEFT JOIN, không INNER JOIN</t>
        </is>
      </c>
      <c r="F1196" s="48" t="inlineStr">
        <is>
          <t>N-A</t>
        </is>
      </c>
      <c r="G1196" s="48" t="inlineStr">
        <is>
          <t>Pass</t>
        </is>
      </c>
      <c r="H1196" s="50" t="inlineStr">
        <is>
          <t>khong ap dung cho profile GOLD_DERIVED</t>
        </is>
      </c>
      <c r="I1196" s="50" t="inlineStr">
        <is>
          <t>Technical Document III.4.2.2 nguyên tắc 1: làm giàu thuộc tính luôn dùng LEFT JOIN. INNER JOIN satellite sẽ loại mất bản ghi Hub đang còn hiệu lực nhưng chưa có dòng satellite.</t>
        </is>
      </c>
      <c r="J1196" s="48" t="inlineStr">
        <is>
          <t>082. OCB_GOLD_TCKH_V_LD_FTP_RATE_PHAT.xlsx [Script: V_LD_FTP_RATE]</t>
        </is>
      </c>
    </row>
    <row r="1197">
      <c r="A1197" s="48" t="inlineStr">
        <is>
          <t>TCKH.V_LD_FTP_RATE</t>
        </is>
      </c>
      <c r="B1197" s="48" t="inlineStr">
        <is>
          <t>GOLD_DERIVED</t>
        </is>
      </c>
      <c r="C1197" s="48" t="inlineStr">
        <is>
          <t>X.7</t>
        </is>
      </c>
      <c r="D1197" s="48" t="inlineStr">
        <is>
          <t>Nhom X - Bo sung Raffles</t>
        </is>
      </c>
      <c r="E1197" s="48" t="inlineStr">
        <is>
          <t>[Bổ sung] Không hard-code catalog, dùng biến môi trường</t>
        </is>
      </c>
      <c r="F1197" s="49" t="inlineStr">
        <is>
          <t>PASS</t>
        </is>
      </c>
      <c r="G1197" s="48" t="inlineStr">
        <is>
          <t>Pass</t>
        </is>
      </c>
      <c r="H1197" s="50" t="inlineStr">
        <is>
          <t>dùng biến môi trường cho catalog</t>
        </is>
      </c>
      <c r="I1197"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97" s="48" t="inlineStr">
        <is>
          <t>082. OCB_GOLD_TCKH_V_LD_FTP_RATE_PHAT.xlsx [Script: V_LD_FTP_RATE]</t>
        </is>
      </c>
    </row>
    <row r="1198">
      <c r="A1198" s="48" t="inlineStr">
        <is>
          <t>GSTX.GSTX_INTF_DUPL_CIF</t>
        </is>
      </c>
      <c r="B1198" s="48" t="inlineStr">
        <is>
          <t>SILVER_CONSUMER</t>
        </is>
      </c>
      <c r="C1198" s="48" t="inlineStr">
        <is>
          <t>1.1</t>
        </is>
      </c>
      <c r="D1198" s="48" t="inlineStr">
        <is>
          <t>Nhom 1 - Mapping</t>
        </is>
      </c>
      <c r="E1198" s="48" t="inlineStr">
        <is>
          <t>Đầy đủ mapping từ Silver/manual sang Gold</t>
        </is>
      </c>
      <c r="F1198" s="52" t="inlineStr">
        <is>
          <t>FAIL</t>
        </is>
      </c>
      <c r="G1198" s="48" t="inlineStr">
        <is>
          <t>Fail</t>
        </is>
      </c>
      <c r="H1198" s="50" t="inlineStr">
        <is>
          <t>còn placeholder chưa thay: &lt;t24_customer&gt; tại dòng [250]</t>
        </is>
      </c>
      <c r="I1198"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98" s="48" t="inlineStr">
        <is>
          <t>083. OCB_GOLD_TTDL_GSTX_INTF_DUPL_CIF_Huy.xlsx [Script SQL: GSTX_INTF_DUPL_CIF]</t>
        </is>
      </c>
    </row>
    <row r="1199">
      <c r="A1199" s="48" t="inlineStr">
        <is>
          <t>GSTX.GSTX_INTF_DUPL_CIF</t>
        </is>
      </c>
      <c r="B1199" s="48" t="inlineStr">
        <is>
          <t>SILVER_CONSUMER</t>
        </is>
      </c>
      <c r="C1199" s="48" t="inlineStr">
        <is>
          <t>1.2</t>
        </is>
      </c>
      <c r="D1199" s="48" t="inlineStr">
        <is>
          <t>Nhom 1 - Mapping</t>
        </is>
      </c>
      <c r="E1199" s="48" t="inlineStr">
        <is>
          <t>Danh sách bảng/view Gold khớp tài liệu thiết kế đã duyệt</t>
        </is>
      </c>
      <c r="F1199" s="49" t="inlineStr">
        <is>
          <t>PASS</t>
        </is>
      </c>
      <c r="G1199" s="48" t="inlineStr">
        <is>
          <t>Pass</t>
        </is>
      </c>
      <c r="H1199" s="50" t="inlineStr">
        <is>
          <t>GSTX_INTF_DUPL_CIF có workbook thiết kế: 083. OCB_GOLD_TTDL_GSTX_INTF_DUPL_CIF_Huy.xlsx</t>
        </is>
      </c>
      <c r="I1199" s="50" t="inlineStr">
        <is>
          <t>Đảm bảo object có workbook thiết kế tương ứng trong thư mục --mapping-dir. Muốn đối chiếu với danh sách đã duyệt thì chạy thêm tham số --gold-list "&lt;file danh sách Gold&gt;.xlsx".</t>
        </is>
      </c>
      <c r="J1199" s="48" t="inlineStr">
        <is>
          <t>083. OCB_GOLD_TTDL_GSTX_INTF_DUPL_CIF_Huy.xlsx [Script SQL: GSTX_INTF_DUPL_CIF]</t>
        </is>
      </c>
    </row>
    <row r="1200">
      <c r="A1200" s="48" t="inlineStr">
        <is>
          <t>GSTX.GSTX_INTF_DUPL_CIF</t>
        </is>
      </c>
      <c r="B1200" s="48" t="inlineStr">
        <is>
          <t>SILVER_CONSUMER</t>
        </is>
      </c>
      <c r="C1200" s="48" t="inlineStr">
        <is>
          <t>2.1</t>
        </is>
      </c>
      <c r="D1200" s="48" t="inlineStr">
        <is>
          <t>Nhom 2 - Logic</t>
        </is>
      </c>
      <c r="E1200" s="48" t="inlineStr">
        <is>
          <t>Chỉ lấy bản ghi active, loại bản ghi đã xóa (qua sts_hub)</t>
        </is>
      </c>
      <c r="F1200" s="49" t="inlineStr">
        <is>
          <t>PASS</t>
        </is>
      </c>
      <c r="G1200" s="48" t="inlineStr">
        <is>
          <t>Pass</t>
        </is>
      </c>
      <c r="H1200" s="50" t="inlineStr">
        <is>
          <t>1 sts_hub_* đọc đúng format</t>
        </is>
      </c>
      <c r="I1200"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00" s="48" t="inlineStr">
        <is>
          <t>083. OCB_GOLD_TTDL_GSTX_INTF_DUPL_CIF_Huy.xlsx [Script SQL: GSTX_INTF_DUPL_CIF]</t>
        </is>
      </c>
    </row>
    <row r="1201">
      <c r="A1201" s="48" t="inlineStr">
        <is>
          <t>GSTX.GSTX_INTF_DUPL_CIF</t>
        </is>
      </c>
      <c r="B1201" s="48" t="inlineStr">
        <is>
          <t>SILVER_CONSUMER</t>
        </is>
      </c>
      <c r="C1201" s="48" t="inlineStr">
        <is>
          <t>2.2</t>
        </is>
      </c>
      <c r="D1201" s="48" t="inlineStr">
        <is>
          <t>Nhom 2 - Logic</t>
        </is>
      </c>
      <c r="E1201" s="48" t="inlineStr">
        <is>
          <t>Thống nhất MỘT pattern duy nhất xác định bản ghi active mới nhất</t>
        </is>
      </c>
      <c r="F1201" s="49" t="inlineStr">
        <is>
          <t>PASS</t>
        </is>
      </c>
      <c r="G1201" s="48" t="inlineStr">
        <is>
          <t>Pass</t>
        </is>
      </c>
      <c r="H1201" s="50" t="inlineStr">
        <is>
          <t>file này dùng: ['MAX_BY']; toàn batch dùng: ['MAX_BY']</t>
        </is>
      </c>
      <c r="I1201"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01" s="48" t="inlineStr">
        <is>
          <t>083. OCB_GOLD_TTDL_GSTX_INTF_DUPL_CIF_Huy.xlsx [Script SQL: GSTX_INTF_DUPL_CIF]</t>
        </is>
      </c>
    </row>
    <row r="1202">
      <c r="A1202" s="48" t="inlineStr">
        <is>
          <t>GSTX.GSTX_INTF_DUPL_CIF</t>
        </is>
      </c>
      <c r="B1202" s="48" t="inlineStr">
        <is>
          <t>SILVER_CONSUMER</t>
        </is>
      </c>
      <c r="C1202" s="48" t="inlineStr">
        <is>
          <t>2.3</t>
        </is>
      </c>
      <c r="D1202" s="48" t="inlineStr">
        <is>
          <t>Nhom 2 - Logic</t>
        </is>
      </c>
      <c r="E1202" s="48" t="inlineStr">
        <is>
          <t>Điều kiện lọc trạng thái đặt SAU khi xác định bản ghi mới nhất</t>
        </is>
      </c>
      <c r="F1202" s="52" t="inlineStr">
        <is>
          <t>FAIL</t>
        </is>
      </c>
      <c r="G1202" s="48" t="inlineStr">
        <is>
          <t>Fail</t>
        </is>
      </c>
      <c r="H1202" s="50" t="inlineStr">
        <is>
          <t>đặt trong ON của OUTER JOIN sẽ ra NULL âm thầm khi không match (Issue log #3): ['source_event_date'] nằm trong ON của LEFT JOIN si; ['source_event_date'] nằm trong ON của LEFT JOIN si</t>
        </is>
      </c>
      <c r="I1202"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02" s="48" t="inlineStr">
        <is>
          <t>083. OCB_GOLD_TTDL_GSTX_INTF_DUPL_CIF_Huy.xlsx [Script SQL: GSTX_INTF_DUPL_CIF]</t>
        </is>
      </c>
    </row>
    <row r="1203">
      <c r="A1203" s="48" t="inlineStr">
        <is>
          <t>GSTX.GSTX_INTF_DUPL_CIF</t>
        </is>
      </c>
      <c r="B1203" s="48" t="inlineStr">
        <is>
          <t>SILVER_CONSUMER</t>
        </is>
      </c>
      <c r="C1203" s="48" t="inlineStr">
        <is>
          <t>2.4</t>
        </is>
      </c>
      <c r="D1203" s="48" t="inlineStr">
        <is>
          <t>Nhom 2 - Logic</t>
        </is>
      </c>
      <c r="E1203" s="48" t="inlineStr">
        <is>
          <t>source_event_date áp dụng đúng dạng theo loại bảng</t>
        </is>
      </c>
      <c r="F1203" s="52" t="inlineStr">
        <is>
          <t>FAIL</t>
        </is>
      </c>
      <c r="G1203" s="48" t="inlineStr">
        <is>
          <t>Fail</t>
        </is>
      </c>
      <c r="H1203" s="50" t="inlineStr">
        <is>
          <t>sat_crb_balance (dong 11): là bảng transaction nên phải dùng source_event_date = :DATADT, đang dùng &lt;=</t>
        </is>
      </c>
      <c r="I1203"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03" s="48" t="inlineStr">
        <is>
          <t>083. OCB_GOLD_TTDL_GSTX_INTF_DUPL_CIF_Huy.xlsx [Script SQL: GSTX_INTF_DUPL_CIF]</t>
        </is>
      </c>
    </row>
    <row r="1204">
      <c r="A1204" s="48" t="inlineStr">
        <is>
          <t>GSTX.GSTX_INTF_DUPL_CIF</t>
        </is>
      </c>
      <c r="B1204" s="48" t="inlineStr">
        <is>
          <t>SILVER_CONSUMER</t>
        </is>
      </c>
      <c r="C1204" s="48" t="inlineStr">
        <is>
          <t>2.5</t>
        </is>
      </c>
      <c r="D1204" s="48" t="inlineStr">
        <is>
          <t>Nhom 2 - Logic</t>
        </is>
      </c>
      <c r="E1204" s="48" t="inlineStr">
        <is>
          <t>Không lặp lại lỗi logic cũ đã được DA Data Vault fix</t>
        </is>
      </c>
      <c r="F1204" s="52" t="inlineStr">
        <is>
          <t>FAIL</t>
        </is>
      </c>
      <c r="G1204" s="48" t="inlineStr">
        <is>
          <t>Fail</t>
        </is>
      </c>
      <c r="H1204" s="50" t="inlineStr">
        <is>
          <t>lặp lại 1 lỗi DA Data Vault đã nêu ở Issue log: Issue#5 ROW_NUMBER()+WHERE rn=1 thay vi MAX_BY (cham hon) @ dòng [262]</t>
        </is>
      </c>
      <c r="I1204"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04" s="48" t="inlineStr">
        <is>
          <t>083. OCB_GOLD_TTDL_GSTX_INTF_DUPL_CIF_Huy.xlsx [Script SQL: GSTX_INTF_DUPL_CIF]</t>
        </is>
      </c>
    </row>
    <row r="1205">
      <c r="A1205" s="48" t="inlineStr">
        <is>
          <t>GSTX.GSTX_INTF_DUPL_CIF</t>
        </is>
      </c>
      <c r="B1205" s="48" t="inlineStr">
        <is>
          <t>SILVER_CONSUMER</t>
        </is>
      </c>
      <c r="C1205" s="48" t="inlineStr">
        <is>
          <t>2.6</t>
        </is>
      </c>
      <c r="D1205" s="48" t="inlineStr">
        <is>
          <t>Nhom 2 - Logic</t>
        </is>
      </c>
      <c r="E1205" s="48" t="inlineStr">
        <is>
          <t>SCD Type 2 cho bảng DIM áp dụng đúng kỹ thuật đã thống nhất</t>
        </is>
      </c>
      <c r="F1205" s="48" t="inlineStr">
        <is>
          <t>N-A</t>
        </is>
      </c>
      <c r="G1205" s="48" t="inlineStr">
        <is>
          <t>Pass</t>
        </is>
      </c>
      <c r="H1205" s="50" t="inlineStr">
        <is>
          <t>object không phải bảng DIM nên không áp dụng SCD Type 2</t>
        </is>
      </c>
      <c r="I1205"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05" s="48" t="inlineStr">
        <is>
          <t>083. OCB_GOLD_TTDL_GSTX_INTF_DUPL_CIF_Huy.xlsx [Script SQL: GSTX_INTF_DUPL_CIF]</t>
        </is>
      </c>
    </row>
    <row r="1206">
      <c r="A1206" s="48" t="inlineStr">
        <is>
          <t>GSTX.GSTX_INTF_DUPL_CIF</t>
        </is>
      </c>
      <c r="B1206" s="48" t="inlineStr">
        <is>
          <t>SILVER_CONSUMER</t>
        </is>
      </c>
      <c r="C1206" s="48" t="inlineStr">
        <is>
          <t>2.7</t>
        </is>
      </c>
      <c r="D1206" s="48" t="inlineStr">
        <is>
          <t>Nhom 2 - Logic</t>
        </is>
      </c>
      <c r="E1206" s="48" t="inlineStr">
        <is>
          <t>CASE WHEN cover đủ nhánh như job on-prem</t>
        </is>
      </c>
      <c r="F1206" s="49" t="inlineStr">
        <is>
          <t>PASS</t>
        </is>
      </c>
      <c r="G1206" s="48" t="inlineStr">
        <is>
          <t>Pass</t>
        </is>
      </c>
      <c r="H1206" s="50" t="inlineStr">
        <is>
          <t>cả 10 CASE đều có nhánh ELSE</t>
        </is>
      </c>
      <c r="I1206" s="50" t="inlineStr">
        <is>
          <t>Mở job on-prem tương ứng (DataStage DSX hoặc SQL cũ), đối chiếu từng nhánh WHEN và cả nhánh ELSE. CASE không có ELSE sẽ trả NULL âm thầm — xác nhận đó là ý muốn hay thiếu nhánh.</t>
        </is>
      </c>
      <c r="J1206" s="48" t="inlineStr">
        <is>
          <t>083. OCB_GOLD_TTDL_GSTX_INTF_DUPL_CIF_Huy.xlsx [Script SQL: GSTX_INTF_DUPL_CIF]</t>
        </is>
      </c>
    </row>
    <row r="1207">
      <c r="A1207" s="48" t="inlineStr">
        <is>
          <t>GSTX.GSTX_INTF_DUPL_CIF</t>
        </is>
      </c>
      <c r="B1207" s="48" t="inlineStr">
        <is>
          <t>SILVER_CONSUMER</t>
        </is>
      </c>
      <c r="C1207" s="48" t="inlineStr">
        <is>
          <t>2.8</t>
        </is>
      </c>
      <c r="D1207" s="48" t="inlineStr">
        <is>
          <t>Nhom 2 - Logic</t>
        </is>
      </c>
      <c r="E1207" s="48" t="inlineStr">
        <is>
          <t>Cột SUM/COUNT được COALESCE/NVL hợp lý</t>
        </is>
      </c>
      <c r="F1207" s="51" t="inlineStr">
        <is>
          <t>WARN</t>
        </is>
      </c>
      <c r="G1207" s="48" t="inlineStr">
        <is>
          <t>WARN</t>
        </is>
      </c>
      <c r="H1207" s="50" t="inlineStr">
        <is>
          <t>3 biểu thức tổng hợp chưa coalesce: curr_account_bal = SUM(CASE WHEN gl LIKE '42%1' THEN noite ELSE 0 END); curr_deposit_bal = SUM(CASE WHEN gl LIKE '42%2' OR gl LIKE '43%' THEN noite ELS; curr_loan_bal = SUM(CASE WHEN gl LIKE '2%' THEN noite ELSE 0 END); khi đối soát với hệ thống cũ phải bọc NVL/ISNULL CẢ HAI phía để không lệch khi trừ (Checklist RVN-OCB #11)</t>
        </is>
      </c>
      <c r="I1207"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07" s="48" t="inlineStr">
        <is>
          <t>083. OCB_GOLD_TTDL_GSTX_INTF_DUPL_CIF_Huy.xlsx [Script SQL: GSTX_INTF_DUPL_CIF]</t>
        </is>
      </c>
    </row>
    <row r="1208">
      <c r="A1208" s="48" t="inlineStr">
        <is>
          <t>GSTX.GSTX_INTF_DUPL_CIF</t>
        </is>
      </c>
      <c r="B1208" s="48" t="inlineStr">
        <is>
          <t>SILVER_CONSUMER</t>
        </is>
      </c>
      <c r="C1208" s="48" t="inlineStr">
        <is>
          <t>2.9</t>
        </is>
      </c>
      <c r="D1208" s="48" t="inlineStr">
        <is>
          <t>Nhom 2 - Logic</t>
        </is>
      </c>
      <c r="E1208" s="48" t="inlineStr">
        <is>
          <t>Subquery / custom function / điều kiện LIKE đúng ý nghĩa nghiệp vụ</t>
        </is>
      </c>
      <c r="F1208" s="49" t="inlineStr">
        <is>
          <t>PASS</t>
        </is>
      </c>
      <c r="G1208" s="48" t="inlineStr">
        <is>
          <t>Pass</t>
        </is>
      </c>
      <c r="H1208" s="50" t="inlineStr">
        <is>
          <t>4 điều kiện LIKE: gl LIKE '2%' | gl LIKE '42%1' | gl LIKE '42%2' | gl LIKE '43%'; cú pháp hợp lệ; ý nghĩa nghiệp vụ cần người review đối chiếu job on-prem</t>
        </is>
      </c>
      <c r="I1208" s="50" t="inlineStr">
        <is>
          <t>Đọc lại từng điều kiện LIKE và từng subquery, đối chiếu ý nghĩa nghiệp vụ với on-prem — đúng cú pháp không đủ. Chú ý pattern LIKE có ký tự % ở đầu/cuối và phân biệt chữ hoa/thường.</t>
        </is>
      </c>
      <c r="J1208" s="48" t="inlineStr">
        <is>
          <t>083. OCB_GOLD_TTDL_GSTX_INTF_DUPL_CIF_Huy.xlsx [Script SQL: GSTX_INTF_DUPL_CIF]</t>
        </is>
      </c>
    </row>
    <row r="1209">
      <c r="A1209" s="48" t="inlineStr">
        <is>
          <t>GSTX.GSTX_INTF_DUPL_CIF</t>
        </is>
      </c>
      <c r="B1209" s="48" t="inlineStr">
        <is>
          <t>SILVER_CONSUMER</t>
        </is>
      </c>
      <c r="C1209" s="48" t="inlineStr">
        <is>
          <t>2.10</t>
        </is>
      </c>
      <c r="D1209" s="48" t="inlineStr">
        <is>
          <t>Nhom 2 - Logic</t>
        </is>
      </c>
      <c r="E1209" s="48" t="inlineStr">
        <is>
          <t>Aggregation kèm filter date range chính xác</t>
        </is>
      </c>
      <c r="F1209" s="49" t="inlineStr">
        <is>
          <t>PASS</t>
        </is>
      </c>
      <c r="G1209" s="48" t="inlineStr">
        <is>
          <t>Pass</t>
        </is>
      </c>
      <c r="H1209" s="50" t="inlineStr">
        <is>
          <t>mọi khối tổng hợp đều có điều kiện theo kỳ dữ liệu</t>
        </is>
      </c>
      <c r="I1209" s="50" t="inlineStr">
        <is>
          <t>Mỗi khối SUM/COUNT/AVG phải có điều kiện lọc theo kỳ dữ liệu (CDR_DT_ID, DATA_DATE, :DATADT…). Nếu điều kiện nằm ở CTE nguồn thì ghi rõ trong comment để người review không phải truy ngược.</t>
        </is>
      </c>
      <c r="J1209" s="48" t="inlineStr">
        <is>
          <t>083. OCB_GOLD_TTDL_GSTX_INTF_DUPL_CIF_Huy.xlsx [Script SQL: GSTX_INTF_DUPL_CIF]</t>
        </is>
      </c>
    </row>
    <row r="1210">
      <c r="A1210" s="48" t="inlineStr">
        <is>
          <t>GSTX.GSTX_INTF_DUPL_CIF</t>
        </is>
      </c>
      <c r="B1210" s="48" t="inlineStr">
        <is>
          <t>SILVER_CONSUMER</t>
        </is>
      </c>
      <c r="C1210" s="48" t="inlineStr">
        <is>
          <t>2.11</t>
        </is>
      </c>
      <c r="D1210" s="48" t="inlineStr">
        <is>
          <t>Nhom 2 - Logic</t>
        </is>
      </c>
      <c r="E1210" s="48" t="inlineStr">
        <is>
          <t>Join dùng key hợp lý, không lạm dụng UNION ALL + EXISTS/NOT EXISTS</t>
        </is>
      </c>
      <c r="F1210" s="49" t="inlineStr">
        <is>
          <t>PASS</t>
        </is>
      </c>
      <c r="G1210" s="48" t="inlineStr">
        <is>
          <t>Pass</t>
        </is>
      </c>
      <c r="H1210" s="50" t="inlineStr">
        <is>
          <t>join đều theo điều kiện bằng, không lạm dụng UNION ALL + EXISTS</t>
        </is>
      </c>
      <c r="I1210" s="50" t="inlineStr">
        <is>
          <t>Ưu tiên LEFT JOIN theo business key hoặc hashkey. Xem lại các chỗ dùng UNION ALL kết hợp EXISTS/NOT EXISTS — thường thay được bằng một LEFT JOIN. Join không có điều kiện bằng (=) dễ tạo tích Descartes.</t>
        </is>
      </c>
      <c r="J1210" s="48" t="inlineStr">
        <is>
          <t>083. OCB_GOLD_TTDL_GSTX_INTF_DUPL_CIF_Huy.xlsx [Script SQL: GSTX_INTF_DUPL_CIF]</t>
        </is>
      </c>
    </row>
    <row r="1211">
      <c r="A1211" s="48" t="inlineStr">
        <is>
          <t>GSTX.GSTX_INTF_DUPL_CIF</t>
        </is>
      </c>
      <c r="B1211" s="48" t="inlineStr">
        <is>
          <t>SILVER_CONSUMER</t>
        </is>
      </c>
      <c r="C1211" s="48" t="inlineStr">
        <is>
          <t>2.12</t>
        </is>
      </c>
      <c r="D1211" s="48" t="inlineStr">
        <is>
          <t>Nhom 2 - Logic</t>
        </is>
      </c>
      <c r="E1211" s="48" t="inlineStr">
        <is>
          <t>Build Gold từ CTE snapshot Silver, không build nhiều tầng chồng chéo</t>
        </is>
      </c>
      <c r="F1211" s="49" t="inlineStr">
        <is>
          <t>PASS</t>
        </is>
      </c>
      <c r="G1211" s="48" t="inlineStr">
        <is>
          <t>Pass</t>
        </is>
      </c>
      <c r="H1211" s="50" t="inlineStr">
        <is>
          <t>mỗi bảng nguồn chỉ đọc trong 1 khối SELECT</t>
        </is>
      </c>
      <c r="I1211"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11" s="48" t="inlineStr">
        <is>
          <t>083. OCB_GOLD_TTDL_GSTX_INTF_DUPL_CIF_Huy.xlsx [Script SQL: GSTX_INTF_DUPL_CIF]</t>
        </is>
      </c>
    </row>
    <row r="1212">
      <c r="A1212" s="48" t="inlineStr">
        <is>
          <t>GSTX.GSTX_INTF_DUPL_CIF</t>
        </is>
      </c>
      <c r="B1212" s="48" t="inlineStr">
        <is>
          <t>SILVER_CONSUMER</t>
        </is>
      </c>
      <c r="C1212" s="48" t="inlineStr">
        <is>
          <t>3.1</t>
        </is>
      </c>
      <c r="D1212" s="48" t="inlineStr">
        <is>
          <t>Nhom 3 - Optimization</t>
        </is>
      </c>
      <c r="E1212" s="48" t="inlineStr">
        <is>
          <t>Không SELECT *</t>
        </is>
      </c>
      <c r="F1212" s="52" t="inlineStr">
        <is>
          <t>FAIL</t>
        </is>
      </c>
      <c r="G1212" s="48" t="inlineStr">
        <is>
          <t>Fail</t>
        </is>
      </c>
      <c r="H1212" s="50" t="inlineStr">
        <is>
          <t>có 2 lần SELECT * ở dòng [19, 255, 261]</t>
        </is>
      </c>
      <c r="I1212" s="50" t="inlineStr">
        <is>
          <t>Liệt kê tường minh các cột cần dùng, kể cả trong CTE trung gian. SELECT * làm tăng IO/memory và vỡ script khi bảng nguồn thêm cột.</t>
        </is>
      </c>
      <c r="J1212" s="48" t="inlineStr">
        <is>
          <t>083. OCB_GOLD_TTDL_GSTX_INTF_DUPL_CIF_Huy.xlsx [Script SQL: GSTX_INTF_DUPL_CIF]</t>
        </is>
      </c>
    </row>
    <row r="1213">
      <c r="A1213" s="48" t="inlineStr">
        <is>
          <t>GSTX.GSTX_INTF_DUPL_CIF</t>
        </is>
      </c>
      <c r="B1213" s="48" t="inlineStr">
        <is>
          <t>SILVER_CONSUMER</t>
        </is>
      </c>
      <c r="C1213" s="48" t="inlineStr">
        <is>
          <t>3.2</t>
        </is>
      </c>
      <c r="D1213" s="48" t="inlineStr">
        <is>
          <t>Nhom 3 - Optimization</t>
        </is>
      </c>
      <c r="E1213" s="48" t="inlineStr">
        <is>
          <t>CTE không bị scan lại nhiều lần</t>
        </is>
      </c>
      <c r="F1213" s="51" t="inlineStr">
        <is>
          <t>WARN</t>
        </is>
      </c>
      <c r="G1213" s="48" t="inlineStr">
        <is>
          <t>WARN</t>
        </is>
      </c>
      <c r="H1213" s="50" t="inlineStr">
        <is>
          <t>CTE bị tham chiếu lại nhiều lần: branch_dim x3, cust_acct_link x3, user_dir x3</t>
        </is>
      </c>
      <c r="I1213" s="50" t="inlineStr">
        <is>
          <t>Với CTE nặng (đọc nhiều bảng Silver) bị tham chiếu từ 2 chỗ trở lên: gom lại còn một lần dùng, hoặc vật chất hóa (CACHE / bảng tạm). CTE nhẹ chỉ chứa tham số thì bỏ qua được — tự tick Pass.</t>
        </is>
      </c>
      <c r="J1213" s="48" t="inlineStr">
        <is>
          <t>083. OCB_GOLD_TTDL_GSTX_INTF_DUPL_CIF_Huy.xlsx [Script SQL: GSTX_INTF_DUPL_CIF]</t>
        </is>
      </c>
    </row>
    <row r="1214">
      <c r="A1214" s="48" t="inlineStr">
        <is>
          <t>GSTX.GSTX_INTF_DUPL_CIF</t>
        </is>
      </c>
      <c r="B1214" s="48" t="inlineStr">
        <is>
          <t>SILVER_CONSUMER</t>
        </is>
      </c>
      <c r="C1214" s="48" t="inlineStr">
        <is>
          <t>3.3</t>
        </is>
      </c>
      <c r="D1214" s="48" t="inlineStr">
        <is>
          <t>Nhom 3 - Optimization</t>
        </is>
      </c>
      <c r="E1214" s="48" t="inlineStr">
        <is>
          <t>Filter trước khi join, tận dụng partition pruning</t>
        </is>
      </c>
      <c r="F1214" s="49" t="inlineStr">
        <is>
          <t>PASS</t>
        </is>
      </c>
      <c r="G1214" s="48" t="inlineStr">
        <is>
          <t>Pass</t>
        </is>
      </c>
      <c r="H1214" s="50" t="inlineStr">
        <is>
          <t>các bảng join đều được filter trước</t>
        </is>
      </c>
      <c r="I1214" s="50" t="inlineStr">
        <is>
          <t>Đưa điều kiện lọc (ngày dữ liệu, trạng thái) vào subquery của từng bảng TRƯỚC khi join, để tận dụng partition pruning. Bảng dim nhỏ không partition thì không cần — tự tick Pass.</t>
        </is>
      </c>
      <c r="J1214" s="48" t="inlineStr">
        <is>
          <t>083. OCB_GOLD_TTDL_GSTX_INTF_DUPL_CIF_Huy.xlsx [Script SQL: GSTX_INTF_DUPL_CIF]</t>
        </is>
      </c>
    </row>
    <row r="1215">
      <c r="A1215" s="48" t="inlineStr">
        <is>
          <t>GSTX.GSTX_INTF_DUPL_CIF</t>
        </is>
      </c>
      <c r="B1215" s="48" t="inlineStr">
        <is>
          <t>SILVER_CONSUMER</t>
        </is>
      </c>
      <c r="C1215" s="48" t="inlineStr">
        <is>
          <t>3.4</t>
        </is>
      </c>
      <c r="D1215" s="48" t="inlineStr">
        <is>
          <t>Nhom 3 - Optimization</t>
        </is>
      </c>
      <c r="E1215" s="48" t="inlineStr">
        <is>
          <t>Sử dụng CACHE cho query lặp lại trong cùng luồng</t>
        </is>
      </c>
      <c r="F1215" s="51" t="inlineStr">
        <is>
          <t>WARN</t>
        </is>
      </c>
      <c r="G1215" s="48" t="inlineStr">
        <is>
          <t>WARN</t>
        </is>
      </c>
      <c r="H1215" s="50" t="inlineStr">
        <is>
          <t>3 CTE nặng dùng lại &gt;= 2 lần mà không có CACHE: branch_dim, cust_acct_link, user_dir</t>
        </is>
      </c>
      <c r="I1215" s="50" t="inlineStr">
        <is>
          <t>Nếu một kết quả nặng được dùng lại nhiều bước trong cùng luồng, thêm CACHE TABLE / CACHE SELECT. Kết quả nhỏ thì cache còn chậm hơn — tự tick Pass.</t>
        </is>
      </c>
      <c r="J1215" s="48" t="inlineStr">
        <is>
          <t>083. OCB_GOLD_TTDL_GSTX_INTF_DUPL_CIF_Huy.xlsx [Script SQL: GSTX_INTF_DUPL_CIF]</t>
        </is>
      </c>
    </row>
    <row r="1216">
      <c r="A1216" s="48" t="inlineStr">
        <is>
          <t>GSTX.GSTX_INTF_DUPL_CIF</t>
        </is>
      </c>
      <c r="B1216" s="48" t="inlineStr">
        <is>
          <t>SILVER_CONSUMER</t>
        </is>
      </c>
      <c r="C1216" s="48" t="inlineStr">
        <is>
          <t>3.5</t>
        </is>
      </c>
      <c r="D1216" s="48" t="inlineStr">
        <is>
          <t>Nhom 3 - Optimization</t>
        </is>
      </c>
      <c r="E1216" s="48" t="inlineStr">
        <is>
          <t>Ưu tiên MAX_BY + QUALIFY thay ROW_NUMBER() + WHERE rn = 1</t>
        </is>
      </c>
      <c r="F1216" s="49" t="inlineStr">
        <is>
          <t>PASS</t>
        </is>
      </c>
      <c r="G1216" s="48" t="inlineStr">
        <is>
          <t>Pass</t>
        </is>
      </c>
      <c r="H1216" s="50" t="inlineStr">
        <is>
          <t>đã dùng MAX_BY</t>
        </is>
      </c>
      <c r="I1216"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16" s="48" t="inlineStr">
        <is>
          <t>083. OCB_GOLD_TTDL_GSTX_INTF_DUPL_CIF_Huy.xlsx [Script SQL: GSTX_INTF_DUPL_CIF]</t>
        </is>
      </c>
    </row>
    <row r="1217">
      <c r="A1217" s="48" t="inlineStr">
        <is>
          <t>GSTX.GSTX_INTF_DUPL_CIF</t>
        </is>
      </c>
      <c r="B1217" s="48" t="inlineStr">
        <is>
          <t>SILVER_CONSUMER</t>
        </is>
      </c>
      <c r="C1217" s="48" t="inlineStr">
        <is>
          <t>3.6</t>
        </is>
      </c>
      <c r="D1217" s="48" t="inlineStr">
        <is>
          <t>Nhom 3 - Optimization</t>
        </is>
      </c>
      <c r="E1217" s="48" t="inlineStr">
        <is>
          <t>Không lạm dụng window function; có comment khi dùng</t>
        </is>
      </c>
      <c r="F1217" s="49" t="inlineStr">
        <is>
          <t>PASS</t>
        </is>
      </c>
      <c r="G1217" s="48" t="inlineStr">
        <is>
          <t>Pass</t>
        </is>
      </c>
      <c r="H1217" s="50" t="inlineStr">
        <is>
          <t>2 window function đều có comment</t>
        </is>
      </c>
      <c r="I1217" s="50" t="inlineStr">
        <is>
          <t>Mỗi window function cần một comment ngay trên khối CTE chứa nó, nói rõ vì sao không dùng được max_by/QUALIFY đơn giản hơn.</t>
        </is>
      </c>
      <c r="J1217" s="48" t="inlineStr">
        <is>
          <t>083. OCB_GOLD_TTDL_GSTX_INTF_DUPL_CIF_Huy.xlsx [Script SQL: GSTX_INTF_DUPL_CIF]</t>
        </is>
      </c>
    </row>
    <row r="1218">
      <c r="A1218" s="48" t="inlineStr">
        <is>
          <t>GSTX.GSTX_INTF_DUPL_CIF</t>
        </is>
      </c>
      <c r="B1218" s="48" t="inlineStr">
        <is>
          <t>SILVER_CONSUMER</t>
        </is>
      </c>
      <c r="C1218" s="48" t="inlineStr">
        <is>
          <t>X.1</t>
        </is>
      </c>
      <c r="D1218" s="48" t="inlineStr">
        <is>
          <t>Nhom X - Bo sung Raffles</t>
        </is>
      </c>
      <c r="E1218" s="48" t="inlineStr">
        <is>
          <t>[Bổ sung] Link phải rút về current trước khi join (chống fan-out)</t>
        </is>
      </c>
      <c r="F1218" s="49" t="inlineStr">
        <is>
          <t>PASS</t>
        </is>
      </c>
      <c r="G1218" s="48" t="inlineStr">
        <is>
          <t>Pass</t>
        </is>
      </c>
      <c r="H1218" s="50" t="inlineStr">
        <is>
          <t>các bảng link_* đều được rút về current trước khi join</t>
        </is>
      </c>
      <c r="I1218"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18" s="48" t="inlineStr">
        <is>
          <t>083. OCB_GOLD_TTDL_GSTX_INTF_DUPL_CIF_Huy.xlsx [Script SQL: GSTX_INTF_DUPL_CIF]</t>
        </is>
      </c>
    </row>
    <row r="1219">
      <c r="A1219" s="48" t="inlineStr">
        <is>
          <t>GSTX.GSTX_INTF_DUPL_CIF</t>
        </is>
      </c>
      <c r="B1219" s="48" t="inlineStr">
        <is>
          <t>SILVER_CONSUMER</t>
        </is>
      </c>
      <c r="C1219" s="48" t="inlineStr">
        <is>
          <t>X.6</t>
        </is>
      </c>
      <c r="D1219" s="48" t="inlineStr">
        <is>
          <t>Nhom X - Bo sung Raffles</t>
        </is>
      </c>
      <c r="E1219" s="48" t="inlineStr">
        <is>
          <t>[Bổ sung] Satellite phải LEFT JOIN, không INNER JOIN</t>
        </is>
      </c>
      <c r="F1219" s="52" t="inlineStr">
        <is>
          <t>FAIL</t>
        </is>
      </c>
      <c r="G1219" s="48" t="inlineStr">
        <is>
          <t>Fail</t>
        </is>
      </c>
      <c r="H1219" s="50" t="inlineStr">
        <is>
          <t>2 satellite dùng INNER JOIN, sẽ mất bản ghi Hub chưa có dòng satellite: sat_crb_balance (dong 11), sat_soa_cust_package_information (dong 197)</t>
        </is>
      </c>
      <c r="I1219" s="50" t="inlineStr">
        <is>
          <t>Technical Document III.4.2.2 nguyên tắc 1: làm giàu thuộc tính luôn dùng LEFT JOIN. INNER JOIN satellite sẽ loại mất bản ghi Hub đang còn hiệu lực nhưng chưa có dòng satellite.</t>
        </is>
      </c>
      <c r="J1219" s="48" t="inlineStr">
        <is>
          <t>083. OCB_GOLD_TTDL_GSTX_INTF_DUPL_CIF_Huy.xlsx [Script SQL: GSTX_INTF_DUPL_CIF]</t>
        </is>
      </c>
    </row>
    <row r="1220">
      <c r="A1220" s="48" t="inlineStr">
        <is>
          <t>GSTX.GSTX_INTF_DUPL_CIF</t>
        </is>
      </c>
      <c r="B1220" s="48" t="inlineStr">
        <is>
          <t>SILVER_CONSUMER</t>
        </is>
      </c>
      <c r="C1220" s="48" t="inlineStr">
        <is>
          <t>X.7</t>
        </is>
      </c>
      <c r="D1220" s="48" t="inlineStr">
        <is>
          <t>Nhom X - Bo sung Raffles</t>
        </is>
      </c>
      <c r="E1220" s="48" t="inlineStr">
        <is>
          <t>[Bổ sung] Không hard-code catalog, dùng biến môi trường</t>
        </is>
      </c>
      <c r="F1220" s="49" t="inlineStr">
        <is>
          <t>PASS</t>
        </is>
      </c>
      <c r="G1220" s="48" t="inlineStr">
        <is>
          <t>Pass</t>
        </is>
      </c>
      <c r="H1220" s="50" t="inlineStr">
        <is>
          <t>dùng biến môi trường cho catalog</t>
        </is>
      </c>
      <c r="I1220"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20" s="48" t="inlineStr">
        <is>
          <t>083. OCB_GOLD_TTDL_GSTX_INTF_DUPL_CIF_Huy.xlsx [Script SQL: GSTX_INTF_DUPL_CIF]</t>
        </is>
      </c>
    </row>
    <row r="1221">
      <c r="A1221" s="48" t="inlineStr">
        <is>
          <t>GSTX.GSTX_INTF_NOT_UPLOADED_CIF</t>
        </is>
      </c>
      <c r="B1221" s="48" t="inlineStr">
        <is>
          <t>SILVER_CONSUMER</t>
        </is>
      </c>
      <c r="C1221" s="48" t="inlineStr">
        <is>
          <t>1.1</t>
        </is>
      </c>
      <c r="D1221" s="48" t="inlineStr">
        <is>
          <t>Nhom 1 - Mapping</t>
        </is>
      </c>
      <c r="E1221" s="48" t="inlineStr">
        <is>
          <t>Đầy đủ mapping từ Silver/manual sang Gold</t>
        </is>
      </c>
      <c r="F1221" s="52" t="inlineStr">
        <is>
          <t>FAIL</t>
        </is>
      </c>
      <c r="G1221" s="48" t="inlineStr">
        <is>
          <t>Fail</t>
        </is>
      </c>
      <c r="H1221" s="50" t="inlineStr">
        <is>
          <t>còn placeholder chưa thay: &lt;phan_khuc_col&gt; tại dòng [240]</t>
        </is>
      </c>
      <c r="I1221"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21" s="48" t="inlineStr">
        <is>
          <t>084. OCB_GOLD_TTDL_GSTX_INTF_NOT_UPLOADED_CIF_Huy.xlsx [Script SQL: GSTX_INTF_NOT_UPLOADED_CIF]</t>
        </is>
      </c>
    </row>
    <row r="1222">
      <c r="A1222" s="48" t="inlineStr">
        <is>
          <t>GSTX.GSTX_INTF_NOT_UPLOADED_CIF</t>
        </is>
      </c>
      <c r="B1222" s="48" t="inlineStr">
        <is>
          <t>SILVER_CONSUMER</t>
        </is>
      </c>
      <c r="C1222" s="48" t="inlineStr">
        <is>
          <t>1.2</t>
        </is>
      </c>
      <c r="D1222" s="48" t="inlineStr">
        <is>
          <t>Nhom 1 - Mapping</t>
        </is>
      </c>
      <c r="E1222" s="48" t="inlineStr">
        <is>
          <t>Danh sách bảng/view Gold khớp tài liệu thiết kế đã duyệt</t>
        </is>
      </c>
      <c r="F1222" s="49" t="inlineStr">
        <is>
          <t>PASS</t>
        </is>
      </c>
      <c r="G1222" s="48" t="inlineStr">
        <is>
          <t>Pass</t>
        </is>
      </c>
      <c r="H1222" s="50" t="inlineStr">
        <is>
          <t>GSTX_INTF_NOT_UPLOADED_CIF có workbook thiết kế: 084. OCB_GOLD_TTDL_GSTX_INTF_NOT_UPLOADED_CIF_Huy.xlsx</t>
        </is>
      </c>
      <c r="I1222" s="50" t="inlineStr">
        <is>
          <t>Đảm bảo object có workbook thiết kế tương ứng trong thư mục --mapping-dir. Muốn đối chiếu với danh sách đã duyệt thì chạy thêm tham số --gold-list "&lt;file danh sách Gold&gt;.xlsx".</t>
        </is>
      </c>
      <c r="J1222" s="48" t="inlineStr">
        <is>
          <t>084. OCB_GOLD_TTDL_GSTX_INTF_NOT_UPLOADED_CIF_Huy.xlsx [Script SQL: GSTX_INTF_NOT_UPLOADED_CIF]</t>
        </is>
      </c>
    </row>
    <row r="1223">
      <c r="A1223" s="48" t="inlineStr">
        <is>
          <t>GSTX.GSTX_INTF_NOT_UPLOADED_CIF</t>
        </is>
      </c>
      <c r="B1223" s="48" t="inlineStr">
        <is>
          <t>SILVER_CONSUMER</t>
        </is>
      </c>
      <c r="C1223" s="48" t="inlineStr">
        <is>
          <t>2.1</t>
        </is>
      </c>
      <c r="D1223" s="48" t="inlineStr">
        <is>
          <t>Nhom 2 - Logic</t>
        </is>
      </c>
      <c r="E1223" s="48" t="inlineStr">
        <is>
          <t>Chỉ lấy bản ghi active, loại bản ghi đã xóa (qua sts_hub)</t>
        </is>
      </c>
      <c r="F1223" s="49" t="inlineStr">
        <is>
          <t>PASS</t>
        </is>
      </c>
      <c r="G1223" s="48" t="inlineStr">
        <is>
          <t>Pass</t>
        </is>
      </c>
      <c r="H1223" s="50" t="inlineStr">
        <is>
          <t>1 sts_hub_* đọc đúng format</t>
        </is>
      </c>
      <c r="I1223"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23" s="48" t="inlineStr">
        <is>
          <t>084. OCB_GOLD_TTDL_GSTX_INTF_NOT_UPLOADED_CIF_Huy.xlsx [Script SQL: GSTX_INTF_NOT_UPLOADED_CIF]</t>
        </is>
      </c>
    </row>
    <row r="1224">
      <c r="A1224" s="48" t="inlineStr">
        <is>
          <t>GSTX.GSTX_INTF_NOT_UPLOADED_CIF</t>
        </is>
      </c>
      <c r="B1224" s="48" t="inlineStr">
        <is>
          <t>SILVER_CONSUMER</t>
        </is>
      </c>
      <c r="C1224" s="48" t="inlineStr">
        <is>
          <t>2.2</t>
        </is>
      </c>
      <c r="D1224" s="48" t="inlineStr">
        <is>
          <t>Nhom 2 - Logic</t>
        </is>
      </c>
      <c r="E1224" s="48" t="inlineStr">
        <is>
          <t>Thống nhất MỘT pattern duy nhất xác định bản ghi active mới nhất</t>
        </is>
      </c>
      <c r="F1224" s="49" t="inlineStr">
        <is>
          <t>PASS</t>
        </is>
      </c>
      <c r="G1224" s="48" t="inlineStr">
        <is>
          <t>Pass</t>
        </is>
      </c>
      <c r="H1224" s="50" t="inlineStr">
        <is>
          <t>file này dùng: ['MAX_BY']; toàn batch dùng: ['MAX_BY']</t>
        </is>
      </c>
      <c r="I1224"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24" s="48" t="inlineStr">
        <is>
          <t>084. OCB_GOLD_TTDL_GSTX_INTF_NOT_UPLOADED_CIF_Huy.xlsx [Script SQL: GSTX_INTF_NOT_UPLOADED_CIF]</t>
        </is>
      </c>
    </row>
    <row r="1225">
      <c r="A1225" s="48" t="inlineStr">
        <is>
          <t>GSTX.GSTX_INTF_NOT_UPLOADED_CIF</t>
        </is>
      </c>
      <c r="B1225" s="48" t="inlineStr">
        <is>
          <t>SILVER_CONSUMER</t>
        </is>
      </c>
      <c r="C1225" s="48" t="inlineStr">
        <is>
          <t>2.3</t>
        </is>
      </c>
      <c r="D1225" s="48" t="inlineStr">
        <is>
          <t>Nhom 2 - Logic</t>
        </is>
      </c>
      <c r="E1225" s="48" t="inlineStr">
        <is>
          <t>Điều kiện lọc trạng thái đặt SAU khi xác định bản ghi mới nhất</t>
        </is>
      </c>
      <c r="F1225" s="52" t="inlineStr">
        <is>
          <t>FAIL</t>
        </is>
      </c>
      <c r="G1225" s="48" t="inlineStr">
        <is>
          <t>Fail</t>
        </is>
      </c>
      <c r="H1225" s="50" t="inlineStr">
        <is>
          <t>đặt trong ON của OUTER JOIN sẽ ra NULL âm thầm khi không match (Issue log #3): ['source_event_date'] nằm trong ON của LEFT JOIN si; ['source_event_date'] nằm trong ON của LEFT JOIN si</t>
        </is>
      </c>
      <c r="I1225"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25" s="48" t="inlineStr">
        <is>
          <t>084. OCB_GOLD_TTDL_GSTX_INTF_NOT_UPLOADED_CIF_Huy.xlsx [Script SQL: GSTX_INTF_NOT_UPLOADED_CIF]</t>
        </is>
      </c>
    </row>
    <row r="1226">
      <c r="A1226" s="48" t="inlineStr">
        <is>
          <t>GSTX.GSTX_INTF_NOT_UPLOADED_CIF</t>
        </is>
      </c>
      <c r="B1226" s="48" t="inlineStr">
        <is>
          <t>SILVER_CONSUMER</t>
        </is>
      </c>
      <c r="C1226" s="48" t="inlineStr">
        <is>
          <t>2.4</t>
        </is>
      </c>
      <c r="D1226" s="48" t="inlineStr">
        <is>
          <t>Nhom 2 - Logic</t>
        </is>
      </c>
      <c r="E1226" s="48" t="inlineStr">
        <is>
          <t>source_event_date áp dụng đúng dạng theo loại bảng</t>
        </is>
      </c>
      <c r="F1226" s="52" t="inlineStr">
        <is>
          <t>FAIL</t>
        </is>
      </c>
      <c r="G1226" s="48" t="inlineStr">
        <is>
          <t>Fail</t>
        </is>
      </c>
      <c r="H1226" s="50" t="inlineStr">
        <is>
          <t>sat_crb_balance (dong 85): là bảng transaction nên phải dùng source_event_date = :DATADT, đang dùng &lt;=</t>
        </is>
      </c>
      <c r="I1226"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26" s="48" t="inlineStr">
        <is>
          <t>084. OCB_GOLD_TTDL_GSTX_INTF_NOT_UPLOADED_CIF_Huy.xlsx [Script SQL: GSTX_INTF_NOT_UPLOADED_CIF]</t>
        </is>
      </c>
    </row>
    <row r="1227">
      <c r="A1227" s="48" t="inlineStr">
        <is>
          <t>GSTX.GSTX_INTF_NOT_UPLOADED_CIF</t>
        </is>
      </c>
      <c r="B1227" s="48" t="inlineStr">
        <is>
          <t>SILVER_CONSUMER</t>
        </is>
      </c>
      <c r="C1227" s="48" t="inlineStr">
        <is>
          <t>2.5</t>
        </is>
      </c>
      <c r="D1227" s="48" t="inlineStr">
        <is>
          <t>Nhom 2 - Logic</t>
        </is>
      </c>
      <c r="E1227" s="48" t="inlineStr">
        <is>
          <t>Không lặp lại lỗi logic cũ đã được DA Data Vault fix</t>
        </is>
      </c>
      <c r="F1227" s="52" t="inlineStr">
        <is>
          <t>FAIL</t>
        </is>
      </c>
      <c r="G1227" s="48" t="inlineStr">
        <is>
          <t>Fail</t>
        </is>
      </c>
      <c r="H1227" s="50" t="inlineStr">
        <is>
          <t>lặp lại 1 lỗi DA Data Vault đã nêu ở Issue log: Issue#5 ROW_NUMBER()+WHERE rn=1 thay vi MAX_BY (cham hon) @ dòng [151]</t>
        </is>
      </c>
      <c r="I1227"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27" s="48" t="inlineStr">
        <is>
          <t>084. OCB_GOLD_TTDL_GSTX_INTF_NOT_UPLOADED_CIF_Huy.xlsx [Script SQL: GSTX_INTF_NOT_UPLOADED_CIF]</t>
        </is>
      </c>
    </row>
    <row r="1228">
      <c r="A1228" s="48" t="inlineStr">
        <is>
          <t>GSTX.GSTX_INTF_NOT_UPLOADED_CIF</t>
        </is>
      </c>
      <c r="B1228" s="48" t="inlineStr">
        <is>
          <t>SILVER_CONSUMER</t>
        </is>
      </c>
      <c r="C1228" s="48" t="inlineStr">
        <is>
          <t>2.6</t>
        </is>
      </c>
      <c r="D1228" s="48" t="inlineStr">
        <is>
          <t>Nhom 2 - Logic</t>
        </is>
      </c>
      <c r="E1228" s="48" t="inlineStr">
        <is>
          <t>SCD Type 2 cho bảng DIM áp dụng đúng kỹ thuật đã thống nhất</t>
        </is>
      </c>
      <c r="F1228" s="48" t="inlineStr">
        <is>
          <t>N-A</t>
        </is>
      </c>
      <c r="G1228" s="48" t="inlineStr">
        <is>
          <t>Pass</t>
        </is>
      </c>
      <c r="H1228" s="50" t="inlineStr">
        <is>
          <t>object không phải bảng DIM nên không áp dụng SCD Type 2</t>
        </is>
      </c>
      <c r="I1228"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28" s="48" t="inlineStr">
        <is>
          <t>084. OCB_GOLD_TTDL_GSTX_INTF_NOT_UPLOADED_CIF_Huy.xlsx [Script SQL: GSTX_INTF_NOT_UPLOADED_CIF]</t>
        </is>
      </c>
    </row>
    <row r="1229">
      <c r="A1229" s="48" t="inlineStr">
        <is>
          <t>GSTX.GSTX_INTF_NOT_UPLOADED_CIF</t>
        </is>
      </c>
      <c r="B1229" s="48" t="inlineStr">
        <is>
          <t>SILVER_CONSUMER</t>
        </is>
      </c>
      <c r="C1229" s="48" t="inlineStr">
        <is>
          <t>2.7</t>
        </is>
      </c>
      <c r="D1229" s="48" t="inlineStr">
        <is>
          <t>Nhom 2 - Logic</t>
        </is>
      </c>
      <c r="E1229" s="48" t="inlineStr">
        <is>
          <t>CASE WHEN cover đủ nhánh như job on-prem</t>
        </is>
      </c>
      <c r="F1229" s="49" t="inlineStr">
        <is>
          <t>PASS</t>
        </is>
      </c>
      <c r="G1229" s="48" t="inlineStr">
        <is>
          <t>Pass</t>
        </is>
      </c>
      <c r="H1229" s="50" t="inlineStr">
        <is>
          <t>cả 4 CASE đều có nhánh ELSE</t>
        </is>
      </c>
      <c r="I1229" s="50" t="inlineStr">
        <is>
          <t>Mở job on-prem tương ứng (DataStage DSX hoặc SQL cũ), đối chiếu từng nhánh WHEN và cả nhánh ELSE. CASE không có ELSE sẽ trả NULL âm thầm — xác nhận đó là ý muốn hay thiếu nhánh.</t>
        </is>
      </c>
      <c r="J1229" s="48" t="inlineStr">
        <is>
          <t>084. OCB_GOLD_TTDL_GSTX_INTF_NOT_UPLOADED_CIF_Huy.xlsx [Script SQL: GSTX_INTF_NOT_UPLOADED_CIF]</t>
        </is>
      </c>
    </row>
    <row r="1230">
      <c r="A1230" s="48" t="inlineStr">
        <is>
          <t>GSTX.GSTX_INTF_NOT_UPLOADED_CIF</t>
        </is>
      </c>
      <c r="B1230" s="48" t="inlineStr">
        <is>
          <t>SILVER_CONSUMER</t>
        </is>
      </c>
      <c r="C1230" s="48" t="inlineStr">
        <is>
          <t>2.8</t>
        </is>
      </c>
      <c r="D1230" s="48" t="inlineStr">
        <is>
          <t>Nhom 2 - Logic</t>
        </is>
      </c>
      <c r="E1230" s="48" t="inlineStr">
        <is>
          <t>Cột SUM/COUNT được COALESCE/NVL hợp lý</t>
        </is>
      </c>
      <c r="F1230" s="51" t="inlineStr">
        <is>
          <t>WARN</t>
        </is>
      </c>
      <c r="G1230" s="48" t="inlineStr">
        <is>
          <t>WARN</t>
        </is>
      </c>
      <c r="H1230" s="50" t="inlineStr">
        <is>
          <t>3 biểu thức tổng hợp chưa coalesce: curr_account_bal = SUM(CASE WHEN gl LIKE '42%1' AND (category LIKE '6%' OR cate; curr_deposit_bal = SUM(CASE WHEN (gl LIKE '42%2' OR gl LIKE '43%') AND category; curr_loan_bal = SUM(CASE WHEN gl LIKE '2%' THEN noite ELSE 0 END); khi đối soát với hệ thống cũ phải bọc NVL/ISNULL CẢ HAI phía để không lệch khi trừ (Checklist RVN-OCB #11)</t>
        </is>
      </c>
      <c r="I1230"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30" s="48" t="inlineStr">
        <is>
          <t>084. OCB_GOLD_TTDL_GSTX_INTF_NOT_UPLOADED_CIF_Huy.xlsx [Script SQL: GSTX_INTF_NOT_UPLOADED_CIF]</t>
        </is>
      </c>
    </row>
    <row r="1231">
      <c r="A1231" s="48" t="inlineStr">
        <is>
          <t>GSTX.GSTX_INTF_NOT_UPLOADED_CIF</t>
        </is>
      </c>
      <c r="B1231" s="48" t="inlineStr">
        <is>
          <t>SILVER_CONSUMER</t>
        </is>
      </c>
      <c r="C1231" s="48" t="inlineStr">
        <is>
          <t>2.9</t>
        </is>
      </c>
      <c r="D1231" s="48" t="inlineStr">
        <is>
          <t>Nhom 2 - Logic</t>
        </is>
      </c>
      <c r="E1231" s="48" t="inlineStr">
        <is>
          <t>Subquery / custom function / điều kiện LIKE đúng ý nghĩa nghiệp vụ</t>
        </is>
      </c>
      <c r="F1231" s="49" t="inlineStr">
        <is>
          <t>PASS</t>
        </is>
      </c>
      <c r="G1231" s="48" t="inlineStr">
        <is>
          <t>Pass</t>
        </is>
      </c>
      <c r="H1231" s="50" t="inlineStr">
        <is>
          <t>6 điều kiện LIKE: category LIKE '10%' | category LIKE '6%' | gl LIKE '2%' | gl LIKE '42%1'; cú pháp hợp lệ; ý nghĩa nghiệp vụ cần người review đối chiếu job on-prem</t>
        </is>
      </c>
      <c r="I1231" s="50" t="inlineStr">
        <is>
          <t>Đọc lại từng điều kiện LIKE và từng subquery, đối chiếu ý nghĩa nghiệp vụ với on-prem — đúng cú pháp không đủ. Chú ý pattern LIKE có ký tự % ở đầu/cuối và phân biệt chữ hoa/thường.</t>
        </is>
      </c>
      <c r="J1231" s="48" t="inlineStr">
        <is>
          <t>084. OCB_GOLD_TTDL_GSTX_INTF_NOT_UPLOADED_CIF_Huy.xlsx [Script SQL: GSTX_INTF_NOT_UPLOADED_CIF]</t>
        </is>
      </c>
    </row>
    <row r="1232">
      <c r="A1232" s="48" t="inlineStr">
        <is>
          <t>GSTX.GSTX_INTF_NOT_UPLOADED_CIF</t>
        </is>
      </c>
      <c r="B1232" s="48" t="inlineStr">
        <is>
          <t>SILVER_CONSUMER</t>
        </is>
      </c>
      <c r="C1232" s="48" t="inlineStr">
        <is>
          <t>2.10</t>
        </is>
      </c>
      <c r="D1232" s="48" t="inlineStr">
        <is>
          <t>Nhom 2 - Logic</t>
        </is>
      </c>
      <c r="E1232" s="48" t="inlineStr">
        <is>
          <t>Aggregation kèm filter date range chính xác</t>
        </is>
      </c>
      <c r="F1232" s="49" t="inlineStr">
        <is>
          <t>PASS</t>
        </is>
      </c>
      <c r="G1232" s="48" t="inlineStr">
        <is>
          <t>Pass</t>
        </is>
      </c>
      <c r="H1232" s="50" t="inlineStr">
        <is>
          <t>mọi khối tổng hợp đều có điều kiện theo kỳ dữ liệu</t>
        </is>
      </c>
      <c r="I1232" s="50" t="inlineStr">
        <is>
          <t>Mỗi khối SUM/COUNT/AVG phải có điều kiện lọc theo kỳ dữ liệu (CDR_DT_ID, DATA_DATE, :DATADT…). Nếu điều kiện nằm ở CTE nguồn thì ghi rõ trong comment để người review không phải truy ngược.</t>
        </is>
      </c>
      <c r="J1232" s="48" t="inlineStr">
        <is>
          <t>084. OCB_GOLD_TTDL_GSTX_INTF_NOT_UPLOADED_CIF_Huy.xlsx [Script SQL: GSTX_INTF_NOT_UPLOADED_CIF]</t>
        </is>
      </c>
    </row>
    <row r="1233">
      <c r="A1233" s="48" t="inlineStr">
        <is>
          <t>GSTX.GSTX_INTF_NOT_UPLOADED_CIF</t>
        </is>
      </c>
      <c r="B1233" s="48" t="inlineStr">
        <is>
          <t>SILVER_CONSUMER</t>
        </is>
      </c>
      <c r="C1233" s="48" t="inlineStr">
        <is>
          <t>2.11</t>
        </is>
      </c>
      <c r="D1233" s="48" t="inlineStr">
        <is>
          <t>Nhom 2 - Logic</t>
        </is>
      </c>
      <c r="E1233" s="48" t="inlineStr">
        <is>
          <t>Join dùng key hợp lý, không lạm dụng UNION ALL + EXISTS/NOT EXISTS</t>
        </is>
      </c>
      <c r="F1233" s="49" t="inlineStr">
        <is>
          <t>PASS</t>
        </is>
      </c>
      <c r="G1233" s="48" t="inlineStr">
        <is>
          <t>Pass</t>
        </is>
      </c>
      <c r="H1233" s="50" t="inlineStr">
        <is>
          <t>join đều theo điều kiện bằng, không lạm dụng UNION ALL + EXISTS</t>
        </is>
      </c>
      <c r="I1233" s="50" t="inlineStr">
        <is>
          <t>Ưu tiên LEFT JOIN theo business key hoặc hashkey. Xem lại các chỗ dùng UNION ALL kết hợp EXISTS/NOT EXISTS — thường thay được bằng một LEFT JOIN. Join không có điều kiện bằng (=) dễ tạo tích Descartes.</t>
        </is>
      </c>
      <c r="J1233" s="48" t="inlineStr">
        <is>
          <t>084. OCB_GOLD_TTDL_GSTX_INTF_NOT_UPLOADED_CIF_Huy.xlsx [Script SQL: GSTX_INTF_NOT_UPLOADED_CIF]</t>
        </is>
      </c>
    </row>
    <row r="1234">
      <c r="A1234" s="48" t="inlineStr">
        <is>
          <t>GSTX.GSTX_INTF_NOT_UPLOADED_CIF</t>
        </is>
      </c>
      <c r="B1234" s="48" t="inlineStr">
        <is>
          <t>SILVER_CONSUMER</t>
        </is>
      </c>
      <c r="C1234" s="48" t="inlineStr">
        <is>
          <t>2.12</t>
        </is>
      </c>
      <c r="D1234" s="48" t="inlineStr">
        <is>
          <t>Nhom 2 - Logic</t>
        </is>
      </c>
      <c r="E1234" s="48" t="inlineStr">
        <is>
          <t>Build Gold từ CTE snapshot Silver, không build nhiều tầng chồng chéo</t>
        </is>
      </c>
      <c r="F1234" s="49" t="inlineStr">
        <is>
          <t>PASS</t>
        </is>
      </c>
      <c r="G1234" s="48" t="inlineStr">
        <is>
          <t>Pass</t>
        </is>
      </c>
      <c r="H1234" s="50" t="inlineStr">
        <is>
          <t>mỗi bảng nguồn chỉ đọc trong 1 khối SELECT</t>
        </is>
      </c>
      <c r="I1234"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34" s="48" t="inlineStr">
        <is>
          <t>084. OCB_GOLD_TTDL_GSTX_INTF_NOT_UPLOADED_CIF_Huy.xlsx [Script SQL: GSTX_INTF_NOT_UPLOADED_CIF]</t>
        </is>
      </c>
    </row>
    <row r="1235">
      <c r="A1235" s="48" t="inlineStr">
        <is>
          <t>GSTX.GSTX_INTF_NOT_UPLOADED_CIF</t>
        </is>
      </c>
      <c r="B1235" s="48" t="inlineStr">
        <is>
          <t>SILVER_CONSUMER</t>
        </is>
      </c>
      <c r="C1235" s="48" t="inlineStr">
        <is>
          <t>3.1</t>
        </is>
      </c>
      <c r="D1235" s="48" t="inlineStr">
        <is>
          <t>Nhom 3 - Optimization</t>
        </is>
      </c>
      <c r="E1235" s="48" t="inlineStr">
        <is>
          <t>Không SELECT *</t>
        </is>
      </c>
      <c r="F1235" s="49" t="inlineStr">
        <is>
          <t>PASS</t>
        </is>
      </c>
      <c r="G1235" s="48" t="inlineStr">
        <is>
          <t>Pass</t>
        </is>
      </c>
      <c r="H1235" s="50" t="inlineStr">
        <is>
          <t>không dùng SELECT * ở đâu</t>
        </is>
      </c>
      <c r="I1235" s="50" t="inlineStr">
        <is>
          <t>Liệt kê tường minh các cột cần dùng, kể cả trong CTE trung gian. SELECT * làm tăng IO/memory và vỡ script khi bảng nguồn thêm cột.</t>
        </is>
      </c>
      <c r="J1235" s="48" t="inlineStr">
        <is>
          <t>084. OCB_GOLD_TTDL_GSTX_INTF_NOT_UPLOADED_CIF_Huy.xlsx [Script SQL: GSTX_INTF_NOT_UPLOADED_CIF]</t>
        </is>
      </c>
    </row>
    <row r="1236">
      <c r="A1236" s="48" t="inlineStr">
        <is>
          <t>GSTX.GSTX_INTF_NOT_UPLOADED_CIF</t>
        </is>
      </c>
      <c r="B1236" s="48" t="inlineStr">
        <is>
          <t>SILVER_CONSUMER</t>
        </is>
      </c>
      <c r="C1236" s="48" t="inlineStr">
        <is>
          <t>3.2</t>
        </is>
      </c>
      <c r="D1236" s="48" t="inlineStr">
        <is>
          <t>Nhom 3 - Optimization</t>
        </is>
      </c>
      <c r="E1236" s="48" t="inlineStr">
        <is>
          <t>CTE không bị scan lại nhiều lần</t>
        </is>
      </c>
      <c r="F1236" s="51" t="inlineStr">
        <is>
          <t>WARN</t>
        </is>
      </c>
      <c r="G1236" s="48" t="inlineStr">
        <is>
          <t>WARN</t>
        </is>
      </c>
      <c r="H1236" s="50" t="inlineStr">
        <is>
          <t>CTE bị tham chiếu lại nhiều lần: branch_dim x3, user_dir x2, users_logon_dir x2</t>
        </is>
      </c>
      <c r="I1236" s="50" t="inlineStr">
        <is>
          <t>Với CTE nặng (đọc nhiều bảng Silver) bị tham chiếu từ 2 chỗ trở lên: gom lại còn một lần dùng, hoặc vật chất hóa (CACHE / bảng tạm). CTE nhẹ chỉ chứa tham số thì bỏ qua được — tự tick Pass.</t>
        </is>
      </c>
      <c r="J1236" s="48" t="inlineStr">
        <is>
          <t>084. OCB_GOLD_TTDL_GSTX_INTF_NOT_UPLOADED_CIF_Huy.xlsx [Script SQL: GSTX_INTF_NOT_UPLOADED_CIF]</t>
        </is>
      </c>
    </row>
    <row r="1237">
      <c r="A1237" s="48" t="inlineStr">
        <is>
          <t>GSTX.GSTX_INTF_NOT_UPLOADED_CIF</t>
        </is>
      </c>
      <c r="B1237" s="48" t="inlineStr">
        <is>
          <t>SILVER_CONSUMER</t>
        </is>
      </c>
      <c r="C1237" s="48" t="inlineStr">
        <is>
          <t>3.3</t>
        </is>
      </c>
      <c r="D1237" s="48" t="inlineStr">
        <is>
          <t>Nhom 3 - Optimization</t>
        </is>
      </c>
      <c r="E1237" s="48" t="inlineStr">
        <is>
          <t>Filter trước khi join, tận dụng partition pruning</t>
        </is>
      </c>
      <c r="F1237" s="49" t="inlineStr">
        <is>
          <t>PASS</t>
        </is>
      </c>
      <c r="G1237" s="48" t="inlineStr">
        <is>
          <t>Pass</t>
        </is>
      </c>
      <c r="H1237" s="50" t="inlineStr">
        <is>
          <t>các bảng join đều được filter trước</t>
        </is>
      </c>
      <c r="I1237" s="50" t="inlineStr">
        <is>
          <t>Đưa điều kiện lọc (ngày dữ liệu, trạng thái) vào subquery của từng bảng TRƯỚC khi join, để tận dụng partition pruning. Bảng dim nhỏ không partition thì không cần — tự tick Pass.</t>
        </is>
      </c>
      <c r="J1237" s="48" t="inlineStr">
        <is>
          <t>084. OCB_GOLD_TTDL_GSTX_INTF_NOT_UPLOADED_CIF_Huy.xlsx [Script SQL: GSTX_INTF_NOT_UPLOADED_CIF]</t>
        </is>
      </c>
    </row>
    <row r="1238">
      <c r="A1238" s="48" t="inlineStr">
        <is>
          <t>GSTX.GSTX_INTF_NOT_UPLOADED_CIF</t>
        </is>
      </c>
      <c r="B1238" s="48" t="inlineStr">
        <is>
          <t>SILVER_CONSUMER</t>
        </is>
      </c>
      <c r="C1238" s="48" t="inlineStr">
        <is>
          <t>3.4</t>
        </is>
      </c>
      <c r="D1238" s="48" t="inlineStr">
        <is>
          <t>Nhom 3 - Optimization</t>
        </is>
      </c>
      <c r="E1238" s="48" t="inlineStr">
        <is>
          <t>Sử dụng CACHE cho query lặp lại trong cùng luồng</t>
        </is>
      </c>
      <c r="F1238" s="51" t="inlineStr">
        <is>
          <t>WARN</t>
        </is>
      </c>
      <c r="G1238" s="48" t="inlineStr">
        <is>
          <t>WARN</t>
        </is>
      </c>
      <c r="H1238" s="50" t="inlineStr">
        <is>
          <t>3 CTE nặng dùng lại &gt;= 2 lần mà không có CACHE: branch_dim, user_dir, users_logon_dir</t>
        </is>
      </c>
      <c r="I1238" s="50" t="inlineStr">
        <is>
          <t>Nếu một kết quả nặng được dùng lại nhiều bước trong cùng luồng, thêm CACHE TABLE / CACHE SELECT. Kết quả nhỏ thì cache còn chậm hơn — tự tick Pass.</t>
        </is>
      </c>
      <c r="J1238" s="48" t="inlineStr">
        <is>
          <t>084. OCB_GOLD_TTDL_GSTX_INTF_NOT_UPLOADED_CIF_Huy.xlsx [Script SQL: GSTX_INTF_NOT_UPLOADED_CIF]</t>
        </is>
      </c>
    </row>
    <row r="1239">
      <c r="A1239" s="48" t="inlineStr">
        <is>
          <t>GSTX.GSTX_INTF_NOT_UPLOADED_CIF</t>
        </is>
      </c>
      <c r="B1239" s="48" t="inlineStr">
        <is>
          <t>SILVER_CONSUMER</t>
        </is>
      </c>
      <c r="C1239" s="48" t="inlineStr">
        <is>
          <t>3.5</t>
        </is>
      </c>
      <c r="D1239" s="48" t="inlineStr">
        <is>
          <t>Nhom 3 - Optimization</t>
        </is>
      </c>
      <c r="E1239" s="48" t="inlineStr">
        <is>
          <t>Ưu tiên MAX_BY + QUALIFY thay ROW_NUMBER() + WHERE rn = 1</t>
        </is>
      </c>
      <c r="F1239" s="49" t="inlineStr">
        <is>
          <t>PASS</t>
        </is>
      </c>
      <c r="G1239" s="48" t="inlineStr">
        <is>
          <t>Pass</t>
        </is>
      </c>
      <c r="H1239" s="50" t="inlineStr">
        <is>
          <t>đã dùng MAX_BY</t>
        </is>
      </c>
      <c r="I1239"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39" s="48" t="inlineStr">
        <is>
          <t>084. OCB_GOLD_TTDL_GSTX_INTF_NOT_UPLOADED_CIF_Huy.xlsx [Script SQL: GSTX_INTF_NOT_UPLOADED_CIF]</t>
        </is>
      </c>
    </row>
    <row r="1240">
      <c r="A1240" s="48" t="inlineStr">
        <is>
          <t>GSTX.GSTX_INTF_NOT_UPLOADED_CIF</t>
        </is>
      </c>
      <c r="B1240" s="48" t="inlineStr">
        <is>
          <t>SILVER_CONSUMER</t>
        </is>
      </c>
      <c r="C1240" s="48" t="inlineStr">
        <is>
          <t>3.6</t>
        </is>
      </c>
      <c r="D1240" s="48" t="inlineStr">
        <is>
          <t>Nhom 3 - Optimization</t>
        </is>
      </c>
      <c r="E1240" s="48" t="inlineStr">
        <is>
          <t>Không lạm dụng window function; có comment khi dùng</t>
        </is>
      </c>
      <c r="F1240" s="49" t="inlineStr">
        <is>
          <t>PASS</t>
        </is>
      </c>
      <c r="G1240" s="48" t="inlineStr">
        <is>
          <t>Pass</t>
        </is>
      </c>
      <c r="H1240" s="50" t="inlineStr">
        <is>
          <t>1 window function đều có comment</t>
        </is>
      </c>
      <c r="I1240" s="50" t="inlineStr">
        <is>
          <t>Mỗi window function cần một comment ngay trên khối CTE chứa nó, nói rõ vì sao không dùng được max_by/QUALIFY đơn giản hơn.</t>
        </is>
      </c>
      <c r="J1240" s="48" t="inlineStr">
        <is>
          <t>084. OCB_GOLD_TTDL_GSTX_INTF_NOT_UPLOADED_CIF_Huy.xlsx [Script SQL: GSTX_INTF_NOT_UPLOADED_CIF]</t>
        </is>
      </c>
    </row>
    <row r="1241">
      <c r="A1241" s="48" t="inlineStr">
        <is>
          <t>GSTX.GSTX_INTF_NOT_UPLOADED_CIF</t>
        </is>
      </c>
      <c r="B1241" s="48" t="inlineStr">
        <is>
          <t>SILVER_CONSUMER</t>
        </is>
      </c>
      <c r="C1241" s="48" t="inlineStr">
        <is>
          <t>X.1</t>
        </is>
      </c>
      <c r="D1241" s="48" t="inlineStr">
        <is>
          <t>Nhom X - Bo sung Raffles</t>
        </is>
      </c>
      <c r="E1241" s="48" t="inlineStr">
        <is>
          <t>[Bổ sung] Link phải rút về current trước khi join (chống fan-out)</t>
        </is>
      </c>
      <c r="F1241" s="49" t="inlineStr">
        <is>
          <t>PASS</t>
        </is>
      </c>
      <c r="G1241" s="48" t="inlineStr">
        <is>
          <t>Pass</t>
        </is>
      </c>
      <c r="H1241" s="50" t="inlineStr">
        <is>
          <t>các bảng link_* đều được rút về current trước khi join</t>
        </is>
      </c>
      <c r="I1241"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41" s="48" t="inlineStr">
        <is>
          <t>084. OCB_GOLD_TTDL_GSTX_INTF_NOT_UPLOADED_CIF_Huy.xlsx [Script SQL: GSTX_INTF_NOT_UPLOADED_CIF]</t>
        </is>
      </c>
    </row>
    <row r="1242">
      <c r="A1242" s="48" t="inlineStr">
        <is>
          <t>GSTX.GSTX_INTF_NOT_UPLOADED_CIF</t>
        </is>
      </c>
      <c r="B1242" s="48" t="inlineStr">
        <is>
          <t>SILVER_CONSUMER</t>
        </is>
      </c>
      <c r="C1242" s="48" t="inlineStr">
        <is>
          <t>X.6</t>
        </is>
      </c>
      <c r="D1242" s="48" t="inlineStr">
        <is>
          <t>Nhom X - Bo sung Raffles</t>
        </is>
      </c>
      <c r="E1242" s="48" t="inlineStr">
        <is>
          <t>[Bổ sung] Satellite phải LEFT JOIN, không INNER JOIN</t>
        </is>
      </c>
      <c r="F1242" s="52" t="inlineStr">
        <is>
          <t>FAIL</t>
        </is>
      </c>
      <c r="G1242" s="48" t="inlineStr">
        <is>
          <t>Fail</t>
        </is>
      </c>
      <c r="H1242" s="50" t="inlineStr">
        <is>
          <t>2 satellite dùng INNER JOIN, sẽ mất bản ghi Hub chưa có dòng satellite: sat_crb_balance (dong 85), sat_soa_cust_package_information (dong 185)</t>
        </is>
      </c>
      <c r="I1242" s="50" t="inlineStr">
        <is>
          <t>Technical Document III.4.2.2 nguyên tắc 1: làm giàu thuộc tính luôn dùng LEFT JOIN. INNER JOIN satellite sẽ loại mất bản ghi Hub đang còn hiệu lực nhưng chưa có dòng satellite.</t>
        </is>
      </c>
      <c r="J1242" s="48" t="inlineStr">
        <is>
          <t>084. OCB_GOLD_TTDL_GSTX_INTF_NOT_UPLOADED_CIF_Huy.xlsx [Script SQL: GSTX_INTF_NOT_UPLOADED_CIF]</t>
        </is>
      </c>
    </row>
    <row r="1243">
      <c r="A1243" s="48" t="inlineStr">
        <is>
          <t>GSTX.GSTX_INTF_NOT_UPLOADED_CIF</t>
        </is>
      </c>
      <c r="B1243" s="48" t="inlineStr">
        <is>
          <t>SILVER_CONSUMER</t>
        </is>
      </c>
      <c r="C1243" s="48" t="inlineStr">
        <is>
          <t>X.7</t>
        </is>
      </c>
      <c r="D1243" s="48" t="inlineStr">
        <is>
          <t>Nhom X - Bo sung Raffles</t>
        </is>
      </c>
      <c r="E1243" s="48" t="inlineStr">
        <is>
          <t>[Bổ sung] Không hard-code catalog, dùng biến môi trường</t>
        </is>
      </c>
      <c r="F1243" s="49" t="inlineStr">
        <is>
          <t>PASS</t>
        </is>
      </c>
      <c r="G1243" s="48" t="inlineStr">
        <is>
          <t>Pass</t>
        </is>
      </c>
      <c r="H1243" s="50" t="inlineStr">
        <is>
          <t>dùng biến môi trường cho catalog</t>
        </is>
      </c>
      <c r="I1243"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3" s="48" t="inlineStr">
        <is>
          <t>084. OCB_GOLD_TTDL_GSTX_INTF_NOT_UPLOADED_CIF_Huy.xlsx [Script SQL: GSTX_INTF_NOT_UPLOADED_CIF]</t>
        </is>
      </c>
    </row>
    <row r="1244">
      <c r="A1244" s="48" t="inlineStr">
        <is>
          <t>TTDL.TBL_BPM_QLNS</t>
        </is>
      </c>
      <c r="B1244" s="48" t="inlineStr">
        <is>
          <t>SILVER_CONSUMER</t>
        </is>
      </c>
      <c r="C1244" s="48" t="inlineStr">
        <is>
          <t>1.1</t>
        </is>
      </c>
      <c r="D1244" s="48" t="inlineStr">
        <is>
          <t>Nhom 1 - Mapping</t>
        </is>
      </c>
      <c r="E1244" s="48" t="inlineStr">
        <is>
          <t>Đầy đủ mapping từ Silver/manual sang Gold</t>
        </is>
      </c>
      <c r="F1244" s="49" t="inlineStr">
        <is>
          <t>PASS</t>
        </is>
      </c>
      <c r="G1244" s="48" t="inlineStr">
        <is>
          <t>Pass</t>
        </is>
      </c>
      <c r="H1244" s="50" t="inlineStr">
        <is>
          <t>workbook 088. OCB_GOLD_TTDL_TBL_BPM_QLNS_LINH.xlsx: thiết kế 23 field, SQL có 23 cột</t>
        </is>
      </c>
      <c r="I1244"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44" s="48" t="inlineStr">
        <is>
          <t>088. OCB_GOLD_TTDL_TBL_BPM_QLNS_LINH.xlsx [Script: TBL_BPM_QLNS]</t>
        </is>
      </c>
    </row>
    <row r="1245">
      <c r="A1245" s="48" t="inlineStr">
        <is>
          <t>TTDL.TBL_BPM_QLNS</t>
        </is>
      </c>
      <c r="B1245" s="48" t="inlineStr">
        <is>
          <t>SILVER_CONSUMER</t>
        </is>
      </c>
      <c r="C1245" s="48" t="inlineStr">
        <is>
          <t>1.2</t>
        </is>
      </c>
      <c r="D1245" s="48" t="inlineStr">
        <is>
          <t>Nhom 1 - Mapping</t>
        </is>
      </c>
      <c r="E1245" s="48" t="inlineStr">
        <is>
          <t>Danh sách bảng/view Gold khớp tài liệu thiết kế đã duyệt</t>
        </is>
      </c>
      <c r="F1245" s="49" t="inlineStr">
        <is>
          <t>PASS</t>
        </is>
      </c>
      <c r="G1245" s="48" t="inlineStr">
        <is>
          <t>Pass</t>
        </is>
      </c>
      <c r="H1245" s="50" t="inlineStr">
        <is>
          <t>TBL_BPM_QLNS có workbook thiết kế: 088. OCB_GOLD_TTDL_TBL_BPM_QLNS_LINH.xlsx</t>
        </is>
      </c>
      <c r="I1245" s="50" t="inlineStr">
        <is>
          <t>Đảm bảo object có workbook thiết kế tương ứng trong thư mục --mapping-dir. Muốn đối chiếu với danh sách đã duyệt thì chạy thêm tham số --gold-list "&lt;file danh sách Gold&gt;.xlsx".</t>
        </is>
      </c>
      <c r="J1245" s="48" t="inlineStr">
        <is>
          <t>088. OCB_GOLD_TTDL_TBL_BPM_QLNS_LINH.xlsx [Script: TBL_BPM_QLNS]</t>
        </is>
      </c>
    </row>
    <row r="1246">
      <c r="A1246" s="48" t="inlineStr">
        <is>
          <t>TTDL.TBL_BPM_QLNS</t>
        </is>
      </c>
      <c r="B1246" s="48" t="inlineStr">
        <is>
          <t>SILVER_CONSUMER</t>
        </is>
      </c>
      <c r="C1246" s="48" t="inlineStr">
        <is>
          <t>2.1</t>
        </is>
      </c>
      <c r="D1246" s="48" t="inlineStr">
        <is>
          <t>Nhom 2 - Logic</t>
        </is>
      </c>
      <c r="E1246" s="48" t="inlineStr">
        <is>
          <t>Chỉ lấy bản ghi active, loại bản ghi đã xóa (qua sts_hub)</t>
        </is>
      </c>
      <c r="F1246" s="49" t="inlineStr">
        <is>
          <t>PASS</t>
        </is>
      </c>
      <c r="G1246" s="48" t="inlineStr">
        <is>
          <t>Pass</t>
        </is>
      </c>
      <c r="H1246" s="50" t="inlineStr">
        <is>
          <t>không dùng sts_hub_* (không có yêu cầu nghiệp vụ giữ bản ghi đã xóa)</t>
        </is>
      </c>
      <c r="I1246"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46" s="48" t="inlineStr">
        <is>
          <t>088. OCB_GOLD_TTDL_TBL_BPM_QLNS_LINH.xlsx [Script: TBL_BPM_QLNS]</t>
        </is>
      </c>
    </row>
    <row r="1247">
      <c r="A1247" s="48" t="inlineStr">
        <is>
          <t>TTDL.TBL_BPM_QLNS</t>
        </is>
      </c>
      <c r="B1247" s="48" t="inlineStr">
        <is>
          <t>SILVER_CONSUMER</t>
        </is>
      </c>
      <c r="C1247" s="48" t="inlineStr">
        <is>
          <t>2.2</t>
        </is>
      </c>
      <c r="D1247" s="48" t="inlineStr">
        <is>
          <t>Nhom 2 - Logic</t>
        </is>
      </c>
      <c r="E1247" s="48" t="inlineStr">
        <is>
          <t>Thống nhất MỘT pattern duy nhất xác định bản ghi active mới nhất</t>
        </is>
      </c>
      <c r="F1247" s="49" t="inlineStr">
        <is>
          <t>PASS</t>
        </is>
      </c>
      <c r="G1247" s="48" t="inlineStr">
        <is>
          <t>Pass</t>
        </is>
      </c>
      <c r="H1247" s="50" t="inlineStr">
        <is>
          <t>file này dùng: ['MAX_BY']; toàn batch dùng: ['MAX_BY']</t>
        </is>
      </c>
      <c r="I1247"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47" s="48" t="inlineStr">
        <is>
          <t>088. OCB_GOLD_TTDL_TBL_BPM_QLNS_LINH.xlsx [Script: TBL_BPM_QLNS]</t>
        </is>
      </c>
    </row>
    <row r="1248">
      <c r="A1248" s="48" t="inlineStr">
        <is>
          <t>TTDL.TBL_BPM_QLNS</t>
        </is>
      </c>
      <c r="B1248" s="48" t="inlineStr">
        <is>
          <t>SILVER_CONSUMER</t>
        </is>
      </c>
      <c r="C1248" s="48" t="inlineStr">
        <is>
          <t>2.3</t>
        </is>
      </c>
      <c r="D1248" s="48" t="inlineStr">
        <is>
          <t>Nhom 2 - Logic</t>
        </is>
      </c>
      <c r="E1248" s="48" t="inlineStr">
        <is>
          <t>Điều kiện lọc trạng thái đặt SAU khi xác định bản ghi mới nhất</t>
        </is>
      </c>
      <c r="F1248" s="49" t="inlineStr">
        <is>
          <t>PASS</t>
        </is>
      </c>
      <c r="G1248" s="48" t="inlineStr">
        <is>
          <t>Pass</t>
        </is>
      </c>
      <c r="H1248" s="50" t="inlineStr">
        <is>
          <t>không có điều kiện trạng thái nào lồng trong JOIN ON</t>
        </is>
      </c>
      <c r="I1248"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48" s="48" t="inlineStr">
        <is>
          <t>088. OCB_GOLD_TTDL_TBL_BPM_QLNS_LINH.xlsx [Script: TBL_BPM_QLNS]</t>
        </is>
      </c>
    </row>
    <row r="1249">
      <c r="A1249" s="48" t="inlineStr">
        <is>
          <t>TTDL.TBL_BPM_QLNS</t>
        </is>
      </c>
      <c r="B1249" s="48" t="inlineStr">
        <is>
          <t>SILVER_CONSUMER</t>
        </is>
      </c>
      <c r="C1249" s="48" t="inlineStr">
        <is>
          <t>2.4</t>
        </is>
      </c>
      <c r="D1249" s="48" t="inlineStr">
        <is>
          <t>Nhom 2 - Logic</t>
        </is>
      </c>
      <c r="E1249" s="48" t="inlineStr">
        <is>
          <t>source_event_date áp dụng đúng dạng theo loại bảng</t>
        </is>
      </c>
      <c r="F1249" s="49" t="inlineStr">
        <is>
          <t>PASS</t>
        </is>
      </c>
      <c r="G1249" s="48" t="inlineStr">
        <is>
          <t>Pass</t>
        </is>
      </c>
      <c r="H1249" s="50" t="inlineStr">
        <is>
          <t>3 satellite đều đúng dạng điều kiện source_event_date</t>
        </is>
      </c>
      <c r="I1249"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49" s="48" t="inlineStr">
        <is>
          <t>088. OCB_GOLD_TTDL_TBL_BPM_QLNS_LINH.xlsx [Script: TBL_BPM_QLNS]</t>
        </is>
      </c>
    </row>
    <row r="1250">
      <c r="A1250" s="48" t="inlineStr">
        <is>
          <t>TTDL.TBL_BPM_QLNS</t>
        </is>
      </c>
      <c r="B1250" s="48" t="inlineStr">
        <is>
          <t>SILVER_CONSUMER</t>
        </is>
      </c>
      <c r="C1250" s="48" t="inlineStr">
        <is>
          <t>2.5</t>
        </is>
      </c>
      <c r="D1250" s="48" t="inlineStr">
        <is>
          <t>Nhom 2 - Logic</t>
        </is>
      </c>
      <c r="E1250" s="48" t="inlineStr">
        <is>
          <t>Không lặp lại lỗi logic cũ đã được DA Data Vault fix</t>
        </is>
      </c>
      <c r="F1250" s="49" t="inlineStr">
        <is>
          <t>PASS</t>
        </is>
      </c>
      <c r="G1250" s="48" t="inlineStr">
        <is>
          <t>Pass</t>
        </is>
      </c>
      <c r="H1250" s="50" t="inlineStr">
        <is>
          <t>không trùng lỗi nào trong Issue log của DA Data Vault</t>
        </is>
      </c>
      <c r="I1250"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50" s="48" t="inlineStr">
        <is>
          <t>088. OCB_GOLD_TTDL_TBL_BPM_QLNS_LINH.xlsx [Script: TBL_BPM_QLNS]</t>
        </is>
      </c>
    </row>
    <row r="1251">
      <c r="A1251" s="48" t="inlineStr">
        <is>
          <t>TTDL.TBL_BPM_QLNS</t>
        </is>
      </c>
      <c r="B1251" s="48" t="inlineStr">
        <is>
          <t>SILVER_CONSUMER</t>
        </is>
      </c>
      <c r="C1251" s="48" t="inlineStr">
        <is>
          <t>2.6</t>
        </is>
      </c>
      <c r="D1251" s="48" t="inlineStr">
        <is>
          <t>Nhom 2 - Logic</t>
        </is>
      </c>
      <c r="E1251" s="48" t="inlineStr">
        <is>
          <t>SCD Type 2 cho bảng DIM áp dụng đúng kỹ thuật đã thống nhất</t>
        </is>
      </c>
      <c r="F1251" s="48" t="inlineStr">
        <is>
          <t>N-A</t>
        </is>
      </c>
      <c r="G1251" s="48" t="inlineStr">
        <is>
          <t>Pass</t>
        </is>
      </c>
      <c r="H1251" s="50" t="inlineStr">
        <is>
          <t>object không phải bảng DIM nên không áp dụng SCD Type 2</t>
        </is>
      </c>
      <c r="I1251"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51" s="48" t="inlineStr">
        <is>
          <t>088. OCB_GOLD_TTDL_TBL_BPM_QLNS_LINH.xlsx [Script: TBL_BPM_QLNS]</t>
        </is>
      </c>
    </row>
    <row r="1252">
      <c r="A1252" s="48" t="inlineStr">
        <is>
          <t>TTDL.TBL_BPM_QLNS</t>
        </is>
      </c>
      <c r="B1252" s="48" t="inlineStr">
        <is>
          <t>SILVER_CONSUMER</t>
        </is>
      </c>
      <c r="C1252" s="48" t="inlineStr">
        <is>
          <t>2.7</t>
        </is>
      </c>
      <c r="D1252" s="48" t="inlineStr">
        <is>
          <t>Nhom 2 - Logic</t>
        </is>
      </c>
      <c r="E1252" s="48" t="inlineStr">
        <is>
          <t>CASE WHEN cover đủ nhánh như job on-prem</t>
        </is>
      </c>
      <c r="F1252" s="48" t="inlineStr">
        <is>
          <t>N-A</t>
        </is>
      </c>
      <c r="G1252" s="48" t="inlineStr">
        <is>
          <t>Pass</t>
        </is>
      </c>
      <c r="H1252" s="50" t="inlineStr">
        <is>
          <t>script không có CASE WHEN nào</t>
        </is>
      </c>
      <c r="I1252" s="50" t="inlineStr">
        <is>
          <t>Mở job on-prem tương ứng (DataStage DSX hoặc SQL cũ), đối chiếu từng nhánh WHEN và cả nhánh ELSE. CASE không có ELSE sẽ trả NULL âm thầm — xác nhận đó là ý muốn hay thiếu nhánh.</t>
        </is>
      </c>
      <c r="J1252" s="48" t="inlineStr">
        <is>
          <t>088. OCB_GOLD_TTDL_TBL_BPM_QLNS_LINH.xlsx [Script: TBL_BPM_QLNS]</t>
        </is>
      </c>
    </row>
    <row r="1253">
      <c r="A1253" s="48" t="inlineStr">
        <is>
          <t>TTDL.TBL_BPM_QLNS</t>
        </is>
      </c>
      <c r="B1253" s="48" t="inlineStr">
        <is>
          <t>SILVER_CONSUMER</t>
        </is>
      </c>
      <c r="C1253" s="48" t="inlineStr">
        <is>
          <t>2.8</t>
        </is>
      </c>
      <c r="D1253" s="48" t="inlineStr">
        <is>
          <t>Nhom 2 - Logic</t>
        </is>
      </c>
      <c r="E1253" s="48" t="inlineStr">
        <is>
          <t>Cột SUM/COUNT được COALESCE/NVL hợp lý</t>
        </is>
      </c>
      <c r="F1253" s="49" t="inlineStr">
        <is>
          <t>PASS</t>
        </is>
      </c>
      <c r="G1253" s="48" t="inlineStr">
        <is>
          <t>Pass</t>
        </is>
      </c>
      <c r="H1253" s="50" t="inlineStr">
        <is>
          <t>mọi SUM/COUNT đều đã coalesce (trực tiếp hoặc ở lớp ngoài)</t>
        </is>
      </c>
      <c r="I1253"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53" s="48" t="inlineStr">
        <is>
          <t>088. OCB_GOLD_TTDL_TBL_BPM_QLNS_LINH.xlsx [Script: TBL_BPM_QLNS]</t>
        </is>
      </c>
    </row>
    <row r="1254">
      <c r="A1254" s="48" t="inlineStr">
        <is>
          <t>TTDL.TBL_BPM_QLNS</t>
        </is>
      </c>
      <c r="B1254" s="48" t="inlineStr">
        <is>
          <t>SILVER_CONSUMER</t>
        </is>
      </c>
      <c r="C1254" s="48" t="inlineStr">
        <is>
          <t>2.9</t>
        </is>
      </c>
      <c r="D1254" s="48" t="inlineStr">
        <is>
          <t>Nhom 2 - Logic</t>
        </is>
      </c>
      <c r="E1254" s="48" t="inlineStr">
        <is>
          <t>Subquery / custom function / điều kiện LIKE đúng ý nghĩa nghiệp vụ</t>
        </is>
      </c>
      <c r="F1254" s="48" t="inlineStr">
        <is>
          <t>N-A</t>
        </is>
      </c>
      <c r="G1254" s="48" t="inlineStr">
        <is>
          <t>Pass</t>
        </is>
      </c>
      <c r="H1254" s="50" t="inlineStr">
        <is>
          <t>script không có điều kiện LIKE hay scalar subquery nào</t>
        </is>
      </c>
      <c r="I1254" s="50" t="inlineStr">
        <is>
          <t>Đọc lại từng điều kiện LIKE và từng subquery, đối chiếu ý nghĩa nghiệp vụ với on-prem — đúng cú pháp không đủ. Chú ý pattern LIKE có ký tự % ở đầu/cuối và phân biệt chữ hoa/thường.</t>
        </is>
      </c>
      <c r="J1254" s="48" t="inlineStr">
        <is>
          <t>088. OCB_GOLD_TTDL_TBL_BPM_QLNS_LINH.xlsx [Script: TBL_BPM_QLNS]</t>
        </is>
      </c>
    </row>
    <row r="1255">
      <c r="A1255" s="48" t="inlineStr">
        <is>
          <t>TTDL.TBL_BPM_QLNS</t>
        </is>
      </c>
      <c r="B1255" s="48" t="inlineStr">
        <is>
          <t>SILVER_CONSUMER</t>
        </is>
      </c>
      <c r="C1255" s="48" t="inlineStr">
        <is>
          <t>2.10</t>
        </is>
      </c>
      <c r="D1255" s="48" t="inlineStr">
        <is>
          <t>Nhom 2 - Logic</t>
        </is>
      </c>
      <c r="E1255" s="48" t="inlineStr">
        <is>
          <t>Aggregation kèm filter date range chính xác</t>
        </is>
      </c>
      <c r="F1255" s="49" t="inlineStr">
        <is>
          <t>PASS</t>
        </is>
      </c>
      <c r="G1255" s="48" t="inlineStr">
        <is>
          <t>Pass</t>
        </is>
      </c>
      <c r="H1255" s="50" t="inlineStr">
        <is>
          <t>mọi khối tổng hợp đều có điều kiện theo kỳ dữ liệu</t>
        </is>
      </c>
      <c r="I1255" s="50" t="inlineStr">
        <is>
          <t>Mỗi khối SUM/COUNT/AVG phải có điều kiện lọc theo kỳ dữ liệu (CDR_DT_ID, DATA_DATE, :DATADT…). Nếu điều kiện nằm ở CTE nguồn thì ghi rõ trong comment để người review không phải truy ngược.</t>
        </is>
      </c>
      <c r="J1255" s="48" t="inlineStr">
        <is>
          <t>088. OCB_GOLD_TTDL_TBL_BPM_QLNS_LINH.xlsx [Script: TBL_BPM_QLNS]</t>
        </is>
      </c>
    </row>
    <row r="1256">
      <c r="A1256" s="48" t="inlineStr">
        <is>
          <t>TTDL.TBL_BPM_QLNS</t>
        </is>
      </c>
      <c r="B1256" s="48" t="inlineStr">
        <is>
          <t>SILVER_CONSUMER</t>
        </is>
      </c>
      <c r="C1256" s="48" t="inlineStr">
        <is>
          <t>2.11</t>
        </is>
      </c>
      <c r="D1256" s="48" t="inlineStr">
        <is>
          <t>Nhom 2 - Logic</t>
        </is>
      </c>
      <c r="E1256" s="48" t="inlineStr">
        <is>
          <t>Join dùng key hợp lý, không lạm dụng UNION ALL + EXISTS/NOT EXISTS</t>
        </is>
      </c>
      <c r="F1256" s="49" t="inlineStr">
        <is>
          <t>PASS</t>
        </is>
      </c>
      <c r="G1256" s="48" t="inlineStr">
        <is>
          <t>Pass</t>
        </is>
      </c>
      <c r="H1256" s="50" t="inlineStr">
        <is>
          <t>join đều theo điều kiện bằng, không lạm dụng UNION ALL + EXISTS</t>
        </is>
      </c>
      <c r="I1256" s="50" t="inlineStr">
        <is>
          <t>Ưu tiên LEFT JOIN theo business key hoặc hashkey. Xem lại các chỗ dùng UNION ALL kết hợp EXISTS/NOT EXISTS — thường thay được bằng một LEFT JOIN. Join không có điều kiện bằng (=) dễ tạo tích Descartes.</t>
        </is>
      </c>
      <c r="J1256" s="48" t="inlineStr">
        <is>
          <t>088. OCB_GOLD_TTDL_TBL_BPM_QLNS_LINH.xlsx [Script: TBL_BPM_QLNS]</t>
        </is>
      </c>
    </row>
    <row r="1257">
      <c r="A1257" s="48" t="inlineStr">
        <is>
          <t>TTDL.TBL_BPM_QLNS</t>
        </is>
      </c>
      <c r="B1257" s="48" t="inlineStr">
        <is>
          <t>SILVER_CONSUMER</t>
        </is>
      </c>
      <c r="C1257" s="48" t="inlineStr">
        <is>
          <t>2.12</t>
        </is>
      </c>
      <c r="D1257" s="48" t="inlineStr">
        <is>
          <t>Nhom 2 - Logic</t>
        </is>
      </c>
      <c r="E1257" s="48" t="inlineStr">
        <is>
          <t>Build Gold từ CTE snapshot Silver, không build nhiều tầng chồng chéo</t>
        </is>
      </c>
      <c r="F1257" s="49" t="inlineStr">
        <is>
          <t>PASS</t>
        </is>
      </c>
      <c r="G1257" s="48" t="inlineStr">
        <is>
          <t>Pass</t>
        </is>
      </c>
      <c r="H1257" s="50" t="inlineStr">
        <is>
          <t>mỗi bảng nguồn chỉ đọc trong 1 khối SELECT</t>
        </is>
      </c>
      <c r="I1257"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57" s="48" t="inlineStr">
        <is>
          <t>088. OCB_GOLD_TTDL_TBL_BPM_QLNS_LINH.xlsx [Script: TBL_BPM_QLNS]</t>
        </is>
      </c>
    </row>
    <row r="1258">
      <c r="A1258" s="48" t="inlineStr">
        <is>
          <t>TTDL.TBL_BPM_QLNS</t>
        </is>
      </c>
      <c r="B1258" s="48" t="inlineStr">
        <is>
          <t>SILVER_CONSUMER</t>
        </is>
      </c>
      <c r="C1258" s="48" t="inlineStr">
        <is>
          <t>3.1</t>
        </is>
      </c>
      <c r="D1258" s="48" t="inlineStr">
        <is>
          <t>Nhom 3 - Optimization</t>
        </is>
      </c>
      <c r="E1258" s="48" t="inlineStr">
        <is>
          <t>Không SELECT *</t>
        </is>
      </c>
      <c r="F1258" s="49" t="inlineStr">
        <is>
          <t>PASS</t>
        </is>
      </c>
      <c r="G1258" s="48" t="inlineStr">
        <is>
          <t>Pass</t>
        </is>
      </c>
      <c r="H1258" s="50" t="inlineStr">
        <is>
          <t>không dùng SELECT * ở đâu</t>
        </is>
      </c>
      <c r="I1258" s="50" t="inlineStr">
        <is>
          <t>Liệt kê tường minh các cột cần dùng, kể cả trong CTE trung gian. SELECT * làm tăng IO/memory và vỡ script khi bảng nguồn thêm cột.</t>
        </is>
      </c>
      <c r="J1258" s="48" t="inlineStr">
        <is>
          <t>088. OCB_GOLD_TTDL_TBL_BPM_QLNS_LINH.xlsx [Script: TBL_BPM_QLNS]</t>
        </is>
      </c>
    </row>
    <row r="1259">
      <c r="A1259" s="48" t="inlineStr">
        <is>
          <t>TTDL.TBL_BPM_QLNS</t>
        </is>
      </c>
      <c r="B1259" s="48" t="inlineStr">
        <is>
          <t>SILVER_CONSUMER</t>
        </is>
      </c>
      <c r="C1259" s="48" t="inlineStr">
        <is>
          <t>3.2</t>
        </is>
      </c>
      <c r="D1259" s="48" t="inlineStr">
        <is>
          <t>Nhom 3 - Optimization</t>
        </is>
      </c>
      <c r="E1259" s="48" t="inlineStr">
        <is>
          <t>CTE không bị scan lại nhiều lần</t>
        </is>
      </c>
      <c r="F1259" s="49" t="inlineStr">
        <is>
          <t>PASS</t>
        </is>
      </c>
      <c r="G1259" s="48" t="inlineStr">
        <is>
          <t>Pass</t>
        </is>
      </c>
      <c r="H1259" s="50" t="inlineStr">
        <is>
          <t>không có CTE nào bị gọi lại</t>
        </is>
      </c>
      <c r="I1259" s="50" t="inlineStr">
        <is>
          <t>Với CTE nặng (đọc nhiều bảng Silver) bị tham chiếu từ 2 chỗ trở lên: gom lại còn một lần dùng, hoặc vật chất hóa (CACHE / bảng tạm). CTE nhẹ chỉ chứa tham số thì bỏ qua được — tự tick Pass.</t>
        </is>
      </c>
      <c r="J1259" s="48" t="inlineStr">
        <is>
          <t>088. OCB_GOLD_TTDL_TBL_BPM_QLNS_LINH.xlsx [Script: TBL_BPM_QLNS]</t>
        </is>
      </c>
    </row>
    <row r="1260">
      <c r="A1260" s="48" t="inlineStr">
        <is>
          <t>TTDL.TBL_BPM_QLNS</t>
        </is>
      </c>
      <c r="B1260" s="48" t="inlineStr">
        <is>
          <t>SILVER_CONSUMER</t>
        </is>
      </c>
      <c r="C1260" s="48" t="inlineStr">
        <is>
          <t>3.3</t>
        </is>
      </c>
      <c r="D1260" s="48" t="inlineStr">
        <is>
          <t>Nhom 3 - Optimization</t>
        </is>
      </c>
      <c r="E1260" s="48" t="inlineStr">
        <is>
          <t>Filter trước khi join, tận dụng partition pruning</t>
        </is>
      </c>
      <c r="F1260" s="49" t="inlineStr">
        <is>
          <t>PASS</t>
        </is>
      </c>
      <c r="G1260" s="48" t="inlineStr">
        <is>
          <t>Pass</t>
        </is>
      </c>
      <c r="H1260" s="50" t="inlineStr">
        <is>
          <t>các bảng join đều được filter trước</t>
        </is>
      </c>
      <c r="I1260" s="50" t="inlineStr">
        <is>
          <t>Đưa điều kiện lọc (ngày dữ liệu, trạng thái) vào subquery của từng bảng TRƯỚC khi join, để tận dụng partition pruning. Bảng dim nhỏ không partition thì không cần — tự tick Pass.</t>
        </is>
      </c>
      <c r="J1260" s="48" t="inlineStr">
        <is>
          <t>088. OCB_GOLD_TTDL_TBL_BPM_QLNS_LINH.xlsx [Script: TBL_BPM_QLNS]</t>
        </is>
      </c>
    </row>
    <row r="1261">
      <c r="A1261" s="48" t="inlineStr">
        <is>
          <t>TTDL.TBL_BPM_QLNS</t>
        </is>
      </c>
      <c r="B1261" s="48" t="inlineStr">
        <is>
          <t>SILVER_CONSUMER</t>
        </is>
      </c>
      <c r="C1261" s="48" t="inlineStr">
        <is>
          <t>3.4</t>
        </is>
      </c>
      <c r="D1261" s="48" t="inlineStr">
        <is>
          <t>Nhom 3 - Optimization</t>
        </is>
      </c>
      <c r="E1261" s="48" t="inlineStr">
        <is>
          <t>Sử dụng CACHE cho query lặp lại trong cùng luồng</t>
        </is>
      </c>
      <c r="F1261" s="48" t="inlineStr">
        <is>
          <t>N-A</t>
        </is>
      </c>
      <c r="G1261" s="48" t="inlineStr">
        <is>
          <t>Pass</t>
        </is>
      </c>
      <c r="H1261" s="50" t="inlineStr">
        <is>
          <t>không có kết quả nào được dùng lại nhiều lần nên chưa cần CACHE</t>
        </is>
      </c>
      <c r="I1261" s="50" t="inlineStr">
        <is>
          <t>Nếu một kết quả nặng được dùng lại nhiều bước trong cùng luồng, thêm CACHE TABLE / CACHE SELECT. Kết quả nhỏ thì cache còn chậm hơn — tự tick Pass.</t>
        </is>
      </c>
      <c r="J1261" s="48" t="inlineStr">
        <is>
          <t>088. OCB_GOLD_TTDL_TBL_BPM_QLNS_LINH.xlsx [Script: TBL_BPM_QLNS]</t>
        </is>
      </c>
    </row>
    <row r="1262">
      <c r="A1262" s="48" t="inlineStr">
        <is>
          <t>TTDL.TBL_BPM_QLNS</t>
        </is>
      </c>
      <c r="B1262" s="48" t="inlineStr">
        <is>
          <t>SILVER_CONSUMER</t>
        </is>
      </c>
      <c r="C1262" s="48" t="inlineStr">
        <is>
          <t>3.5</t>
        </is>
      </c>
      <c r="D1262" s="48" t="inlineStr">
        <is>
          <t>Nhom 3 - Optimization</t>
        </is>
      </c>
      <c r="E1262" s="48" t="inlineStr">
        <is>
          <t>Ưu tiên MAX_BY + QUALIFY thay ROW_NUMBER() + WHERE rn = 1</t>
        </is>
      </c>
      <c r="F1262" s="48" t="inlineStr">
        <is>
          <t>N-A</t>
        </is>
      </c>
      <c r="G1262" s="48" t="inlineStr">
        <is>
          <t>Pass</t>
        </is>
      </c>
      <c r="H1262" s="50" t="inlineStr">
        <is>
          <t>script không dùng ROW_NUMBER</t>
        </is>
      </c>
      <c r="I1262"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62" s="48" t="inlineStr">
        <is>
          <t>088. OCB_GOLD_TTDL_TBL_BPM_QLNS_LINH.xlsx [Script: TBL_BPM_QLNS]</t>
        </is>
      </c>
    </row>
    <row r="1263">
      <c r="A1263" s="48" t="inlineStr">
        <is>
          <t>TTDL.TBL_BPM_QLNS</t>
        </is>
      </c>
      <c r="B1263" s="48" t="inlineStr">
        <is>
          <t>SILVER_CONSUMER</t>
        </is>
      </c>
      <c r="C1263" s="48" t="inlineStr">
        <is>
          <t>3.6</t>
        </is>
      </c>
      <c r="D1263" s="48" t="inlineStr">
        <is>
          <t>Nhom 3 - Optimization</t>
        </is>
      </c>
      <c r="E1263" s="48" t="inlineStr">
        <is>
          <t>Không lạm dụng window function; có comment khi dùng</t>
        </is>
      </c>
      <c r="F1263" s="48" t="inlineStr">
        <is>
          <t>N-A</t>
        </is>
      </c>
      <c r="G1263" s="48" t="inlineStr">
        <is>
          <t>Pass</t>
        </is>
      </c>
      <c r="H1263" s="50" t="inlineStr">
        <is>
          <t>script không dùng window function</t>
        </is>
      </c>
      <c r="I1263" s="50" t="inlineStr">
        <is>
          <t>Mỗi window function cần một comment ngay trên khối CTE chứa nó, nói rõ vì sao không dùng được max_by/QUALIFY đơn giản hơn.</t>
        </is>
      </c>
      <c r="J1263" s="48" t="inlineStr">
        <is>
          <t>088. OCB_GOLD_TTDL_TBL_BPM_QLNS_LINH.xlsx [Script: TBL_BPM_QLNS]</t>
        </is>
      </c>
    </row>
    <row r="1264">
      <c r="A1264" s="48" t="inlineStr">
        <is>
          <t>TTDL.TBL_BPM_QLNS</t>
        </is>
      </c>
      <c r="B1264" s="48" t="inlineStr">
        <is>
          <t>SILVER_CONSUMER</t>
        </is>
      </c>
      <c r="C1264" s="48" t="inlineStr">
        <is>
          <t>X.1</t>
        </is>
      </c>
      <c r="D1264" s="48" t="inlineStr">
        <is>
          <t>Nhom X - Bo sung Raffles</t>
        </is>
      </c>
      <c r="E1264" s="48" t="inlineStr">
        <is>
          <t>[Bổ sung] Link phải rút về current trước khi join (chống fan-out)</t>
        </is>
      </c>
      <c r="F1264" s="49" t="inlineStr">
        <is>
          <t>PASS</t>
        </is>
      </c>
      <c r="G1264" s="48" t="inlineStr">
        <is>
          <t>Pass</t>
        </is>
      </c>
      <c r="H1264" s="50" t="inlineStr">
        <is>
          <t>các bảng link_* đều được rút về current trước khi join</t>
        </is>
      </c>
      <c r="I1264"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64" s="48" t="inlineStr">
        <is>
          <t>088. OCB_GOLD_TTDL_TBL_BPM_QLNS_LINH.xlsx [Script: TBL_BPM_QLNS]</t>
        </is>
      </c>
    </row>
    <row r="1265">
      <c r="A1265" s="48" t="inlineStr">
        <is>
          <t>TTDL.TBL_BPM_QLNS</t>
        </is>
      </c>
      <c r="B1265" s="48" t="inlineStr">
        <is>
          <t>SILVER_CONSUMER</t>
        </is>
      </c>
      <c r="C1265" s="48" t="inlineStr">
        <is>
          <t>X.6</t>
        </is>
      </c>
      <c r="D1265" s="48" t="inlineStr">
        <is>
          <t>Nhom X - Bo sung Raffles</t>
        </is>
      </c>
      <c r="E1265" s="48" t="inlineStr">
        <is>
          <t>[Bổ sung] Satellite phải LEFT JOIN, không INNER JOIN</t>
        </is>
      </c>
      <c r="F1265" s="49" t="inlineStr">
        <is>
          <t>PASS</t>
        </is>
      </c>
      <c r="G1265" s="48" t="inlineStr">
        <is>
          <t>Pass</t>
        </is>
      </c>
      <c r="H1265" s="50" t="inlineStr">
        <is>
          <t>các satellite đều LEFT JOIN</t>
        </is>
      </c>
      <c r="I1265" s="50" t="inlineStr">
        <is>
          <t>Technical Document III.4.2.2 nguyên tắc 1: làm giàu thuộc tính luôn dùng LEFT JOIN. INNER JOIN satellite sẽ loại mất bản ghi Hub đang còn hiệu lực nhưng chưa có dòng satellite.</t>
        </is>
      </c>
      <c r="J1265" s="48" t="inlineStr">
        <is>
          <t>088. OCB_GOLD_TTDL_TBL_BPM_QLNS_LINH.xlsx [Script: TBL_BPM_QLNS]</t>
        </is>
      </c>
    </row>
    <row r="1266">
      <c r="A1266" s="48" t="inlineStr">
        <is>
          <t>TTDL.TBL_BPM_QLNS</t>
        </is>
      </c>
      <c r="B1266" s="48" t="inlineStr">
        <is>
          <t>SILVER_CONSUMER</t>
        </is>
      </c>
      <c r="C1266" s="48" t="inlineStr">
        <is>
          <t>X.7</t>
        </is>
      </c>
      <c r="D1266" s="48" t="inlineStr">
        <is>
          <t>Nhom X - Bo sung Raffles</t>
        </is>
      </c>
      <c r="E1266" s="48" t="inlineStr">
        <is>
          <t>[Bổ sung] Không hard-code catalog, dùng biến môi trường</t>
        </is>
      </c>
      <c r="F1266" s="49" t="inlineStr">
        <is>
          <t>PASS</t>
        </is>
      </c>
      <c r="G1266" s="48" t="inlineStr">
        <is>
          <t>Pass</t>
        </is>
      </c>
      <c r="H1266" s="50" t="inlineStr">
        <is>
          <t>dùng biến môi trường cho catalog</t>
        </is>
      </c>
      <c r="I1266"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66" s="48" t="inlineStr">
        <is>
          <t>088. OCB_GOLD_TTDL_TBL_BPM_QLNS_LINH.xlsx [Script: TBL_BPM_QLNS]</t>
        </is>
      </c>
    </row>
    <row r="1267">
      <c r="A1267" s="48" t="inlineStr">
        <is>
          <t>TTDL.TBL_BPM_TCDV</t>
        </is>
      </c>
      <c r="B1267" s="48" t="inlineStr">
        <is>
          <t>SILVER_CONSUMER</t>
        </is>
      </c>
      <c r="C1267" s="48" t="inlineStr">
        <is>
          <t>1.1</t>
        </is>
      </c>
      <c r="D1267" s="48" t="inlineStr">
        <is>
          <t>Nhom 1 - Mapping</t>
        </is>
      </c>
      <c r="E1267" s="48" t="inlineStr">
        <is>
          <t>Đầy đủ mapping từ Silver/manual sang Gold</t>
        </is>
      </c>
      <c r="F1267" s="49" t="inlineStr">
        <is>
          <t>PASS</t>
        </is>
      </c>
      <c r="G1267" s="48" t="inlineStr">
        <is>
          <t>Pass</t>
        </is>
      </c>
      <c r="H1267" s="50" t="inlineStr">
        <is>
          <t>workbook 089. OCB_GOLD_TTDL_TBL_BPM_TCDV_LINH.xlsx: thiết kế 14 field, SQL có 14 cột</t>
        </is>
      </c>
      <c r="I126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67" s="48" t="inlineStr">
        <is>
          <t>089. OCB_GOLD_TTDL_TBL_BPM_TCDV_LINH.xlsx [Script: TBL_BPM_TCDV]</t>
        </is>
      </c>
    </row>
    <row r="1268">
      <c r="A1268" s="48" t="inlineStr">
        <is>
          <t>TTDL.TBL_BPM_TCDV</t>
        </is>
      </c>
      <c r="B1268" s="48" t="inlineStr">
        <is>
          <t>SILVER_CONSUMER</t>
        </is>
      </c>
      <c r="C1268" s="48" t="inlineStr">
        <is>
          <t>1.2</t>
        </is>
      </c>
      <c r="D1268" s="48" t="inlineStr">
        <is>
          <t>Nhom 1 - Mapping</t>
        </is>
      </c>
      <c r="E1268" s="48" t="inlineStr">
        <is>
          <t>Danh sách bảng/view Gold khớp tài liệu thiết kế đã duyệt</t>
        </is>
      </c>
      <c r="F1268" s="49" t="inlineStr">
        <is>
          <t>PASS</t>
        </is>
      </c>
      <c r="G1268" s="48" t="inlineStr">
        <is>
          <t>Pass</t>
        </is>
      </c>
      <c r="H1268" s="50" t="inlineStr">
        <is>
          <t>TBL_BPM_TCDV có workbook thiết kế: 089. OCB_GOLD_TTDL_TBL_BPM_TCDV_LINH.xlsx</t>
        </is>
      </c>
      <c r="I1268" s="50" t="inlineStr">
        <is>
          <t>Đảm bảo object có workbook thiết kế tương ứng trong thư mục --mapping-dir. Muốn đối chiếu với danh sách đã duyệt thì chạy thêm tham số --gold-list "&lt;file danh sách Gold&gt;.xlsx".</t>
        </is>
      </c>
      <c r="J1268" s="48" t="inlineStr">
        <is>
          <t>089. OCB_GOLD_TTDL_TBL_BPM_TCDV_LINH.xlsx [Script: TBL_BPM_TCDV]</t>
        </is>
      </c>
    </row>
    <row r="1269">
      <c r="A1269" s="48" t="inlineStr">
        <is>
          <t>TTDL.TBL_BPM_TCDV</t>
        </is>
      </c>
      <c r="B1269" s="48" t="inlineStr">
        <is>
          <t>SILVER_CONSUMER</t>
        </is>
      </c>
      <c r="C1269" s="48" t="inlineStr">
        <is>
          <t>2.1</t>
        </is>
      </c>
      <c r="D1269" s="48" t="inlineStr">
        <is>
          <t>Nhom 2 - Logic</t>
        </is>
      </c>
      <c r="E1269" s="48" t="inlineStr">
        <is>
          <t>Chỉ lấy bản ghi active, loại bản ghi đã xóa (qua sts_hub)</t>
        </is>
      </c>
      <c r="F1269" s="49" t="inlineStr">
        <is>
          <t>PASS</t>
        </is>
      </c>
      <c r="G1269" s="48" t="inlineStr">
        <is>
          <t>Pass</t>
        </is>
      </c>
      <c r="H1269" s="50" t="inlineStr">
        <is>
          <t>không dùng sts_hub_* (không có yêu cầu nghiệp vụ giữ bản ghi đã xóa)</t>
        </is>
      </c>
      <c r="I126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69" s="48" t="inlineStr">
        <is>
          <t>089. OCB_GOLD_TTDL_TBL_BPM_TCDV_LINH.xlsx [Script: TBL_BPM_TCDV]</t>
        </is>
      </c>
    </row>
    <row r="1270">
      <c r="A1270" s="48" t="inlineStr">
        <is>
          <t>TTDL.TBL_BPM_TCDV</t>
        </is>
      </c>
      <c r="B1270" s="48" t="inlineStr">
        <is>
          <t>SILVER_CONSUMER</t>
        </is>
      </c>
      <c r="C1270" s="48" t="inlineStr">
        <is>
          <t>2.2</t>
        </is>
      </c>
      <c r="D1270" s="48" t="inlineStr">
        <is>
          <t>Nhom 2 - Logic</t>
        </is>
      </c>
      <c r="E1270" s="48" t="inlineStr">
        <is>
          <t>Thống nhất MỘT pattern duy nhất xác định bản ghi active mới nhất</t>
        </is>
      </c>
      <c r="F1270" s="49" t="inlineStr">
        <is>
          <t>PASS</t>
        </is>
      </c>
      <c r="G1270" s="48" t="inlineStr">
        <is>
          <t>Pass</t>
        </is>
      </c>
      <c r="H1270" s="50" t="inlineStr">
        <is>
          <t>file này dùng: ['MAX_BY']; toàn batch dùng: ['MAX_BY']</t>
        </is>
      </c>
      <c r="I127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70" s="48" t="inlineStr">
        <is>
          <t>089. OCB_GOLD_TTDL_TBL_BPM_TCDV_LINH.xlsx [Script: TBL_BPM_TCDV]</t>
        </is>
      </c>
    </row>
    <row r="1271">
      <c r="A1271" s="48" t="inlineStr">
        <is>
          <t>TTDL.TBL_BPM_TCDV</t>
        </is>
      </c>
      <c r="B1271" s="48" t="inlineStr">
        <is>
          <t>SILVER_CONSUMER</t>
        </is>
      </c>
      <c r="C1271" s="48" t="inlineStr">
        <is>
          <t>2.3</t>
        </is>
      </c>
      <c r="D1271" s="48" t="inlineStr">
        <is>
          <t>Nhom 2 - Logic</t>
        </is>
      </c>
      <c r="E1271" s="48" t="inlineStr">
        <is>
          <t>Điều kiện lọc trạng thái đặt SAU khi xác định bản ghi mới nhất</t>
        </is>
      </c>
      <c r="F1271" s="49" t="inlineStr">
        <is>
          <t>PASS</t>
        </is>
      </c>
      <c r="G1271" s="48" t="inlineStr">
        <is>
          <t>Pass</t>
        </is>
      </c>
      <c r="H1271" s="50" t="inlineStr">
        <is>
          <t>không có điều kiện trạng thái nào lồng trong JOIN ON</t>
        </is>
      </c>
      <c r="I127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71" s="48" t="inlineStr">
        <is>
          <t>089. OCB_GOLD_TTDL_TBL_BPM_TCDV_LINH.xlsx [Script: TBL_BPM_TCDV]</t>
        </is>
      </c>
    </row>
    <row r="1272">
      <c r="A1272" s="48" t="inlineStr">
        <is>
          <t>TTDL.TBL_BPM_TCDV</t>
        </is>
      </c>
      <c r="B1272" s="48" t="inlineStr">
        <is>
          <t>SILVER_CONSUMER</t>
        </is>
      </c>
      <c r="C1272" s="48" t="inlineStr">
        <is>
          <t>2.4</t>
        </is>
      </c>
      <c r="D1272" s="48" t="inlineStr">
        <is>
          <t>Nhom 2 - Logic</t>
        </is>
      </c>
      <c r="E1272" s="48" t="inlineStr">
        <is>
          <t>source_event_date áp dụng đúng dạng theo loại bảng</t>
        </is>
      </c>
      <c r="F1272" s="49" t="inlineStr">
        <is>
          <t>PASS</t>
        </is>
      </c>
      <c r="G1272" s="48" t="inlineStr">
        <is>
          <t>Pass</t>
        </is>
      </c>
      <c r="H1272" s="50" t="inlineStr">
        <is>
          <t>1 satellite đều đúng dạng điều kiện source_event_date</t>
        </is>
      </c>
      <c r="I127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72" s="48" t="inlineStr">
        <is>
          <t>089. OCB_GOLD_TTDL_TBL_BPM_TCDV_LINH.xlsx [Script: TBL_BPM_TCDV]</t>
        </is>
      </c>
    </row>
    <row r="1273">
      <c r="A1273" s="48" t="inlineStr">
        <is>
          <t>TTDL.TBL_BPM_TCDV</t>
        </is>
      </c>
      <c r="B1273" s="48" t="inlineStr">
        <is>
          <t>SILVER_CONSUMER</t>
        </is>
      </c>
      <c r="C1273" s="48" t="inlineStr">
        <is>
          <t>2.5</t>
        </is>
      </c>
      <c r="D1273" s="48" t="inlineStr">
        <is>
          <t>Nhom 2 - Logic</t>
        </is>
      </c>
      <c r="E1273" s="48" t="inlineStr">
        <is>
          <t>Không lặp lại lỗi logic cũ đã được DA Data Vault fix</t>
        </is>
      </c>
      <c r="F1273" s="49" t="inlineStr">
        <is>
          <t>PASS</t>
        </is>
      </c>
      <c r="G1273" s="48" t="inlineStr">
        <is>
          <t>Pass</t>
        </is>
      </c>
      <c r="H1273" s="50" t="inlineStr">
        <is>
          <t>không trùng lỗi nào trong Issue log của DA Data Vault</t>
        </is>
      </c>
      <c r="I127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73" s="48" t="inlineStr">
        <is>
          <t>089. OCB_GOLD_TTDL_TBL_BPM_TCDV_LINH.xlsx [Script: TBL_BPM_TCDV]</t>
        </is>
      </c>
    </row>
    <row r="1274">
      <c r="A1274" s="48" t="inlineStr">
        <is>
          <t>TTDL.TBL_BPM_TCDV</t>
        </is>
      </c>
      <c r="B1274" s="48" t="inlineStr">
        <is>
          <t>SILVER_CONSUMER</t>
        </is>
      </c>
      <c r="C1274" s="48" t="inlineStr">
        <is>
          <t>2.6</t>
        </is>
      </c>
      <c r="D1274" s="48" t="inlineStr">
        <is>
          <t>Nhom 2 - Logic</t>
        </is>
      </c>
      <c r="E1274" s="48" t="inlineStr">
        <is>
          <t>SCD Type 2 cho bảng DIM áp dụng đúng kỹ thuật đã thống nhất</t>
        </is>
      </c>
      <c r="F1274" s="48" t="inlineStr">
        <is>
          <t>N-A</t>
        </is>
      </c>
      <c r="G1274" s="48" t="inlineStr">
        <is>
          <t>Pass</t>
        </is>
      </c>
      <c r="H1274" s="50" t="inlineStr">
        <is>
          <t>object không phải bảng DIM nên không áp dụng SCD Type 2</t>
        </is>
      </c>
      <c r="I127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74" s="48" t="inlineStr">
        <is>
          <t>089. OCB_GOLD_TTDL_TBL_BPM_TCDV_LINH.xlsx [Script: TBL_BPM_TCDV]</t>
        </is>
      </c>
    </row>
    <row r="1275">
      <c r="A1275" s="48" t="inlineStr">
        <is>
          <t>TTDL.TBL_BPM_TCDV</t>
        </is>
      </c>
      <c r="B1275" s="48" t="inlineStr">
        <is>
          <t>SILVER_CONSUMER</t>
        </is>
      </c>
      <c r="C1275" s="48" t="inlineStr">
        <is>
          <t>2.7</t>
        </is>
      </c>
      <c r="D1275" s="48" t="inlineStr">
        <is>
          <t>Nhom 2 - Logic</t>
        </is>
      </c>
      <c r="E1275" s="48" t="inlineStr">
        <is>
          <t>CASE WHEN cover đủ nhánh như job on-prem</t>
        </is>
      </c>
      <c r="F1275" s="48" t="inlineStr">
        <is>
          <t>N-A</t>
        </is>
      </c>
      <c r="G1275" s="48" t="inlineStr">
        <is>
          <t>Pass</t>
        </is>
      </c>
      <c r="H1275" s="50" t="inlineStr">
        <is>
          <t>script không có CASE WHEN nào</t>
        </is>
      </c>
      <c r="I1275" s="50" t="inlineStr">
        <is>
          <t>Mở job on-prem tương ứng (DataStage DSX hoặc SQL cũ), đối chiếu từng nhánh WHEN và cả nhánh ELSE. CASE không có ELSE sẽ trả NULL âm thầm — xác nhận đó là ý muốn hay thiếu nhánh.</t>
        </is>
      </c>
      <c r="J1275" s="48" t="inlineStr">
        <is>
          <t>089. OCB_GOLD_TTDL_TBL_BPM_TCDV_LINH.xlsx [Script: TBL_BPM_TCDV]</t>
        </is>
      </c>
    </row>
    <row r="1276">
      <c r="A1276" s="48" t="inlineStr">
        <is>
          <t>TTDL.TBL_BPM_TCDV</t>
        </is>
      </c>
      <c r="B1276" s="48" t="inlineStr">
        <is>
          <t>SILVER_CONSUMER</t>
        </is>
      </c>
      <c r="C1276" s="48" t="inlineStr">
        <is>
          <t>2.8</t>
        </is>
      </c>
      <c r="D1276" s="48" t="inlineStr">
        <is>
          <t>Nhom 2 - Logic</t>
        </is>
      </c>
      <c r="E1276" s="48" t="inlineStr">
        <is>
          <t>Cột SUM/COUNT được COALESCE/NVL hợp lý</t>
        </is>
      </c>
      <c r="F1276" s="49" t="inlineStr">
        <is>
          <t>PASS</t>
        </is>
      </c>
      <c r="G1276" s="48" t="inlineStr">
        <is>
          <t>Pass</t>
        </is>
      </c>
      <c r="H1276" s="50" t="inlineStr">
        <is>
          <t>mọi SUM/COUNT đều đã coalesce (trực tiếp hoặc ở lớp ngoài)</t>
        </is>
      </c>
      <c r="I127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76" s="48" t="inlineStr">
        <is>
          <t>089. OCB_GOLD_TTDL_TBL_BPM_TCDV_LINH.xlsx [Script: TBL_BPM_TCDV]</t>
        </is>
      </c>
    </row>
    <row r="1277">
      <c r="A1277" s="48" t="inlineStr">
        <is>
          <t>TTDL.TBL_BPM_TCDV</t>
        </is>
      </c>
      <c r="B1277" s="48" t="inlineStr">
        <is>
          <t>SILVER_CONSUMER</t>
        </is>
      </c>
      <c r="C1277" s="48" t="inlineStr">
        <is>
          <t>2.9</t>
        </is>
      </c>
      <c r="D1277" s="48" t="inlineStr">
        <is>
          <t>Nhom 2 - Logic</t>
        </is>
      </c>
      <c r="E1277" s="48" t="inlineStr">
        <is>
          <t>Subquery / custom function / điều kiện LIKE đúng ý nghĩa nghiệp vụ</t>
        </is>
      </c>
      <c r="F1277" s="48" t="inlineStr">
        <is>
          <t>N-A</t>
        </is>
      </c>
      <c r="G1277" s="48" t="inlineStr">
        <is>
          <t>Pass</t>
        </is>
      </c>
      <c r="H1277" s="50" t="inlineStr">
        <is>
          <t>script không có điều kiện LIKE hay scalar subquery nào</t>
        </is>
      </c>
      <c r="I1277" s="50" t="inlineStr">
        <is>
          <t>Đọc lại từng điều kiện LIKE và từng subquery, đối chiếu ý nghĩa nghiệp vụ với on-prem — đúng cú pháp không đủ. Chú ý pattern LIKE có ký tự % ở đầu/cuối và phân biệt chữ hoa/thường.</t>
        </is>
      </c>
      <c r="J1277" s="48" t="inlineStr">
        <is>
          <t>089. OCB_GOLD_TTDL_TBL_BPM_TCDV_LINH.xlsx [Script: TBL_BPM_TCDV]</t>
        </is>
      </c>
    </row>
    <row r="1278">
      <c r="A1278" s="48" t="inlineStr">
        <is>
          <t>TTDL.TBL_BPM_TCDV</t>
        </is>
      </c>
      <c r="B1278" s="48" t="inlineStr">
        <is>
          <t>SILVER_CONSUMER</t>
        </is>
      </c>
      <c r="C1278" s="48" t="inlineStr">
        <is>
          <t>2.10</t>
        </is>
      </c>
      <c r="D1278" s="48" t="inlineStr">
        <is>
          <t>Nhom 2 - Logic</t>
        </is>
      </c>
      <c r="E1278" s="48" t="inlineStr">
        <is>
          <t>Aggregation kèm filter date range chính xác</t>
        </is>
      </c>
      <c r="F1278" s="49" t="inlineStr">
        <is>
          <t>PASS</t>
        </is>
      </c>
      <c r="G1278" s="48" t="inlineStr">
        <is>
          <t>Pass</t>
        </is>
      </c>
      <c r="H1278" s="50" t="inlineStr">
        <is>
          <t>mọi khối tổng hợp đều có điều kiện theo kỳ dữ liệu</t>
        </is>
      </c>
      <c r="I1278" s="50" t="inlineStr">
        <is>
          <t>Mỗi khối SUM/COUNT/AVG phải có điều kiện lọc theo kỳ dữ liệu (CDR_DT_ID, DATA_DATE, :DATADT…). Nếu điều kiện nằm ở CTE nguồn thì ghi rõ trong comment để người review không phải truy ngược.</t>
        </is>
      </c>
      <c r="J1278" s="48" t="inlineStr">
        <is>
          <t>089. OCB_GOLD_TTDL_TBL_BPM_TCDV_LINH.xlsx [Script: TBL_BPM_TCDV]</t>
        </is>
      </c>
    </row>
    <row r="1279">
      <c r="A1279" s="48" t="inlineStr">
        <is>
          <t>TTDL.TBL_BPM_TCDV</t>
        </is>
      </c>
      <c r="B1279" s="48" t="inlineStr">
        <is>
          <t>SILVER_CONSUMER</t>
        </is>
      </c>
      <c r="C1279" s="48" t="inlineStr">
        <is>
          <t>2.11</t>
        </is>
      </c>
      <c r="D1279" s="48" t="inlineStr">
        <is>
          <t>Nhom 2 - Logic</t>
        </is>
      </c>
      <c r="E1279" s="48" t="inlineStr">
        <is>
          <t>Join dùng key hợp lý, không lạm dụng UNION ALL + EXISTS/NOT EXISTS</t>
        </is>
      </c>
      <c r="F1279" s="49" t="inlineStr">
        <is>
          <t>PASS</t>
        </is>
      </c>
      <c r="G1279" s="48" t="inlineStr">
        <is>
          <t>Pass</t>
        </is>
      </c>
      <c r="H1279" s="50" t="inlineStr">
        <is>
          <t>join đều theo điều kiện bằng, không lạm dụng UNION ALL + EXISTS</t>
        </is>
      </c>
      <c r="I1279" s="50" t="inlineStr">
        <is>
          <t>Ưu tiên LEFT JOIN theo business key hoặc hashkey. Xem lại các chỗ dùng UNION ALL kết hợp EXISTS/NOT EXISTS — thường thay được bằng một LEFT JOIN. Join không có điều kiện bằng (=) dễ tạo tích Descartes.</t>
        </is>
      </c>
      <c r="J1279" s="48" t="inlineStr">
        <is>
          <t>089. OCB_GOLD_TTDL_TBL_BPM_TCDV_LINH.xlsx [Script: TBL_BPM_TCDV]</t>
        </is>
      </c>
    </row>
    <row r="1280">
      <c r="A1280" s="48" t="inlineStr">
        <is>
          <t>TTDL.TBL_BPM_TCDV</t>
        </is>
      </c>
      <c r="B1280" s="48" t="inlineStr">
        <is>
          <t>SILVER_CONSUMER</t>
        </is>
      </c>
      <c r="C1280" s="48" t="inlineStr">
        <is>
          <t>2.12</t>
        </is>
      </c>
      <c r="D1280" s="48" t="inlineStr">
        <is>
          <t>Nhom 2 - Logic</t>
        </is>
      </c>
      <c r="E1280" s="48" t="inlineStr">
        <is>
          <t>Build Gold từ CTE snapshot Silver, không build nhiều tầng chồng chéo</t>
        </is>
      </c>
      <c r="F1280" s="49" t="inlineStr">
        <is>
          <t>PASS</t>
        </is>
      </c>
      <c r="G1280" s="48" t="inlineStr">
        <is>
          <t>Pass</t>
        </is>
      </c>
      <c r="H1280" s="50" t="inlineStr">
        <is>
          <t>mỗi bảng nguồn chỉ đọc trong 1 khối SELECT</t>
        </is>
      </c>
      <c r="I128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80" s="48" t="inlineStr">
        <is>
          <t>089. OCB_GOLD_TTDL_TBL_BPM_TCDV_LINH.xlsx [Script: TBL_BPM_TCDV]</t>
        </is>
      </c>
    </row>
    <row r="1281">
      <c r="A1281" s="48" t="inlineStr">
        <is>
          <t>TTDL.TBL_BPM_TCDV</t>
        </is>
      </c>
      <c r="B1281" s="48" t="inlineStr">
        <is>
          <t>SILVER_CONSUMER</t>
        </is>
      </c>
      <c r="C1281" s="48" t="inlineStr">
        <is>
          <t>3.1</t>
        </is>
      </c>
      <c r="D1281" s="48" t="inlineStr">
        <is>
          <t>Nhom 3 - Optimization</t>
        </is>
      </c>
      <c r="E1281" s="48" t="inlineStr">
        <is>
          <t>Không SELECT *</t>
        </is>
      </c>
      <c r="F1281" s="49" t="inlineStr">
        <is>
          <t>PASS</t>
        </is>
      </c>
      <c r="G1281" s="48" t="inlineStr">
        <is>
          <t>Pass</t>
        </is>
      </c>
      <c r="H1281" s="50" t="inlineStr">
        <is>
          <t>không dùng SELECT * ở đâu</t>
        </is>
      </c>
      <c r="I1281" s="50" t="inlineStr">
        <is>
          <t>Liệt kê tường minh các cột cần dùng, kể cả trong CTE trung gian. SELECT * làm tăng IO/memory và vỡ script khi bảng nguồn thêm cột.</t>
        </is>
      </c>
      <c r="J1281" s="48" t="inlineStr">
        <is>
          <t>089. OCB_GOLD_TTDL_TBL_BPM_TCDV_LINH.xlsx [Script: TBL_BPM_TCDV]</t>
        </is>
      </c>
    </row>
    <row r="1282">
      <c r="A1282" s="48" t="inlineStr">
        <is>
          <t>TTDL.TBL_BPM_TCDV</t>
        </is>
      </c>
      <c r="B1282" s="48" t="inlineStr">
        <is>
          <t>SILVER_CONSUMER</t>
        </is>
      </c>
      <c r="C1282" s="48" t="inlineStr">
        <is>
          <t>3.2</t>
        </is>
      </c>
      <c r="D1282" s="48" t="inlineStr">
        <is>
          <t>Nhom 3 - Optimization</t>
        </is>
      </c>
      <c r="E1282" s="48" t="inlineStr">
        <is>
          <t>CTE không bị scan lại nhiều lần</t>
        </is>
      </c>
      <c r="F1282" s="49" t="inlineStr">
        <is>
          <t>PASS</t>
        </is>
      </c>
      <c r="G1282" s="48" t="inlineStr">
        <is>
          <t>Pass</t>
        </is>
      </c>
      <c r="H1282" s="50" t="inlineStr">
        <is>
          <t>không có CTE nào bị gọi lại</t>
        </is>
      </c>
      <c r="I1282" s="50" t="inlineStr">
        <is>
          <t>Với CTE nặng (đọc nhiều bảng Silver) bị tham chiếu từ 2 chỗ trở lên: gom lại còn một lần dùng, hoặc vật chất hóa (CACHE / bảng tạm). CTE nhẹ chỉ chứa tham số thì bỏ qua được — tự tick Pass.</t>
        </is>
      </c>
      <c r="J1282" s="48" t="inlineStr">
        <is>
          <t>089. OCB_GOLD_TTDL_TBL_BPM_TCDV_LINH.xlsx [Script: TBL_BPM_TCDV]</t>
        </is>
      </c>
    </row>
    <row r="1283">
      <c r="A1283" s="48" t="inlineStr">
        <is>
          <t>TTDL.TBL_BPM_TCDV</t>
        </is>
      </c>
      <c r="B1283" s="48" t="inlineStr">
        <is>
          <t>SILVER_CONSUMER</t>
        </is>
      </c>
      <c r="C1283" s="48" t="inlineStr">
        <is>
          <t>3.3</t>
        </is>
      </c>
      <c r="D1283" s="48" t="inlineStr">
        <is>
          <t>Nhom 3 - Optimization</t>
        </is>
      </c>
      <c r="E1283" s="48" t="inlineStr">
        <is>
          <t>Filter trước khi join, tận dụng partition pruning</t>
        </is>
      </c>
      <c r="F1283" s="49" t="inlineStr">
        <is>
          <t>PASS</t>
        </is>
      </c>
      <c r="G1283" s="48" t="inlineStr">
        <is>
          <t>Pass</t>
        </is>
      </c>
      <c r="H1283" s="50" t="inlineStr">
        <is>
          <t>các bảng join đều được filter trước</t>
        </is>
      </c>
      <c r="I1283" s="50" t="inlineStr">
        <is>
          <t>Đưa điều kiện lọc (ngày dữ liệu, trạng thái) vào subquery của từng bảng TRƯỚC khi join, để tận dụng partition pruning. Bảng dim nhỏ không partition thì không cần — tự tick Pass.</t>
        </is>
      </c>
      <c r="J1283" s="48" t="inlineStr">
        <is>
          <t>089. OCB_GOLD_TTDL_TBL_BPM_TCDV_LINH.xlsx [Script: TBL_BPM_TCDV]</t>
        </is>
      </c>
    </row>
    <row r="1284">
      <c r="A1284" s="48" t="inlineStr">
        <is>
          <t>TTDL.TBL_BPM_TCDV</t>
        </is>
      </c>
      <c r="B1284" s="48" t="inlineStr">
        <is>
          <t>SILVER_CONSUMER</t>
        </is>
      </c>
      <c r="C1284" s="48" t="inlineStr">
        <is>
          <t>3.4</t>
        </is>
      </c>
      <c r="D1284" s="48" t="inlineStr">
        <is>
          <t>Nhom 3 - Optimization</t>
        </is>
      </c>
      <c r="E1284" s="48" t="inlineStr">
        <is>
          <t>Sử dụng CACHE cho query lặp lại trong cùng luồng</t>
        </is>
      </c>
      <c r="F1284" s="48" t="inlineStr">
        <is>
          <t>N-A</t>
        </is>
      </c>
      <c r="G1284" s="48" t="inlineStr">
        <is>
          <t>Pass</t>
        </is>
      </c>
      <c r="H1284" s="50" t="inlineStr">
        <is>
          <t>không có kết quả nào được dùng lại nhiều lần nên chưa cần CACHE</t>
        </is>
      </c>
      <c r="I1284" s="50" t="inlineStr">
        <is>
          <t>Nếu một kết quả nặng được dùng lại nhiều bước trong cùng luồng, thêm CACHE TABLE / CACHE SELECT. Kết quả nhỏ thì cache còn chậm hơn — tự tick Pass.</t>
        </is>
      </c>
      <c r="J1284" s="48" t="inlineStr">
        <is>
          <t>089. OCB_GOLD_TTDL_TBL_BPM_TCDV_LINH.xlsx [Script: TBL_BPM_TCDV]</t>
        </is>
      </c>
    </row>
    <row r="1285">
      <c r="A1285" s="48" t="inlineStr">
        <is>
          <t>TTDL.TBL_BPM_TCDV</t>
        </is>
      </c>
      <c r="B1285" s="48" t="inlineStr">
        <is>
          <t>SILVER_CONSUMER</t>
        </is>
      </c>
      <c r="C1285" s="48" t="inlineStr">
        <is>
          <t>3.5</t>
        </is>
      </c>
      <c r="D1285" s="48" t="inlineStr">
        <is>
          <t>Nhom 3 - Optimization</t>
        </is>
      </c>
      <c r="E1285" s="48" t="inlineStr">
        <is>
          <t>Ưu tiên MAX_BY + QUALIFY thay ROW_NUMBER() + WHERE rn = 1</t>
        </is>
      </c>
      <c r="F1285" s="48" t="inlineStr">
        <is>
          <t>N-A</t>
        </is>
      </c>
      <c r="G1285" s="48" t="inlineStr">
        <is>
          <t>Pass</t>
        </is>
      </c>
      <c r="H1285" s="50" t="inlineStr">
        <is>
          <t>script không dùng ROW_NUMBER</t>
        </is>
      </c>
      <c r="I128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85" s="48" t="inlineStr">
        <is>
          <t>089. OCB_GOLD_TTDL_TBL_BPM_TCDV_LINH.xlsx [Script: TBL_BPM_TCDV]</t>
        </is>
      </c>
    </row>
    <row r="1286">
      <c r="A1286" s="48" t="inlineStr">
        <is>
          <t>TTDL.TBL_BPM_TCDV</t>
        </is>
      </c>
      <c r="B1286" s="48" t="inlineStr">
        <is>
          <t>SILVER_CONSUMER</t>
        </is>
      </c>
      <c r="C1286" s="48" t="inlineStr">
        <is>
          <t>3.6</t>
        </is>
      </c>
      <c r="D1286" s="48" t="inlineStr">
        <is>
          <t>Nhom 3 - Optimization</t>
        </is>
      </c>
      <c r="E1286" s="48" t="inlineStr">
        <is>
          <t>Không lạm dụng window function; có comment khi dùng</t>
        </is>
      </c>
      <c r="F1286" s="48" t="inlineStr">
        <is>
          <t>N-A</t>
        </is>
      </c>
      <c r="G1286" s="48" t="inlineStr">
        <is>
          <t>Pass</t>
        </is>
      </c>
      <c r="H1286" s="50" t="inlineStr">
        <is>
          <t>script không dùng window function</t>
        </is>
      </c>
      <c r="I1286" s="50" t="inlineStr">
        <is>
          <t>Mỗi window function cần một comment ngay trên khối CTE chứa nó, nói rõ vì sao không dùng được max_by/QUALIFY đơn giản hơn.</t>
        </is>
      </c>
      <c r="J1286" s="48" t="inlineStr">
        <is>
          <t>089. OCB_GOLD_TTDL_TBL_BPM_TCDV_LINH.xlsx [Script: TBL_BPM_TCDV]</t>
        </is>
      </c>
    </row>
    <row r="1287">
      <c r="A1287" s="48" t="inlineStr">
        <is>
          <t>TTDL.TBL_BPM_TCDV</t>
        </is>
      </c>
      <c r="B1287" s="48" t="inlineStr">
        <is>
          <t>SILVER_CONSUMER</t>
        </is>
      </c>
      <c r="C1287" s="48" t="inlineStr">
        <is>
          <t>X.1</t>
        </is>
      </c>
      <c r="D1287" s="48" t="inlineStr">
        <is>
          <t>Nhom X - Bo sung Raffles</t>
        </is>
      </c>
      <c r="E1287" s="48" t="inlineStr">
        <is>
          <t>[Bổ sung] Link phải rút về current trước khi join (chống fan-out)</t>
        </is>
      </c>
      <c r="F1287" s="49" t="inlineStr">
        <is>
          <t>PASS</t>
        </is>
      </c>
      <c r="G1287" s="48" t="inlineStr">
        <is>
          <t>Pass</t>
        </is>
      </c>
      <c r="H1287" s="50" t="inlineStr">
        <is>
          <t>các bảng link_* đều được rút về current trước khi join</t>
        </is>
      </c>
      <c r="I128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87" s="48" t="inlineStr">
        <is>
          <t>089. OCB_GOLD_TTDL_TBL_BPM_TCDV_LINH.xlsx [Script: TBL_BPM_TCDV]</t>
        </is>
      </c>
    </row>
    <row r="1288">
      <c r="A1288" s="48" t="inlineStr">
        <is>
          <t>TTDL.TBL_BPM_TCDV</t>
        </is>
      </c>
      <c r="B1288" s="48" t="inlineStr">
        <is>
          <t>SILVER_CONSUMER</t>
        </is>
      </c>
      <c r="C1288" s="48" t="inlineStr">
        <is>
          <t>X.6</t>
        </is>
      </c>
      <c r="D1288" s="48" t="inlineStr">
        <is>
          <t>Nhom X - Bo sung Raffles</t>
        </is>
      </c>
      <c r="E1288" s="48" t="inlineStr">
        <is>
          <t>[Bổ sung] Satellite phải LEFT JOIN, không INNER JOIN</t>
        </is>
      </c>
      <c r="F1288" s="49" t="inlineStr">
        <is>
          <t>PASS</t>
        </is>
      </c>
      <c r="G1288" s="48" t="inlineStr">
        <is>
          <t>Pass</t>
        </is>
      </c>
      <c r="H1288" s="50" t="inlineStr">
        <is>
          <t>các satellite đều LEFT JOIN</t>
        </is>
      </c>
      <c r="I1288" s="50" t="inlineStr">
        <is>
          <t>Technical Document III.4.2.2 nguyên tắc 1: làm giàu thuộc tính luôn dùng LEFT JOIN. INNER JOIN satellite sẽ loại mất bản ghi Hub đang còn hiệu lực nhưng chưa có dòng satellite.</t>
        </is>
      </c>
      <c r="J1288" s="48" t="inlineStr">
        <is>
          <t>089. OCB_GOLD_TTDL_TBL_BPM_TCDV_LINH.xlsx [Script: TBL_BPM_TCDV]</t>
        </is>
      </c>
    </row>
    <row r="1289">
      <c r="A1289" s="48" t="inlineStr">
        <is>
          <t>TTDL.TBL_BPM_TCDV</t>
        </is>
      </c>
      <c r="B1289" s="48" t="inlineStr">
        <is>
          <t>SILVER_CONSUMER</t>
        </is>
      </c>
      <c r="C1289" s="48" t="inlineStr">
        <is>
          <t>X.7</t>
        </is>
      </c>
      <c r="D1289" s="48" t="inlineStr">
        <is>
          <t>Nhom X - Bo sung Raffles</t>
        </is>
      </c>
      <c r="E1289" s="48" t="inlineStr">
        <is>
          <t>[Bổ sung] Không hard-code catalog, dùng biến môi trường</t>
        </is>
      </c>
      <c r="F1289" s="49" t="inlineStr">
        <is>
          <t>PASS</t>
        </is>
      </c>
      <c r="G1289" s="48" t="inlineStr">
        <is>
          <t>Pass</t>
        </is>
      </c>
      <c r="H1289" s="50" t="inlineStr">
        <is>
          <t>dùng biến môi trường cho catalog</t>
        </is>
      </c>
      <c r="I128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89" s="48" t="inlineStr">
        <is>
          <t>089. OCB_GOLD_TTDL_TBL_BPM_TCDV_LINH.xlsx [Script: TBL_BPM_TCDV]</t>
        </is>
      </c>
    </row>
    <row r="1290">
      <c r="A1290" s="48" t="inlineStr">
        <is>
          <t>TTDL.TBL_BPM_TCDV_KV</t>
        </is>
      </c>
      <c r="B1290" s="48" t="inlineStr">
        <is>
          <t>SILVER_CONSUMER</t>
        </is>
      </c>
      <c r="C1290" s="48" t="inlineStr">
        <is>
          <t>1.1</t>
        </is>
      </c>
      <c r="D1290" s="48" t="inlineStr">
        <is>
          <t>Nhom 1 - Mapping</t>
        </is>
      </c>
      <c r="E1290" s="48" t="inlineStr">
        <is>
          <t>Đầy đủ mapping từ Silver/manual sang Gold</t>
        </is>
      </c>
      <c r="F1290" s="49" t="inlineStr">
        <is>
          <t>PASS</t>
        </is>
      </c>
      <c r="G1290" s="48" t="inlineStr">
        <is>
          <t>Pass</t>
        </is>
      </c>
      <c r="H1290" s="50" t="inlineStr">
        <is>
          <t>workbook 090. OCB_GOLD_TTDL_TBL_BPM_TCDV_KV_LINH.xlsx: thiết kế 2 field, SQL có 2 cột</t>
        </is>
      </c>
      <c r="I1290"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90" s="48" t="inlineStr">
        <is>
          <t>090. OCB_GOLD_TTDL_TBL_BPM_TCDV_KV_LINH.xlsx [Script: TBL_BPM_TCDV_KV]</t>
        </is>
      </c>
    </row>
    <row r="1291">
      <c r="A1291" s="48" t="inlineStr">
        <is>
          <t>TTDL.TBL_BPM_TCDV_KV</t>
        </is>
      </c>
      <c r="B1291" s="48" t="inlineStr">
        <is>
          <t>SILVER_CONSUMER</t>
        </is>
      </c>
      <c r="C1291" s="48" t="inlineStr">
        <is>
          <t>1.2</t>
        </is>
      </c>
      <c r="D1291" s="48" t="inlineStr">
        <is>
          <t>Nhom 1 - Mapping</t>
        </is>
      </c>
      <c r="E1291" s="48" t="inlineStr">
        <is>
          <t>Danh sách bảng/view Gold khớp tài liệu thiết kế đã duyệt</t>
        </is>
      </c>
      <c r="F1291" s="49" t="inlineStr">
        <is>
          <t>PASS</t>
        </is>
      </c>
      <c r="G1291" s="48" t="inlineStr">
        <is>
          <t>Pass</t>
        </is>
      </c>
      <c r="H1291" s="50" t="inlineStr">
        <is>
          <t>TBL_BPM_TCDV_KV có workbook thiết kế: 090. OCB_GOLD_TTDL_TBL_BPM_TCDV_KV_LINH.xlsx</t>
        </is>
      </c>
      <c r="I1291" s="50" t="inlineStr">
        <is>
          <t>Đảm bảo object có workbook thiết kế tương ứng trong thư mục --mapping-dir. Muốn đối chiếu với danh sách đã duyệt thì chạy thêm tham số --gold-list "&lt;file danh sách Gold&gt;.xlsx".</t>
        </is>
      </c>
      <c r="J1291" s="48" t="inlineStr">
        <is>
          <t>090. OCB_GOLD_TTDL_TBL_BPM_TCDV_KV_LINH.xlsx [Script: TBL_BPM_TCDV_KV]</t>
        </is>
      </c>
    </row>
    <row r="1292">
      <c r="A1292" s="48" t="inlineStr">
        <is>
          <t>TTDL.TBL_BPM_TCDV_KV</t>
        </is>
      </c>
      <c r="B1292" s="48" t="inlineStr">
        <is>
          <t>SILVER_CONSUMER</t>
        </is>
      </c>
      <c r="C1292" s="48" t="inlineStr">
        <is>
          <t>2.1</t>
        </is>
      </c>
      <c r="D1292" s="48" t="inlineStr">
        <is>
          <t>Nhom 2 - Logic</t>
        </is>
      </c>
      <c r="E1292" s="48" t="inlineStr">
        <is>
          <t>Chỉ lấy bản ghi active, loại bản ghi đã xóa (qua sts_hub)</t>
        </is>
      </c>
      <c r="F1292" s="49" t="inlineStr">
        <is>
          <t>PASS</t>
        </is>
      </c>
      <c r="G1292" s="48" t="inlineStr">
        <is>
          <t>Pass</t>
        </is>
      </c>
      <c r="H1292" s="50" t="inlineStr">
        <is>
          <t>không dùng sts_hub_* (không có yêu cầu nghiệp vụ giữ bản ghi đã xóa)</t>
        </is>
      </c>
      <c r="I1292"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92" s="48" t="inlineStr">
        <is>
          <t>090. OCB_GOLD_TTDL_TBL_BPM_TCDV_KV_LINH.xlsx [Script: TBL_BPM_TCDV_KV]</t>
        </is>
      </c>
    </row>
    <row r="1293">
      <c r="A1293" s="48" t="inlineStr">
        <is>
          <t>TTDL.TBL_BPM_TCDV_KV</t>
        </is>
      </c>
      <c r="B1293" s="48" t="inlineStr">
        <is>
          <t>SILVER_CONSUMER</t>
        </is>
      </c>
      <c r="C1293" s="48" t="inlineStr">
        <is>
          <t>2.2</t>
        </is>
      </c>
      <c r="D1293" s="48" t="inlineStr">
        <is>
          <t>Nhom 2 - Logic</t>
        </is>
      </c>
      <c r="E1293" s="48" t="inlineStr">
        <is>
          <t>Thống nhất MỘT pattern duy nhất xác định bản ghi active mới nhất</t>
        </is>
      </c>
      <c r="F1293" s="49" t="inlineStr">
        <is>
          <t>PASS</t>
        </is>
      </c>
      <c r="G1293" s="48" t="inlineStr">
        <is>
          <t>Pass</t>
        </is>
      </c>
      <c r="H1293" s="50" t="inlineStr">
        <is>
          <t>file này dùng: ['MAX_BY']; toàn batch dùng: ['MAX_BY']</t>
        </is>
      </c>
      <c r="I1293"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93" s="48" t="inlineStr">
        <is>
          <t>090. OCB_GOLD_TTDL_TBL_BPM_TCDV_KV_LINH.xlsx [Script: TBL_BPM_TCDV_KV]</t>
        </is>
      </c>
    </row>
    <row r="1294">
      <c r="A1294" s="48" t="inlineStr">
        <is>
          <t>TTDL.TBL_BPM_TCDV_KV</t>
        </is>
      </c>
      <c r="B1294" s="48" t="inlineStr">
        <is>
          <t>SILVER_CONSUMER</t>
        </is>
      </c>
      <c r="C1294" s="48" t="inlineStr">
        <is>
          <t>2.3</t>
        </is>
      </c>
      <c r="D1294" s="48" t="inlineStr">
        <is>
          <t>Nhom 2 - Logic</t>
        </is>
      </c>
      <c r="E1294" s="48" t="inlineStr">
        <is>
          <t>Điều kiện lọc trạng thái đặt SAU khi xác định bản ghi mới nhất</t>
        </is>
      </c>
      <c r="F1294" s="49" t="inlineStr">
        <is>
          <t>PASS</t>
        </is>
      </c>
      <c r="G1294" s="48" t="inlineStr">
        <is>
          <t>Pass</t>
        </is>
      </c>
      <c r="H1294" s="50" t="inlineStr">
        <is>
          <t>không có điều kiện trạng thái nào lồng trong JOIN ON</t>
        </is>
      </c>
      <c r="I1294"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94" s="48" t="inlineStr">
        <is>
          <t>090. OCB_GOLD_TTDL_TBL_BPM_TCDV_KV_LINH.xlsx [Script: TBL_BPM_TCDV_KV]</t>
        </is>
      </c>
    </row>
    <row r="1295">
      <c r="A1295" s="48" t="inlineStr">
        <is>
          <t>TTDL.TBL_BPM_TCDV_KV</t>
        </is>
      </c>
      <c r="B1295" s="48" t="inlineStr">
        <is>
          <t>SILVER_CONSUMER</t>
        </is>
      </c>
      <c r="C1295" s="48" t="inlineStr">
        <is>
          <t>2.4</t>
        </is>
      </c>
      <c r="D1295" s="48" t="inlineStr">
        <is>
          <t>Nhom 2 - Logic</t>
        </is>
      </c>
      <c r="E1295" s="48" t="inlineStr">
        <is>
          <t>source_event_date áp dụng đúng dạng theo loại bảng</t>
        </is>
      </c>
      <c r="F1295" s="49" t="inlineStr">
        <is>
          <t>PASS</t>
        </is>
      </c>
      <c r="G1295" s="48" t="inlineStr">
        <is>
          <t>Pass</t>
        </is>
      </c>
      <c r="H1295" s="50" t="inlineStr">
        <is>
          <t>1 satellite đều đúng dạng điều kiện source_event_date</t>
        </is>
      </c>
      <c r="I1295"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95" s="48" t="inlineStr">
        <is>
          <t>090. OCB_GOLD_TTDL_TBL_BPM_TCDV_KV_LINH.xlsx [Script: TBL_BPM_TCDV_KV]</t>
        </is>
      </c>
    </row>
    <row r="1296">
      <c r="A1296" s="48" t="inlineStr">
        <is>
          <t>TTDL.TBL_BPM_TCDV_KV</t>
        </is>
      </c>
      <c r="B1296" s="48" t="inlineStr">
        <is>
          <t>SILVER_CONSUMER</t>
        </is>
      </c>
      <c r="C1296" s="48" t="inlineStr">
        <is>
          <t>2.5</t>
        </is>
      </c>
      <c r="D1296" s="48" t="inlineStr">
        <is>
          <t>Nhom 2 - Logic</t>
        </is>
      </c>
      <c r="E1296" s="48" t="inlineStr">
        <is>
          <t>Không lặp lại lỗi logic cũ đã được DA Data Vault fix</t>
        </is>
      </c>
      <c r="F1296" s="49" t="inlineStr">
        <is>
          <t>PASS</t>
        </is>
      </c>
      <c r="G1296" s="48" t="inlineStr">
        <is>
          <t>Pass</t>
        </is>
      </c>
      <c r="H1296" s="50" t="inlineStr">
        <is>
          <t>không trùng lỗi nào trong Issue log của DA Data Vault</t>
        </is>
      </c>
      <c r="I1296"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96" s="48" t="inlineStr">
        <is>
          <t>090. OCB_GOLD_TTDL_TBL_BPM_TCDV_KV_LINH.xlsx [Script: TBL_BPM_TCDV_KV]</t>
        </is>
      </c>
    </row>
    <row r="1297">
      <c r="A1297" s="48" t="inlineStr">
        <is>
          <t>TTDL.TBL_BPM_TCDV_KV</t>
        </is>
      </c>
      <c r="B1297" s="48" t="inlineStr">
        <is>
          <t>SILVER_CONSUMER</t>
        </is>
      </c>
      <c r="C1297" s="48" t="inlineStr">
        <is>
          <t>2.6</t>
        </is>
      </c>
      <c r="D1297" s="48" t="inlineStr">
        <is>
          <t>Nhom 2 - Logic</t>
        </is>
      </c>
      <c r="E1297" s="48" t="inlineStr">
        <is>
          <t>SCD Type 2 cho bảng DIM áp dụng đúng kỹ thuật đã thống nhất</t>
        </is>
      </c>
      <c r="F1297" s="48" t="inlineStr">
        <is>
          <t>N-A</t>
        </is>
      </c>
      <c r="G1297" s="48" t="inlineStr">
        <is>
          <t>Pass</t>
        </is>
      </c>
      <c r="H1297" s="50" t="inlineStr">
        <is>
          <t>object không phải bảng DIM nên không áp dụng SCD Type 2</t>
        </is>
      </c>
      <c r="I1297"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97" s="48" t="inlineStr">
        <is>
          <t>090. OCB_GOLD_TTDL_TBL_BPM_TCDV_KV_LINH.xlsx [Script: TBL_BPM_TCDV_KV]</t>
        </is>
      </c>
    </row>
    <row r="1298">
      <c r="A1298" s="48" t="inlineStr">
        <is>
          <t>TTDL.TBL_BPM_TCDV_KV</t>
        </is>
      </c>
      <c r="B1298" s="48" t="inlineStr">
        <is>
          <t>SILVER_CONSUMER</t>
        </is>
      </c>
      <c r="C1298" s="48" t="inlineStr">
        <is>
          <t>2.7</t>
        </is>
      </c>
      <c r="D1298" s="48" t="inlineStr">
        <is>
          <t>Nhom 2 - Logic</t>
        </is>
      </c>
      <c r="E1298" s="48" t="inlineStr">
        <is>
          <t>CASE WHEN cover đủ nhánh như job on-prem</t>
        </is>
      </c>
      <c r="F1298" s="48" t="inlineStr">
        <is>
          <t>N-A</t>
        </is>
      </c>
      <c r="G1298" s="48" t="inlineStr">
        <is>
          <t>Pass</t>
        </is>
      </c>
      <c r="H1298" s="50" t="inlineStr">
        <is>
          <t>script không có CASE WHEN nào</t>
        </is>
      </c>
      <c r="I1298" s="50" t="inlineStr">
        <is>
          <t>Mở job on-prem tương ứng (DataStage DSX hoặc SQL cũ), đối chiếu từng nhánh WHEN và cả nhánh ELSE. CASE không có ELSE sẽ trả NULL âm thầm — xác nhận đó là ý muốn hay thiếu nhánh.</t>
        </is>
      </c>
      <c r="J1298" s="48" t="inlineStr">
        <is>
          <t>090. OCB_GOLD_TTDL_TBL_BPM_TCDV_KV_LINH.xlsx [Script: TBL_BPM_TCDV_KV]</t>
        </is>
      </c>
    </row>
    <row r="1299">
      <c r="A1299" s="48" t="inlineStr">
        <is>
          <t>TTDL.TBL_BPM_TCDV_KV</t>
        </is>
      </c>
      <c r="B1299" s="48" t="inlineStr">
        <is>
          <t>SILVER_CONSUMER</t>
        </is>
      </c>
      <c r="C1299" s="48" t="inlineStr">
        <is>
          <t>2.8</t>
        </is>
      </c>
      <c r="D1299" s="48" t="inlineStr">
        <is>
          <t>Nhom 2 - Logic</t>
        </is>
      </c>
      <c r="E1299" s="48" t="inlineStr">
        <is>
          <t>Cột SUM/COUNT được COALESCE/NVL hợp lý</t>
        </is>
      </c>
      <c r="F1299" s="49" t="inlineStr">
        <is>
          <t>PASS</t>
        </is>
      </c>
      <c r="G1299" s="48" t="inlineStr">
        <is>
          <t>Pass</t>
        </is>
      </c>
      <c r="H1299" s="50" t="inlineStr">
        <is>
          <t>mọi SUM/COUNT đều đã coalesce (trực tiếp hoặc ở lớp ngoài)</t>
        </is>
      </c>
      <c r="I1299"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99" s="48" t="inlineStr">
        <is>
          <t>090. OCB_GOLD_TTDL_TBL_BPM_TCDV_KV_LINH.xlsx [Script: TBL_BPM_TCDV_KV]</t>
        </is>
      </c>
    </row>
    <row r="1300">
      <c r="A1300" s="48" t="inlineStr">
        <is>
          <t>TTDL.TBL_BPM_TCDV_KV</t>
        </is>
      </c>
      <c r="B1300" s="48" t="inlineStr">
        <is>
          <t>SILVER_CONSUMER</t>
        </is>
      </c>
      <c r="C1300" s="48" t="inlineStr">
        <is>
          <t>2.9</t>
        </is>
      </c>
      <c r="D1300" s="48" t="inlineStr">
        <is>
          <t>Nhom 2 - Logic</t>
        </is>
      </c>
      <c r="E1300" s="48" t="inlineStr">
        <is>
          <t>Subquery / custom function / điều kiện LIKE đúng ý nghĩa nghiệp vụ</t>
        </is>
      </c>
      <c r="F1300" s="48" t="inlineStr">
        <is>
          <t>N-A</t>
        </is>
      </c>
      <c r="G1300" s="48" t="inlineStr">
        <is>
          <t>Pass</t>
        </is>
      </c>
      <c r="H1300" s="50" t="inlineStr">
        <is>
          <t>script không có điều kiện LIKE hay scalar subquery nào</t>
        </is>
      </c>
      <c r="I1300" s="50" t="inlineStr">
        <is>
          <t>Đọc lại từng điều kiện LIKE và từng subquery, đối chiếu ý nghĩa nghiệp vụ với on-prem — đúng cú pháp không đủ. Chú ý pattern LIKE có ký tự % ở đầu/cuối và phân biệt chữ hoa/thường.</t>
        </is>
      </c>
      <c r="J1300" s="48" t="inlineStr">
        <is>
          <t>090. OCB_GOLD_TTDL_TBL_BPM_TCDV_KV_LINH.xlsx [Script: TBL_BPM_TCDV_KV]</t>
        </is>
      </c>
    </row>
    <row r="1301">
      <c r="A1301" s="48" t="inlineStr">
        <is>
          <t>TTDL.TBL_BPM_TCDV_KV</t>
        </is>
      </c>
      <c r="B1301" s="48" t="inlineStr">
        <is>
          <t>SILVER_CONSUMER</t>
        </is>
      </c>
      <c r="C1301" s="48" t="inlineStr">
        <is>
          <t>2.10</t>
        </is>
      </c>
      <c r="D1301" s="48" t="inlineStr">
        <is>
          <t>Nhom 2 - Logic</t>
        </is>
      </c>
      <c r="E1301" s="48" t="inlineStr">
        <is>
          <t>Aggregation kèm filter date range chính xác</t>
        </is>
      </c>
      <c r="F1301" s="49" t="inlineStr">
        <is>
          <t>PASS</t>
        </is>
      </c>
      <c r="G1301" s="48" t="inlineStr">
        <is>
          <t>Pass</t>
        </is>
      </c>
      <c r="H1301" s="50" t="inlineStr">
        <is>
          <t>mọi khối tổng hợp đều có điều kiện theo kỳ dữ liệu</t>
        </is>
      </c>
      <c r="I1301" s="50" t="inlineStr">
        <is>
          <t>Mỗi khối SUM/COUNT/AVG phải có điều kiện lọc theo kỳ dữ liệu (CDR_DT_ID, DATA_DATE, :DATADT…). Nếu điều kiện nằm ở CTE nguồn thì ghi rõ trong comment để người review không phải truy ngược.</t>
        </is>
      </c>
      <c r="J1301" s="48" t="inlineStr">
        <is>
          <t>090. OCB_GOLD_TTDL_TBL_BPM_TCDV_KV_LINH.xlsx [Script: TBL_BPM_TCDV_KV]</t>
        </is>
      </c>
    </row>
    <row r="1302">
      <c r="A1302" s="48" t="inlineStr">
        <is>
          <t>TTDL.TBL_BPM_TCDV_KV</t>
        </is>
      </c>
      <c r="B1302" s="48" t="inlineStr">
        <is>
          <t>SILVER_CONSUMER</t>
        </is>
      </c>
      <c r="C1302" s="48" t="inlineStr">
        <is>
          <t>2.11</t>
        </is>
      </c>
      <c r="D1302" s="48" t="inlineStr">
        <is>
          <t>Nhom 2 - Logic</t>
        </is>
      </c>
      <c r="E1302" s="48" t="inlineStr">
        <is>
          <t>Join dùng key hợp lý, không lạm dụng UNION ALL + EXISTS/NOT EXISTS</t>
        </is>
      </c>
      <c r="F1302" s="49" t="inlineStr">
        <is>
          <t>PASS</t>
        </is>
      </c>
      <c r="G1302" s="48" t="inlineStr">
        <is>
          <t>Pass</t>
        </is>
      </c>
      <c r="H1302" s="50" t="inlineStr">
        <is>
          <t>join đều theo điều kiện bằng, không lạm dụng UNION ALL + EXISTS</t>
        </is>
      </c>
      <c r="I1302" s="50" t="inlineStr">
        <is>
          <t>Ưu tiên LEFT JOIN theo business key hoặc hashkey. Xem lại các chỗ dùng UNION ALL kết hợp EXISTS/NOT EXISTS — thường thay được bằng một LEFT JOIN. Join không có điều kiện bằng (=) dễ tạo tích Descartes.</t>
        </is>
      </c>
      <c r="J1302" s="48" t="inlineStr">
        <is>
          <t>090. OCB_GOLD_TTDL_TBL_BPM_TCDV_KV_LINH.xlsx [Script: TBL_BPM_TCDV_KV]</t>
        </is>
      </c>
    </row>
    <row r="1303">
      <c r="A1303" s="48" t="inlineStr">
        <is>
          <t>TTDL.TBL_BPM_TCDV_KV</t>
        </is>
      </c>
      <c r="B1303" s="48" t="inlineStr">
        <is>
          <t>SILVER_CONSUMER</t>
        </is>
      </c>
      <c r="C1303" s="48" t="inlineStr">
        <is>
          <t>2.12</t>
        </is>
      </c>
      <c r="D1303" s="48" t="inlineStr">
        <is>
          <t>Nhom 2 - Logic</t>
        </is>
      </c>
      <c r="E1303" s="48" t="inlineStr">
        <is>
          <t>Build Gold từ CTE snapshot Silver, không build nhiều tầng chồng chéo</t>
        </is>
      </c>
      <c r="F1303" s="49" t="inlineStr">
        <is>
          <t>PASS</t>
        </is>
      </c>
      <c r="G1303" s="48" t="inlineStr">
        <is>
          <t>Pass</t>
        </is>
      </c>
      <c r="H1303" s="50" t="inlineStr">
        <is>
          <t>mỗi bảng nguồn chỉ đọc trong 1 khối SELECT</t>
        </is>
      </c>
      <c r="I1303"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03" s="48" t="inlineStr">
        <is>
          <t>090. OCB_GOLD_TTDL_TBL_BPM_TCDV_KV_LINH.xlsx [Script: TBL_BPM_TCDV_KV]</t>
        </is>
      </c>
    </row>
    <row r="1304">
      <c r="A1304" s="48" t="inlineStr">
        <is>
          <t>TTDL.TBL_BPM_TCDV_KV</t>
        </is>
      </c>
      <c r="B1304" s="48" t="inlineStr">
        <is>
          <t>SILVER_CONSUMER</t>
        </is>
      </c>
      <c r="C1304" s="48" t="inlineStr">
        <is>
          <t>3.1</t>
        </is>
      </c>
      <c r="D1304" s="48" t="inlineStr">
        <is>
          <t>Nhom 3 - Optimization</t>
        </is>
      </c>
      <c r="E1304" s="48" t="inlineStr">
        <is>
          <t>Không SELECT *</t>
        </is>
      </c>
      <c r="F1304" s="49" t="inlineStr">
        <is>
          <t>PASS</t>
        </is>
      </c>
      <c r="G1304" s="48" t="inlineStr">
        <is>
          <t>Pass</t>
        </is>
      </c>
      <c r="H1304" s="50" t="inlineStr">
        <is>
          <t>không dùng SELECT * ở đâu</t>
        </is>
      </c>
      <c r="I1304" s="50" t="inlineStr">
        <is>
          <t>Liệt kê tường minh các cột cần dùng, kể cả trong CTE trung gian. SELECT * làm tăng IO/memory và vỡ script khi bảng nguồn thêm cột.</t>
        </is>
      </c>
      <c r="J1304" s="48" t="inlineStr">
        <is>
          <t>090. OCB_GOLD_TTDL_TBL_BPM_TCDV_KV_LINH.xlsx [Script: TBL_BPM_TCDV_KV]</t>
        </is>
      </c>
    </row>
    <row r="1305">
      <c r="A1305" s="48" t="inlineStr">
        <is>
          <t>TTDL.TBL_BPM_TCDV_KV</t>
        </is>
      </c>
      <c r="B1305" s="48" t="inlineStr">
        <is>
          <t>SILVER_CONSUMER</t>
        </is>
      </c>
      <c r="C1305" s="48" t="inlineStr">
        <is>
          <t>3.2</t>
        </is>
      </c>
      <c r="D1305" s="48" t="inlineStr">
        <is>
          <t>Nhom 3 - Optimization</t>
        </is>
      </c>
      <c r="E1305" s="48" t="inlineStr">
        <is>
          <t>CTE không bị scan lại nhiều lần</t>
        </is>
      </c>
      <c r="F1305" s="49" t="inlineStr">
        <is>
          <t>PASS</t>
        </is>
      </c>
      <c r="G1305" s="48" t="inlineStr">
        <is>
          <t>Pass</t>
        </is>
      </c>
      <c r="H1305" s="50" t="inlineStr">
        <is>
          <t>không có CTE nào bị gọi lại</t>
        </is>
      </c>
      <c r="I1305" s="50" t="inlineStr">
        <is>
          <t>Với CTE nặng (đọc nhiều bảng Silver) bị tham chiếu từ 2 chỗ trở lên: gom lại còn một lần dùng, hoặc vật chất hóa (CACHE / bảng tạm). CTE nhẹ chỉ chứa tham số thì bỏ qua được — tự tick Pass.</t>
        </is>
      </c>
      <c r="J1305" s="48" t="inlineStr">
        <is>
          <t>090. OCB_GOLD_TTDL_TBL_BPM_TCDV_KV_LINH.xlsx [Script: TBL_BPM_TCDV_KV]</t>
        </is>
      </c>
    </row>
    <row r="1306">
      <c r="A1306" s="48" t="inlineStr">
        <is>
          <t>TTDL.TBL_BPM_TCDV_KV</t>
        </is>
      </c>
      <c r="B1306" s="48" t="inlineStr">
        <is>
          <t>SILVER_CONSUMER</t>
        </is>
      </c>
      <c r="C1306" s="48" t="inlineStr">
        <is>
          <t>3.3</t>
        </is>
      </c>
      <c r="D1306" s="48" t="inlineStr">
        <is>
          <t>Nhom 3 - Optimization</t>
        </is>
      </c>
      <c r="E1306" s="48" t="inlineStr">
        <is>
          <t>Filter trước khi join, tận dụng partition pruning</t>
        </is>
      </c>
      <c r="F1306" s="49" t="inlineStr">
        <is>
          <t>PASS</t>
        </is>
      </c>
      <c r="G1306" s="48" t="inlineStr">
        <is>
          <t>Pass</t>
        </is>
      </c>
      <c r="H1306" s="50" t="inlineStr">
        <is>
          <t>các bảng join đều được filter trước</t>
        </is>
      </c>
      <c r="I1306" s="50" t="inlineStr">
        <is>
          <t>Đưa điều kiện lọc (ngày dữ liệu, trạng thái) vào subquery của từng bảng TRƯỚC khi join, để tận dụng partition pruning. Bảng dim nhỏ không partition thì không cần — tự tick Pass.</t>
        </is>
      </c>
      <c r="J1306" s="48" t="inlineStr">
        <is>
          <t>090. OCB_GOLD_TTDL_TBL_BPM_TCDV_KV_LINH.xlsx [Script: TBL_BPM_TCDV_KV]</t>
        </is>
      </c>
    </row>
    <row r="1307">
      <c r="A1307" s="48" t="inlineStr">
        <is>
          <t>TTDL.TBL_BPM_TCDV_KV</t>
        </is>
      </c>
      <c r="B1307" s="48" t="inlineStr">
        <is>
          <t>SILVER_CONSUMER</t>
        </is>
      </c>
      <c r="C1307" s="48" t="inlineStr">
        <is>
          <t>3.4</t>
        </is>
      </c>
      <c r="D1307" s="48" t="inlineStr">
        <is>
          <t>Nhom 3 - Optimization</t>
        </is>
      </c>
      <c r="E1307" s="48" t="inlineStr">
        <is>
          <t>Sử dụng CACHE cho query lặp lại trong cùng luồng</t>
        </is>
      </c>
      <c r="F1307" s="48" t="inlineStr">
        <is>
          <t>N-A</t>
        </is>
      </c>
      <c r="G1307" s="48" t="inlineStr">
        <is>
          <t>Pass</t>
        </is>
      </c>
      <c r="H1307" s="50" t="inlineStr">
        <is>
          <t>không có kết quả nào được dùng lại nhiều lần nên chưa cần CACHE</t>
        </is>
      </c>
      <c r="I1307" s="50" t="inlineStr">
        <is>
          <t>Nếu một kết quả nặng được dùng lại nhiều bước trong cùng luồng, thêm CACHE TABLE / CACHE SELECT. Kết quả nhỏ thì cache còn chậm hơn — tự tick Pass.</t>
        </is>
      </c>
      <c r="J1307" s="48" t="inlineStr">
        <is>
          <t>090. OCB_GOLD_TTDL_TBL_BPM_TCDV_KV_LINH.xlsx [Script: TBL_BPM_TCDV_KV]</t>
        </is>
      </c>
    </row>
    <row r="1308">
      <c r="A1308" s="48" t="inlineStr">
        <is>
          <t>TTDL.TBL_BPM_TCDV_KV</t>
        </is>
      </c>
      <c r="B1308" s="48" t="inlineStr">
        <is>
          <t>SILVER_CONSUMER</t>
        </is>
      </c>
      <c r="C1308" s="48" t="inlineStr">
        <is>
          <t>3.5</t>
        </is>
      </c>
      <c r="D1308" s="48" t="inlineStr">
        <is>
          <t>Nhom 3 - Optimization</t>
        </is>
      </c>
      <c r="E1308" s="48" t="inlineStr">
        <is>
          <t>Ưu tiên MAX_BY + QUALIFY thay ROW_NUMBER() + WHERE rn = 1</t>
        </is>
      </c>
      <c r="F1308" s="48" t="inlineStr">
        <is>
          <t>N-A</t>
        </is>
      </c>
      <c r="G1308" s="48" t="inlineStr">
        <is>
          <t>Pass</t>
        </is>
      </c>
      <c r="H1308" s="50" t="inlineStr">
        <is>
          <t>script không dùng ROW_NUMBER</t>
        </is>
      </c>
      <c r="I1308"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08" s="48" t="inlineStr">
        <is>
          <t>090. OCB_GOLD_TTDL_TBL_BPM_TCDV_KV_LINH.xlsx [Script: TBL_BPM_TCDV_KV]</t>
        </is>
      </c>
    </row>
    <row r="1309">
      <c r="A1309" s="48" t="inlineStr">
        <is>
          <t>TTDL.TBL_BPM_TCDV_KV</t>
        </is>
      </c>
      <c r="B1309" s="48" t="inlineStr">
        <is>
          <t>SILVER_CONSUMER</t>
        </is>
      </c>
      <c r="C1309" s="48" t="inlineStr">
        <is>
          <t>3.6</t>
        </is>
      </c>
      <c r="D1309" s="48" t="inlineStr">
        <is>
          <t>Nhom 3 - Optimization</t>
        </is>
      </c>
      <c r="E1309" s="48" t="inlineStr">
        <is>
          <t>Không lạm dụng window function; có comment khi dùng</t>
        </is>
      </c>
      <c r="F1309" s="48" t="inlineStr">
        <is>
          <t>N-A</t>
        </is>
      </c>
      <c r="G1309" s="48" t="inlineStr">
        <is>
          <t>Pass</t>
        </is>
      </c>
      <c r="H1309" s="50" t="inlineStr">
        <is>
          <t>script không dùng window function</t>
        </is>
      </c>
      <c r="I1309" s="50" t="inlineStr">
        <is>
          <t>Mỗi window function cần một comment ngay trên khối CTE chứa nó, nói rõ vì sao không dùng được max_by/QUALIFY đơn giản hơn.</t>
        </is>
      </c>
      <c r="J1309" s="48" t="inlineStr">
        <is>
          <t>090. OCB_GOLD_TTDL_TBL_BPM_TCDV_KV_LINH.xlsx [Script: TBL_BPM_TCDV_KV]</t>
        </is>
      </c>
    </row>
    <row r="1310">
      <c r="A1310" s="48" t="inlineStr">
        <is>
          <t>TTDL.TBL_BPM_TCDV_KV</t>
        </is>
      </c>
      <c r="B1310" s="48" t="inlineStr">
        <is>
          <t>SILVER_CONSUMER</t>
        </is>
      </c>
      <c r="C1310" s="48" t="inlineStr">
        <is>
          <t>X.1</t>
        </is>
      </c>
      <c r="D1310" s="48" t="inlineStr">
        <is>
          <t>Nhom X - Bo sung Raffles</t>
        </is>
      </c>
      <c r="E1310" s="48" t="inlineStr">
        <is>
          <t>[Bổ sung] Link phải rút về current trước khi join (chống fan-out)</t>
        </is>
      </c>
      <c r="F1310" s="49" t="inlineStr">
        <is>
          <t>PASS</t>
        </is>
      </c>
      <c r="G1310" s="48" t="inlineStr">
        <is>
          <t>Pass</t>
        </is>
      </c>
      <c r="H1310" s="50" t="inlineStr">
        <is>
          <t>các bảng link_* đều được rút về current trước khi join</t>
        </is>
      </c>
      <c r="I1310"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10" s="48" t="inlineStr">
        <is>
          <t>090. OCB_GOLD_TTDL_TBL_BPM_TCDV_KV_LINH.xlsx [Script: TBL_BPM_TCDV_KV]</t>
        </is>
      </c>
    </row>
    <row r="1311">
      <c r="A1311" s="48" t="inlineStr">
        <is>
          <t>TTDL.TBL_BPM_TCDV_KV</t>
        </is>
      </c>
      <c r="B1311" s="48" t="inlineStr">
        <is>
          <t>SILVER_CONSUMER</t>
        </is>
      </c>
      <c r="C1311" s="48" t="inlineStr">
        <is>
          <t>X.6</t>
        </is>
      </c>
      <c r="D1311" s="48" t="inlineStr">
        <is>
          <t>Nhom X - Bo sung Raffles</t>
        </is>
      </c>
      <c r="E1311" s="48" t="inlineStr">
        <is>
          <t>[Bổ sung] Satellite phải LEFT JOIN, không INNER JOIN</t>
        </is>
      </c>
      <c r="F1311" s="49" t="inlineStr">
        <is>
          <t>PASS</t>
        </is>
      </c>
      <c r="G1311" s="48" t="inlineStr">
        <is>
          <t>Pass</t>
        </is>
      </c>
      <c r="H1311" s="50" t="inlineStr">
        <is>
          <t>các satellite đều LEFT JOIN</t>
        </is>
      </c>
      <c r="I1311" s="50" t="inlineStr">
        <is>
          <t>Technical Document III.4.2.2 nguyên tắc 1: làm giàu thuộc tính luôn dùng LEFT JOIN. INNER JOIN satellite sẽ loại mất bản ghi Hub đang còn hiệu lực nhưng chưa có dòng satellite.</t>
        </is>
      </c>
      <c r="J1311" s="48" t="inlineStr">
        <is>
          <t>090. OCB_GOLD_TTDL_TBL_BPM_TCDV_KV_LINH.xlsx [Script: TBL_BPM_TCDV_KV]</t>
        </is>
      </c>
    </row>
    <row r="1312">
      <c r="A1312" s="48" t="inlineStr">
        <is>
          <t>TTDL.TBL_BPM_TCDV_KV</t>
        </is>
      </c>
      <c r="B1312" s="48" t="inlineStr">
        <is>
          <t>SILVER_CONSUMER</t>
        </is>
      </c>
      <c r="C1312" s="48" t="inlineStr">
        <is>
          <t>X.7</t>
        </is>
      </c>
      <c r="D1312" s="48" t="inlineStr">
        <is>
          <t>Nhom X - Bo sung Raffles</t>
        </is>
      </c>
      <c r="E1312" s="48" t="inlineStr">
        <is>
          <t>[Bổ sung] Không hard-code catalog, dùng biến môi trường</t>
        </is>
      </c>
      <c r="F1312" s="49" t="inlineStr">
        <is>
          <t>PASS</t>
        </is>
      </c>
      <c r="G1312" s="48" t="inlineStr">
        <is>
          <t>Pass</t>
        </is>
      </c>
      <c r="H1312" s="50" t="inlineStr">
        <is>
          <t>dùng biến môi trường cho catalog</t>
        </is>
      </c>
      <c r="I1312"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12" s="48" t="inlineStr">
        <is>
          <t>090. OCB_GOLD_TTDL_TBL_BPM_TCDV_KV_LINH.xlsx [Script: TBL_BPM_TCDV_KV]</t>
        </is>
      </c>
    </row>
    <row r="1313">
      <c r="A1313" s="48" t="inlineStr">
        <is>
          <t>TTDL.TBL_BPM_TCDV_LINK</t>
        </is>
      </c>
      <c r="B1313" s="48" t="inlineStr">
        <is>
          <t>SILVER_CONSUMER</t>
        </is>
      </c>
      <c r="C1313" s="48" t="inlineStr">
        <is>
          <t>1.1</t>
        </is>
      </c>
      <c r="D1313" s="48" t="inlineStr">
        <is>
          <t>Nhom 1 - Mapping</t>
        </is>
      </c>
      <c r="E1313" s="48" t="inlineStr">
        <is>
          <t>Đầy đủ mapping từ Silver/manual sang Gold</t>
        </is>
      </c>
      <c r="F1313" s="49" t="inlineStr">
        <is>
          <t>PASS</t>
        </is>
      </c>
      <c r="G1313" s="48" t="inlineStr">
        <is>
          <t>Pass</t>
        </is>
      </c>
      <c r="H1313" s="50" t="inlineStr">
        <is>
          <t>workbook 091. OCB_GOLD_TTDL_TBL_BPM_TCDV_LINK_LINH.xlsx: thiết kế 3 field, SQL có 3 cột</t>
        </is>
      </c>
      <c r="I1313"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13" s="48" t="inlineStr">
        <is>
          <t>091. OCB_GOLD_TTDL_TBL_BPM_TCDV_LINK_LINH.xlsx [Script: TBL_BPM_TCDV_LINK]</t>
        </is>
      </c>
    </row>
    <row r="1314">
      <c r="A1314" s="48" t="inlineStr">
        <is>
          <t>TTDL.TBL_BPM_TCDV_LINK</t>
        </is>
      </c>
      <c r="B1314" s="48" t="inlineStr">
        <is>
          <t>SILVER_CONSUMER</t>
        </is>
      </c>
      <c r="C1314" s="48" t="inlineStr">
        <is>
          <t>1.2</t>
        </is>
      </c>
      <c r="D1314" s="48" t="inlineStr">
        <is>
          <t>Nhom 1 - Mapping</t>
        </is>
      </c>
      <c r="E1314" s="48" t="inlineStr">
        <is>
          <t>Danh sách bảng/view Gold khớp tài liệu thiết kế đã duyệt</t>
        </is>
      </c>
      <c r="F1314" s="49" t="inlineStr">
        <is>
          <t>PASS</t>
        </is>
      </c>
      <c r="G1314" s="48" t="inlineStr">
        <is>
          <t>Pass</t>
        </is>
      </c>
      <c r="H1314" s="50" t="inlineStr">
        <is>
          <t>TBL_BPM_TCDV_LINK có workbook thiết kế: 091. OCB_GOLD_TTDL_TBL_BPM_TCDV_LINK_LINH.xlsx</t>
        </is>
      </c>
      <c r="I1314" s="50" t="inlineStr">
        <is>
          <t>Đảm bảo object có workbook thiết kế tương ứng trong thư mục --mapping-dir. Muốn đối chiếu với danh sách đã duyệt thì chạy thêm tham số --gold-list "&lt;file danh sách Gold&gt;.xlsx".</t>
        </is>
      </c>
      <c r="J1314" s="48" t="inlineStr">
        <is>
          <t>091. OCB_GOLD_TTDL_TBL_BPM_TCDV_LINK_LINH.xlsx [Script: TBL_BPM_TCDV_LINK]</t>
        </is>
      </c>
    </row>
    <row r="1315">
      <c r="A1315" s="48" t="inlineStr">
        <is>
          <t>TTDL.TBL_BPM_TCDV_LINK</t>
        </is>
      </c>
      <c r="B1315" s="48" t="inlineStr">
        <is>
          <t>SILVER_CONSUMER</t>
        </is>
      </c>
      <c r="C1315" s="48" t="inlineStr">
        <is>
          <t>2.1</t>
        </is>
      </c>
      <c r="D1315" s="48" t="inlineStr">
        <is>
          <t>Nhom 2 - Logic</t>
        </is>
      </c>
      <c r="E1315" s="48" t="inlineStr">
        <is>
          <t>Chỉ lấy bản ghi active, loại bản ghi đã xóa (qua sts_hub)</t>
        </is>
      </c>
      <c r="F1315" s="49" t="inlineStr">
        <is>
          <t>PASS</t>
        </is>
      </c>
      <c r="G1315" s="48" t="inlineStr">
        <is>
          <t>Pass</t>
        </is>
      </c>
      <c r="H1315" s="50" t="inlineStr">
        <is>
          <t>không dùng sts_hub_* (không có yêu cầu nghiệp vụ giữ bản ghi đã xóa)</t>
        </is>
      </c>
      <c r="I1315"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15" s="48" t="inlineStr">
        <is>
          <t>091. OCB_GOLD_TTDL_TBL_BPM_TCDV_LINK_LINH.xlsx [Script: TBL_BPM_TCDV_LINK]</t>
        </is>
      </c>
    </row>
    <row r="1316">
      <c r="A1316" s="48" t="inlineStr">
        <is>
          <t>TTDL.TBL_BPM_TCDV_LINK</t>
        </is>
      </c>
      <c r="B1316" s="48" t="inlineStr">
        <is>
          <t>SILVER_CONSUMER</t>
        </is>
      </c>
      <c r="C1316" s="48" t="inlineStr">
        <is>
          <t>2.2</t>
        </is>
      </c>
      <c r="D1316" s="48" t="inlineStr">
        <is>
          <t>Nhom 2 - Logic</t>
        </is>
      </c>
      <c r="E1316" s="48" t="inlineStr">
        <is>
          <t>Thống nhất MỘT pattern duy nhất xác định bản ghi active mới nhất</t>
        </is>
      </c>
      <c r="F1316" s="49" t="inlineStr">
        <is>
          <t>PASS</t>
        </is>
      </c>
      <c r="G1316" s="48" t="inlineStr">
        <is>
          <t>Pass</t>
        </is>
      </c>
      <c r="H1316" s="50" t="inlineStr">
        <is>
          <t>file này dùng: ['MAX_BY']; toàn batch dùng: ['MAX_BY']</t>
        </is>
      </c>
      <c r="I1316"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16" s="48" t="inlineStr">
        <is>
          <t>091. OCB_GOLD_TTDL_TBL_BPM_TCDV_LINK_LINH.xlsx [Script: TBL_BPM_TCDV_LINK]</t>
        </is>
      </c>
    </row>
    <row r="1317">
      <c r="A1317" s="48" t="inlineStr">
        <is>
          <t>TTDL.TBL_BPM_TCDV_LINK</t>
        </is>
      </c>
      <c r="B1317" s="48" t="inlineStr">
        <is>
          <t>SILVER_CONSUMER</t>
        </is>
      </c>
      <c r="C1317" s="48" t="inlineStr">
        <is>
          <t>2.3</t>
        </is>
      </c>
      <c r="D1317" s="48" t="inlineStr">
        <is>
          <t>Nhom 2 - Logic</t>
        </is>
      </c>
      <c r="E1317" s="48" t="inlineStr">
        <is>
          <t>Điều kiện lọc trạng thái đặt SAU khi xác định bản ghi mới nhất</t>
        </is>
      </c>
      <c r="F1317" s="49" t="inlineStr">
        <is>
          <t>PASS</t>
        </is>
      </c>
      <c r="G1317" s="48" t="inlineStr">
        <is>
          <t>Pass</t>
        </is>
      </c>
      <c r="H1317" s="50" t="inlineStr">
        <is>
          <t>không có điều kiện trạng thái nào lồng trong JOIN ON</t>
        </is>
      </c>
      <c r="I1317"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17" s="48" t="inlineStr">
        <is>
          <t>091. OCB_GOLD_TTDL_TBL_BPM_TCDV_LINK_LINH.xlsx [Script: TBL_BPM_TCDV_LINK]</t>
        </is>
      </c>
    </row>
    <row r="1318">
      <c r="A1318" s="48" t="inlineStr">
        <is>
          <t>TTDL.TBL_BPM_TCDV_LINK</t>
        </is>
      </c>
      <c r="B1318" s="48" t="inlineStr">
        <is>
          <t>SILVER_CONSUMER</t>
        </is>
      </c>
      <c r="C1318" s="48" t="inlineStr">
        <is>
          <t>2.4</t>
        </is>
      </c>
      <c r="D1318" s="48" t="inlineStr">
        <is>
          <t>Nhom 2 - Logic</t>
        </is>
      </c>
      <c r="E1318" s="48" t="inlineStr">
        <is>
          <t>source_event_date áp dụng đúng dạng theo loại bảng</t>
        </is>
      </c>
      <c r="F1318" s="49" t="inlineStr">
        <is>
          <t>PASS</t>
        </is>
      </c>
      <c r="G1318" s="48" t="inlineStr">
        <is>
          <t>Pass</t>
        </is>
      </c>
      <c r="H1318" s="50" t="inlineStr">
        <is>
          <t>1 satellite đều đúng dạng điều kiện source_event_date</t>
        </is>
      </c>
      <c r="I1318"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18" s="48" t="inlineStr">
        <is>
          <t>091. OCB_GOLD_TTDL_TBL_BPM_TCDV_LINK_LINH.xlsx [Script: TBL_BPM_TCDV_LINK]</t>
        </is>
      </c>
    </row>
    <row r="1319">
      <c r="A1319" s="48" t="inlineStr">
        <is>
          <t>TTDL.TBL_BPM_TCDV_LINK</t>
        </is>
      </c>
      <c r="B1319" s="48" t="inlineStr">
        <is>
          <t>SILVER_CONSUMER</t>
        </is>
      </c>
      <c r="C1319" s="48" t="inlineStr">
        <is>
          <t>2.5</t>
        </is>
      </c>
      <c r="D1319" s="48" t="inlineStr">
        <is>
          <t>Nhom 2 - Logic</t>
        </is>
      </c>
      <c r="E1319" s="48" t="inlineStr">
        <is>
          <t>Không lặp lại lỗi logic cũ đã được DA Data Vault fix</t>
        </is>
      </c>
      <c r="F1319" s="49" t="inlineStr">
        <is>
          <t>PASS</t>
        </is>
      </c>
      <c r="G1319" s="48" t="inlineStr">
        <is>
          <t>Pass</t>
        </is>
      </c>
      <c r="H1319" s="50" t="inlineStr">
        <is>
          <t>không trùng lỗi nào trong Issue log của DA Data Vault</t>
        </is>
      </c>
      <c r="I1319"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19" s="48" t="inlineStr">
        <is>
          <t>091. OCB_GOLD_TTDL_TBL_BPM_TCDV_LINK_LINH.xlsx [Script: TBL_BPM_TCDV_LINK]</t>
        </is>
      </c>
    </row>
    <row r="1320">
      <c r="A1320" s="48" t="inlineStr">
        <is>
          <t>TTDL.TBL_BPM_TCDV_LINK</t>
        </is>
      </c>
      <c r="B1320" s="48" t="inlineStr">
        <is>
          <t>SILVER_CONSUMER</t>
        </is>
      </c>
      <c r="C1320" s="48" t="inlineStr">
        <is>
          <t>2.6</t>
        </is>
      </c>
      <c r="D1320" s="48" t="inlineStr">
        <is>
          <t>Nhom 2 - Logic</t>
        </is>
      </c>
      <c r="E1320" s="48" t="inlineStr">
        <is>
          <t>SCD Type 2 cho bảng DIM áp dụng đúng kỹ thuật đã thống nhất</t>
        </is>
      </c>
      <c r="F1320" s="48" t="inlineStr">
        <is>
          <t>N-A</t>
        </is>
      </c>
      <c r="G1320" s="48" t="inlineStr">
        <is>
          <t>Pass</t>
        </is>
      </c>
      <c r="H1320" s="50" t="inlineStr">
        <is>
          <t>object không phải bảng DIM nên không áp dụng SCD Type 2</t>
        </is>
      </c>
      <c r="I1320"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20" s="48" t="inlineStr">
        <is>
          <t>091. OCB_GOLD_TTDL_TBL_BPM_TCDV_LINK_LINH.xlsx [Script: TBL_BPM_TCDV_LINK]</t>
        </is>
      </c>
    </row>
    <row r="1321">
      <c r="A1321" s="48" t="inlineStr">
        <is>
          <t>TTDL.TBL_BPM_TCDV_LINK</t>
        </is>
      </c>
      <c r="B1321" s="48" t="inlineStr">
        <is>
          <t>SILVER_CONSUMER</t>
        </is>
      </c>
      <c r="C1321" s="48" t="inlineStr">
        <is>
          <t>2.7</t>
        </is>
      </c>
      <c r="D1321" s="48" t="inlineStr">
        <is>
          <t>Nhom 2 - Logic</t>
        </is>
      </c>
      <c r="E1321" s="48" t="inlineStr">
        <is>
          <t>CASE WHEN cover đủ nhánh như job on-prem</t>
        </is>
      </c>
      <c r="F1321" s="48" t="inlineStr">
        <is>
          <t>N-A</t>
        </is>
      </c>
      <c r="G1321" s="48" t="inlineStr">
        <is>
          <t>Pass</t>
        </is>
      </c>
      <c r="H1321" s="50" t="inlineStr">
        <is>
          <t>script không có CASE WHEN nào</t>
        </is>
      </c>
      <c r="I1321" s="50" t="inlineStr">
        <is>
          <t>Mở job on-prem tương ứng (DataStage DSX hoặc SQL cũ), đối chiếu từng nhánh WHEN và cả nhánh ELSE. CASE không có ELSE sẽ trả NULL âm thầm — xác nhận đó là ý muốn hay thiếu nhánh.</t>
        </is>
      </c>
      <c r="J1321" s="48" t="inlineStr">
        <is>
          <t>091. OCB_GOLD_TTDL_TBL_BPM_TCDV_LINK_LINH.xlsx [Script: TBL_BPM_TCDV_LINK]</t>
        </is>
      </c>
    </row>
    <row r="1322">
      <c r="A1322" s="48" t="inlineStr">
        <is>
          <t>TTDL.TBL_BPM_TCDV_LINK</t>
        </is>
      </c>
      <c r="B1322" s="48" t="inlineStr">
        <is>
          <t>SILVER_CONSUMER</t>
        </is>
      </c>
      <c r="C1322" s="48" t="inlineStr">
        <is>
          <t>2.8</t>
        </is>
      </c>
      <c r="D1322" s="48" t="inlineStr">
        <is>
          <t>Nhom 2 - Logic</t>
        </is>
      </c>
      <c r="E1322" s="48" t="inlineStr">
        <is>
          <t>Cột SUM/COUNT được COALESCE/NVL hợp lý</t>
        </is>
      </c>
      <c r="F1322" s="49" t="inlineStr">
        <is>
          <t>PASS</t>
        </is>
      </c>
      <c r="G1322" s="48" t="inlineStr">
        <is>
          <t>Pass</t>
        </is>
      </c>
      <c r="H1322" s="50" t="inlineStr">
        <is>
          <t>mọi SUM/COUNT đều đã coalesce (trực tiếp hoặc ở lớp ngoài)</t>
        </is>
      </c>
      <c r="I1322"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22" s="48" t="inlineStr">
        <is>
          <t>091. OCB_GOLD_TTDL_TBL_BPM_TCDV_LINK_LINH.xlsx [Script: TBL_BPM_TCDV_LINK]</t>
        </is>
      </c>
    </row>
    <row r="1323">
      <c r="A1323" s="48" t="inlineStr">
        <is>
          <t>TTDL.TBL_BPM_TCDV_LINK</t>
        </is>
      </c>
      <c r="B1323" s="48" t="inlineStr">
        <is>
          <t>SILVER_CONSUMER</t>
        </is>
      </c>
      <c r="C1323" s="48" t="inlineStr">
        <is>
          <t>2.9</t>
        </is>
      </c>
      <c r="D1323" s="48" t="inlineStr">
        <is>
          <t>Nhom 2 - Logic</t>
        </is>
      </c>
      <c r="E1323" s="48" t="inlineStr">
        <is>
          <t>Subquery / custom function / điều kiện LIKE đúng ý nghĩa nghiệp vụ</t>
        </is>
      </c>
      <c r="F1323" s="48" t="inlineStr">
        <is>
          <t>N-A</t>
        </is>
      </c>
      <c r="G1323" s="48" t="inlineStr">
        <is>
          <t>Pass</t>
        </is>
      </c>
      <c r="H1323" s="50" t="inlineStr">
        <is>
          <t>script không có điều kiện LIKE hay scalar subquery nào</t>
        </is>
      </c>
      <c r="I1323" s="50" t="inlineStr">
        <is>
          <t>Đọc lại từng điều kiện LIKE và từng subquery, đối chiếu ý nghĩa nghiệp vụ với on-prem — đúng cú pháp không đủ. Chú ý pattern LIKE có ký tự % ở đầu/cuối và phân biệt chữ hoa/thường.</t>
        </is>
      </c>
      <c r="J1323" s="48" t="inlineStr">
        <is>
          <t>091. OCB_GOLD_TTDL_TBL_BPM_TCDV_LINK_LINH.xlsx [Script: TBL_BPM_TCDV_LINK]</t>
        </is>
      </c>
    </row>
    <row r="1324">
      <c r="A1324" s="48" t="inlineStr">
        <is>
          <t>TTDL.TBL_BPM_TCDV_LINK</t>
        </is>
      </c>
      <c r="B1324" s="48" t="inlineStr">
        <is>
          <t>SILVER_CONSUMER</t>
        </is>
      </c>
      <c r="C1324" s="48" t="inlineStr">
        <is>
          <t>2.10</t>
        </is>
      </c>
      <c r="D1324" s="48" t="inlineStr">
        <is>
          <t>Nhom 2 - Logic</t>
        </is>
      </c>
      <c r="E1324" s="48" t="inlineStr">
        <is>
          <t>Aggregation kèm filter date range chính xác</t>
        </is>
      </c>
      <c r="F1324" s="49" t="inlineStr">
        <is>
          <t>PASS</t>
        </is>
      </c>
      <c r="G1324" s="48" t="inlineStr">
        <is>
          <t>Pass</t>
        </is>
      </c>
      <c r="H1324" s="50" t="inlineStr">
        <is>
          <t>mọi khối tổng hợp đều có điều kiện theo kỳ dữ liệu</t>
        </is>
      </c>
      <c r="I1324" s="50" t="inlineStr">
        <is>
          <t>Mỗi khối SUM/COUNT/AVG phải có điều kiện lọc theo kỳ dữ liệu (CDR_DT_ID, DATA_DATE, :DATADT…). Nếu điều kiện nằm ở CTE nguồn thì ghi rõ trong comment để người review không phải truy ngược.</t>
        </is>
      </c>
      <c r="J1324" s="48" t="inlineStr">
        <is>
          <t>091. OCB_GOLD_TTDL_TBL_BPM_TCDV_LINK_LINH.xlsx [Script: TBL_BPM_TCDV_LINK]</t>
        </is>
      </c>
    </row>
    <row r="1325">
      <c r="A1325" s="48" t="inlineStr">
        <is>
          <t>TTDL.TBL_BPM_TCDV_LINK</t>
        </is>
      </c>
      <c r="B1325" s="48" t="inlineStr">
        <is>
          <t>SILVER_CONSUMER</t>
        </is>
      </c>
      <c r="C1325" s="48" t="inlineStr">
        <is>
          <t>2.11</t>
        </is>
      </c>
      <c r="D1325" s="48" t="inlineStr">
        <is>
          <t>Nhom 2 - Logic</t>
        </is>
      </c>
      <c r="E1325" s="48" t="inlineStr">
        <is>
          <t>Join dùng key hợp lý, không lạm dụng UNION ALL + EXISTS/NOT EXISTS</t>
        </is>
      </c>
      <c r="F1325" s="49" t="inlineStr">
        <is>
          <t>PASS</t>
        </is>
      </c>
      <c r="G1325" s="48" t="inlineStr">
        <is>
          <t>Pass</t>
        </is>
      </c>
      <c r="H1325" s="50" t="inlineStr">
        <is>
          <t>join đều theo điều kiện bằng, không lạm dụng UNION ALL + EXISTS</t>
        </is>
      </c>
      <c r="I1325" s="50" t="inlineStr">
        <is>
          <t>Ưu tiên LEFT JOIN theo business key hoặc hashkey. Xem lại các chỗ dùng UNION ALL kết hợp EXISTS/NOT EXISTS — thường thay được bằng một LEFT JOIN. Join không có điều kiện bằng (=) dễ tạo tích Descartes.</t>
        </is>
      </c>
      <c r="J1325" s="48" t="inlineStr">
        <is>
          <t>091. OCB_GOLD_TTDL_TBL_BPM_TCDV_LINK_LINH.xlsx [Script: TBL_BPM_TCDV_LINK]</t>
        </is>
      </c>
    </row>
    <row r="1326">
      <c r="A1326" s="48" t="inlineStr">
        <is>
          <t>TTDL.TBL_BPM_TCDV_LINK</t>
        </is>
      </c>
      <c r="B1326" s="48" t="inlineStr">
        <is>
          <t>SILVER_CONSUMER</t>
        </is>
      </c>
      <c r="C1326" s="48" t="inlineStr">
        <is>
          <t>2.12</t>
        </is>
      </c>
      <c r="D1326" s="48" t="inlineStr">
        <is>
          <t>Nhom 2 - Logic</t>
        </is>
      </c>
      <c r="E1326" s="48" t="inlineStr">
        <is>
          <t>Build Gold từ CTE snapshot Silver, không build nhiều tầng chồng chéo</t>
        </is>
      </c>
      <c r="F1326" s="49" t="inlineStr">
        <is>
          <t>PASS</t>
        </is>
      </c>
      <c r="G1326" s="48" t="inlineStr">
        <is>
          <t>Pass</t>
        </is>
      </c>
      <c r="H1326" s="50" t="inlineStr">
        <is>
          <t>mỗi bảng nguồn chỉ đọc trong 1 khối SELECT</t>
        </is>
      </c>
      <c r="I1326"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26" s="48" t="inlineStr">
        <is>
          <t>091. OCB_GOLD_TTDL_TBL_BPM_TCDV_LINK_LINH.xlsx [Script: TBL_BPM_TCDV_LINK]</t>
        </is>
      </c>
    </row>
    <row r="1327">
      <c r="A1327" s="48" t="inlineStr">
        <is>
          <t>TTDL.TBL_BPM_TCDV_LINK</t>
        </is>
      </c>
      <c r="B1327" s="48" t="inlineStr">
        <is>
          <t>SILVER_CONSUMER</t>
        </is>
      </c>
      <c r="C1327" s="48" t="inlineStr">
        <is>
          <t>3.1</t>
        </is>
      </c>
      <c r="D1327" s="48" t="inlineStr">
        <is>
          <t>Nhom 3 - Optimization</t>
        </is>
      </c>
      <c r="E1327" s="48" t="inlineStr">
        <is>
          <t>Không SELECT *</t>
        </is>
      </c>
      <c r="F1327" s="49" t="inlineStr">
        <is>
          <t>PASS</t>
        </is>
      </c>
      <c r="G1327" s="48" t="inlineStr">
        <is>
          <t>Pass</t>
        </is>
      </c>
      <c r="H1327" s="50" t="inlineStr">
        <is>
          <t>không dùng SELECT * ở đâu</t>
        </is>
      </c>
      <c r="I1327" s="50" t="inlineStr">
        <is>
          <t>Liệt kê tường minh các cột cần dùng, kể cả trong CTE trung gian. SELECT * làm tăng IO/memory và vỡ script khi bảng nguồn thêm cột.</t>
        </is>
      </c>
      <c r="J1327" s="48" t="inlineStr">
        <is>
          <t>091. OCB_GOLD_TTDL_TBL_BPM_TCDV_LINK_LINH.xlsx [Script: TBL_BPM_TCDV_LINK]</t>
        </is>
      </c>
    </row>
    <row r="1328">
      <c r="A1328" s="48" t="inlineStr">
        <is>
          <t>TTDL.TBL_BPM_TCDV_LINK</t>
        </is>
      </c>
      <c r="B1328" s="48" t="inlineStr">
        <is>
          <t>SILVER_CONSUMER</t>
        </is>
      </c>
      <c r="C1328" s="48" t="inlineStr">
        <is>
          <t>3.2</t>
        </is>
      </c>
      <c r="D1328" s="48" t="inlineStr">
        <is>
          <t>Nhom 3 - Optimization</t>
        </is>
      </c>
      <c r="E1328" s="48" t="inlineStr">
        <is>
          <t>CTE không bị scan lại nhiều lần</t>
        </is>
      </c>
      <c r="F1328" s="49" t="inlineStr">
        <is>
          <t>PASS</t>
        </is>
      </c>
      <c r="G1328" s="48" t="inlineStr">
        <is>
          <t>Pass</t>
        </is>
      </c>
      <c r="H1328" s="50" t="inlineStr">
        <is>
          <t>không có CTE nào bị gọi lại</t>
        </is>
      </c>
      <c r="I1328" s="50" t="inlineStr">
        <is>
          <t>Với CTE nặng (đọc nhiều bảng Silver) bị tham chiếu từ 2 chỗ trở lên: gom lại còn một lần dùng, hoặc vật chất hóa (CACHE / bảng tạm). CTE nhẹ chỉ chứa tham số thì bỏ qua được — tự tick Pass.</t>
        </is>
      </c>
      <c r="J1328" s="48" t="inlineStr">
        <is>
          <t>091. OCB_GOLD_TTDL_TBL_BPM_TCDV_LINK_LINH.xlsx [Script: TBL_BPM_TCDV_LINK]</t>
        </is>
      </c>
    </row>
    <row r="1329">
      <c r="A1329" s="48" t="inlineStr">
        <is>
          <t>TTDL.TBL_BPM_TCDV_LINK</t>
        </is>
      </c>
      <c r="B1329" s="48" t="inlineStr">
        <is>
          <t>SILVER_CONSUMER</t>
        </is>
      </c>
      <c r="C1329" s="48" t="inlineStr">
        <is>
          <t>3.3</t>
        </is>
      </c>
      <c r="D1329" s="48" t="inlineStr">
        <is>
          <t>Nhom 3 - Optimization</t>
        </is>
      </c>
      <c r="E1329" s="48" t="inlineStr">
        <is>
          <t>Filter trước khi join, tận dụng partition pruning</t>
        </is>
      </c>
      <c r="F1329" s="49" t="inlineStr">
        <is>
          <t>PASS</t>
        </is>
      </c>
      <c r="G1329" s="48" t="inlineStr">
        <is>
          <t>Pass</t>
        </is>
      </c>
      <c r="H1329" s="50" t="inlineStr">
        <is>
          <t>các bảng join đều được filter trước</t>
        </is>
      </c>
      <c r="I1329" s="50" t="inlineStr">
        <is>
          <t>Đưa điều kiện lọc (ngày dữ liệu, trạng thái) vào subquery của từng bảng TRƯỚC khi join, để tận dụng partition pruning. Bảng dim nhỏ không partition thì không cần — tự tick Pass.</t>
        </is>
      </c>
      <c r="J1329" s="48" t="inlineStr">
        <is>
          <t>091. OCB_GOLD_TTDL_TBL_BPM_TCDV_LINK_LINH.xlsx [Script: TBL_BPM_TCDV_LINK]</t>
        </is>
      </c>
    </row>
    <row r="1330">
      <c r="A1330" s="48" t="inlineStr">
        <is>
          <t>TTDL.TBL_BPM_TCDV_LINK</t>
        </is>
      </c>
      <c r="B1330" s="48" t="inlineStr">
        <is>
          <t>SILVER_CONSUMER</t>
        </is>
      </c>
      <c r="C1330" s="48" t="inlineStr">
        <is>
          <t>3.4</t>
        </is>
      </c>
      <c r="D1330" s="48" t="inlineStr">
        <is>
          <t>Nhom 3 - Optimization</t>
        </is>
      </c>
      <c r="E1330" s="48" t="inlineStr">
        <is>
          <t>Sử dụng CACHE cho query lặp lại trong cùng luồng</t>
        </is>
      </c>
      <c r="F1330" s="48" t="inlineStr">
        <is>
          <t>N-A</t>
        </is>
      </c>
      <c r="G1330" s="48" t="inlineStr">
        <is>
          <t>Pass</t>
        </is>
      </c>
      <c r="H1330" s="50" t="inlineStr">
        <is>
          <t>không có kết quả nào được dùng lại nhiều lần nên chưa cần CACHE</t>
        </is>
      </c>
      <c r="I1330" s="50" t="inlineStr">
        <is>
          <t>Nếu một kết quả nặng được dùng lại nhiều bước trong cùng luồng, thêm CACHE TABLE / CACHE SELECT. Kết quả nhỏ thì cache còn chậm hơn — tự tick Pass.</t>
        </is>
      </c>
      <c r="J1330" s="48" t="inlineStr">
        <is>
          <t>091. OCB_GOLD_TTDL_TBL_BPM_TCDV_LINK_LINH.xlsx [Script: TBL_BPM_TCDV_LINK]</t>
        </is>
      </c>
    </row>
    <row r="1331">
      <c r="A1331" s="48" t="inlineStr">
        <is>
          <t>TTDL.TBL_BPM_TCDV_LINK</t>
        </is>
      </c>
      <c r="B1331" s="48" t="inlineStr">
        <is>
          <t>SILVER_CONSUMER</t>
        </is>
      </c>
      <c r="C1331" s="48" t="inlineStr">
        <is>
          <t>3.5</t>
        </is>
      </c>
      <c r="D1331" s="48" t="inlineStr">
        <is>
          <t>Nhom 3 - Optimization</t>
        </is>
      </c>
      <c r="E1331" s="48" t="inlineStr">
        <is>
          <t>Ưu tiên MAX_BY + QUALIFY thay ROW_NUMBER() + WHERE rn = 1</t>
        </is>
      </c>
      <c r="F1331" s="48" t="inlineStr">
        <is>
          <t>N-A</t>
        </is>
      </c>
      <c r="G1331" s="48" t="inlineStr">
        <is>
          <t>Pass</t>
        </is>
      </c>
      <c r="H1331" s="50" t="inlineStr">
        <is>
          <t>script không dùng ROW_NUMBER</t>
        </is>
      </c>
      <c r="I1331"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31" s="48" t="inlineStr">
        <is>
          <t>091. OCB_GOLD_TTDL_TBL_BPM_TCDV_LINK_LINH.xlsx [Script: TBL_BPM_TCDV_LINK]</t>
        </is>
      </c>
    </row>
    <row r="1332">
      <c r="A1332" s="48" t="inlineStr">
        <is>
          <t>TTDL.TBL_BPM_TCDV_LINK</t>
        </is>
      </c>
      <c r="B1332" s="48" t="inlineStr">
        <is>
          <t>SILVER_CONSUMER</t>
        </is>
      </c>
      <c r="C1332" s="48" t="inlineStr">
        <is>
          <t>3.6</t>
        </is>
      </c>
      <c r="D1332" s="48" t="inlineStr">
        <is>
          <t>Nhom 3 - Optimization</t>
        </is>
      </c>
      <c r="E1332" s="48" t="inlineStr">
        <is>
          <t>Không lạm dụng window function; có comment khi dùng</t>
        </is>
      </c>
      <c r="F1332" s="48" t="inlineStr">
        <is>
          <t>N-A</t>
        </is>
      </c>
      <c r="G1332" s="48" t="inlineStr">
        <is>
          <t>Pass</t>
        </is>
      </c>
      <c r="H1332" s="50" t="inlineStr">
        <is>
          <t>script không dùng window function</t>
        </is>
      </c>
      <c r="I1332" s="50" t="inlineStr">
        <is>
          <t>Mỗi window function cần một comment ngay trên khối CTE chứa nó, nói rõ vì sao không dùng được max_by/QUALIFY đơn giản hơn.</t>
        </is>
      </c>
      <c r="J1332" s="48" t="inlineStr">
        <is>
          <t>091. OCB_GOLD_TTDL_TBL_BPM_TCDV_LINK_LINH.xlsx [Script: TBL_BPM_TCDV_LINK]</t>
        </is>
      </c>
    </row>
    <row r="1333">
      <c r="A1333" s="48" t="inlineStr">
        <is>
          <t>TTDL.TBL_BPM_TCDV_LINK</t>
        </is>
      </c>
      <c r="B1333" s="48" t="inlineStr">
        <is>
          <t>SILVER_CONSUMER</t>
        </is>
      </c>
      <c r="C1333" s="48" t="inlineStr">
        <is>
          <t>X.1</t>
        </is>
      </c>
      <c r="D1333" s="48" t="inlineStr">
        <is>
          <t>Nhom X - Bo sung Raffles</t>
        </is>
      </c>
      <c r="E1333" s="48" t="inlineStr">
        <is>
          <t>[Bổ sung] Link phải rút về current trước khi join (chống fan-out)</t>
        </is>
      </c>
      <c r="F1333" s="49" t="inlineStr">
        <is>
          <t>PASS</t>
        </is>
      </c>
      <c r="G1333" s="48" t="inlineStr">
        <is>
          <t>Pass</t>
        </is>
      </c>
      <c r="H1333" s="50" t="inlineStr">
        <is>
          <t>các bảng link_* đều được rút về current trước khi join</t>
        </is>
      </c>
      <c r="I1333"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33" s="48" t="inlineStr">
        <is>
          <t>091. OCB_GOLD_TTDL_TBL_BPM_TCDV_LINK_LINH.xlsx [Script: TBL_BPM_TCDV_LINK]</t>
        </is>
      </c>
    </row>
    <row r="1334">
      <c r="A1334" s="48" t="inlineStr">
        <is>
          <t>TTDL.TBL_BPM_TCDV_LINK</t>
        </is>
      </c>
      <c r="B1334" s="48" t="inlineStr">
        <is>
          <t>SILVER_CONSUMER</t>
        </is>
      </c>
      <c r="C1334" s="48" t="inlineStr">
        <is>
          <t>X.6</t>
        </is>
      </c>
      <c r="D1334" s="48" t="inlineStr">
        <is>
          <t>Nhom X - Bo sung Raffles</t>
        </is>
      </c>
      <c r="E1334" s="48" t="inlineStr">
        <is>
          <t>[Bổ sung] Satellite phải LEFT JOIN, không INNER JOIN</t>
        </is>
      </c>
      <c r="F1334" s="49" t="inlineStr">
        <is>
          <t>PASS</t>
        </is>
      </c>
      <c r="G1334" s="48" t="inlineStr">
        <is>
          <t>Pass</t>
        </is>
      </c>
      <c r="H1334" s="50" t="inlineStr">
        <is>
          <t>các satellite đều LEFT JOIN</t>
        </is>
      </c>
      <c r="I1334" s="50" t="inlineStr">
        <is>
          <t>Technical Document III.4.2.2 nguyên tắc 1: làm giàu thuộc tính luôn dùng LEFT JOIN. INNER JOIN satellite sẽ loại mất bản ghi Hub đang còn hiệu lực nhưng chưa có dòng satellite.</t>
        </is>
      </c>
      <c r="J1334" s="48" t="inlineStr">
        <is>
          <t>091. OCB_GOLD_TTDL_TBL_BPM_TCDV_LINK_LINH.xlsx [Script: TBL_BPM_TCDV_LINK]</t>
        </is>
      </c>
    </row>
    <row r="1335">
      <c r="A1335" s="48" t="inlineStr">
        <is>
          <t>TTDL.TBL_BPM_TCDV_LINK</t>
        </is>
      </c>
      <c r="B1335" s="48" t="inlineStr">
        <is>
          <t>SILVER_CONSUMER</t>
        </is>
      </c>
      <c r="C1335" s="48" t="inlineStr">
        <is>
          <t>X.7</t>
        </is>
      </c>
      <c r="D1335" s="48" t="inlineStr">
        <is>
          <t>Nhom X - Bo sung Raffles</t>
        </is>
      </c>
      <c r="E1335" s="48" t="inlineStr">
        <is>
          <t>[Bổ sung] Không hard-code catalog, dùng biến môi trường</t>
        </is>
      </c>
      <c r="F1335" s="49" t="inlineStr">
        <is>
          <t>PASS</t>
        </is>
      </c>
      <c r="G1335" s="48" t="inlineStr">
        <is>
          <t>Pass</t>
        </is>
      </c>
      <c r="H1335" s="50" t="inlineStr">
        <is>
          <t>dùng biến môi trường cho catalog</t>
        </is>
      </c>
      <c r="I1335"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35" s="48" t="inlineStr">
        <is>
          <t>091. OCB_GOLD_TTDL_TBL_BPM_TCDV_LINK_LINH.xlsx [Script: TBL_BPM_TCDV_LINK]</t>
        </is>
      </c>
    </row>
    <row r="1336">
      <c r="A1336" s="48" t="inlineStr">
        <is>
          <t>BPM_FTR_XLGDTD</t>
        </is>
      </c>
      <c r="B1336" s="48" t="inlineStr">
        <is>
          <t>SCRIPT_ONLY</t>
        </is>
      </c>
      <c r="C1336" s="48" t="inlineStr">
        <is>
          <t>1.1</t>
        </is>
      </c>
      <c r="D1336" s="48" t="inlineStr">
        <is>
          <t>Nhom 1 - Mapping</t>
        </is>
      </c>
      <c r="E1336" s="48" t="inlineStr">
        <is>
          <t>Đầy đủ mapping từ Silver/manual sang Gold</t>
        </is>
      </c>
      <c r="F1336" s="52" t="inlineStr">
        <is>
          <t>FAIL</t>
        </is>
      </c>
      <c r="G1336" s="48" t="inlineStr">
        <is>
          <t>Fail</t>
        </is>
      </c>
      <c r="H1336" s="50" t="inlineStr">
        <is>
          <t>SQL lỗi cú pháp, không phân tích được: ParseError: Expecting ). Line 3, Col: 37.</t>
        </is>
      </c>
      <c r="I1336"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36" s="48" t="inlineStr">
        <is>
          <t>103. OCB_GOLD_TTDL_BPM_FTR_XLGDTD_THU.xlsx [Script: BPM_FTR_XLGDTD]</t>
        </is>
      </c>
    </row>
    <row r="1337">
      <c r="A1337" s="48" t="inlineStr">
        <is>
          <t>BPM_FTR_XLGDTD</t>
        </is>
      </c>
      <c r="B1337" s="48" t="inlineStr">
        <is>
          <t>SCRIPT_ONLY</t>
        </is>
      </c>
      <c r="C1337" s="48" t="inlineStr">
        <is>
          <t>1.2</t>
        </is>
      </c>
      <c r="D1337" s="48" t="inlineStr">
        <is>
          <t>Nhom 1 - Mapping</t>
        </is>
      </c>
      <c r="E1337" s="48" t="inlineStr">
        <is>
          <t>Danh sách bảng/view Gold khớp tài liệu thiết kế đã duyệt</t>
        </is>
      </c>
      <c r="F1337" s="52" t="inlineStr">
        <is>
          <t>FAIL</t>
        </is>
      </c>
      <c r="G1337" s="48" t="inlineStr">
        <is>
          <t>Fail</t>
        </is>
      </c>
      <c r="H1337" s="50" t="inlineStr">
        <is>
          <t>SQL lỗi cú pháp, không phân tích được: ParseError: Expecting ). Line 3, Col: 37.</t>
        </is>
      </c>
      <c r="I1337" s="50" t="inlineStr">
        <is>
          <t>Đảm bảo object có workbook thiết kế tương ứng trong thư mục --mapping-dir. Muốn đối chiếu với danh sách đã duyệt thì chạy thêm tham số --gold-list "&lt;file danh sách Gold&gt;.xlsx".</t>
        </is>
      </c>
      <c r="J1337" s="48" t="inlineStr">
        <is>
          <t>103. OCB_GOLD_TTDL_BPM_FTR_XLGDTD_THU.xlsx [Script: BPM_FTR_XLGDTD]</t>
        </is>
      </c>
    </row>
    <row r="1338">
      <c r="A1338" s="48" t="inlineStr">
        <is>
          <t>BPM_FTR_XLGDTD</t>
        </is>
      </c>
      <c r="B1338" s="48" t="inlineStr">
        <is>
          <t>SCRIPT_ONLY</t>
        </is>
      </c>
      <c r="C1338" s="48" t="inlineStr">
        <is>
          <t>2.1</t>
        </is>
      </c>
      <c r="D1338" s="48" t="inlineStr">
        <is>
          <t>Nhom 2 - Logic</t>
        </is>
      </c>
      <c r="E1338" s="48" t="inlineStr">
        <is>
          <t>Chỉ lấy bản ghi active, loại bản ghi đã xóa (qua sts_hub)</t>
        </is>
      </c>
      <c r="F1338" s="52" t="inlineStr">
        <is>
          <t>FAIL</t>
        </is>
      </c>
      <c r="G1338" s="48" t="inlineStr">
        <is>
          <t>Fail</t>
        </is>
      </c>
      <c r="H1338" s="50" t="inlineStr">
        <is>
          <t>SQL lỗi cú pháp, không phân tích được: ParseError: Expecting ). Line 3, Col: 37.</t>
        </is>
      </c>
      <c r="I1338"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38" s="48" t="inlineStr">
        <is>
          <t>103. OCB_GOLD_TTDL_BPM_FTR_XLGDTD_THU.xlsx [Script: BPM_FTR_XLGDTD]</t>
        </is>
      </c>
    </row>
    <row r="1339">
      <c r="A1339" s="48" t="inlineStr">
        <is>
          <t>BPM_FTR_XLGDTD</t>
        </is>
      </c>
      <c r="B1339" s="48" t="inlineStr">
        <is>
          <t>SCRIPT_ONLY</t>
        </is>
      </c>
      <c r="C1339" s="48" t="inlineStr">
        <is>
          <t>2.2</t>
        </is>
      </c>
      <c r="D1339" s="48" t="inlineStr">
        <is>
          <t>Nhom 2 - Logic</t>
        </is>
      </c>
      <c r="E1339" s="48" t="inlineStr">
        <is>
          <t>Thống nhất MỘT pattern duy nhất xác định bản ghi active mới nhất</t>
        </is>
      </c>
      <c r="F1339" s="52" t="inlineStr">
        <is>
          <t>FAIL</t>
        </is>
      </c>
      <c r="G1339" s="48" t="inlineStr">
        <is>
          <t>Fail</t>
        </is>
      </c>
      <c r="H1339" s="50" t="inlineStr">
        <is>
          <t>SQL lỗi cú pháp, không phân tích được: ParseError: Expecting ). Line 3, Col: 37.</t>
        </is>
      </c>
      <c r="I1339"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39" s="48" t="inlineStr">
        <is>
          <t>103. OCB_GOLD_TTDL_BPM_FTR_XLGDTD_THU.xlsx [Script: BPM_FTR_XLGDTD]</t>
        </is>
      </c>
    </row>
    <row r="1340">
      <c r="A1340" s="48" t="inlineStr">
        <is>
          <t>BPM_FTR_XLGDTD</t>
        </is>
      </c>
      <c r="B1340" s="48" t="inlineStr">
        <is>
          <t>SCRIPT_ONLY</t>
        </is>
      </c>
      <c r="C1340" s="48" t="inlineStr">
        <is>
          <t>2.3</t>
        </is>
      </c>
      <c r="D1340" s="48" t="inlineStr">
        <is>
          <t>Nhom 2 - Logic</t>
        </is>
      </c>
      <c r="E1340" s="48" t="inlineStr">
        <is>
          <t>Điều kiện lọc trạng thái đặt SAU khi xác định bản ghi mới nhất</t>
        </is>
      </c>
      <c r="F1340" s="52" t="inlineStr">
        <is>
          <t>FAIL</t>
        </is>
      </c>
      <c r="G1340" s="48" t="inlineStr">
        <is>
          <t>Fail</t>
        </is>
      </c>
      <c r="H1340" s="50" t="inlineStr">
        <is>
          <t>SQL lỗi cú pháp, không phân tích được: ParseError: Expecting ). Line 3, Col: 37.</t>
        </is>
      </c>
      <c r="I1340"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40" s="48" t="inlineStr">
        <is>
          <t>103. OCB_GOLD_TTDL_BPM_FTR_XLGDTD_THU.xlsx [Script: BPM_FTR_XLGDTD]</t>
        </is>
      </c>
    </row>
    <row r="1341">
      <c r="A1341" s="48" t="inlineStr">
        <is>
          <t>BPM_FTR_XLGDTD</t>
        </is>
      </c>
      <c r="B1341" s="48" t="inlineStr">
        <is>
          <t>SCRIPT_ONLY</t>
        </is>
      </c>
      <c r="C1341" s="48" t="inlineStr">
        <is>
          <t>2.4</t>
        </is>
      </c>
      <c r="D1341" s="48" t="inlineStr">
        <is>
          <t>Nhom 2 - Logic</t>
        </is>
      </c>
      <c r="E1341" s="48" t="inlineStr">
        <is>
          <t>source_event_date áp dụng đúng dạng theo loại bảng</t>
        </is>
      </c>
      <c r="F1341" s="52" t="inlineStr">
        <is>
          <t>FAIL</t>
        </is>
      </c>
      <c r="G1341" s="48" t="inlineStr">
        <is>
          <t>Fail</t>
        </is>
      </c>
      <c r="H1341" s="50" t="inlineStr">
        <is>
          <t>SQL lỗi cú pháp, không phân tích được: ParseError: Expecting ). Line 3, Col: 37.</t>
        </is>
      </c>
      <c r="I1341"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41" s="48" t="inlineStr">
        <is>
          <t>103. OCB_GOLD_TTDL_BPM_FTR_XLGDTD_THU.xlsx [Script: BPM_FTR_XLGDTD]</t>
        </is>
      </c>
    </row>
    <row r="1342">
      <c r="A1342" s="48" t="inlineStr">
        <is>
          <t>BPM_FTR_XLGDTD</t>
        </is>
      </c>
      <c r="B1342" s="48" t="inlineStr">
        <is>
          <t>SCRIPT_ONLY</t>
        </is>
      </c>
      <c r="C1342" s="48" t="inlineStr">
        <is>
          <t>2.5</t>
        </is>
      </c>
      <c r="D1342" s="48" t="inlineStr">
        <is>
          <t>Nhom 2 - Logic</t>
        </is>
      </c>
      <c r="E1342" s="48" t="inlineStr">
        <is>
          <t>Không lặp lại lỗi logic cũ đã được DA Data Vault fix</t>
        </is>
      </c>
      <c r="F1342" s="52" t="inlineStr">
        <is>
          <t>FAIL</t>
        </is>
      </c>
      <c r="G1342" s="48" t="inlineStr">
        <is>
          <t>Fail</t>
        </is>
      </c>
      <c r="H1342" s="50" t="inlineStr">
        <is>
          <t>SQL lỗi cú pháp, không phân tích được: ParseError: Expecting ). Line 3, Col: 37.</t>
        </is>
      </c>
      <c r="I1342"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42" s="48" t="inlineStr">
        <is>
          <t>103. OCB_GOLD_TTDL_BPM_FTR_XLGDTD_THU.xlsx [Script: BPM_FTR_XLGDTD]</t>
        </is>
      </c>
    </row>
    <row r="1343">
      <c r="A1343" s="48" t="inlineStr">
        <is>
          <t>BPM_FTR_XLGDTD</t>
        </is>
      </c>
      <c r="B1343" s="48" t="inlineStr">
        <is>
          <t>SCRIPT_ONLY</t>
        </is>
      </c>
      <c r="C1343" s="48" t="inlineStr">
        <is>
          <t>2.6</t>
        </is>
      </c>
      <c r="D1343" s="48" t="inlineStr">
        <is>
          <t>Nhom 2 - Logic</t>
        </is>
      </c>
      <c r="E1343" s="48" t="inlineStr">
        <is>
          <t>SCD Type 2 cho bảng DIM áp dụng đúng kỹ thuật đã thống nhất</t>
        </is>
      </c>
      <c r="F1343" s="52" t="inlineStr">
        <is>
          <t>FAIL</t>
        </is>
      </c>
      <c r="G1343" s="48" t="inlineStr">
        <is>
          <t>Fail</t>
        </is>
      </c>
      <c r="H1343" s="50" t="inlineStr">
        <is>
          <t>SQL lỗi cú pháp, không phân tích được: ParseError: Expecting ). Line 3, Col: 37.</t>
        </is>
      </c>
      <c r="I1343"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43" s="48" t="inlineStr">
        <is>
          <t>103. OCB_GOLD_TTDL_BPM_FTR_XLGDTD_THU.xlsx [Script: BPM_FTR_XLGDTD]</t>
        </is>
      </c>
    </row>
    <row r="1344">
      <c r="A1344" s="48" t="inlineStr">
        <is>
          <t>BPM_FTR_XLGDTD</t>
        </is>
      </c>
      <c r="B1344" s="48" t="inlineStr">
        <is>
          <t>SCRIPT_ONLY</t>
        </is>
      </c>
      <c r="C1344" s="48" t="inlineStr">
        <is>
          <t>2.7</t>
        </is>
      </c>
      <c r="D1344" s="48" t="inlineStr">
        <is>
          <t>Nhom 2 - Logic</t>
        </is>
      </c>
      <c r="E1344" s="48" t="inlineStr">
        <is>
          <t>CASE WHEN cover đủ nhánh như job on-prem</t>
        </is>
      </c>
      <c r="F1344" s="52" t="inlineStr">
        <is>
          <t>FAIL</t>
        </is>
      </c>
      <c r="G1344" s="48" t="inlineStr">
        <is>
          <t>Fail</t>
        </is>
      </c>
      <c r="H1344" s="50" t="inlineStr">
        <is>
          <t>SQL lỗi cú pháp, không phân tích được: ParseError: Expecting ). Line 3, Col: 37.</t>
        </is>
      </c>
      <c r="I1344" s="50" t="inlineStr">
        <is>
          <t>Mở job on-prem tương ứng (DataStage DSX hoặc SQL cũ), đối chiếu từng nhánh WHEN và cả nhánh ELSE. CASE không có ELSE sẽ trả NULL âm thầm — xác nhận đó là ý muốn hay thiếu nhánh.</t>
        </is>
      </c>
      <c r="J1344" s="48" t="inlineStr">
        <is>
          <t>103. OCB_GOLD_TTDL_BPM_FTR_XLGDTD_THU.xlsx [Script: BPM_FTR_XLGDTD]</t>
        </is>
      </c>
    </row>
    <row r="1345">
      <c r="A1345" s="48" t="inlineStr">
        <is>
          <t>BPM_FTR_XLGDTD</t>
        </is>
      </c>
      <c r="B1345" s="48" t="inlineStr">
        <is>
          <t>SCRIPT_ONLY</t>
        </is>
      </c>
      <c r="C1345" s="48" t="inlineStr">
        <is>
          <t>2.8</t>
        </is>
      </c>
      <c r="D1345" s="48" t="inlineStr">
        <is>
          <t>Nhom 2 - Logic</t>
        </is>
      </c>
      <c r="E1345" s="48" t="inlineStr">
        <is>
          <t>Cột SUM/COUNT được COALESCE/NVL hợp lý</t>
        </is>
      </c>
      <c r="F1345" s="52" t="inlineStr">
        <is>
          <t>FAIL</t>
        </is>
      </c>
      <c r="G1345" s="48" t="inlineStr">
        <is>
          <t>Fail</t>
        </is>
      </c>
      <c r="H1345" s="50" t="inlineStr">
        <is>
          <t>SQL lỗi cú pháp, không phân tích được: ParseError: Expecting ). Line 3, Col: 37.</t>
        </is>
      </c>
      <c r="I1345"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45" s="48" t="inlineStr">
        <is>
          <t>103. OCB_GOLD_TTDL_BPM_FTR_XLGDTD_THU.xlsx [Script: BPM_FTR_XLGDTD]</t>
        </is>
      </c>
    </row>
    <row r="1346">
      <c r="A1346" s="48" t="inlineStr">
        <is>
          <t>BPM_FTR_XLGDTD</t>
        </is>
      </c>
      <c r="B1346" s="48" t="inlineStr">
        <is>
          <t>SCRIPT_ONLY</t>
        </is>
      </c>
      <c r="C1346" s="48" t="inlineStr">
        <is>
          <t>2.9</t>
        </is>
      </c>
      <c r="D1346" s="48" t="inlineStr">
        <is>
          <t>Nhom 2 - Logic</t>
        </is>
      </c>
      <c r="E1346" s="48" t="inlineStr">
        <is>
          <t>Subquery / custom function / điều kiện LIKE đúng ý nghĩa nghiệp vụ</t>
        </is>
      </c>
      <c r="F1346" s="52" t="inlineStr">
        <is>
          <t>FAIL</t>
        </is>
      </c>
      <c r="G1346" s="48" t="inlineStr">
        <is>
          <t>Fail</t>
        </is>
      </c>
      <c r="H1346" s="50" t="inlineStr">
        <is>
          <t>SQL lỗi cú pháp, không phân tích được: ParseError: Expecting ). Line 3, Col: 37.</t>
        </is>
      </c>
      <c r="I1346" s="50" t="inlineStr">
        <is>
          <t>Đọc lại từng điều kiện LIKE và từng subquery, đối chiếu ý nghĩa nghiệp vụ với on-prem — đúng cú pháp không đủ. Chú ý pattern LIKE có ký tự % ở đầu/cuối và phân biệt chữ hoa/thường.</t>
        </is>
      </c>
      <c r="J1346" s="48" t="inlineStr">
        <is>
          <t>103. OCB_GOLD_TTDL_BPM_FTR_XLGDTD_THU.xlsx [Script: BPM_FTR_XLGDTD]</t>
        </is>
      </c>
    </row>
    <row r="1347">
      <c r="A1347" s="48" t="inlineStr">
        <is>
          <t>BPM_FTR_XLGDTD</t>
        </is>
      </c>
      <c r="B1347" s="48" t="inlineStr">
        <is>
          <t>SCRIPT_ONLY</t>
        </is>
      </c>
      <c r="C1347" s="48" t="inlineStr">
        <is>
          <t>2.10</t>
        </is>
      </c>
      <c r="D1347" s="48" t="inlineStr">
        <is>
          <t>Nhom 2 - Logic</t>
        </is>
      </c>
      <c r="E1347" s="48" t="inlineStr">
        <is>
          <t>Aggregation kèm filter date range chính xác</t>
        </is>
      </c>
      <c r="F1347" s="52" t="inlineStr">
        <is>
          <t>FAIL</t>
        </is>
      </c>
      <c r="G1347" s="48" t="inlineStr">
        <is>
          <t>Fail</t>
        </is>
      </c>
      <c r="H1347" s="50" t="inlineStr">
        <is>
          <t>SQL lỗi cú pháp, không phân tích được: ParseError: Expecting ). Line 3, Col: 37.</t>
        </is>
      </c>
      <c r="I1347" s="50" t="inlineStr">
        <is>
          <t>Mỗi khối SUM/COUNT/AVG phải có điều kiện lọc theo kỳ dữ liệu (CDR_DT_ID, DATA_DATE, :DATADT…). Nếu điều kiện nằm ở CTE nguồn thì ghi rõ trong comment để người review không phải truy ngược.</t>
        </is>
      </c>
      <c r="J1347" s="48" t="inlineStr">
        <is>
          <t>103. OCB_GOLD_TTDL_BPM_FTR_XLGDTD_THU.xlsx [Script: BPM_FTR_XLGDTD]</t>
        </is>
      </c>
    </row>
    <row r="1348">
      <c r="A1348" s="48" t="inlineStr">
        <is>
          <t>BPM_FTR_XLGDTD</t>
        </is>
      </c>
      <c r="B1348" s="48" t="inlineStr">
        <is>
          <t>SCRIPT_ONLY</t>
        </is>
      </c>
      <c r="C1348" s="48" t="inlineStr">
        <is>
          <t>2.11</t>
        </is>
      </c>
      <c r="D1348" s="48" t="inlineStr">
        <is>
          <t>Nhom 2 - Logic</t>
        </is>
      </c>
      <c r="E1348" s="48" t="inlineStr">
        <is>
          <t>Join dùng key hợp lý, không lạm dụng UNION ALL + EXISTS/NOT EXISTS</t>
        </is>
      </c>
      <c r="F1348" s="52" t="inlineStr">
        <is>
          <t>FAIL</t>
        </is>
      </c>
      <c r="G1348" s="48" t="inlineStr">
        <is>
          <t>Fail</t>
        </is>
      </c>
      <c r="H1348" s="50" t="inlineStr">
        <is>
          <t>SQL lỗi cú pháp, không phân tích được: ParseError: Expecting ). Line 3, Col: 37.</t>
        </is>
      </c>
      <c r="I1348" s="50" t="inlineStr">
        <is>
          <t>Ưu tiên LEFT JOIN theo business key hoặc hashkey. Xem lại các chỗ dùng UNION ALL kết hợp EXISTS/NOT EXISTS — thường thay được bằng một LEFT JOIN. Join không có điều kiện bằng (=) dễ tạo tích Descartes.</t>
        </is>
      </c>
      <c r="J1348" s="48" t="inlineStr">
        <is>
          <t>103. OCB_GOLD_TTDL_BPM_FTR_XLGDTD_THU.xlsx [Script: BPM_FTR_XLGDTD]</t>
        </is>
      </c>
    </row>
    <row r="1349">
      <c r="A1349" s="48" t="inlineStr">
        <is>
          <t>BPM_FTR_XLGDTD</t>
        </is>
      </c>
      <c r="B1349" s="48" t="inlineStr">
        <is>
          <t>SCRIPT_ONLY</t>
        </is>
      </c>
      <c r="C1349" s="48" t="inlineStr">
        <is>
          <t>2.12</t>
        </is>
      </c>
      <c r="D1349" s="48" t="inlineStr">
        <is>
          <t>Nhom 2 - Logic</t>
        </is>
      </c>
      <c r="E1349" s="48" t="inlineStr">
        <is>
          <t>Build Gold từ CTE snapshot Silver, không build nhiều tầng chồng chéo</t>
        </is>
      </c>
      <c r="F1349" s="52" t="inlineStr">
        <is>
          <t>FAIL</t>
        </is>
      </c>
      <c r="G1349" s="48" t="inlineStr">
        <is>
          <t>Fail</t>
        </is>
      </c>
      <c r="H1349" s="50" t="inlineStr">
        <is>
          <t>SQL lỗi cú pháp, không phân tích được: ParseError: Expecting ). Line 3, Col: 37.</t>
        </is>
      </c>
      <c r="I1349"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49" s="48" t="inlineStr">
        <is>
          <t>103. OCB_GOLD_TTDL_BPM_FTR_XLGDTD_THU.xlsx [Script: BPM_FTR_XLGDTD]</t>
        </is>
      </c>
    </row>
    <row r="1350">
      <c r="A1350" s="48" t="inlineStr">
        <is>
          <t>BPM_FTR_XLGDTD</t>
        </is>
      </c>
      <c r="B1350" s="48" t="inlineStr">
        <is>
          <t>SCRIPT_ONLY</t>
        </is>
      </c>
      <c r="C1350" s="48" t="inlineStr">
        <is>
          <t>3.1</t>
        </is>
      </c>
      <c r="D1350" s="48" t="inlineStr">
        <is>
          <t>Nhom 3 - Optimization</t>
        </is>
      </c>
      <c r="E1350" s="48" t="inlineStr">
        <is>
          <t>Không SELECT *</t>
        </is>
      </c>
      <c r="F1350" s="52" t="inlineStr">
        <is>
          <t>FAIL</t>
        </is>
      </c>
      <c r="G1350" s="48" t="inlineStr">
        <is>
          <t>Fail</t>
        </is>
      </c>
      <c r="H1350" s="50" t="inlineStr">
        <is>
          <t>SQL lỗi cú pháp, không phân tích được: ParseError: Expecting ). Line 3, Col: 37.</t>
        </is>
      </c>
      <c r="I1350" s="50" t="inlineStr">
        <is>
          <t>Liệt kê tường minh các cột cần dùng, kể cả trong CTE trung gian. SELECT * làm tăng IO/memory và vỡ script khi bảng nguồn thêm cột.</t>
        </is>
      </c>
      <c r="J1350" s="48" t="inlineStr">
        <is>
          <t>103. OCB_GOLD_TTDL_BPM_FTR_XLGDTD_THU.xlsx [Script: BPM_FTR_XLGDTD]</t>
        </is>
      </c>
    </row>
    <row r="1351">
      <c r="A1351" s="48" t="inlineStr">
        <is>
          <t>BPM_FTR_XLGDTD</t>
        </is>
      </c>
      <c r="B1351" s="48" t="inlineStr">
        <is>
          <t>SCRIPT_ONLY</t>
        </is>
      </c>
      <c r="C1351" s="48" t="inlineStr">
        <is>
          <t>3.2</t>
        </is>
      </c>
      <c r="D1351" s="48" t="inlineStr">
        <is>
          <t>Nhom 3 - Optimization</t>
        </is>
      </c>
      <c r="E1351" s="48" t="inlineStr">
        <is>
          <t>CTE không bị scan lại nhiều lần</t>
        </is>
      </c>
      <c r="F1351" s="52" t="inlineStr">
        <is>
          <t>FAIL</t>
        </is>
      </c>
      <c r="G1351" s="48" t="inlineStr">
        <is>
          <t>Fail</t>
        </is>
      </c>
      <c r="H1351" s="50" t="inlineStr">
        <is>
          <t>SQL lỗi cú pháp, không phân tích được: ParseError: Expecting ). Line 3, Col: 37.</t>
        </is>
      </c>
      <c r="I1351" s="50" t="inlineStr">
        <is>
          <t>Với CTE nặng (đọc nhiều bảng Silver) bị tham chiếu từ 2 chỗ trở lên: gom lại còn một lần dùng, hoặc vật chất hóa (CACHE / bảng tạm). CTE nhẹ chỉ chứa tham số thì bỏ qua được — tự tick Pass.</t>
        </is>
      </c>
      <c r="J1351" s="48" t="inlineStr">
        <is>
          <t>103. OCB_GOLD_TTDL_BPM_FTR_XLGDTD_THU.xlsx [Script: BPM_FTR_XLGDTD]</t>
        </is>
      </c>
    </row>
    <row r="1352">
      <c r="A1352" s="48" t="inlineStr">
        <is>
          <t>BPM_FTR_XLGDTD</t>
        </is>
      </c>
      <c r="B1352" s="48" t="inlineStr">
        <is>
          <t>SCRIPT_ONLY</t>
        </is>
      </c>
      <c r="C1352" s="48" t="inlineStr">
        <is>
          <t>3.3</t>
        </is>
      </c>
      <c r="D1352" s="48" t="inlineStr">
        <is>
          <t>Nhom 3 - Optimization</t>
        </is>
      </c>
      <c r="E1352" s="48" t="inlineStr">
        <is>
          <t>Filter trước khi join, tận dụng partition pruning</t>
        </is>
      </c>
      <c r="F1352" s="52" t="inlineStr">
        <is>
          <t>FAIL</t>
        </is>
      </c>
      <c r="G1352" s="48" t="inlineStr">
        <is>
          <t>Fail</t>
        </is>
      </c>
      <c r="H1352" s="50" t="inlineStr">
        <is>
          <t>SQL lỗi cú pháp, không phân tích được: ParseError: Expecting ). Line 3, Col: 37.</t>
        </is>
      </c>
      <c r="I1352" s="50" t="inlineStr">
        <is>
          <t>Đưa điều kiện lọc (ngày dữ liệu, trạng thái) vào subquery của từng bảng TRƯỚC khi join, để tận dụng partition pruning. Bảng dim nhỏ không partition thì không cần — tự tick Pass.</t>
        </is>
      </c>
      <c r="J1352" s="48" t="inlineStr">
        <is>
          <t>103. OCB_GOLD_TTDL_BPM_FTR_XLGDTD_THU.xlsx [Script: BPM_FTR_XLGDTD]</t>
        </is>
      </c>
    </row>
    <row r="1353">
      <c r="A1353" s="48" t="inlineStr">
        <is>
          <t>BPM_FTR_XLGDTD</t>
        </is>
      </c>
      <c r="B1353" s="48" t="inlineStr">
        <is>
          <t>SCRIPT_ONLY</t>
        </is>
      </c>
      <c r="C1353" s="48" t="inlineStr">
        <is>
          <t>3.4</t>
        </is>
      </c>
      <c r="D1353" s="48" t="inlineStr">
        <is>
          <t>Nhom 3 - Optimization</t>
        </is>
      </c>
      <c r="E1353" s="48" t="inlineStr">
        <is>
          <t>Sử dụng CACHE cho query lặp lại trong cùng luồng</t>
        </is>
      </c>
      <c r="F1353" s="52" t="inlineStr">
        <is>
          <t>FAIL</t>
        </is>
      </c>
      <c r="G1353" s="48" t="inlineStr">
        <is>
          <t>Fail</t>
        </is>
      </c>
      <c r="H1353" s="50" t="inlineStr">
        <is>
          <t>SQL lỗi cú pháp, không phân tích được: ParseError: Expecting ). Line 3, Col: 37.</t>
        </is>
      </c>
      <c r="I1353" s="50" t="inlineStr">
        <is>
          <t>Nếu một kết quả nặng được dùng lại nhiều bước trong cùng luồng, thêm CACHE TABLE / CACHE SELECT. Kết quả nhỏ thì cache còn chậm hơn — tự tick Pass.</t>
        </is>
      </c>
      <c r="J1353" s="48" t="inlineStr">
        <is>
          <t>103. OCB_GOLD_TTDL_BPM_FTR_XLGDTD_THU.xlsx [Script: BPM_FTR_XLGDTD]</t>
        </is>
      </c>
    </row>
    <row r="1354">
      <c r="A1354" s="48" t="inlineStr">
        <is>
          <t>BPM_FTR_XLGDTD</t>
        </is>
      </c>
      <c r="B1354" s="48" t="inlineStr">
        <is>
          <t>SCRIPT_ONLY</t>
        </is>
      </c>
      <c r="C1354" s="48" t="inlineStr">
        <is>
          <t>3.5</t>
        </is>
      </c>
      <c r="D1354" s="48" t="inlineStr">
        <is>
          <t>Nhom 3 - Optimization</t>
        </is>
      </c>
      <c r="E1354" s="48" t="inlineStr">
        <is>
          <t>Ưu tiên MAX_BY + QUALIFY thay ROW_NUMBER() + WHERE rn = 1</t>
        </is>
      </c>
      <c r="F1354" s="52" t="inlineStr">
        <is>
          <t>FAIL</t>
        </is>
      </c>
      <c r="G1354" s="48" t="inlineStr">
        <is>
          <t>Fail</t>
        </is>
      </c>
      <c r="H1354" s="50" t="inlineStr">
        <is>
          <t>SQL lỗi cú pháp, không phân tích được: ParseError: Expecting ). Line 3, Col: 37.</t>
        </is>
      </c>
      <c r="I1354"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54" s="48" t="inlineStr">
        <is>
          <t>103. OCB_GOLD_TTDL_BPM_FTR_XLGDTD_THU.xlsx [Script: BPM_FTR_XLGDTD]</t>
        </is>
      </c>
    </row>
    <row r="1355">
      <c r="A1355" s="48" t="inlineStr">
        <is>
          <t>BPM_FTR_XLGDTD</t>
        </is>
      </c>
      <c r="B1355" s="48" t="inlineStr">
        <is>
          <t>SCRIPT_ONLY</t>
        </is>
      </c>
      <c r="C1355" s="48" t="inlineStr">
        <is>
          <t>3.6</t>
        </is>
      </c>
      <c r="D1355" s="48" t="inlineStr">
        <is>
          <t>Nhom 3 - Optimization</t>
        </is>
      </c>
      <c r="E1355" s="48" t="inlineStr">
        <is>
          <t>Không lạm dụng window function; có comment khi dùng</t>
        </is>
      </c>
      <c r="F1355" s="52" t="inlineStr">
        <is>
          <t>FAIL</t>
        </is>
      </c>
      <c r="G1355" s="48" t="inlineStr">
        <is>
          <t>Fail</t>
        </is>
      </c>
      <c r="H1355" s="50" t="inlineStr">
        <is>
          <t>SQL lỗi cú pháp, không phân tích được: ParseError: Expecting ). Line 3, Col: 37.</t>
        </is>
      </c>
      <c r="I1355" s="50" t="inlineStr">
        <is>
          <t>Mỗi window function cần một comment ngay trên khối CTE chứa nó, nói rõ vì sao không dùng được max_by/QUALIFY đơn giản hơn.</t>
        </is>
      </c>
      <c r="J1355" s="48" t="inlineStr">
        <is>
          <t>103. OCB_GOLD_TTDL_BPM_FTR_XLGDTD_THU.xlsx [Script: BPM_FTR_XLGDTD]</t>
        </is>
      </c>
    </row>
    <row r="1356">
      <c r="A1356" s="48" t="inlineStr">
        <is>
          <t>BPM_FTR_XLGDTD</t>
        </is>
      </c>
      <c r="B1356" s="48" t="inlineStr">
        <is>
          <t>SCRIPT_ONLY</t>
        </is>
      </c>
      <c r="C1356" s="48" t="inlineStr">
        <is>
          <t>X.1</t>
        </is>
      </c>
      <c r="D1356" s="48" t="inlineStr">
        <is>
          <t>Nhom X - Bo sung Raffles</t>
        </is>
      </c>
      <c r="E1356" s="48" t="inlineStr">
        <is>
          <t>[Bổ sung] Link phải rút về current trước khi join (chống fan-out)</t>
        </is>
      </c>
      <c r="F1356" s="52" t="inlineStr">
        <is>
          <t>FAIL</t>
        </is>
      </c>
      <c r="G1356" s="48" t="inlineStr">
        <is>
          <t>Fail</t>
        </is>
      </c>
      <c r="H1356" s="50" t="inlineStr">
        <is>
          <t>SQL lỗi cú pháp, không phân tích được: ParseError: Expecting ). Line 3, Col: 37.</t>
        </is>
      </c>
      <c r="I1356"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56" s="48" t="inlineStr">
        <is>
          <t>103. OCB_GOLD_TTDL_BPM_FTR_XLGDTD_THU.xlsx [Script: BPM_FTR_XLGDTD]</t>
        </is>
      </c>
    </row>
    <row r="1357">
      <c r="A1357" s="48" t="inlineStr">
        <is>
          <t>BPM_FTR_XLGDTD</t>
        </is>
      </c>
      <c r="B1357" s="48" t="inlineStr">
        <is>
          <t>SCRIPT_ONLY</t>
        </is>
      </c>
      <c r="C1357" s="48" t="inlineStr">
        <is>
          <t>X.6</t>
        </is>
      </c>
      <c r="D1357" s="48" t="inlineStr">
        <is>
          <t>Nhom X - Bo sung Raffles</t>
        </is>
      </c>
      <c r="E1357" s="48" t="inlineStr">
        <is>
          <t>[Bổ sung] Satellite phải LEFT JOIN, không INNER JOIN</t>
        </is>
      </c>
      <c r="F1357" s="52" t="inlineStr">
        <is>
          <t>FAIL</t>
        </is>
      </c>
      <c r="G1357" s="48" t="inlineStr">
        <is>
          <t>Fail</t>
        </is>
      </c>
      <c r="H1357" s="50" t="inlineStr">
        <is>
          <t>SQL lỗi cú pháp, không phân tích được: ParseError: Expecting ). Line 3, Col: 37.</t>
        </is>
      </c>
      <c r="I1357" s="50" t="inlineStr">
        <is>
          <t>Technical Document III.4.2.2 nguyên tắc 1: làm giàu thuộc tính luôn dùng LEFT JOIN. INNER JOIN satellite sẽ loại mất bản ghi Hub đang còn hiệu lực nhưng chưa có dòng satellite.</t>
        </is>
      </c>
      <c r="J1357" s="48" t="inlineStr">
        <is>
          <t>103. OCB_GOLD_TTDL_BPM_FTR_XLGDTD_THU.xlsx [Script: BPM_FTR_XLGDTD]</t>
        </is>
      </c>
    </row>
    <row r="1358">
      <c r="A1358" s="48" t="inlineStr">
        <is>
          <t>BPM_FTR_XLGDTD</t>
        </is>
      </c>
      <c r="B1358" s="48" t="inlineStr">
        <is>
          <t>SCRIPT_ONLY</t>
        </is>
      </c>
      <c r="C1358" s="48" t="inlineStr">
        <is>
          <t>X.7</t>
        </is>
      </c>
      <c r="D1358" s="48" t="inlineStr">
        <is>
          <t>Nhom X - Bo sung Raffles</t>
        </is>
      </c>
      <c r="E1358" s="48" t="inlineStr">
        <is>
          <t>[Bổ sung] Không hard-code catalog, dùng biến môi trường</t>
        </is>
      </c>
      <c r="F1358" s="52" t="inlineStr">
        <is>
          <t>FAIL</t>
        </is>
      </c>
      <c r="G1358" s="48" t="inlineStr">
        <is>
          <t>Fail</t>
        </is>
      </c>
      <c r="H1358" s="50" t="inlineStr">
        <is>
          <t>SQL lỗi cú pháp, không phân tích được: ParseError: Expecting ). Line 3, Col: 37.</t>
        </is>
      </c>
      <c r="I1358"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58" s="48" t="inlineStr">
        <is>
          <t>103. OCB_GOLD_TTDL_BPM_FTR_XLGDTD_THU.xlsx [Script: BPM_FTR_XLGDTD]</t>
        </is>
      </c>
    </row>
    <row r="1359">
      <c r="A1359" s="48" t="inlineStr">
        <is>
          <t>BPM_TDCN_NVCT</t>
        </is>
      </c>
      <c r="B1359" s="48" t="inlineStr">
        <is>
          <t>SILVER_CONSUMER</t>
        </is>
      </c>
      <c r="C1359" s="48" t="inlineStr">
        <is>
          <t>1.1</t>
        </is>
      </c>
      <c r="D1359" s="48" t="inlineStr">
        <is>
          <t>Nhom 1 - Mapping</t>
        </is>
      </c>
      <c r="E1359" s="48" t="inlineStr">
        <is>
          <t>Đầy đủ mapping từ Silver/manual sang Gold</t>
        </is>
      </c>
      <c r="F1359" s="51" t="inlineStr">
        <is>
          <t>WARN</t>
        </is>
      </c>
      <c r="G1359" s="48" t="inlineStr">
        <is>
          <t>WARN</t>
        </is>
      </c>
      <c r="H1359" s="50" t="inlineStr">
        <is>
          <t>KHÔNG TÌM THẤY workbook thiết kế cho object BPM_TDCN_NVCT nên không đối chiếu được danh sách cột (SQL có 6 cột đầu ra)</t>
        </is>
      </c>
      <c r="I1359"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59" s="48" t="inlineStr">
        <is>
          <t>108. OCB_GOLD_TTDL_BPM_TDCN_NVCT_THU.xlsx [Script: BPM_TDCN_NVCT]</t>
        </is>
      </c>
    </row>
    <row r="1360">
      <c r="A1360" s="48" t="inlineStr">
        <is>
          <t>BPM_TDCN_NVCT</t>
        </is>
      </c>
      <c r="B1360" s="48" t="inlineStr">
        <is>
          <t>SILVER_CONSUMER</t>
        </is>
      </c>
      <c r="C1360" s="48" t="inlineStr">
        <is>
          <t>1.2</t>
        </is>
      </c>
      <c r="D1360" s="48" t="inlineStr">
        <is>
          <t>Nhom 1 - Mapping</t>
        </is>
      </c>
      <c r="E1360" s="48" t="inlineStr">
        <is>
          <t>Danh sách bảng/view Gold khớp tài liệu thiết kế đã duyệt</t>
        </is>
      </c>
      <c r="F1360" s="52" t="inlineStr">
        <is>
          <t>FAIL</t>
        </is>
      </c>
      <c r="G1360" s="48" t="inlineStr">
        <is>
          <t>Fail</t>
        </is>
      </c>
      <c r="H1360" s="50" t="inlineStr">
        <is>
          <t>BPM_TDCN_NVCT không có workbook thiết kế tương ứng trong thư mục mapping</t>
        </is>
      </c>
      <c r="I1360" s="50" t="inlineStr">
        <is>
          <t>Đảm bảo object có workbook thiết kế tương ứng trong thư mục --mapping-dir. Muốn đối chiếu với danh sách đã duyệt thì chạy thêm tham số --gold-list "&lt;file danh sách Gold&gt;.xlsx".</t>
        </is>
      </c>
      <c r="J1360" s="48" t="inlineStr">
        <is>
          <t>108. OCB_GOLD_TTDL_BPM_TDCN_NVCT_THU.xlsx [Script: BPM_TDCN_NVCT]</t>
        </is>
      </c>
    </row>
    <row r="1361">
      <c r="A1361" s="48" t="inlineStr">
        <is>
          <t>BPM_TDCN_NVCT</t>
        </is>
      </c>
      <c r="B1361" s="48" t="inlineStr">
        <is>
          <t>SILVER_CONSUMER</t>
        </is>
      </c>
      <c r="C1361" s="48" t="inlineStr">
        <is>
          <t>2.1</t>
        </is>
      </c>
      <c r="D1361" s="48" t="inlineStr">
        <is>
          <t>Nhom 2 - Logic</t>
        </is>
      </c>
      <c r="E1361" s="48" t="inlineStr">
        <is>
          <t>Chỉ lấy bản ghi active, loại bản ghi đã xóa (qua sts_hub)</t>
        </is>
      </c>
      <c r="F1361" s="49" t="inlineStr">
        <is>
          <t>PASS</t>
        </is>
      </c>
      <c r="G1361" s="48" t="inlineStr">
        <is>
          <t>Pass</t>
        </is>
      </c>
      <c r="H1361" s="50" t="inlineStr">
        <is>
          <t>1 sts_hub_* đọc đúng format</t>
        </is>
      </c>
      <c r="I1361"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61" s="48" t="inlineStr">
        <is>
          <t>108. OCB_GOLD_TTDL_BPM_TDCN_NVCT_THU.xlsx [Script: BPM_TDCN_NVCT]</t>
        </is>
      </c>
    </row>
    <row r="1362">
      <c r="A1362" s="48" t="inlineStr">
        <is>
          <t>BPM_TDCN_NVCT</t>
        </is>
      </c>
      <c r="B1362" s="48" t="inlineStr">
        <is>
          <t>SILVER_CONSUMER</t>
        </is>
      </c>
      <c r="C1362" s="48" t="inlineStr">
        <is>
          <t>2.2</t>
        </is>
      </c>
      <c r="D1362" s="48" t="inlineStr">
        <is>
          <t>Nhom 2 - Logic</t>
        </is>
      </c>
      <c r="E1362" s="48" t="inlineStr">
        <is>
          <t>Thống nhất MỘT pattern duy nhất xác định bản ghi active mới nhất</t>
        </is>
      </c>
      <c r="F1362" s="49" t="inlineStr">
        <is>
          <t>PASS</t>
        </is>
      </c>
      <c r="G1362" s="48" t="inlineStr">
        <is>
          <t>Pass</t>
        </is>
      </c>
      <c r="H1362" s="50" t="inlineStr">
        <is>
          <t>file này dùng: ['MAX_BY']; toàn batch dùng: ['MAX_BY']</t>
        </is>
      </c>
      <c r="I1362"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62" s="48" t="inlineStr">
        <is>
          <t>108. OCB_GOLD_TTDL_BPM_TDCN_NVCT_THU.xlsx [Script: BPM_TDCN_NVCT]</t>
        </is>
      </c>
    </row>
    <row r="1363">
      <c r="A1363" s="48" t="inlineStr">
        <is>
          <t>BPM_TDCN_NVCT</t>
        </is>
      </c>
      <c r="B1363" s="48" t="inlineStr">
        <is>
          <t>SILVER_CONSUMER</t>
        </is>
      </c>
      <c r="C1363" s="48" t="inlineStr">
        <is>
          <t>2.3</t>
        </is>
      </c>
      <c r="D1363" s="48" t="inlineStr">
        <is>
          <t>Nhom 2 - Logic</t>
        </is>
      </c>
      <c r="E1363" s="48" t="inlineStr">
        <is>
          <t>Điều kiện lọc trạng thái đặt SAU khi xác định bản ghi mới nhất</t>
        </is>
      </c>
      <c r="F1363" s="49" t="inlineStr">
        <is>
          <t>PASS</t>
        </is>
      </c>
      <c r="G1363" s="48" t="inlineStr">
        <is>
          <t>Pass</t>
        </is>
      </c>
      <c r="H1363" s="50" t="inlineStr">
        <is>
          <t>không có điều kiện trạng thái nào lồng trong JOIN ON</t>
        </is>
      </c>
      <c r="I1363"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63" s="48" t="inlineStr">
        <is>
          <t>108. OCB_GOLD_TTDL_BPM_TDCN_NVCT_THU.xlsx [Script: BPM_TDCN_NVCT]</t>
        </is>
      </c>
    </row>
    <row r="1364">
      <c r="A1364" s="48" t="inlineStr">
        <is>
          <t>BPM_TDCN_NVCT</t>
        </is>
      </c>
      <c r="B1364" s="48" t="inlineStr">
        <is>
          <t>SILVER_CONSUMER</t>
        </is>
      </c>
      <c r="C1364" s="48" t="inlineStr">
        <is>
          <t>2.4</t>
        </is>
      </c>
      <c r="D1364" s="48" t="inlineStr">
        <is>
          <t>Nhom 2 - Logic</t>
        </is>
      </c>
      <c r="E1364" s="48" t="inlineStr">
        <is>
          <t>source_event_date áp dụng đúng dạng theo loại bảng</t>
        </is>
      </c>
      <c r="F1364" s="49" t="inlineStr">
        <is>
          <t>PASS</t>
        </is>
      </c>
      <c r="G1364" s="48" t="inlineStr">
        <is>
          <t>Pass</t>
        </is>
      </c>
      <c r="H1364" s="50" t="inlineStr">
        <is>
          <t>2 satellite đều đúng dạng điều kiện source_event_date</t>
        </is>
      </c>
      <c r="I1364"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64" s="48" t="inlineStr">
        <is>
          <t>108. OCB_GOLD_TTDL_BPM_TDCN_NVCT_THU.xlsx [Script: BPM_TDCN_NVCT]</t>
        </is>
      </c>
    </row>
    <row r="1365">
      <c r="A1365" s="48" t="inlineStr">
        <is>
          <t>BPM_TDCN_NVCT</t>
        </is>
      </c>
      <c r="B1365" s="48" t="inlineStr">
        <is>
          <t>SILVER_CONSUMER</t>
        </is>
      </c>
      <c r="C1365" s="48" t="inlineStr">
        <is>
          <t>2.5</t>
        </is>
      </c>
      <c r="D1365" s="48" t="inlineStr">
        <is>
          <t>Nhom 2 - Logic</t>
        </is>
      </c>
      <c r="E1365" s="48" t="inlineStr">
        <is>
          <t>Không lặp lại lỗi logic cũ đã được DA Data Vault fix</t>
        </is>
      </c>
      <c r="F1365" s="49" t="inlineStr">
        <is>
          <t>PASS</t>
        </is>
      </c>
      <c r="G1365" s="48" t="inlineStr">
        <is>
          <t>Pass</t>
        </is>
      </c>
      <c r="H1365" s="50" t="inlineStr">
        <is>
          <t>không trùng lỗi nào trong Issue log của DA Data Vault</t>
        </is>
      </c>
      <c r="I1365"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65" s="48" t="inlineStr">
        <is>
          <t>108. OCB_GOLD_TTDL_BPM_TDCN_NVCT_THU.xlsx [Script: BPM_TDCN_NVCT]</t>
        </is>
      </c>
    </row>
    <row r="1366">
      <c r="A1366" s="48" t="inlineStr">
        <is>
          <t>BPM_TDCN_NVCT</t>
        </is>
      </c>
      <c r="B1366" s="48" t="inlineStr">
        <is>
          <t>SILVER_CONSUMER</t>
        </is>
      </c>
      <c r="C1366" s="48" t="inlineStr">
        <is>
          <t>2.6</t>
        </is>
      </c>
      <c r="D1366" s="48" t="inlineStr">
        <is>
          <t>Nhom 2 - Logic</t>
        </is>
      </c>
      <c r="E1366" s="48" t="inlineStr">
        <is>
          <t>SCD Type 2 cho bảng DIM áp dụng đúng kỹ thuật đã thống nhất</t>
        </is>
      </c>
      <c r="F1366" s="48" t="inlineStr">
        <is>
          <t>N-A</t>
        </is>
      </c>
      <c r="G1366" s="48" t="inlineStr">
        <is>
          <t>Pass</t>
        </is>
      </c>
      <c r="H1366" s="50" t="inlineStr">
        <is>
          <t>object không phải bảng DIM nên không áp dụng SCD Type 2</t>
        </is>
      </c>
      <c r="I1366"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66" s="48" t="inlineStr">
        <is>
          <t>108. OCB_GOLD_TTDL_BPM_TDCN_NVCT_THU.xlsx [Script: BPM_TDCN_NVCT]</t>
        </is>
      </c>
    </row>
    <row r="1367">
      <c r="A1367" s="48" t="inlineStr">
        <is>
          <t>BPM_TDCN_NVCT</t>
        </is>
      </c>
      <c r="B1367" s="48" t="inlineStr">
        <is>
          <t>SILVER_CONSUMER</t>
        </is>
      </c>
      <c r="C1367" s="48" t="inlineStr">
        <is>
          <t>2.7</t>
        </is>
      </c>
      <c r="D1367" s="48" t="inlineStr">
        <is>
          <t>Nhom 2 - Logic</t>
        </is>
      </c>
      <c r="E1367" s="48" t="inlineStr">
        <is>
          <t>CASE WHEN cover đủ nhánh như job on-prem</t>
        </is>
      </c>
      <c r="F1367" s="48" t="inlineStr">
        <is>
          <t>N-A</t>
        </is>
      </c>
      <c r="G1367" s="48" t="inlineStr">
        <is>
          <t>Pass</t>
        </is>
      </c>
      <c r="H1367" s="50" t="inlineStr">
        <is>
          <t>script không có CASE WHEN nào</t>
        </is>
      </c>
      <c r="I1367" s="50" t="inlineStr">
        <is>
          <t>Mở job on-prem tương ứng (DataStage DSX hoặc SQL cũ), đối chiếu từng nhánh WHEN và cả nhánh ELSE. CASE không có ELSE sẽ trả NULL âm thầm — xác nhận đó là ý muốn hay thiếu nhánh.</t>
        </is>
      </c>
      <c r="J1367" s="48" t="inlineStr">
        <is>
          <t>108. OCB_GOLD_TTDL_BPM_TDCN_NVCT_THU.xlsx [Script: BPM_TDCN_NVCT]</t>
        </is>
      </c>
    </row>
    <row r="1368">
      <c r="A1368" s="48" t="inlineStr">
        <is>
          <t>BPM_TDCN_NVCT</t>
        </is>
      </c>
      <c r="B1368" s="48" t="inlineStr">
        <is>
          <t>SILVER_CONSUMER</t>
        </is>
      </c>
      <c r="C1368" s="48" t="inlineStr">
        <is>
          <t>2.8</t>
        </is>
      </c>
      <c r="D1368" s="48" t="inlineStr">
        <is>
          <t>Nhom 2 - Logic</t>
        </is>
      </c>
      <c r="E1368" s="48" t="inlineStr">
        <is>
          <t>Cột SUM/COUNT được COALESCE/NVL hợp lý</t>
        </is>
      </c>
      <c r="F1368" s="49" t="inlineStr">
        <is>
          <t>PASS</t>
        </is>
      </c>
      <c r="G1368" s="48" t="inlineStr">
        <is>
          <t>Pass</t>
        </is>
      </c>
      <c r="H1368" s="50" t="inlineStr">
        <is>
          <t>mọi SUM/COUNT đều đã coalesce (trực tiếp hoặc ở lớp ngoài)</t>
        </is>
      </c>
      <c r="I1368"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8" s="48" t="inlineStr">
        <is>
          <t>108. OCB_GOLD_TTDL_BPM_TDCN_NVCT_THU.xlsx [Script: BPM_TDCN_NVCT]</t>
        </is>
      </c>
    </row>
    <row r="1369">
      <c r="A1369" s="48" t="inlineStr">
        <is>
          <t>BPM_TDCN_NVCT</t>
        </is>
      </c>
      <c r="B1369" s="48" t="inlineStr">
        <is>
          <t>SILVER_CONSUMER</t>
        </is>
      </c>
      <c r="C1369" s="48" t="inlineStr">
        <is>
          <t>2.9</t>
        </is>
      </c>
      <c r="D1369" s="48" t="inlineStr">
        <is>
          <t>Nhom 2 - Logic</t>
        </is>
      </c>
      <c r="E1369" s="48" t="inlineStr">
        <is>
          <t>Subquery / custom function / điều kiện LIKE đúng ý nghĩa nghiệp vụ</t>
        </is>
      </c>
      <c r="F1369" s="48" t="inlineStr">
        <is>
          <t>N-A</t>
        </is>
      </c>
      <c r="G1369" s="48" t="inlineStr">
        <is>
          <t>Pass</t>
        </is>
      </c>
      <c r="H1369" s="50" t="inlineStr">
        <is>
          <t>script không có điều kiện LIKE hay scalar subquery nào</t>
        </is>
      </c>
      <c r="I1369" s="50" t="inlineStr">
        <is>
          <t>Đọc lại từng điều kiện LIKE và từng subquery, đối chiếu ý nghĩa nghiệp vụ với on-prem — đúng cú pháp không đủ. Chú ý pattern LIKE có ký tự % ở đầu/cuối và phân biệt chữ hoa/thường.</t>
        </is>
      </c>
      <c r="J1369" s="48" t="inlineStr">
        <is>
          <t>108. OCB_GOLD_TTDL_BPM_TDCN_NVCT_THU.xlsx [Script: BPM_TDCN_NVCT]</t>
        </is>
      </c>
    </row>
    <row r="1370">
      <c r="A1370" s="48" t="inlineStr">
        <is>
          <t>BPM_TDCN_NVCT</t>
        </is>
      </c>
      <c r="B1370" s="48" t="inlineStr">
        <is>
          <t>SILVER_CONSUMER</t>
        </is>
      </c>
      <c r="C1370" s="48" t="inlineStr">
        <is>
          <t>2.10</t>
        </is>
      </c>
      <c r="D1370" s="48" t="inlineStr">
        <is>
          <t>Nhom 2 - Logic</t>
        </is>
      </c>
      <c r="E1370" s="48" t="inlineStr">
        <is>
          <t>Aggregation kèm filter date range chính xác</t>
        </is>
      </c>
      <c r="F1370" s="49" t="inlineStr">
        <is>
          <t>PASS</t>
        </is>
      </c>
      <c r="G1370" s="48" t="inlineStr">
        <is>
          <t>Pass</t>
        </is>
      </c>
      <c r="H1370" s="50" t="inlineStr">
        <is>
          <t>mọi khối tổng hợp đều có điều kiện theo kỳ dữ liệu</t>
        </is>
      </c>
      <c r="I1370" s="50" t="inlineStr">
        <is>
          <t>Mỗi khối SUM/COUNT/AVG phải có điều kiện lọc theo kỳ dữ liệu (CDR_DT_ID, DATA_DATE, :DATADT…). Nếu điều kiện nằm ở CTE nguồn thì ghi rõ trong comment để người review không phải truy ngược.</t>
        </is>
      </c>
      <c r="J1370" s="48" t="inlineStr">
        <is>
          <t>108. OCB_GOLD_TTDL_BPM_TDCN_NVCT_THU.xlsx [Script: BPM_TDCN_NVCT]</t>
        </is>
      </c>
    </row>
    <row r="1371">
      <c r="A1371" s="48" t="inlineStr">
        <is>
          <t>BPM_TDCN_NVCT</t>
        </is>
      </c>
      <c r="B1371" s="48" t="inlineStr">
        <is>
          <t>SILVER_CONSUMER</t>
        </is>
      </c>
      <c r="C1371" s="48" t="inlineStr">
        <is>
          <t>2.11</t>
        </is>
      </c>
      <c r="D1371" s="48" t="inlineStr">
        <is>
          <t>Nhom 2 - Logic</t>
        </is>
      </c>
      <c r="E1371" s="48" t="inlineStr">
        <is>
          <t>Join dùng key hợp lý, không lạm dụng UNION ALL + EXISTS/NOT EXISTS</t>
        </is>
      </c>
      <c r="F1371" s="49" t="inlineStr">
        <is>
          <t>PASS</t>
        </is>
      </c>
      <c r="G1371" s="48" t="inlineStr">
        <is>
          <t>Pass</t>
        </is>
      </c>
      <c r="H1371" s="50" t="inlineStr">
        <is>
          <t>join đều theo điều kiện bằng, không lạm dụng UNION ALL + EXISTS</t>
        </is>
      </c>
      <c r="I1371" s="50" t="inlineStr">
        <is>
          <t>Ưu tiên LEFT JOIN theo business key hoặc hashkey. Xem lại các chỗ dùng UNION ALL kết hợp EXISTS/NOT EXISTS — thường thay được bằng một LEFT JOIN. Join không có điều kiện bằng (=) dễ tạo tích Descartes.</t>
        </is>
      </c>
      <c r="J1371" s="48" t="inlineStr">
        <is>
          <t>108. OCB_GOLD_TTDL_BPM_TDCN_NVCT_THU.xlsx [Script: BPM_TDCN_NVCT]</t>
        </is>
      </c>
    </row>
    <row r="1372">
      <c r="A1372" s="48" t="inlineStr">
        <is>
          <t>BPM_TDCN_NVCT</t>
        </is>
      </c>
      <c r="B1372" s="48" t="inlineStr">
        <is>
          <t>SILVER_CONSUMER</t>
        </is>
      </c>
      <c r="C1372" s="48" t="inlineStr">
        <is>
          <t>2.12</t>
        </is>
      </c>
      <c r="D1372" s="48" t="inlineStr">
        <is>
          <t>Nhom 2 - Logic</t>
        </is>
      </c>
      <c r="E1372" s="48" t="inlineStr">
        <is>
          <t>Build Gold từ CTE snapshot Silver, không build nhiều tầng chồng chéo</t>
        </is>
      </c>
      <c r="F1372" s="49" t="inlineStr">
        <is>
          <t>PASS</t>
        </is>
      </c>
      <c r="G1372" s="48" t="inlineStr">
        <is>
          <t>Pass</t>
        </is>
      </c>
      <c r="H1372" s="50" t="inlineStr">
        <is>
          <t>mỗi bảng nguồn chỉ đọc trong 1 khối SELECT</t>
        </is>
      </c>
      <c r="I1372"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72" s="48" t="inlineStr">
        <is>
          <t>108. OCB_GOLD_TTDL_BPM_TDCN_NVCT_THU.xlsx [Script: BPM_TDCN_NVCT]</t>
        </is>
      </c>
    </row>
    <row r="1373">
      <c r="A1373" s="48" t="inlineStr">
        <is>
          <t>BPM_TDCN_NVCT</t>
        </is>
      </c>
      <c r="B1373" s="48" t="inlineStr">
        <is>
          <t>SILVER_CONSUMER</t>
        </is>
      </c>
      <c r="C1373" s="48" t="inlineStr">
        <is>
          <t>3.1</t>
        </is>
      </c>
      <c r="D1373" s="48" t="inlineStr">
        <is>
          <t>Nhom 3 - Optimization</t>
        </is>
      </c>
      <c r="E1373" s="48" t="inlineStr">
        <is>
          <t>Không SELECT *</t>
        </is>
      </c>
      <c r="F1373" s="49" t="inlineStr">
        <is>
          <t>PASS</t>
        </is>
      </c>
      <c r="G1373" s="48" t="inlineStr">
        <is>
          <t>Pass</t>
        </is>
      </c>
      <c r="H1373" s="50" t="inlineStr">
        <is>
          <t>không dùng SELECT * ở đâu</t>
        </is>
      </c>
      <c r="I1373" s="50" t="inlineStr">
        <is>
          <t>Liệt kê tường minh các cột cần dùng, kể cả trong CTE trung gian. SELECT * làm tăng IO/memory và vỡ script khi bảng nguồn thêm cột.</t>
        </is>
      </c>
      <c r="J1373" s="48" t="inlineStr">
        <is>
          <t>108. OCB_GOLD_TTDL_BPM_TDCN_NVCT_THU.xlsx [Script: BPM_TDCN_NVCT]</t>
        </is>
      </c>
    </row>
    <row r="1374">
      <c r="A1374" s="48" t="inlineStr">
        <is>
          <t>BPM_TDCN_NVCT</t>
        </is>
      </c>
      <c r="B1374" s="48" t="inlineStr">
        <is>
          <t>SILVER_CONSUMER</t>
        </is>
      </c>
      <c r="C1374" s="48" t="inlineStr">
        <is>
          <t>3.2</t>
        </is>
      </c>
      <c r="D1374" s="48" t="inlineStr">
        <is>
          <t>Nhom 3 - Optimization</t>
        </is>
      </c>
      <c r="E1374" s="48" t="inlineStr">
        <is>
          <t>CTE không bị scan lại nhiều lần</t>
        </is>
      </c>
      <c r="F1374" s="49" t="inlineStr">
        <is>
          <t>PASS</t>
        </is>
      </c>
      <c r="G1374" s="48" t="inlineStr">
        <is>
          <t>Pass</t>
        </is>
      </c>
      <c r="H1374" s="50" t="inlineStr">
        <is>
          <t>không có CTE nào bị gọi lại</t>
        </is>
      </c>
      <c r="I1374" s="50" t="inlineStr">
        <is>
          <t>Với CTE nặng (đọc nhiều bảng Silver) bị tham chiếu từ 2 chỗ trở lên: gom lại còn một lần dùng, hoặc vật chất hóa (CACHE / bảng tạm). CTE nhẹ chỉ chứa tham số thì bỏ qua được — tự tick Pass.</t>
        </is>
      </c>
      <c r="J1374" s="48" t="inlineStr">
        <is>
          <t>108. OCB_GOLD_TTDL_BPM_TDCN_NVCT_THU.xlsx [Script: BPM_TDCN_NVCT]</t>
        </is>
      </c>
    </row>
    <row r="1375">
      <c r="A1375" s="48" t="inlineStr">
        <is>
          <t>BPM_TDCN_NVCT</t>
        </is>
      </c>
      <c r="B1375" s="48" t="inlineStr">
        <is>
          <t>SILVER_CONSUMER</t>
        </is>
      </c>
      <c r="C1375" s="48" t="inlineStr">
        <is>
          <t>3.3</t>
        </is>
      </c>
      <c r="D1375" s="48" t="inlineStr">
        <is>
          <t>Nhom 3 - Optimization</t>
        </is>
      </c>
      <c r="E1375" s="48" t="inlineStr">
        <is>
          <t>Filter trước khi join, tận dụng partition pruning</t>
        </is>
      </c>
      <c r="F1375" s="51" t="inlineStr">
        <is>
          <t>WARN</t>
        </is>
      </c>
      <c r="G1375" s="48" t="inlineStr">
        <is>
          <t>WARN</t>
        </is>
      </c>
      <c r="H1375" s="50" t="inlineStr">
        <is>
          <t>1 bảng join trực tiếp mà không có filter riêng: ref_bpm_danh_muc (DM)</t>
        </is>
      </c>
      <c r="I1375" s="50" t="inlineStr">
        <is>
          <t>Đưa điều kiện lọc (ngày dữ liệu, trạng thái) vào subquery của từng bảng TRƯỚC khi join, để tận dụng partition pruning. Bảng dim nhỏ không partition thì không cần — tự tick Pass.</t>
        </is>
      </c>
      <c r="J1375" s="48" t="inlineStr">
        <is>
          <t>108. OCB_GOLD_TTDL_BPM_TDCN_NVCT_THU.xlsx [Script: BPM_TDCN_NVCT]</t>
        </is>
      </c>
    </row>
    <row r="1376">
      <c r="A1376" s="48" t="inlineStr">
        <is>
          <t>BPM_TDCN_NVCT</t>
        </is>
      </c>
      <c r="B1376" s="48" t="inlineStr">
        <is>
          <t>SILVER_CONSUMER</t>
        </is>
      </c>
      <c r="C1376" s="48" t="inlineStr">
        <is>
          <t>3.4</t>
        </is>
      </c>
      <c r="D1376" s="48" t="inlineStr">
        <is>
          <t>Nhom 3 - Optimization</t>
        </is>
      </c>
      <c r="E1376" s="48" t="inlineStr">
        <is>
          <t>Sử dụng CACHE cho query lặp lại trong cùng luồng</t>
        </is>
      </c>
      <c r="F1376" s="48" t="inlineStr">
        <is>
          <t>N-A</t>
        </is>
      </c>
      <c r="G1376" s="48" t="inlineStr">
        <is>
          <t>Pass</t>
        </is>
      </c>
      <c r="H1376" s="50" t="inlineStr">
        <is>
          <t>không có kết quả nào được dùng lại nhiều lần nên chưa cần CACHE</t>
        </is>
      </c>
      <c r="I1376" s="50" t="inlineStr">
        <is>
          <t>Nếu một kết quả nặng được dùng lại nhiều bước trong cùng luồng, thêm CACHE TABLE / CACHE SELECT. Kết quả nhỏ thì cache còn chậm hơn — tự tick Pass.</t>
        </is>
      </c>
      <c r="J1376" s="48" t="inlineStr">
        <is>
          <t>108. OCB_GOLD_TTDL_BPM_TDCN_NVCT_THU.xlsx [Script: BPM_TDCN_NVCT]</t>
        </is>
      </c>
    </row>
    <row r="1377">
      <c r="A1377" s="48" t="inlineStr">
        <is>
          <t>BPM_TDCN_NVCT</t>
        </is>
      </c>
      <c r="B1377" s="48" t="inlineStr">
        <is>
          <t>SILVER_CONSUMER</t>
        </is>
      </c>
      <c r="C1377" s="48" t="inlineStr">
        <is>
          <t>3.5</t>
        </is>
      </c>
      <c r="D1377" s="48" t="inlineStr">
        <is>
          <t>Nhom 3 - Optimization</t>
        </is>
      </c>
      <c r="E1377" s="48" t="inlineStr">
        <is>
          <t>Ưu tiên MAX_BY + QUALIFY thay ROW_NUMBER() + WHERE rn = 1</t>
        </is>
      </c>
      <c r="F1377" s="48" t="inlineStr">
        <is>
          <t>N-A</t>
        </is>
      </c>
      <c r="G1377" s="48" t="inlineStr">
        <is>
          <t>Pass</t>
        </is>
      </c>
      <c r="H1377" s="50" t="inlineStr">
        <is>
          <t>script không dùng ROW_NUMBER</t>
        </is>
      </c>
      <c r="I1377"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77" s="48" t="inlineStr">
        <is>
          <t>108. OCB_GOLD_TTDL_BPM_TDCN_NVCT_THU.xlsx [Script: BPM_TDCN_NVCT]</t>
        </is>
      </c>
    </row>
    <row r="1378">
      <c r="A1378" s="48" t="inlineStr">
        <is>
          <t>BPM_TDCN_NVCT</t>
        </is>
      </c>
      <c r="B1378" s="48" t="inlineStr">
        <is>
          <t>SILVER_CONSUMER</t>
        </is>
      </c>
      <c r="C1378" s="48" t="inlineStr">
        <is>
          <t>3.6</t>
        </is>
      </c>
      <c r="D1378" s="48" t="inlineStr">
        <is>
          <t>Nhom 3 - Optimization</t>
        </is>
      </c>
      <c r="E1378" s="48" t="inlineStr">
        <is>
          <t>Không lạm dụng window function; có comment khi dùng</t>
        </is>
      </c>
      <c r="F1378" s="48" t="inlineStr">
        <is>
          <t>N-A</t>
        </is>
      </c>
      <c r="G1378" s="48" t="inlineStr">
        <is>
          <t>Pass</t>
        </is>
      </c>
      <c r="H1378" s="50" t="inlineStr">
        <is>
          <t>script không dùng window function</t>
        </is>
      </c>
      <c r="I1378" s="50" t="inlineStr">
        <is>
          <t>Mỗi window function cần một comment ngay trên khối CTE chứa nó, nói rõ vì sao không dùng được max_by/QUALIFY đơn giản hơn.</t>
        </is>
      </c>
      <c r="J1378" s="48" t="inlineStr">
        <is>
          <t>108. OCB_GOLD_TTDL_BPM_TDCN_NVCT_THU.xlsx [Script: BPM_TDCN_NVCT]</t>
        </is>
      </c>
    </row>
    <row r="1379">
      <c r="A1379" s="48" t="inlineStr">
        <is>
          <t>BPM_TDCN_NVCT</t>
        </is>
      </c>
      <c r="B1379" s="48" t="inlineStr">
        <is>
          <t>SILVER_CONSUMER</t>
        </is>
      </c>
      <c r="C1379" s="48" t="inlineStr">
        <is>
          <t>X.1</t>
        </is>
      </c>
      <c r="D1379" s="48" t="inlineStr">
        <is>
          <t>Nhom X - Bo sung Raffles</t>
        </is>
      </c>
      <c r="E1379" s="48" t="inlineStr">
        <is>
          <t>[Bổ sung] Link phải rút về current trước khi join (chống fan-out)</t>
        </is>
      </c>
      <c r="F1379" s="49" t="inlineStr">
        <is>
          <t>PASS</t>
        </is>
      </c>
      <c r="G1379" s="48" t="inlineStr">
        <is>
          <t>Pass</t>
        </is>
      </c>
      <c r="H1379" s="50" t="inlineStr">
        <is>
          <t>các bảng link_* đều được rút về current trước khi join</t>
        </is>
      </c>
      <c r="I1379"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79" s="48" t="inlineStr">
        <is>
          <t>108. OCB_GOLD_TTDL_BPM_TDCN_NVCT_THU.xlsx [Script: BPM_TDCN_NVCT]</t>
        </is>
      </c>
    </row>
    <row r="1380">
      <c r="A1380" s="48" t="inlineStr">
        <is>
          <t>BPM_TDCN_NVCT</t>
        </is>
      </c>
      <c r="B1380" s="48" t="inlineStr">
        <is>
          <t>SILVER_CONSUMER</t>
        </is>
      </c>
      <c r="C1380" s="48" t="inlineStr">
        <is>
          <t>X.6</t>
        </is>
      </c>
      <c r="D1380" s="48" t="inlineStr">
        <is>
          <t>Nhom X - Bo sung Raffles</t>
        </is>
      </c>
      <c r="E1380" s="48" t="inlineStr">
        <is>
          <t>[Bổ sung] Satellite phải LEFT JOIN, không INNER JOIN</t>
        </is>
      </c>
      <c r="F1380" s="49" t="inlineStr">
        <is>
          <t>PASS</t>
        </is>
      </c>
      <c r="G1380" s="48" t="inlineStr">
        <is>
          <t>Pass</t>
        </is>
      </c>
      <c r="H1380" s="50" t="inlineStr">
        <is>
          <t>các satellite đều LEFT JOIN</t>
        </is>
      </c>
      <c r="I1380" s="50" t="inlineStr">
        <is>
          <t>Technical Document III.4.2.2 nguyên tắc 1: làm giàu thuộc tính luôn dùng LEFT JOIN. INNER JOIN satellite sẽ loại mất bản ghi Hub đang còn hiệu lực nhưng chưa có dòng satellite.</t>
        </is>
      </c>
      <c r="J1380" s="48" t="inlineStr">
        <is>
          <t>108. OCB_GOLD_TTDL_BPM_TDCN_NVCT_THU.xlsx [Script: BPM_TDCN_NVCT]</t>
        </is>
      </c>
    </row>
    <row r="1381">
      <c r="A1381" s="48" t="inlineStr">
        <is>
          <t>BPM_TDCN_NVCT</t>
        </is>
      </c>
      <c r="B1381" s="48" t="inlineStr">
        <is>
          <t>SILVER_CONSUMER</t>
        </is>
      </c>
      <c r="C1381" s="48" t="inlineStr">
        <is>
          <t>X.7</t>
        </is>
      </c>
      <c r="D1381" s="48" t="inlineStr">
        <is>
          <t>Nhom X - Bo sung Raffles</t>
        </is>
      </c>
      <c r="E1381" s="48" t="inlineStr">
        <is>
          <t>[Bổ sung] Không hard-code catalog, dùng biến môi trường</t>
        </is>
      </c>
      <c r="F1381" s="49" t="inlineStr">
        <is>
          <t>PASS</t>
        </is>
      </c>
      <c r="G1381" s="48" t="inlineStr">
        <is>
          <t>Pass</t>
        </is>
      </c>
      <c r="H1381" s="50" t="inlineStr">
        <is>
          <t>dùng biến môi trường cho catalog</t>
        </is>
      </c>
      <c r="I1381"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81" s="48" t="inlineStr">
        <is>
          <t>108. OCB_GOLD_TTDL_BPM_TDCN_NVCT_THU.xlsx [Script: BPM_TDCN_NVCT]</t>
        </is>
      </c>
    </row>
    <row r="1382">
      <c r="A1382" s="48" t="inlineStr">
        <is>
          <t>BPM_TDCN_YCBS</t>
        </is>
      </c>
      <c r="B1382" s="48" t="inlineStr">
        <is>
          <t>SILVER_CONSUMER</t>
        </is>
      </c>
      <c r="C1382" s="48" t="inlineStr">
        <is>
          <t>1.1</t>
        </is>
      </c>
      <c r="D1382" s="48" t="inlineStr">
        <is>
          <t>Nhom 1 - Mapping</t>
        </is>
      </c>
      <c r="E1382" s="48" t="inlineStr">
        <is>
          <t>Đầy đủ mapping từ Silver/manual sang Gold</t>
        </is>
      </c>
      <c r="F1382" s="51" t="inlineStr">
        <is>
          <t>WARN</t>
        </is>
      </c>
      <c r="G1382" s="48" t="inlineStr">
        <is>
          <t>WARN</t>
        </is>
      </c>
      <c r="H1382" s="50" t="inlineStr">
        <is>
          <t>KHÔNG TÌM THẤY workbook thiết kế cho object BPM_TDCN_YCBS nên không đối chiếu được danh sách cột (SQL có 3 cột đầu ra)</t>
        </is>
      </c>
      <c r="I138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82" s="48" t="inlineStr">
        <is>
          <t>109. OCB_GOLD_TTDL_BPM_TDCN_YCBS_THU.xlsx [Script: BPM_TDCN_YCBS]</t>
        </is>
      </c>
    </row>
    <row r="1383">
      <c r="A1383" s="48" t="inlineStr">
        <is>
          <t>BPM_TDCN_YCBS</t>
        </is>
      </c>
      <c r="B1383" s="48" t="inlineStr">
        <is>
          <t>SILVER_CONSUMER</t>
        </is>
      </c>
      <c r="C1383" s="48" t="inlineStr">
        <is>
          <t>1.2</t>
        </is>
      </c>
      <c r="D1383" s="48" t="inlineStr">
        <is>
          <t>Nhom 1 - Mapping</t>
        </is>
      </c>
      <c r="E1383" s="48" t="inlineStr">
        <is>
          <t>Danh sách bảng/view Gold khớp tài liệu thiết kế đã duyệt</t>
        </is>
      </c>
      <c r="F1383" s="52" t="inlineStr">
        <is>
          <t>FAIL</t>
        </is>
      </c>
      <c r="G1383" s="48" t="inlineStr">
        <is>
          <t>Fail</t>
        </is>
      </c>
      <c r="H1383" s="50" t="inlineStr">
        <is>
          <t>BPM_TDCN_YCBS không có workbook thiết kế tương ứng trong thư mục mapping</t>
        </is>
      </c>
      <c r="I1383" s="50" t="inlineStr">
        <is>
          <t>Đảm bảo object có workbook thiết kế tương ứng trong thư mục --mapping-dir. Muốn đối chiếu với danh sách đã duyệt thì chạy thêm tham số --gold-list "&lt;file danh sách Gold&gt;.xlsx".</t>
        </is>
      </c>
      <c r="J1383" s="48" t="inlineStr">
        <is>
          <t>109. OCB_GOLD_TTDL_BPM_TDCN_YCBS_THU.xlsx [Script: BPM_TDCN_YCBS]</t>
        </is>
      </c>
    </row>
    <row r="1384">
      <c r="A1384" s="48" t="inlineStr">
        <is>
          <t>BPM_TDCN_YCBS</t>
        </is>
      </c>
      <c r="B1384" s="48" t="inlineStr">
        <is>
          <t>SILVER_CONSUMER</t>
        </is>
      </c>
      <c r="C1384" s="48" t="inlineStr">
        <is>
          <t>2.1</t>
        </is>
      </c>
      <c r="D1384" s="48" t="inlineStr">
        <is>
          <t>Nhom 2 - Logic</t>
        </is>
      </c>
      <c r="E1384" s="48" t="inlineStr">
        <is>
          <t>Chỉ lấy bản ghi active, loại bản ghi đã xóa (qua sts_hub)</t>
        </is>
      </c>
      <c r="F1384" s="49" t="inlineStr">
        <is>
          <t>PASS</t>
        </is>
      </c>
      <c r="G1384" s="48" t="inlineStr">
        <is>
          <t>Pass</t>
        </is>
      </c>
      <c r="H1384" s="50" t="inlineStr">
        <is>
          <t>1 sts_hub_* đọc đúng format</t>
        </is>
      </c>
      <c r="I138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84" s="48" t="inlineStr">
        <is>
          <t>109. OCB_GOLD_TTDL_BPM_TDCN_YCBS_THU.xlsx [Script: BPM_TDCN_YCBS]</t>
        </is>
      </c>
    </row>
    <row r="1385">
      <c r="A1385" s="48" t="inlineStr">
        <is>
          <t>BPM_TDCN_YCBS</t>
        </is>
      </c>
      <c r="B1385" s="48" t="inlineStr">
        <is>
          <t>SILVER_CONSUMER</t>
        </is>
      </c>
      <c r="C1385" s="48" t="inlineStr">
        <is>
          <t>2.2</t>
        </is>
      </c>
      <c r="D1385" s="48" t="inlineStr">
        <is>
          <t>Nhom 2 - Logic</t>
        </is>
      </c>
      <c r="E1385" s="48" t="inlineStr">
        <is>
          <t>Thống nhất MỘT pattern duy nhất xác định bản ghi active mới nhất</t>
        </is>
      </c>
      <c r="F1385" s="49" t="inlineStr">
        <is>
          <t>PASS</t>
        </is>
      </c>
      <c r="G1385" s="48" t="inlineStr">
        <is>
          <t>Pass</t>
        </is>
      </c>
      <c r="H1385" s="50" t="inlineStr">
        <is>
          <t>file này dùng: ['MAX_BY']; toàn batch dùng: ['MAX_BY']</t>
        </is>
      </c>
      <c r="I138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85" s="48" t="inlineStr">
        <is>
          <t>109. OCB_GOLD_TTDL_BPM_TDCN_YCBS_THU.xlsx [Script: BPM_TDCN_YCBS]</t>
        </is>
      </c>
    </row>
    <row r="1386">
      <c r="A1386" s="48" t="inlineStr">
        <is>
          <t>BPM_TDCN_YCBS</t>
        </is>
      </c>
      <c r="B1386" s="48" t="inlineStr">
        <is>
          <t>SILVER_CONSUMER</t>
        </is>
      </c>
      <c r="C1386" s="48" t="inlineStr">
        <is>
          <t>2.3</t>
        </is>
      </c>
      <c r="D1386" s="48" t="inlineStr">
        <is>
          <t>Nhom 2 - Logic</t>
        </is>
      </c>
      <c r="E1386" s="48" t="inlineStr">
        <is>
          <t>Điều kiện lọc trạng thái đặt SAU khi xác định bản ghi mới nhất</t>
        </is>
      </c>
      <c r="F1386" s="49" t="inlineStr">
        <is>
          <t>PASS</t>
        </is>
      </c>
      <c r="G1386" s="48" t="inlineStr">
        <is>
          <t>Pass</t>
        </is>
      </c>
      <c r="H1386" s="50" t="inlineStr">
        <is>
          <t>không có điều kiện trạng thái nào lồng trong JOIN ON</t>
        </is>
      </c>
      <c r="I138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86" s="48" t="inlineStr">
        <is>
          <t>109. OCB_GOLD_TTDL_BPM_TDCN_YCBS_THU.xlsx [Script: BPM_TDCN_YCBS]</t>
        </is>
      </c>
    </row>
    <row r="1387">
      <c r="A1387" s="48" t="inlineStr">
        <is>
          <t>BPM_TDCN_YCBS</t>
        </is>
      </c>
      <c r="B1387" s="48" t="inlineStr">
        <is>
          <t>SILVER_CONSUMER</t>
        </is>
      </c>
      <c r="C1387" s="48" t="inlineStr">
        <is>
          <t>2.4</t>
        </is>
      </c>
      <c r="D1387" s="48" t="inlineStr">
        <is>
          <t>Nhom 2 - Logic</t>
        </is>
      </c>
      <c r="E1387" s="48" t="inlineStr">
        <is>
          <t>source_event_date áp dụng đúng dạng theo loại bảng</t>
        </is>
      </c>
      <c r="F1387" s="52" t="inlineStr">
        <is>
          <t>FAIL</t>
        </is>
      </c>
      <c r="G1387" s="48" t="inlineStr">
        <is>
          <t>Fail</t>
        </is>
      </c>
      <c r="H1387" s="50" t="inlineStr">
        <is>
          <t>sat_giao_dich_thong_tin_chung (dong 27): là bảng transaction nên phải dùng source_event_date = :DATADT, đang dùng &lt;=</t>
        </is>
      </c>
      <c r="I138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87" s="48" t="inlineStr">
        <is>
          <t>109. OCB_GOLD_TTDL_BPM_TDCN_YCBS_THU.xlsx [Script: BPM_TDCN_YCBS]</t>
        </is>
      </c>
    </row>
    <row r="1388">
      <c r="A1388" s="48" t="inlineStr">
        <is>
          <t>BPM_TDCN_YCBS</t>
        </is>
      </c>
      <c r="B1388" s="48" t="inlineStr">
        <is>
          <t>SILVER_CONSUMER</t>
        </is>
      </c>
      <c r="C1388" s="48" t="inlineStr">
        <is>
          <t>2.5</t>
        </is>
      </c>
      <c r="D1388" s="48" t="inlineStr">
        <is>
          <t>Nhom 2 - Logic</t>
        </is>
      </c>
      <c r="E1388" s="48" t="inlineStr">
        <is>
          <t>Không lặp lại lỗi logic cũ đã được DA Data Vault fix</t>
        </is>
      </c>
      <c r="F1388" s="49" t="inlineStr">
        <is>
          <t>PASS</t>
        </is>
      </c>
      <c r="G1388" s="48" t="inlineStr">
        <is>
          <t>Pass</t>
        </is>
      </c>
      <c r="H1388" s="50" t="inlineStr">
        <is>
          <t>không trùng lỗi nào trong Issue log của DA Data Vault</t>
        </is>
      </c>
      <c r="I138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88" s="48" t="inlineStr">
        <is>
          <t>109. OCB_GOLD_TTDL_BPM_TDCN_YCBS_THU.xlsx [Script: BPM_TDCN_YCBS]</t>
        </is>
      </c>
    </row>
    <row r="1389">
      <c r="A1389" s="48" t="inlineStr">
        <is>
          <t>BPM_TDCN_YCBS</t>
        </is>
      </c>
      <c r="B1389" s="48" t="inlineStr">
        <is>
          <t>SILVER_CONSUMER</t>
        </is>
      </c>
      <c r="C1389" s="48" t="inlineStr">
        <is>
          <t>2.6</t>
        </is>
      </c>
      <c r="D1389" s="48" t="inlineStr">
        <is>
          <t>Nhom 2 - Logic</t>
        </is>
      </c>
      <c r="E1389" s="48" t="inlineStr">
        <is>
          <t>SCD Type 2 cho bảng DIM áp dụng đúng kỹ thuật đã thống nhất</t>
        </is>
      </c>
      <c r="F1389" s="48" t="inlineStr">
        <is>
          <t>N-A</t>
        </is>
      </c>
      <c r="G1389" s="48" t="inlineStr">
        <is>
          <t>Pass</t>
        </is>
      </c>
      <c r="H1389" s="50" t="inlineStr">
        <is>
          <t>object không phải bảng DIM nên không áp dụng SCD Type 2</t>
        </is>
      </c>
      <c r="I138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89" s="48" t="inlineStr">
        <is>
          <t>109. OCB_GOLD_TTDL_BPM_TDCN_YCBS_THU.xlsx [Script: BPM_TDCN_YCBS]</t>
        </is>
      </c>
    </row>
    <row r="1390">
      <c r="A1390" s="48" t="inlineStr">
        <is>
          <t>BPM_TDCN_YCBS</t>
        </is>
      </c>
      <c r="B1390" s="48" t="inlineStr">
        <is>
          <t>SILVER_CONSUMER</t>
        </is>
      </c>
      <c r="C1390" s="48" t="inlineStr">
        <is>
          <t>2.7</t>
        </is>
      </c>
      <c r="D1390" s="48" t="inlineStr">
        <is>
          <t>Nhom 2 - Logic</t>
        </is>
      </c>
      <c r="E1390" s="48" t="inlineStr">
        <is>
          <t>CASE WHEN cover đủ nhánh như job on-prem</t>
        </is>
      </c>
      <c r="F1390" s="49" t="inlineStr">
        <is>
          <t>PASS</t>
        </is>
      </c>
      <c r="G1390" s="48" t="inlineStr">
        <is>
          <t>Pass</t>
        </is>
      </c>
      <c r="H1390" s="50" t="inlineStr">
        <is>
          <t>cả 2 CASE đều có nhánh ELSE</t>
        </is>
      </c>
      <c r="I1390" s="50" t="inlineStr">
        <is>
          <t>Mở job on-prem tương ứng (DataStage DSX hoặc SQL cũ), đối chiếu từng nhánh WHEN và cả nhánh ELSE. CASE không có ELSE sẽ trả NULL âm thầm — xác nhận đó là ý muốn hay thiếu nhánh.</t>
        </is>
      </c>
      <c r="J1390" s="48" t="inlineStr">
        <is>
          <t>109. OCB_GOLD_TTDL_BPM_TDCN_YCBS_THU.xlsx [Script: BPM_TDCN_YCBS]</t>
        </is>
      </c>
    </row>
    <row r="1391">
      <c r="A1391" s="48" t="inlineStr">
        <is>
          <t>BPM_TDCN_YCBS</t>
        </is>
      </c>
      <c r="B1391" s="48" t="inlineStr">
        <is>
          <t>SILVER_CONSUMER</t>
        </is>
      </c>
      <c r="C1391" s="48" t="inlineStr">
        <is>
          <t>2.8</t>
        </is>
      </c>
      <c r="D1391" s="48" t="inlineStr">
        <is>
          <t>Nhom 2 - Logic</t>
        </is>
      </c>
      <c r="E1391" s="48" t="inlineStr">
        <is>
          <t>Cột SUM/COUNT được COALESCE/NVL hợp lý</t>
        </is>
      </c>
      <c r="F1391" s="51" t="inlineStr">
        <is>
          <t>WARN</t>
        </is>
      </c>
      <c r="G1391" s="48" t="inlineStr">
        <is>
          <t>WARN</t>
        </is>
      </c>
      <c r="H1391" s="50" t="inlineStr">
        <is>
          <t>2 biểu thức tổng hợp chưa coalesce: YCBS_DVTD_ST = SUM(CASE WHEN A.vai_tro_nguoi_xl = 448 THEN 1 ELSE 0 END); YCBS_DVTD_XL = SUM(CASE WHEN A.vai_tro_nguoi_xl = 450 THEN 1 ELSE 0 END); khi đối soát với hệ thống cũ phải bọc NVL/ISNULL CẢ HAI phía để không lệch khi trừ (Checklist RVN-OCB #11)</t>
        </is>
      </c>
      <c r="I139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91" s="48" t="inlineStr">
        <is>
          <t>109. OCB_GOLD_TTDL_BPM_TDCN_YCBS_THU.xlsx [Script: BPM_TDCN_YCBS]</t>
        </is>
      </c>
    </row>
    <row r="1392">
      <c r="A1392" s="48" t="inlineStr">
        <is>
          <t>BPM_TDCN_YCBS</t>
        </is>
      </c>
      <c r="B1392" s="48" t="inlineStr">
        <is>
          <t>SILVER_CONSUMER</t>
        </is>
      </c>
      <c r="C1392" s="48" t="inlineStr">
        <is>
          <t>2.9</t>
        </is>
      </c>
      <c r="D1392" s="48" t="inlineStr">
        <is>
          <t>Nhom 2 - Logic</t>
        </is>
      </c>
      <c r="E1392" s="48" t="inlineStr">
        <is>
          <t>Subquery / custom function / điều kiện LIKE đúng ý nghĩa nghiệp vụ</t>
        </is>
      </c>
      <c r="F1392" s="48" t="inlineStr">
        <is>
          <t>N-A</t>
        </is>
      </c>
      <c r="G1392" s="48" t="inlineStr">
        <is>
          <t>Pass</t>
        </is>
      </c>
      <c r="H1392" s="50" t="inlineStr">
        <is>
          <t>script không có điều kiện LIKE hay scalar subquery nào</t>
        </is>
      </c>
      <c r="I1392" s="50" t="inlineStr">
        <is>
          <t>Đọc lại từng điều kiện LIKE và từng subquery, đối chiếu ý nghĩa nghiệp vụ với on-prem — đúng cú pháp không đủ. Chú ý pattern LIKE có ký tự % ở đầu/cuối và phân biệt chữ hoa/thường.</t>
        </is>
      </c>
      <c r="J1392" s="48" t="inlineStr">
        <is>
          <t>109. OCB_GOLD_TTDL_BPM_TDCN_YCBS_THU.xlsx [Script: BPM_TDCN_YCBS]</t>
        </is>
      </c>
    </row>
    <row r="1393">
      <c r="A1393" s="48" t="inlineStr">
        <is>
          <t>BPM_TDCN_YCBS</t>
        </is>
      </c>
      <c r="B1393" s="48" t="inlineStr">
        <is>
          <t>SILVER_CONSUMER</t>
        </is>
      </c>
      <c r="C1393" s="48" t="inlineStr">
        <is>
          <t>2.10</t>
        </is>
      </c>
      <c r="D1393" s="48" t="inlineStr">
        <is>
          <t>Nhom 2 - Logic</t>
        </is>
      </c>
      <c r="E1393" s="48" t="inlineStr">
        <is>
          <t>Aggregation kèm filter date range chính xác</t>
        </is>
      </c>
      <c r="F1393" s="49" t="inlineStr">
        <is>
          <t>PASS</t>
        </is>
      </c>
      <c r="G1393" s="48" t="inlineStr">
        <is>
          <t>Pass</t>
        </is>
      </c>
      <c r="H1393" s="50" t="inlineStr">
        <is>
          <t>mọi khối tổng hợp đều có điều kiện theo kỳ dữ liệu</t>
        </is>
      </c>
      <c r="I1393" s="50" t="inlineStr">
        <is>
          <t>Mỗi khối SUM/COUNT/AVG phải có điều kiện lọc theo kỳ dữ liệu (CDR_DT_ID, DATA_DATE, :DATADT…). Nếu điều kiện nằm ở CTE nguồn thì ghi rõ trong comment để người review không phải truy ngược.</t>
        </is>
      </c>
      <c r="J1393" s="48" t="inlineStr">
        <is>
          <t>109. OCB_GOLD_TTDL_BPM_TDCN_YCBS_THU.xlsx [Script: BPM_TDCN_YCBS]</t>
        </is>
      </c>
    </row>
    <row r="1394">
      <c r="A1394" s="48" t="inlineStr">
        <is>
          <t>BPM_TDCN_YCBS</t>
        </is>
      </c>
      <c r="B1394" s="48" t="inlineStr">
        <is>
          <t>SILVER_CONSUMER</t>
        </is>
      </c>
      <c r="C1394" s="48" t="inlineStr">
        <is>
          <t>2.11</t>
        </is>
      </c>
      <c r="D1394" s="48" t="inlineStr">
        <is>
          <t>Nhom 2 - Logic</t>
        </is>
      </c>
      <c r="E1394" s="48" t="inlineStr">
        <is>
          <t>Join dùng key hợp lý, không lạm dụng UNION ALL + EXISTS/NOT EXISTS</t>
        </is>
      </c>
      <c r="F1394" s="49" t="inlineStr">
        <is>
          <t>PASS</t>
        </is>
      </c>
      <c r="G1394" s="48" t="inlineStr">
        <is>
          <t>Pass</t>
        </is>
      </c>
      <c r="H1394" s="50" t="inlineStr">
        <is>
          <t>join đều theo điều kiện bằng, không lạm dụng UNION ALL + EXISTS</t>
        </is>
      </c>
      <c r="I1394" s="50" t="inlineStr">
        <is>
          <t>Ưu tiên LEFT JOIN theo business key hoặc hashkey. Xem lại các chỗ dùng UNION ALL kết hợp EXISTS/NOT EXISTS — thường thay được bằng một LEFT JOIN. Join không có điều kiện bằng (=) dễ tạo tích Descartes.</t>
        </is>
      </c>
      <c r="J1394" s="48" t="inlineStr">
        <is>
          <t>109. OCB_GOLD_TTDL_BPM_TDCN_YCBS_THU.xlsx [Script: BPM_TDCN_YCBS]</t>
        </is>
      </c>
    </row>
    <row r="1395">
      <c r="A1395" s="48" t="inlineStr">
        <is>
          <t>BPM_TDCN_YCBS</t>
        </is>
      </c>
      <c r="B1395" s="48" t="inlineStr">
        <is>
          <t>SILVER_CONSUMER</t>
        </is>
      </c>
      <c r="C1395" s="48" t="inlineStr">
        <is>
          <t>2.12</t>
        </is>
      </c>
      <c r="D1395" s="48" t="inlineStr">
        <is>
          <t>Nhom 2 - Logic</t>
        </is>
      </c>
      <c r="E1395" s="48" t="inlineStr">
        <is>
          <t>Build Gold từ CTE snapshot Silver, không build nhiều tầng chồng chéo</t>
        </is>
      </c>
      <c r="F1395" s="49" t="inlineStr">
        <is>
          <t>PASS</t>
        </is>
      </c>
      <c r="G1395" s="48" t="inlineStr">
        <is>
          <t>Pass</t>
        </is>
      </c>
      <c r="H1395" s="50" t="inlineStr">
        <is>
          <t>mỗi bảng nguồn chỉ đọc trong 1 khối SELECT</t>
        </is>
      </c>
      <c r="I139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95" s="48" t="inlineStr">
        <is>
          <t>109. OCB_GOLD_TTDL_BPM_TDCN_YCBS_THU.xlsx [Script: BPM_TDCN_YCBS]</t>
        </is>
      </c>
    </row>
    <row r="1396">
      <c r="A1396" s="48" t="inlineStr">
        <is>
          <t>BPM_TDCN_YCBS</t>
        </is>
      </c>
      <c r="B1396" s="48" t="inlineStr">
        <is>
          <t>SILVER_CONSUMER</t>
        </is>
      </c>
      <c r="C1396" s="48" t="inlineStr">
        <is>
          <t>3.1</t>
        </is>
      </c>
      <c r="D1396" s="48" t="inlineStr">
        <is>
          <t>Nhom 3 - Optimization</t>
        </is>
      </c>
      <c r="E1396" s="48" t="inlineStr">
        <is>
          <t>Không SELECT *</t>
        </is>
      </c>
      <c r="F1396" s="49" t="inlineStr">
        <is>
          <t>PASS</t>
        </is>
      </c>
      <c r="G1396" s="48" t="inlineStr">
        <is>
          <t>Pass</t>
        </is>
      </c>
      <c r="H1396" s="50" t="inlineStr">
        <is>
          <t>không dùng SELECT * ở đâu</t>
        </is>
      </c>
      <c r="I1396" s="50" t="inlineStr">
        <is>
          <t>Liệt kê tường minh các cột cần dùng, kể cả trong CTE trung gian. SELECT * làm tăng IO/memory và vỡ script khi bảng nguồn thêm cột.</t>
        </is>
      </c>
      <c r="J1396" s="48" t="inlineStr">
        <is>
          <t>109. OCB_GOLD_TTDL_BPM_TDCN_YCBS_THU.xlsx [Script: BPM_TDCN_YCBS]</t>
        </is>
      </c>
    </row>
    <row r="1397">
      <c r="A1397" s="48" t="inlineStr">
        <is>
          <t>BPM_TDCN_YCBS</t>
        </is>
      </c>
      <c r="B1397" s="48" t="inlineStr">
        <is>
          <t>SILVER_CONSUMER</t>
        </is>
      </c>
      <c r="C1397" s="48" t="inlineStr">
        <is>
          <t>3.2</t>
        </is>
      </c>
      <c r="D1397" s="48" t="inlineStr">
        <is>
          <t>Nhom 3 - Optimization</t>
        </is>
      </c>
      <c r="E1397" s="48" t="inlineStr">
        <is>
          <t>CTE không bị scan lại nhiều lần</t>
        </is>
      </c>
      <c r="F1397" s="49" t="inlineStr">
        <is>
          <t>PASS</t>
        </is>
      </c>
      <c r="G1397" s="48" t="inlineStr">
        <is>
          <t>Pass</t>
        </is>
      </c>
      <c r="H1397" s="50" t="inlineStr">
        <is>
          <t>không có CTE nào bị gọi lại</t>
        </is>
      </c>
      <c r="I1397" s="50" t="inlineStr">
        <is>
          <t>Với CTE nặng (đọc nhiều bảng Silver) bị tham chiếu từ 2 chỗ trở lên: gom lại còn một lần dùng, hoặc vật chất hóa (CACHE / bảng tạm). CTE nhẹ chỉ chứa tham số thì bỏ qua được — tự tick Pass.</t>
        </is>
      </c>
      <c r="J1397" s="48" t="inlineStr">
        <is>
          <t>109. OCB_GOLD_TTDL_BPM_TDCN_YCBS_THU.xlsx [Script: BPM_TDCN_YCBS]</t>
        </is>
      </c>
    </row>
    <row r="1398">
      <c r="A1398" s="48" t="inlineStr">
        <is>
          <t>BPM_TDCN_YCBS</t>
        </is>
      </c>
      <c r="B1398" s="48" t="inlineStr">
        <is>
          <t>SILVER_CONSUMER</t>
        </is>
      </c>
      <c r="C1398" s="48" t="inlineStr">
        <is>
          <t>3.3</t>
        </is>
      </c>
      <c r="D1398" s="48" t="inlineStr">
        <is>
          <t>Nhom 3 - Optimization</t>
        </is>
      </c>
      <c r="E1398" s="48" t="inlineStr">
        <is>
          <t>Filter trước khi join, tận dụng partition pruning</t>
        </is>
      </c>
      <c r="F1398" s="49" t="inlineStr">
        <is>
          <t>PASS</t>
        </is>
      </c>
      <c r="G1398" s="48" t="inlineStr">
        <is>
          <t>Pass</t>
        </is>
      </c>
      <c r="H1398" s="50" t="inlineStr">
        <is>
          <t>các bảng join đều được filter trước</t>
        </is>
      </c>
      <c r="I1398" s="50" t="inlineStr">
        <is>
          <t>Đưa điều kiện lọc (ngày dữ liệu, trạng thái) vào subquery của từng bảng TRƯỚC khi join, để tận dụng partition pruning. Bảng dim nhỏ không partition thì không cần — tự tick Pass.</t>
        </is>
      </c>
      <c r="J1398" s="48" t="inlineStr">
        <is>
          <t>109. OCB_GOLD_TTDL_BPM_TDCN_YCBS_THU.xlsx [Script: BPM_TDCN_YCBS]</t>
        </is>
      </c>
    </row>
    <row r="1399">
      <c r="A1399" s="48" t="inlineStr">
        <is>
          <t>BPM_TDCN_YCBS</t>
        </is>
      </c>
      <c r="B1399" s="48" t="inlineStr">
        <is>
          <t>SILVER_CONSUMER</t>
        </is>
      </c>
      <c r="C1399" s="48" t="inlineStr">
        <is>
          <t>3.4</t>
        </is>
      </c>
      <c r="D1399" s="48" t="inlineStr">
        <is>
          <t>Nhom 3 - Optimization</t>
        </is>
      </c>
      <c r="E1399" s="48" t="inlineStr">
        <is>
          <t>Sử dụng CACHE cho query lặp lại trong cùng luồng</t>
        </is>
      </c>
      <c r="F1399" s="48" t="inlineStr">
        <is>
          <t>N-A</t>
        </is>
      </c>
      <c r="G1399" s="48" t="inlineStr">
        <is>
          <t>Pass</t>
        </is>
      </c>
      <c r="H1399" s="50" t="inlineStr">
        <is>
          <t>không có kết quả nào được dùng lại nhiều lần nên chưa cần CACHE</t>
        </is>
      </c>
      <c r="I1399" s="50" t="inlineStr">
        <is>
          <t>Nếu một kết quả nặng được dùng lại nhiều bước trong cùng luồng, thêm CACHE TABLE / CACHE SELECT. Kết quả nhỏ thì cache còn chậm hơn — tự tick Pass.</t>
        </is>
      </c>
      <c r="J1399" s="48" t="inlineStr">
        <is>
          <t>109. OCB_GOLD_TTDL_BPM_TDCN_YCBS_THU.xlsx [Script: BPM_TDCN_YCBS]</t>
        </is>
      </c>
    </row>
    <row r="1400">
      <c r="A1400" s="48" t="inlineStr">
        <is>
          <t>BPM_TDCN_YCBS</t>
        </is>
      </c>
      <c r="B1400" s="48" t="inlineStr">
        <is>
          <t>SILVER_CONSUMER</t>
        </is>
      </c>
      <c r="C1400" s="48" t="inlineStr">
        <is>
          <t>3.5</t>
        </is>
      </c>
      <c r="D1400" s="48" t="inlineStr">
        <is>
          <t>Nhom 3 - Optimization</t>
        </is>
      </c>
      <c r="E1400" s="48" t="inlineStr">
        <is>
          <t>Ưu tiên MAX_BY + QUALIFY thay ROW_NUMBER() + WHERE rn = 1</t>
        </is>
      </c>
      <c r="F1400" s="48" t="inlineStr">
        <is>
          <t>N-A</t>
        </is>
      </c>
      <c r="G1400" s="48" t="inlineStr">
        <is>
          <t>Pass</t>
        </is>
      </c>
      <c r="H1400" s="50" t="inlineStr">
        <is>
          <t>script không dùng ROW_NUMBER</t>
        </is>
      </c>
      <c r="I140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00" s="48" t="inlineStr">
        <is>
          <t>109. OCB_GOLD_TTDL_BPM_TDCN_YCBS_THU.xlsx [Script: BPM_TDCN_YCBS]</t>
        </is>
      </c>
    </row>
    <row r="1401">
      <c r="A1401" s="48" t="inlineStr">
        <is>
          <t>BPM_TDCN_YCBS</t>
        </is>
      </c>
      <c r="B1401" s="48" t="inlineStr">
        <is>
          <t>SILVER_CONSUMER</t>
        </is>
      </c>
      <c r="C1401" s="48" t="inlineStr">
        <is>
          <t>3.6</t>
        </is>
      </c>
      <c r="D1401" s="48" t="inlineStr">
        <is>
          <t>Nhom 3 - Optimization</t>
        </is>
      </c>
      <c r="E1401" s="48" t="inlineStr">
        <is>
          <t>Không lạm dụng window function; có comment khi dùng</t>
        </is>
      </c>
      <c r="F1401" s="48" t="inlineStr">
        <is>
          <t>N-A</t>
        </is>
      </c>
      <c r="G1401" s="48" t="inlineStr">
        <is>
          <t>Pass</t>
        </is>
      </c>
      <c r="H1401" s="50" t="inlineStr">
        <is>
          <t>script không dùng window function</t>
        </is>
      </c>
      <c r="I1401" s="50" t="inlineStr">
        <is>
          <t>Mỗi window function cần một comment ngay trên khối CTE chứa nó, nói rõ vì sao không dùng được max_by/QUALIFY đơn giản hơn.</t>
        </is>
      </c>
      <c r="J1401" s="48" t="inlineStr">
        <is>
          <t>109. OCB_GOLD_TTDL_BPM_TDCN_YCBS_THU.xlsx [Script: BPM_TDCN_YCBS]</t>
        </is>
      </c>
    </row>
    <row r="1402">
      <c r="A1402" s="48" t="inlineStr">
        <is>
          <t>BPM_TDCN_YCBS</t>
        </is>
      </c>
      <c r="B1402" s="48" t="inlineStr">
        <is>
          <t>SILVER_CONSUMER</t>
        </is>
      </c>
      <c r="C1402" s="48" t="inlineStr">
        <is>
          <t>X.1</t>
        </is>
      </c>
      <c r="D1402" s="48" t="inlineStr">
        <is>
          <t>Nhom X - Bo sung Raffles</t>
        </is>
      </c>
      <c r="E1402" s="48" t="inlineStr">
        <is>
          <t>[Bổ sung] Link phải rút về current trước khi join (chống fan-out)</t>
        </is>
      </c>
      <c r="F1402" s="49" t="inlineStr">
        <is>
          <t>PASS</t>
        </is>
      </c>
      <c r="G1402" s="48" t="inlineStr">
        <is>
          <t>Pass</t>
        </is>
      </c>
      <c r="H1402" s="50" t="inlineStr">
        <is>
          <t>các bảng link_* đều được rút về current trước khi join</t>
        </is>
      </c>
      <c r="I140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02" s="48" t="inlineStr">
        <is>
          <t>109. OCB_GOLD_TTDL_BPM_TDCN_YCBS_THU.xlsx [Script: BPM_TDCN_YCBS]</t>
        </is>
      </c>
    </row>
    <row r="1403">
      <c r="A1403" s="48" t="inlineStr">
        <is>
          <t>BPM_TDCN_YCBS</t>
        </is>
      </c>
      <c r="B1403" s="48" t="inlineStr">
        <is>
          <t>SILVER_CONSUMER</t>
        </is>
      </c>
      <c r="C1403" s="48" t="inlineStr">
        <is>
          <t>X.6</t>
        </is>
      </c>
      <c r="D1403" s="48" t="inlineStr">
        <is>
          <t>Nhom X - Bo sung Raffles</t>
        </is>
      </c>
      <c r="E1403" s="48" t="inlineStr">
        <is>
          <t>[Bổ sung] Satellite phải LEFT JOIN, không INNER JOIN</t>
        </is>
      </c>
      <c r="F1403" s="49" t="inlineStr">
        <is>
          <t>PASS</t>
        </is>
      </c>
      <c r="G1403" s="48" t="inlineStr">
        <is>
          <t>Pass</t>
        </is>
      </c>
      <c r="H1403" s="50" t="inlineStr">
        <is>
          <t>các satellite đều LEFT JOIN</t>
        </is>
      </c>
      <c r="I1403" s="50" t="inlineStr">
        <is>
          <t>Technical Document III.4.2.2 nguyên tắc 1: làm giàu thuộc tính luôn dùng LEFT JOIN. INNER JOIN satellite sẽ loại mất bản ghi Hub đang còn hiệu lực nhưng chưa có dòng satellite.</t>
        </is>
      </c>
      <c r="J1403" s="48" t="inlineStr">
        <is>
          <t>109. OCB_GOLD_TTDL_BPM_TDCN_YCBS_THU.xlsx [Script: BPM_TDCN_YCBS]</t>
        </is>
      </c>
    </row>
    <row r="1404">
      <c r="A1404" s="48" t="inlineStr">
        <is>
          <t>BPM_TDCN_YCBS</t>
        </is>
      </c>
      <c r="B1404" s="48" t="inlineStr">
        <is>
          <t>SILVER_CONSUMER</t>
        </is>
      </c>
      <c r="C1404" s="48" t="inlineStr">
        <is>
          <t>X.7</t>
        </is>
      </c>
      <c r="D1404" s="48" t="inlineStr">
        <is>
          <t>Nhom X - Bo sung Raffles</t>
        </is>
      </c>
      <c r="E1404" s="48" t="inlineStr">
        <is>
          <t>[Bổ sung] Không hard-code catalog, dùng biến môi trường</t>
        </is>
      </c>
      <c r="F1404" s="49" t="inlineStr">
        <is>
          <t>PASS</t>
        </is>
      </c>
      <c r="G1404" s="48" t="inlineStr">
        <is>
          <t>Pass</t>
        </is>
      </c>
      <c r="H1404" s="50" t="inlineStr">
        <is>
          <t>dùng biến môi trường cho catalog</t>
        </is>
      </c>
      <c r="I140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04" s="48" t="inlineStr">
        <is>
          <t>109. OCB_GOLD_TTDL_BPM_TDCN_YCBS_THU.xlsx [Script: BPM_TDCN_YCBS]</t>
        </is>
      </c>
    </row>
    <row r="1405">
      <c r="A1405" s="48" t="inlineStr">
        <is>
          <t>BPM_VOLUME_CTGD</t>
        </is>
      </c>
      <c r="B1405" s="48" t="inlineStr">
        <is>
          <t>SILVER_CONSUMER</t>
        </is>
      </c>
      <c r="C1405" s="48" t="inlineStr">
        <is>
          <t>1.1</t>
        </is>
      </c>
      <c r="D1405" s="48" t="inlineStr">
        <is>
          <t>Nhom 1 - Mapping</t>
        </is>
      </c>
      <c r="E1405" s="48" t="inlineStr">
        <is>
          <t>Đầy đủ mapping từ Silver/manual sang Gold</t>
        </is>
      </c>
      <c r="F1405" s="51" t="inlineStr">
        <is>
          <t>WARN</t>
        </is>
      </c>
      <c r="G1405" s="48" t="inlineStr">
        <is>
          <t>WARN</t>
        </is>
      </c>
      <c r="H1405" s="50" t="inlineStr">
        <is>
          <t>KHÔNG TÌM THẤY workbook thiết kế cho object BPM_VOLUME_CTGD nên không đối chiếu được danh sách cột (SQL có 19 cột đầu ra)</t>
        </is>
      </c>
      <c r="I1405"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05" s="48" t="inlineStr">
        <is>
          <t>110. OCB_GOLD_TTDL_BPM_VOLUME_CTGD_THU.xlsx [Script: BPM_VOLUME_CTGD]</t>
        </is>
      </c>
    </row>
    <row r="1406">
      <c r="A1406" s="48" t="inlineStr">
        <is>
          <t>BPM_VOLUME_CTGD</t>
        </is>
      </c>
      <c r="B1406" s="48" t="inlineStr">
        <is>
          <t>SILVER_CONSUMER</t>
        </is>
      </c>
      <c r="C1406" s="48" t="inlineStr">
        <is>
          <t>1.2</t>
        </is>
      </c>
      <c r="D1406" s="48" t="inlineStr">
        <is>
          <t>Nhom 1 - Mapping</t>
        </is>
      </c>
      <c r="E1406" s="48" t="inlineStr">
        <is>
          <t>Danh sách bảng/view Gold khớp tài liệu thiết kế đã duyệt</t>
        </is>
      </c>
      <c r="F1406" s="52" t="inlineStr">
        <is>
          <t>FAIL</t>
        </is>
      </c>
      <c r="G1406" s="48" t="inlineStr">
        <is>
          <t>Fail</t>
        </is>
      </c>
      <c r="H1406" s="50" t="inlineStr">
        <is>
          <t>BPM_VOLUME_CTGD không có workbook thiết kế tương ứng trong thư mục mapping</t>
        </is>
      </c>
      <c r="I1406" s="50" t="inlineStr">
        <is>
          <t>Đảm bảo object có workbook thiết kế tương ứng trong thư mục --mapping-dir. Muốn đối chiếu với danh sách đã duyệt thì chạy thêm tham số --gold-list "&lt;file danh sách Gold&gt;.xlsx".</t>
        </is>
      </c>
      <c r="J1406" s="48" t="inlineStr">
        <is>
          <t>110. OCB_GOLD_TTDL_BPM_VOLUME_CTGD_THU.xlsx [Script: BPM_VOLUME_CTGD]</t>
        </is>
      </c>
    </row>
    <row r="1407">
      <c r="A1407" s="48" t="inlineStr">
        <is>
          <t>BPM_VOLUME_CTGD</t>
        </is>
      </c>
      <c r="B1407" s="48" t="inlineStr">
        <is>
          <t>SILVER_CONSUMER</t>
        </is>
      </c>
      <c r="C1407" s="48" t="inlineStr">
        <is>
          <t>2.1</t>
        </is>
      </c>
      <c r="D1407" s="48" t="inlineStr">
        <is>
          <t>Nhom 2 - Logic</t>
        </is>
      </c>
      <c r="E1407" s="48" t="inlineStr">
        <is>
          <t>Chỉ lấy bản ghi active, loại bản ghi đã xóa (qua sts_hub)</t>
        </is>
      </c>
      <c r="F1407" s="49" t="inlineStr">
        <is>
          <t>PASS</t>
        </is>
      </c>
      <c r="G1407" s="48" t="inlineStr">
        <is>
          <t>Pass</t>
        </is>
      </c>
      <c r="H1407" s="50" t="inlineStr">
        <is>
          <t>4 sts_hub_* đọc đúng format</t>
        </is>
      </c>
      <c r="I1407"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07" s="48" t="inlineStr">
        <is>
          <t>110. OCB_GOLD_TTDL_BPM_VOLUME_CTGD_THU.xlsx [Script: BPM_VOLUME_CTGD]</t>
        </is>
      </c>
    </row>
    <row r="1408">
      <c r="A1408" s="48" t="inlineStr">
        <is>
          <t>BPM_VOLUME_CTGD</t>
        </is>
      </c>
      <c r="B1408" s="48" t="inlineStr">
        <is>
          <t>SILVER_CONSUMER</t>
        </is>
      </c>
      <c r="C1408" s="48" t="inlineStr">
        <is>
          <t>2.2</t>
        </is>
      </c>
      <c r="D1408" s="48" t="inlineStr">
        <is>
          <t>Nhom 2 - Logic</t>
        </is>
      </c>
      <c r="E1408" s="48" t="inlineStr">
        <is>
          <t>Thống nhất MỘT pattern duy nhất xác định bản ghi active mới nhất</t>
        </is>
      </c>
      <c r="F1408" s="49" t="inlineStr">
        <is>
          <t>PASS</t>
        </is>
      </c>
      <c r="G1408" s="48" t="inlineStr">
        <is>
          <t>Pass</t>
        </is>
      </c>
      <c r="H1408" s="50" t="inlineStr">
        <is>
          <t>file này dùng: ['MAX_BY']; toàn batch dùng: ['MAX_BY']</t>
        </is>
      </c>
      <c r="I1408"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08" s="48" t="inlineStr">
        <is>
          <t>110. OCB_GOLD_TTDL_BPM_VOLUME_CTGD_THU.xlsx [Script: BPM_VOLUME_CTGD]</t>
        </is>
      </c>
    </row>
    <row r="1409">
      <c r="A1409" s="48" t="inlineStr">
        <is>
          <t>BPM_VOLUME_CTGD</t>
        </is>
      </c>
      <c r="B1409" s="48" t="inlineStr">
        <is>
          <t>SILVER_CONSUMER</t>
        </is>
      </c>
      <c r="C1409" s="48" t="inlineStr">
        <is>
          <t>2.3</t>
        </is>
      </c>
      <c r="D1409" s="48" t="inlineStr">
        <is>
          <t>Nhom 2 - Logic</t>
        </is>
      </c>
      <c r="E1409" s="48" t="inlineStr">
        <is>
          <t>Điều kiện lọc trạng thái đặt SAU khi xác định bản ghi mới nhất</t>
        </is>
      </c>
      <c r="F1409" s="49" t="inlineStr">
        <is>
          <t>PASS</t>
        </is>
      </c>
      <c r="G1409" s="48" t="inlineStr">
        <is>
          <t>Pass</t>
        </is>
      </c>
      <c r="H1409" s="50" t="inlineStr">
        <is>
          <t>không có điều kiện trạng thái nào lồng trong JOIN ON</t>
        </is>
      </c>
      <c r="I1409"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09" s="48" t="inlineStr">
        <is>
          <t>110. OCB_GOLD_TTDL_BPM_VOLUME_CTGD_THU.xlsx [Script: BPM_VOLUME_CTGD]</t>
        </is>
      </c>
    </row>
    <row r="1410">
      <c r="A1410" s="48" t="inlineStr">
        <is>
          <t>BPM_VOLUME_CTGD</t>
        </is>
      </c>
      <c r="B1410" s="48" t="inlineStr">
        <is>
          <t>SILVER_CONSUMER</t>
        </is>
      </c>
      <c r="C1410" s="48" t="inlineStr">
        <is>
          <t>2.4</t>
        </is>
      </c>
      <c r="D1410" s="48" t="inlineStr">
        <is>
          <t>Nhom 2 - Logic</t>
        </is>
      </c>
      <c r="E1410" s="48" t="inlineStr">
        <is>
          <t>source_event_date áp dụng đúng dạng theo loại bảng</t>
        </is>
      </c>
      <c r="F1410" s="49" t="inlineStr">
        <is>
          <t>PASS</t>
        </is>
      </c>
      <c r="G1410" s="48" t="inlineStr">
        <is>
          <t>Pass</t>
        </is>
      </c>
      <c r="H1410" s="50" t="inlineStr">
        <is>
          <t>8 satellite đều đúng dạng điều kiện source_event_date</t>
        </is>
      </c>
      <c r="I1410"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10" s="48" t="inlineStr">
        <is>
          <t>110. OCB_GOLD_TTDL_BPM_VOLUME_CTGD_THU.xlsx [Script: BPM_VOLUME_CTGD]</t>
        </is>
      </c>
    </row>
    <row r="1411">
      <c r="A1411" s="48" t="inlineStr">
        <is>
          <t>BPM_VOLUME_CTGD</t>
        </is>
      </c>
      <c r="B1411" s="48" t="inlineStr">
        <is>
          <t>SILVER_CONSUMER</t>
        </is>
      </c>
      <c r="C1411" s="48" t="inlineStr">
        <is>
          <t>2.5</t>
        </is>
      </c>
      <c r="D1411" s="48" t="inlineStr">
        <is>
          <t>Nhom 2 - Logic</t>
        </is>
      </c>
      <c r="E1411" s="48" t="inlineStr">
        <is>
          <t>Không lặp lại lỗi logic cũ đã được DA Data Vault fix</t>
        </is>
      </c>
      <c r="F1411" s="49" t="inlineStr">
        <is>
          <t>PASS</t>
        </is>
      </c>
      <c r="G1411" s="48" t="inlineStr">
        <is>
          <t>Pass</t>
        </is>
      </c>
      <c r="H1411" s="50" t="inlineStr">
        <is>
          <t>không trùng lỗi nào trong Issue log của DA Data Vault</t>
        </is>
      </c>
      <c r="I1411"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11" s="48" t="inlineStr">
        <is>
          <t>110. OCB_GOLD_TTDL_BPM_VOLUME_CTGD_THU.xlsx [Script: BPM_VOLUME_CTGD]</t>
        </is>
      </c>
    </row>
    <row r="1412">
      <c r="A1412" s="48" t="inlineStr">
        <is>
          <t>BPM_VOLUME_CTGD</t>
        </is>
      </c>
      <c r="B1412" s="48" t="inlineStr">
        <is>
          <t>SILVER_CONSUMER</t>
        </is>
      </c>
      <c r="C1412" s="48" t="inlineStr">
        <is>
          <t>2.6</t>
        </is>
      </c>
      <c r="D1412" s="48" t="inlineStr">
        <is>
          <t>Nhom 2 - Logic</t>
        </is>
      </c>
      <c r="E1412" s="48" t="inlineStr">
        <is>
          <t>SCD Type 2 cho bảng DIM áp dụng đúng kỹ thuật đã thống nhất</t>
        </is>
      </c>
      <c r="F1412" s="48" t="inlineStr">
        <is>
          <t>N-A</t>
        </is>
      </c>
      <c r="G1412" s="48" t="inlineStr">
        <is>
          <t>Pass</t>
        </is>
      </c>
      <c r="H1412" s="50" t="inlineStr">
        <is>
          <t>object không phải bảng DIM nên không áp dụng SCD Type 2</t>
        </is>
      </c>
      <c r="I1412"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12" s="48" t="inlineStr">
        <is>
          <t>110. OCB_GOLD_TTDL_BPM_VOLUME_CTGD_THU.xlsx [Script: BPM_VOLUME_CTGD]</t>
        </is>
      </c>
    </row>
    <row r="1413">
      <c r="A1413" s="48" t="inlineStr">
        <is>
          <t>BPM_VOLUME_CTGD</t>
        </is>
      </c>
      <c r="B1413" s="48" t="inlineStr">
        <is>
          <t>SILVER_CONSUMER</t>
        </is>
      </c>
      <c r="C1413" s="48" t="inlineStr">
        <is>
          <t>2.7</t>
        </is>
      </c>
      <c r="D1413" s="48" t="inlineStr">
        <is>
          <t>Nhom 2 - Logic</t>
        </is>
      </c>
      <c r="E1413" s="48" t="inlineStr">
        <is>
          <t>CASE WHEN cover đủ nhánh như job on-prem</t>
        </is>
      </c>
      <c r="F1413" s="52" t="inlineStr">
        <is>
          <t>FAIL</t>
        </is>
      </c>
      <c r="G1413" s="48" t="inlineStr">
        <is>
          <t>Fail</t>
        </is>
      </c>
      <c r="H1413" s="50" t="inlineStr">
        <is>
          <t>1/2 CASE KHÔNG có nhánh ELSE -&gt; rơi ra ngoài mọi WHEN sẽ trả NULL âm thầm, tại dòng []; bổ sung ELSE (giá trị mặc định hoặc giá trị nghiệp vụ đúng như job on-prem)</t>
        </is>
      </c>
      <c r="I1413" s="50" t="inlineStr">
        <is>
          <t>Mở job on-prem tương ứng (DataStage DSX hoặc SQL cũ), đối chiếu từng nhánh WHEN và cả nhánh ELSE. CASE không có ELSE sẽ trả NULL âm thầm — xác nhận đó là ý muốn hay thiếu nhánh.</t>
        </is>
      </c>
      <c r="J1413" s="48" t="inlineStr">
        <is>
          <t>110. OCB_GOLD_TTDL_BPM_VOLUME_CTGD_THU.xlsx [Script: BPM_VOLUME_CTGD]</t>
        </is>
      </c>
    </row>
    <row r="1414">
      <c r="A1414" s="48" t="inlineStr">
        <is>
          <t>BPM_VOLUME_CTGD</t>
        </is>
      </c>
      <c r="B1414" s="48" t="inlineStr">
        <is>
          <t>SILVER_CONSUMER</t>
        </is>
      </c>
      <c r="C1414" s="48" t="inlineStr">
        <is>
          <t>2.8</t>
        </is>
      </c>
      <c r="D1414" s="48" t="inlineStr">
        <is>
          <t>Nhom 2 - Logic</t>
        </is>
      </c>
      <c r="E1414" s="48" t="inlineStr">
        <is>
          <t>Cột SUM/COUNT được COALESCE/NVL hợp lý</t>
        </is>
      </c>
      <c r="F1414" s="49" t="inlineStr">
        <is>
          <t>PASS</t>
        </is>
      </c>
      <c r="G1414" s="48" t="inlineStr">
        <is>
          <t>Pass</t>
        </is>
      </c>
      <c r="H1414" s="50" t="inlineStr">
        <is>
          <t>mọi SUM/COUNT đều đã coalesce (trực tiếp hoặc ở lớp ngoài)</t>
        </is>
      </c>
      <c r="I1414"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14" s="48" t="inlineStr">
        <is>
          <t>110. OCB_GOLD_TTDL_BPM_VOLUME_CTGD_THU.xlsx [Script: BPM_VOLUME_CTGD]</t>
        </is>
      </c>
    </row>
    <row r="1415">
      <c r="A1415" s="48" t="inlineStr">
        <is>
          <t>BPM_VOLUME_CTGD</t>
        </is>
      </c>
      <c r="B1415" s="48" t="inlineStr">
        <is>
          <t>SILVER_CONSUMER</t>
        </is>
      </c>
      <c r="C1415" s="48" t="inlineStr">
        <is>
          <t>2.9</t>
        </is>
      </c>
      <c r="D1415" s="48" t="inlineStr">
        <is>
          <t>Nhom 2 - Logic</t>
        </is>
      </c>
      <c r="E1415" s="48" t="inlineStr">
        <is>
          <t>Subquery / custom function / điều kiện LIKE đúng ý nghĩa nghiệp vụ</t>
        </is>
      </c>
      <c r="F1415" s="48" t="inlineStr">
        <is>
          <t>N-A</t>
        </is>
      </c>
      <c r="G1415" s="48" t="inlineStr">
        <is>
          <t>Pass</t>
        </is>
      </c>
      <c r="H1415" s="50" t="inlineStr">
        <is>
          <t>script không có điều kiện LIKE hay scalar subquery nào</t>
        </is>
      </c>
      <c r="I1415" s="50" t="inlineStr">
        <is>
          <t>Đọc lại từng điều kiện LIKE và từng subquery, đối chiếu ý nghĩa nghiệp vụ với on-prem — đúng cú pháp không đủ. Chú ý pattern LIKE có ký tự % ở đầu/cuối và phân biệt chữ hoa/thường.</t>
        </is>
      </c>
      <c r="J1415" s="48" t="inlineStr">
        <is>
          <t>110. OCB_GOLD_TTDL_BPM_VOLUME_CTGD_THU.xlsx [Script: BPM_VOLUME_CTGD]</t>
        </is>
      </c>
    </row>
    <row r="1416">
      <c r="A1416" s="48" t="inlineStr">
        <is>
          <t>BPM_VOLUME_CTGD</t>
        </is>
      </c>
      <c r="B1416" s="48" t="inlineStr">
        <is>
          <t>SILVER_CONSUMER</t>
        </is>
      </c>
      <c r="C1416" s="48" t="inlineStr">
        <is>
          <t>2.10</t>
        </is>
      </c>
      <c r="D1416" s="48" t="inlineStr">
        <is>
          <t>Nhom 2 - Logic</t>
        </is>
      </c>
      <c r="E1416" s="48" t="inlineStr">
        <is>
          <t>Aggregation kèm filter date range chính xác</t>
        </is>
      </c>
      <c r="F1416" s="49" t="inlineStr">
        <is>
          <t>PASS</t>
        </is>
      </c>
      <c r="G1416" s="48" t="inlineStr">
        <is>
          <t>Pass</t>
        </is>
      </c>
      <c r="H1416" s="50" t="inlineStr">
        <is>
          <t>mọi khối tổng hợp đều có điều kiện theo kỳ dữ liệu</t>
        </is>
      </c>
      <c r="I1416" s="50" t="inlineStr">
        <is>
          <t>Mỗi khối SUM/COUNT/AVG phải có điều kiện lọc theo kỳ dữ liệu (CDR_DT_ID, DATA_DATE, :DATADT…). Nếu điều kiện nằm ở CTE nguồn thì ghi rõ trong comment để người review không phải truy ngược.</t>
        </is>
      </c>
      <c r="J1416" s="48" t="inlineStr">
        <is>
          <t>110. OCB_GOLD_TTDL_BPM_VOLUME_CTGD_THU.xlsx [Script: BPM_VOLUME_CTGD]</t>
        </is>
      </c>
    </row>
    <row r="1417">
      <c r="A1417" s="48" t="inlineStr">
        <is>
          <t>BPM_VOLUME_CTGD</t>
        </is>
      </c>
      <c r="B1417" s="48" t="inlineStr">
        <is>
          <t>SILVER_CONSUMER</t>
        </is>
      </c>
      <c r="C1417" s="48" t="inlineStr">
        <is>
          <t>2.11</t>
        </is>
      </c>
      <c r="D1417" s="48" t="inlineStr">
        <is>
          <t>Nhom 2 - Logic</t>
        </is>
      </c>
      <c r="E1417" s="48" t="inlineStr">
        <is>
          <t>Join dùng key hợp lý, không lạm dụng UNION ALL + EXISTS/NOT EXISTS</t>
        </is>
      </c>
      <c r="F1417" s="49" t="inlineStr">
        <is>
          <t>PASS</t>
        </is>
      </c>
      <c r="G1417" s="48" t="inlineStr">
        <is>
          <t>Pass</t>
        </is>
      </c>
      <c r="H1417" s="50" t="inlineStr">
        <is>
          <t>join đều theo điều kiện bằng, không lạm dụng UNION ALL + EXISTS</t>
        </is>
      </c>
      <c r="I1417" s="50" t="inlineStr">
        <is>
          <t>Ưu tiên LEFT JOIN theo business key hoặc hashkey. Xem lại các chỗ dùng UNION ALL kết hợp EXISTS/NOT EXISTS — thường thay được bằng một LEFT JOIN. Join không có điều kiện bằng (=) dễ tạo tích Descartes.</t>
        </is>
      </c>
      <c r="J1417" s="48" t="inlineStr">
        <is>
          <t>110. OCB_GOLD_TTDL_BPM_VOLUME_CTGD_THU.xlsx [Script: BPM_VOLUME_CTGD]</t>
        </is>
      </c>
    </row>
    <row r="1418">
      <c r="A1418" s="48" t="inlineStr">
        <is>
          <t>BPM_VOLUME_CTGD</t>
        </is>
      </c>
      <c r="B1418" s="48" t="inlineStr">
        <is>
          <t>SILVER_CONSUMER</t>
        </is>
      </c>
      <c r="C1418" s="48" t="inlineStr">
        <is>
          <t>2.12</t>
        </is>
      </c>
      <c r="D1418" s="48" t="inlineStr">
        <is>
          <t>Nhom 2 - Logic</t>
        </is>
      </c>
      <c r="E1418" s="48" t="inlineStr">
        <is>
          <t>Build Gold từ CTE snapshot Silver, không build nhiều tầng chồng chéo</t>
        </is>
      </c>
      <c r="F1418" s="49" t="inlineStr">
        <is>
          <t>PASS</t>
        </is>
      </c>
      <c r="G1418" s="48" t="inlineStr">
        <is>
          <t>Pass</t>
        </is>
      </c>
      <c r="H1418" s="50" t="inlineStr">
        <is>
          <t>mỗi bảng nguồn chỉ đọc trong 1 khối SELECT</t>
        </is>
      </c>
      <c r="I1418"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18" s="48" t="inlineStr">
        <is>
          <t>110. OCB_GOLD_TTDL_BPM_VOLUME_CTGD_THU.xlsx [Script: BPM_VOLUME_CTGD]</t>
        </is>
      </c>
    </row>
    <row r="1419">
      <c r="A1419" s="48" t="inlineStr">
        <is>
          <t>BPM_VOLUME_CTGD</t>
        </is>
      </c>
      <c r="B1419" s="48" t="inlineStr">
        <is>
          <t>SILVER_CONSUMER</t>
        </is>
      </c>
      <c r="C1419" s="48" t="inlineStr">
        <is>
          <t>3.1</t>
        </is>
      </c>
      <c r="D1419" s="48" t="inlineStr">
        <is>
          <t>Nhom 3 - Optimization</t>
        </is>
      </c>
      <c r="E1419" s="48" t="inlineStr">
        <is>
          <t>Không SELECT *</t>
        </is>
      </c>
      <c r="F1419" s="49" t="inlineStr">
        <is>
          <t>PASS</t>
        </is>
      </c>
      <c r="G1419" s="48" t="inlineStr">
        <is>
          <t>Pass</t>
        </is>
      </c>
      <c r="H1419" s="50" t="inlineStr">
        <is>
          <t>không dùng SELECT * ở đâu</t>
        </is>
      </c>
      <c r="I1419" s="50" t="inlineStr">
        <is>
          <t>Liệt kê tường minh các cột cần dùng, kể cả trong CTE trung gian. SELECT * làm tăng IO/memory và vỡ script khi bảng nguồn thêm cột.</t>
        </is>
      </c>
      <c r="J1419" s="48" t="inlineStr">
        <is>
          <t>110. OCB_GOLD_TTDL_BPM_VOLUME_CTGD_THU.xlsx [Script: BPM_VOLUME_CTGD]</t>
        </is>
      </c>
    </row>
    <row r="1420">
      <c r="A1420" s="48" t="inlineStr">
        <is>
          <t>BPM_VOLUME_CTGD</t>
        </is>
      </c>
      <c r="B1420" s="48" t="inlineStr">
        <is>
          <t>SILVER_CONSUMER</t>
        </is>
      </c>
      <c r="C1420" s="48" t="inlineStr">
        <is>
          <t>3.2</t>
        </is>
      </c>
      <c r="D1420" s="48" t="inlineStr">
        <is>
          <t>Nhom 3 - Optimization</t>
        </is>
      </c>
      <c r="E1420" s="48" t="inlineStr">
        <is>
          <t>CTE không bị scan lại nhiều lần</t>
        </is>
      </c>
      <c r="F1420" s="49" t="inlineStr">
        <is>
          <t>PASS</t>
        </is>
      </c>
      <c r="G1420" s="48" t="inlineStr">
        <is>
          <t>Pass</t>
        </is>
      </c>
      <c r="H1420" s="50" t="inlineStr">
        <is>
          <t>không có CTE nào bị gọi lại</t>
        </is>
      </c>
      <c r="I1420" s="50" t="inlineStr">
        <is>
          <t>Với CTE nặng (đọc nhiều bảng Silver) bị tham chiếu từ 2 chỗ trở lên: gom lại còn một lần dùng, hoặc vật chất hóa (CACHE / bảng tạm). CTE nhẹ chỉ chứa tham số thì bỏ qua được — tự tick Pass.</t>
        </is>
      </c>
      <c r="J1420" s="48" t="inlineStr">
        <is>
          <t>110. OCB_GOLD_TTDL_BPM_VOLUME_CTGD_THU.xlsx [Script: BPM_VOLUME_CTGD]</t>
        </is>
      </c>
    </row>
    <row r="1421">
      <c r="A1421" s="48" t="inlineStr">
        <is>
          <t>BPM_VOLUME_CTGD</t>
        </is>
      </c>
      <c r="B1421" s="48" t="inlineStr">
        <is>
          <t>SILVER_CONSUMER</t>
        </is>
      </c>
      <c r="C1421" s="48" t="inlineStr">
        <is>
          <t>3.3</t>
        </is>
      </c>
      <c r="D1421" s="48" t="inlineStr">
        <is>
          <t>Nhom 3 - Optimization</t>
        </is>
      </c>
      <c r="E1421" s="48" t="inlineStr">
        <is>
          <t>Filter trước khi join, tận dụng partition pruning</t>
        </is>
      </c>
      <c r="F1421" s="51" t="inlineStr">
        <is>
          <t>WARN</t>
        </is>
      </c>
      <c r="G1421" s="48" t="inlineStr">
        <is>
          <t>WARN</t>
        </is>
      </c>
      <c r="H1421" s="50" t="inlineStr">
        <is>
          <t>10 bảng join trực tiếp mà không có filter riêng: ref_bpm_danh_muc (F1), ref_bpm_danh_muc (F2), ref_bpm_danh_muc (F2b), ref_bpm_danh_muc (F2c), ref_bpm_danh_muc (F3), ref_bpm_danh_muc (F4), ref_bpm_danh_muc (F5), ref_bpm_danh_muc (F6)</t>
        </is>
      </c>
      <c r="I1421" s="50" t="inlineStr">
        <is>
          <t>Đưa điều kiện lọc (ngày dữ liệu, trạng thái) vào subquery của từng bảng TRƯỚC khi join, để tận dụng partition pruning. Bảng dim nhỏ không partition thì không cần — tự tick Pass.</t>
        </is>
      </c>
      <c r="J1421" s="48" t="inlineStr">
        <is>
          <t>110. OCB_GOLD_TTDL_BPM_VOLUME_CTGD_THU.xlsx [Script: BPM_VOLUME_CTGD]</t>
        </is>
      </c>
    </row>
    <row r="1422">
      <c r="A1422" s="48" t="inlineStr">
        <is>
          <t>BPM_VOLUME_CTGD</t>
        </is>
      </c>
      <c r="B1422" s="48" t="inlineStr">
        <is>
          <t>SILVER_CONSUMER</t>
        </is>
      </c>
      <c r="C1422" s="48" t="inlineStr">
        <is>
          <t>3.4</t>
        </is>
      </c>
      <c r="D1422" s="48" t="inlineStr">
        <is>
          <t>Nhom 3 - Optimization</t>
        </is>
      </c>
      <c r="E1422" s="48" t="inlineStr">
        <is>
          <t>Sử dụng CACHE cho query lặp lại trong cùng luồng</t>
        </is>
      </c>
      <c r="F1422" s="48" t="inlineStr">
        <is>
          <t>N-A</t>
        </is>
      </c>
      <c r="G1422" s="48" t="inlineStr">
        <is>
          <t>Pass</t>
        </is>
      </c>
      <c r="H1422" s="50" t="inlineStr">
        <is>
          <t>không có kết quả nào được dùng lại nhiều lần nên chưa cần CACHE</t>
        </is>
      </c>
      <c r="I1422" s="50" t="inlineStr">
        <is>
          <t>Nếu một kết quả nặng được dùng lại nhiều bước trong cùng luồng, thêm CACHE TABLE / CACHE SELECT. Kết quả nhỏ thì cache còn chậm hơn — tự tick Pass.</t>
        </is>
      </c>
      <c r="J1422" s="48" t="inlineStr">
        <is>
          <t>110. OCB_GOLD_TTDL_BPM_VOLUME_CTGD_THU.xlsx [Script: BPM_VOLUME_CTGD]</t>
        </is>
      </c>
    </row>
    <row r="1423">
      <c r="A1423" s="48" t="inlineStr">
        <is>
          <t>BPM_VOLUME_CTGD</t>
        </is>
      </c>
      <c r="B1423" s="48" t="inlineStr">
        <is>
          <t>SILVER_CONSUMER</t>
        </is>
      </c>
      <c r="C1423" s="48" t="inlineStr">
        <is>
          <t>3.5</t>
        </is>
      </c>
      <c r="D1423" s="48" t="inlineStr">
        <is>
          <t>Nhom 3 - Optimization</t>
        </is>
      </c>
      <c r="E1423" s="48" t="inlineStr">
        <is>
          <t>Ưu tiên MAX_BY + QUALIFY thay ROW_NUMBER() + WHERE rn = 1</t>
        </is>
      </c>
      <c r="F1423" s="48" t="inlineStr">
        <is>
          <t>N-A</t>
        </is>
      </c>
      <c r="G1423" s="48" t="inlineStr">
        <is>
          <t>Pass</t>
        </is>
      </c>
      <c r="H1423" s="50" t="inlineStr">
        <is>
          <t>script không dùng ROW_NUMBER</t>
        </is>
      </c>
      <c r="I1423"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23" s="48" t="inlineStr">
        <is>
          <t>110. OCB_GOLD_TTDL_BPM_VOLUME_CTGD_THU.xlsx [Script: BPM_VOLUME_CTGD]</t>
        </is>
      </c>
    </row>
    <row r="1424">
      <c r="A1424" s="48" t="inlineStr">
        <is>
          <t>BPM_VOLUME_CTGD</t>
        </is>
      </c>
      <c r="B1424" s="48" t="inlineStr">
        <is>
          <t>SILVER_CONSUMER</t>
        </is>
      </c>
      <c r="C1424" s="48" t="inlineStr">
        <is>
          <t>3.6</t>
        </is>
      </c>
      <c r="D1424" s="48" t="inlineStr">
        <is>
          <t>Nhom 3 - Optimization</t>
        </is>
      </c>
      <c r="E1424" s="48" t="inlineStr">
        <is>
          <t>Không lạm dụng window function; có comment khi dùng</t>
        </is>
      </c>
      <c r="F1424" s="48" t="inlineStr">
        <is>
          <t>N-A</t>
        </is>
      </c>
      <c r="G1424" s="48" t="inlineStr">
        <is>
          <t>Pass</t>
        </is>
      </c>
      <c r="H1424" s="50" t="inlineStr">
        <is>
          <t>script không dùng window function</t>
        </is>
      </c>
      <c r="I1424" s="50" t="inlineStr">
        <is>
          <t>Mỗi window function cần một comment ngay trên khối CTE chứa nó, nói rõ vì sao không dùng được max_by/QUALIFY đơn giản hơn.</t>
        </is>
      </c>
      <c r="J1424" s="48" t="inlineStr">
        <is>
          <t>110. OCB_GOLD_TTDL_BPM_VOLUME_CTGD_THU.xlsx [Script: BPM_VOLUME_CTGD]</t>
        </is>
      </c>
    </row>
    <row r="1425">
      <c r="A1425" s="48" t="inlineStr">
        <is>
          <t>BPM_VOLUME_CTGD</t>
        </is>
      </c>
      <c r="B1425" s="48" t="inlineStr">
        <is>
          <t>SILVER_CONSUMER</t>
        </is>
      </c>
      <c r="C1425" s="48" t="inlineStr">
        <is>
          <t>X.1</t>
        </is>
      </c>
      <c r="D1425" s="48" t="inlineStr">
        <is>
          <t>Nhom X - Bo sung Raffles</t>
        </is>
      </c>
      <c r="E1425" s="48" t="inlineStr">
        <is>
          <t>[Bổ sung] Link phải rút về current trước khi join (chống fan-out)</t>
        </is>
      </c>
      <c r="F1425" s="52" t="inlineStr">
        <is>
          <t>FAIL</t>
        </is>
      </c>
      <c r="G1425" s="48" t="inlineStr">
        <is>
          <t>Fail</t>
        </is>
      </c>
      <c r="H1425" s="50" t="inlineStr">
        <is>
          <t>1 bảng link_* join trực tiếp mà chưa rút về current, sẽ nhân đôi số dòng: link_xl_ksgn_chung_khach_hang_cur (dong 64)</t>
        </is>
      </c>
      <c r="I1425"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25" s="48" t="inlineStr">
        <is>
          <t>110. OCB_GOLD_TTDL_BPM_VOLUME_CTGD_THU.xlsx [Script: BPM_VOLUME_CTGD]</t>
        </is>
      </c>
    </row>
    <row r="1426">
      <c r="A1426" s="48" t="inlineStr">
        <is>
          <t>BPM_VOLUME_CTGD</t>
        </is>
      </c>
      <c r="B1426" s="48" t="inlineStr">
        <is>
          <t>SILVER_CONSUMER</t>
        </is>
      </c>
      <c r="C1426" s="48" t="inlineStr">
        <is>
          <t>X.6</t>
        </is>
      </c>
      <c r="D1426" s="48" t="inlineStr">
        <is>
          <t>Nhom X - Bo sung Raffles</t>
        </is>
      </c>
      <c r="E1426" s="48" t="inlineStr">
        <is>
          <t>[Bổ sung] Satellite phải LEFT JOIN, không INNER JOIN</t>
        </is>
      </c>
      <c r="F1426" s="49" t="inlineStr">
        <is>
          <t>PASS</t>
        </is>
      </c>
      <c r="G1426" s="48" t="inlineStr">
        <is>
          <t>Pass</t>
        </is>
      </c>
      <c r="H1426" s="50" t="inlineStr">
        <is>
          <t>các satellite đều LEFT JOIN</t>
        </is>
      </c>
      <c r="I1426" s="50" t="inlineStr">
        <is>
          <t>Technical Document III.4.2.2 nguyên tắc 1: làm giàu thuộc tính luôn dùng LEFT JOIN. INNER JOIN satellite sẽ loại mất bản ghi Hub đang còn hiệu lực nhưng chưa có dòng satellite.</t>
        </is>
      </c>
      <c r="J1426" s="48" t="inlineStr">
        <is>
          <t>110. OCB_GOLD_TTDL_BPM_VOLUME_CTGD_THU.xlsx [Script: BPM_VOLUME_CTGD]</t>
        </is>
      </c>
    </row>
    <row r="1427">
      <c r="A1427" s="48" t="inlineStr">
        <is>
          <t>BPM_VOLUME_CTGD</t>
        </is>
      </c>
      <c r="B1427" s="48" t="inlineStr">
        <is>
          <t>SILVER_CONSUMER</t>
        </is>
      </c>
      <c r="C1427" s="48" t="inlineStr">
        <is>
          <t>X.7</t>
        </is>
      </c>
      <c r="D1427" s="48" t="inlineStr">
        <is>
          <t>Nhom X - Bo sung Raffles</t>
        </is>
      </c>
      <c r="E1427" s="48" t="inlineStr">
        <is>
          <t>[Bổ sung] Không hard-code catalog, dùng biến môi trường</t>
        </is>
      </c>
      <c r="F1427" s="49" t="inlineStr">
        <is>
          <t>PASS</t>
        </is>
      </c>
      <c r="G1427" s="48" t="inlineStr">
        <is>
          <t>Pass</t>
        </is>
      </c>
      <c r="H1427" s="50" t="inlineStr">
        <is>
          <t>dùng biến môi trường cho catalog</t>
        </is>
      </c>
      <c r="I1427"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27" s="48" t="inlineStr">
        <is>
          <t>110. OCB_GOLD_TTDL_BPM_VOLUME_CTGD_THU.xlsx [Script: BPM_VOLUME_CTGD]</t>
        </is>
      </c>
    </row>
    <row r="1428">
      <c r="A1428" s="48" t="inlineStr">
        <is>
          <t>BPM_VOLUME_TDCN</t>
        </is>
      </c>
      <c r="B1428" s="48" t="inlineStr">
        <is>
          <t>SILVER_CONSUMER</t>
        </is>
      </c>
      <c r="C1428" s="48" t="inlineStr">
        <is>
          <t>1.1</t>
        </is>
      </c>
      <c r="D1428" s="48" t="inlineStr">
        <is>
          <t>Nhom 1 - Mapping</t>
        </is>
      </c>
      <c r="E1428" s="48" t="inlineStr">
        <is>
          <t>Đầy đủ mapping từ Silver/manual sang Gold</t>
        </is>
      </c>
      <c r="F1428" s="51" t="inlineStr">
        <is>
          <t>WARN</t>
        </is>
      </c>
      <c r="G1428" s="48" t="inlineStr">
        <is>
          <t>WARN</t>
        </is>
      </c>
      <c r="H1428" s="50" t="inlineStr">
        <is>
          <t>KHÔNG TÌM THẤY workbook thiết kế cho object BPM_VOLUME_TDCN nên không đối chiếu được danh sách cột (SQL có 24 cột đầu ra)</t>
        </is>
      </c>
      <c r="I1428"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28" s="48" t="inlineStr">
        <is>
          <t>111. OCB_GOLD_TTDL_BPM_VOLUME_TDCN_THU.xlsx [Script: BPM_VOLUME_TDCN]</t>
        </is>
      </c>
    </row>
    <row r="1429">
      <c r="A1429" s="48" t="inlineStr">
        <is>
          <t>BPM_VOLUME_TDCN</t>
        </is>
      </c>
      <c r="B1429" s="48" t="inlineStr">
        <is>
          <t>SILVER_CONSUMER</t>
        </is>
      </c>
      <c r="C1429" s="48" t="inlineStr">
        <is>
          <t>1.2</t>
        </is>
      </c>
      <c r="D1429" s="48" t="inlineStr">
        <is>
          <t>Nhom 1 - Mapping</t>
        </is>
      </c>
      <c r="E1429" s="48" t="inlineStr">
        <is>
          <t>Danh sách bảng/view Gold khớp tài liệu thiết kế đã duyệt</t>
        </is>
      </c>
      <c r="F1429" s="52" t="inlineStr">
        <is>
          <t>FAIL</t>
        </is>
      </c>
      <c r="G1429" s="48" t="inlineStr">
        <is>
          <t>Fail</t>
        </is>
      </c>
      <c r="H1429" s="50" t="inlineStr">
        <is>
          <t>BPM_VOLUME_TDCN không có workbook thiết kế tương ứng trong thư mục mapping</t>
        </is>
      </c>
      <c r="I1429" s="50" t="inlineStr">
        <is>
          <t>Đảm bảo object có workbook thiết kế tương ứng trong thư mục --mapping-dir. Muốn đối chiếu với danh sách đã duyệt thì chạy thêm tham số --gold-list "&lt;file danh sách Gold&gt;.xlsx".</t>
        </is>
      </c>
      <c r="J1429" s="48" t="inlineStr">
        <is>
          <t>111. OCB_GOLD_TTDL_BPM_VOLUME_TDCN_THU.xlsx [Script: BPM_VOLUME_TDCN]</t>
        </is>
      </c>
    </row>
    <row r="1430">
      <c r="A1430" s="48" t="inlineStr">
        <is>
          <t>BPM_VOLUME_TDCN</t>
        </is>
      </c>
      <c r="B1430" s="48" t="inlineStr">
        <is>
          <t>SILVER_CONSUMER</t>
        </is>
      </c>
      <c r="C1430" s="48" t="inlineStr">
        <is>
          <t>2.1</t>
        </is>
      </c>
      <c r="D1430" s="48" t="inlineStr">
        <is>
          <t>Nhom 2 - Logic</t>
        </is>
      </c>
      <c r="E1430" s="48" t="inlineStr">
        <is>
          <t>Chỉ lấy bản ghi active, loại bản ghi đã xóa (qua sts_hub)</t>
        </is>
      </c>
      <c r="F1430" s="49" t="inlineStr">
        <is>
          <t>PASS</t>
        </is>
      </c>
      <c r="G1430" s="48" t="inlineStr">
        <is>
          <t>Pass</t>
        </is>
      </c>
      <c r="H1430" s="50" t="inlineStr">
        <is>
          <t>3 sts_hub_* đọc đúng format</t>
        </is>
      </c>
      <c r="I1430"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30" s="48" t="inlineStr">
        <is>
          <t>111. OCB_GOLD_TTDL_BPM_VOLUME_TDCN_THU.xlsx [Script: BPM_VOLUME_TDCN]</t>
        </is>
      </c>
    </row>
    <row r="1431">
      <c r="A1431" s="48" t="inlineStr">
        <is>
          <t>BPM_VOLUME_TDCN</t>
        </is>
      </c>
      <c r="B1431" s="48" t="inlineStr">
        <is>
          <t>SILVER_CONSUMER</t>
        </is>
      </c>
      <c r="C1431" s="48" t="inlineStr">
        <is>
          <t>2.2</t>
        </is>
      </c>
      <c r="D1431" s="48" t="inlineStr">
        <is>
          <t>Nhom 2 - Logic</t>
        </is>
      </c>
      <c r="E1431" s="48" t="inlineStr">
        <is>
          <t>Thống nhất MỘT pattern duy nhất xác định bản ghi active mới nhất</t>
        </is>
      </c>
      <c r="F1431" s="49" t="inlineStr">
        <is>
          <t>PASS</t>
        </is>
      </c>
      <c r="G1431" s="48" t="inlineStr">
        <is>
          <t>Pass</t>
        </is>
      </c>
      <c r="H1431" s="50" t="inlineStr">
        <is>
          <t>file này dùng: ['MAX_BY']; toàn batch dùng: ['MAX_BY']</t>
        </is>
      </c>
      <c r="I1431"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31" s="48" t="inlineStr">
        <is>
          <t>111. OCB_GOLD_TTDL_BPM_VOLUME_TDCN_THU.xlsx [Script: BPM_VOLUME_TDCN]</t>
        </is>
      </c>
    </row>
    <row r="1432">
      <c r="A1432" s="48" t="inlineStr">
        <is>
          <t>BPM_VOLUME_TDCN</t>
        </is>
      </c>
      <c r="B1432" s="48" t="inlineStr">
        <is>
          <t>SILVER_CONSUMER</t>
        </is>
      </c>
      <c r="C1432" s="48" t="inlineStr">
        <is>
          <t>2.3</t>
        </is>
      </c>
      <c r="D1432" s="48" t="inlineStr">
        <is>
          <t>Nhom 2 - Logic</t>
        </is>
      </c>
      <c r="E1432" s="48" t="inlineStr">
        <is>
          <t>Điều kiện lọc trạng thái đặt SAU khi xác định bản ghi mới nhất</t>
        </is>
      </c>
      <c r="F1432" s="49" t="inlineStr">
        <is>
          <t>PASS</t>
        </is>
      </c>
      <c r="G1432" s="48" t="inlineStr">
        <is>
          <t>Pass</t>
        </is>
      </c>
      <c r="H1432" s="50" t="inlineStr">
        <is>
          <t>không có điều kiện trạng thái nào lồng trong JOIN ON</t>
        </is>
      </c>
      <c r="I1432"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32" s="48" t="inlineStr">
        <is>
          <t>111. OCB_GOLD_TTDL_BPM_VOLUME_TDCN_THU.xlsx [Script: BPM_VOLUME_TDCN]</t>
        </is>
      </c>
    </row>
    <row r="1433">
      <c r="A1433" s="48" t="inlineStr">
        <is>
          <t>BPM_VOLUME_TDCN</t>
        </is>
      </c>
      <c r="B1433" s="48" t="inlineStr">
        <is>
          <t>SILVER_CONSUMER</t>
        </is>
      </c>
      <c r="C1433" s="48" t="inlineStr">
        <is>
          <t>2.4</t>
        </is>
      </c>
      <c r="D1433" s="48" t="inlineStr">
        <is>
          <t>Nhom 2 - Logic</t>
        </is>
      </c>
      <c r="E1433" s="48" t="inlineStr">
        <is>
          <t>source_event_date áp dụng đúng dạng theo loại bảng</t>
        </is>
      </c>
      <c r="F1433" s="52" t="inlineStr">
        <is>
          <t>FAIL</t>
        </is>
      </c>
      <c r="G1433" s="48" t="inlineStr">
        <is>
          <t>Fail</t>
        </is>
      </c>
      <c r="H1433" s="50" t="inlineStr">
        <is>
          <t>sat_giao_dich_thong_tin_chung (dong 69): là bảng transaction nên phải dùng source_event_date = :DATADT, đang dùng &lt;=; sat_giao_dich_tdcn_thong_tin_chung (dong 76): là bảng transaction nên phải dùng source_event_date = :DATADT, đang dùng &lt;=; sat_giao_dich_tdcn_tai_san_bao_dam (dong 120): là bảng transaction nên phải dùng source_event_date = :DATADT, đang dùng &lt;=</t>
        </is>
      </c>
      <c r="I1433"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33" s="48" t="inlineStr">
        <is>
          <t>111. OCB_GOLD_TTDL_BPM_VOLUME_TDCN_THU.xlsx [Script: BPM_VOLUME_TDCN]</t>
        </is>
      </c>
    </row>
    <row r="1434">
      <c r="A1434" s="48" t="inlineStr">
        <is>
          <t>BPM_VOLUME_TDCN</t>
        </is>
      </c>
      <c r="B1434" s="48" t="inlineStr">
        <is>
          <t>SILVER_CONSUMER</t>
        </is>
      </c>
      <c r="C1434" s="48" t="inlineStr">
        <is>
          <t>2.5</t>
        </is>
      </c>
      <c r="D1434" s="48" t="inlineStr">
        <is>
          <t>Nhom 2 - Logic</t>
        </is>
      </c>
      <c r="E1434" s="48" t="inlineStr">
        <is>
          <t>Không lặp lại lỗi logic cũ đã được DA Data Vault fix</t>
        </is>
      </c>
      <c r="F1434" s="49" t="inlineStr">
        <is>
          <t>PASS</t>
        </is>
      </c>
      <c r="G1434" s="48" t="inlineStr">
        <is>
          <t>Pass</t>
        </is>
      </c>
      <c r="H1434" s="50" t="inlineStr">
        <is>
          <t>không trùng lỗi nào trong Issue log của DA Data Vault</t>
        </is>
      </c>
      <c r="I1434"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34" s="48" t="inlineStr">
        <is>
          <t>111. OCB_GOLD_TTDL_BPM_VOLUME_TDCN_THU.xlsx [Script: BPM_VOLUME_TDCN]</t>
        </is>
      </c>
    </row>
    <row r="1435">
      <c r="A1435" s="48" t="inlineStr">
        <is>
          <t>BPM_VOLUME_TDCN</t>
        </is>
      </c>
      <c r="B1435" s="48" t="inlineStr">
        <is>
          <t>SILVER_CONSUMER</t>
        </is>
      </c>
      <c r="C1435" s="48" t="inlineStr">
        <is>
          <t>2.6</t>
        </is>
      </c>
      <c r="D1435" s="48" t="inlineStr">
        <is>
          <t>Nhom 2 - Logic</t>
        </is>
      </c>
      <c r="E1435" s="48" t="inlineStr">
        <is>
          <t>SCD Type 2 cho bảng DIM áp dụng đúng kỹ thuật đã thống nhất</t>
        </is>
      </c>
      <c r="F1435" s="48" t="inlineStr">
        <is>
          <t>N-A</t>
        </is>
      </c>
      <c r="G1435" s="48" t="inlineStr">
        <is>
          <t>Pass</t>
        </is>
      </c>
      <c r="H1435" s="50" t="inlineStr">
        <is>
          <t>object không phải bảng DIM nên không áp dụng SCD Type 2</t>
        </is>
      </c>
      <c r="I1435"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35" s="48" t="inlineStr">
        <is>
          <t>111. OCB_GOLD_TTDL_BPM_VOLUME_TDCN_THU.xlsx [Script: BPM_VOLUME_TDCN]</t>
        </is>
      </c>
    </row>
    <row r="1436">
      <c r="A1436" s="48" t="inlineStr">
        <is>
          <t>BPM_VOLUME_TDCN</t>
        </is>
      </c>
      <c r="B1436" s="48" t="inlineStr">
        <is>
          <t>SILVER_CONSUMER</t>
        </is>
      </c>
      <c r="C1436" s="48" t="inlineStr">
        <is>
          <t>2.7</t>
        </is>
      </c>
      <c r="D1436" s="48" t="inlineStr">
        <is>
          <t>Nhom 2 - Logic</t>
        </is>
      </c>
      <c r="E1436" s="48" t="inlineStr">
        <is>
          <t>CASE WHEN cover đủ nhánh như job on-prem</t>
        </is>
      </c>
      <c r="F1436" s="49" t="inlineStr">
        <is>
          <t>PASS</t>
        </is>
      </c>
      <c r="G1436" s="48" t="inlineStr">
        <is>
          <t>Pass</t>
        </is>
      </c>
      <c r="H1436" s="50" t="inlineStr">
        <is>
          <t>cả 8 CASE đều có nhánh ELSE</t>
        </is>
      </c>
      <c r="I1436" s="50" t="inlineStr">
        <is>
          <t>Mở job on-prem tương ứng (DataStage DSX hoặc SQL cũ), đối chiếu từng nhánh WHEN và cả nhánh ELSE. CASE không có ELSE sẽ trả NULL âm thầm — xác nhận đó là ý muốn hay thiếu nhánh.</t>
        </is>
      </c>
      <c r="J1436" s="48" t="inlineStr">
        <is>
          <t>111. OCB_GOLD_TTDL_BPM_VOLUME_TDCN_THU.xlsx [Script: BPM_VOLUME_TDCN]</t>
        </is>
      </c>
    </row>
    <row r="1437">
      <c r="A1437" s="48" t="inlineStr">
        <is>
          <t>BPM_VOLUME_TDCN</t>
        </is>
      </c>
      <c r="B1437" s="48" t="inlineStr">
        <is>
          <t>SILVER_CONSUMER</t>
        </is>
      </c>
      <c r="C1437" s="48" t="inlineStr">
        <is>
          <t>2.8</t>
        </is>
      </c>
      <c r="D1437" s="48" t="inlineStr">
        <is>
          <t>Nhom 2 - Logic</t>
        </is>
      </c>
      <c r="E1437" s="48" t="inlineStr">
        <is>
          <t>Cột SUM/COUNT được COALESCE/NVL hợp lý</t>
        </is>
      </c>
      <c r="F1437" s="49" t="inlineStr">
        <is>
          <t>PASS</t>
        </is>
      </c>
      <c r="G1437" s="48" t="inlineStr">
        <is>
          <t>Pass</t>
        </is>
      </c>
      <c r="H1437" s="50" t="inlineStr">
        <is>
          <t>mọi SUM/COUNT đều đã coalesce (trực tiếp hoặc ở lớp ngoài)</t>
        </is>
      </c>
      <c r="I1437"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37" s="48" t="inlineStr">
        <is>
          <t>111. OCB_GOLD_TTDL_BPM_VOLUME_TDCN_THU.xlsx [Script: BPM_VOLUME_TDCN]</t>
        </is>
      </c>
    </row>
    <row r="1438">
      <c r="A1438" s="48" t="inlineStr">
        <is>
          <t>BPM_VOLUME_TDCN</t>
        </is>
      </c>
      <c r="B1438" s="48" t="inlineStr">
        <is>
          <t>SILVER_CONSUMER</t>
        </is>
      </c>
      <c r="C1438" s="48" t="inlineStr">
        <is>
          <t>2.9</t>
        </is>
      </c>
      <c r="D1438" s="48" t="inlineStr">
        <is>
          <t>Nhom 2 - Logic</t>
        </is>
      </c>
      <c r="E1438" s="48" t="inlineStr">
        <is>
          <t>Subquery / custom function / điều kiện LIKE đúng ý nghĩa nghiệp vụ</t>
        </is>
      </c>
      <c r="F1438" s="48" t="inlineStr">
        <is>
          <t>N-A</t>
        </is>
      </c>
      <c r="G1438" s="48" t="inlineStr">
        <is>
          <t>Pass</t>
        </is>
      </c>
      <c r="H1438" s="50" t="inlineStr">
        <is>
          <t>script không có điều kiện LIKE hay scalar subquery nào</t>
        </is>
      </c>
      <c r="I1438" s="50" t="inlineStr">
        <is>
          <t>Đọc lại từng điều kiện LIKE và từng subquery, đối chiếu ý nghĩa nghiệp vụ với on-prem — đúng cú pháp không đủ. Chú ý pattern LIKE có ký tự % ở đầu/cuối và phân biệt chữ hoa/thường.</t>
        </is>
      </c>
      <c r="J1438" s="48" t="inlineStr">
        <is>
          <t>111. OCB_GOLD_TTDL_BPM_VOLUME_TDCN_THU.xlsx [Script: BPM_VOLUME_TDCN]</t>
        </is>
      </c>
    </row>
    <row r="1439">
      <c r="A1439" s="48" t="inlineStr">
        <is>
          <t>BPM_VOLUME_TDCN</t>
        </is>
      </c>
      <c r="B1439" s="48" t="inlineStr">
        <is>
          <t>SILVER_CONSUMER</t>
        </is>
      </c>
      <c r="C1439" s="48" t="inlineStr">
        <is>
          <t>2.10</t>
        </is>
      </c>
      <c r="D1439" s="48" t="inlineStr">
        <is>
          <t>Nhom 2 - Logic</t>
        </is>
      </c>
      <c r="E1439" s="48" t="inlineStr">
        <is>
          <t>Aggregation kèm filter date range chính xác</t>
        </is>
      </c>
      <c r="F1439" s="49" t="inlineStr">
        <is>
          <t>PASS</t>
        </is>
      </c>
      <c r="G1439" s="48" t="inlineStr">
        <is>
          <t>Pass</t>
        </is>
      </c>
      <c r="H1439" s="50" t="inlineStr">
        <is>
          <t>mọi khối tổng hợp đều có điều kiện theo kỳ dữ liệu</t>
        </is>
      </c>
      <c r="I1439" s="50" t="inlineStr">
        <is>
          <t>Mỗi khối SUM/COUNT/AVG phải có điều kiện lọc theo kỳ dữ liệu (CDR_DT_ID, DATA_DATE, :DATADT…). Nếu điều kiện nằm ở CTE nguồn thì ghi rõ trong comment để người review không phải truy ngược.</t>
        </is>
      </c>
      <c r="J1439" s="48" t="inlineStr">
        <is>
          <t>111. OCB_GOLD_TTDL_BPM_VOLUME_TDCN_THU.xlsx [Script: BPM_VOLUME_TDCN]</t>
        </is>
      </c>
    </row>
    <row r="1440">
      <c r="A1440" s="48" t="inlineStr">
        <is>
          <t>BPM_VOLUME_TDCN</t>
        </is>
      </c>
      <c r="B1440" s="48" t="inlineStr">
        <is>
          <t>SILVER_CONSUMER</t>
        </is>
      </c>
      <c r="C1440" s="48" t="inlineStr">
        <is>
          <t>2.11</t>
        </is>
      </c>
      <c r="D1440" s="48" t="inlineStr">
        <is>
          <t>Nhom 2 - Logic</t>
        </is>
      </c>
      <c r="E1440" s="48" t="inlineStr">
        <is>
          <t>Join dùng key hợp lý, không lạm dụng UNION ALL + EXISTS/NOT EXISTS</t>
        </is>
      </c>
      <c r="F1440" s="49" t="inlineStr">
        <is>
          <t>PASS</t>
        </is>
      </c>
      <c r="G1440" s="48" t="inlineStr">
        <is>
          <t>Pass</t>
        </is>
      </c>
      <c r="H1440" s="50" t="inlineStr">
        <is>
          <t>join đều theo điều kiện bằng, không lạm dụng UNION ALL + EXISTS</t>
        </is>
      </c>
      <c r="I1440" s="50" t="inlineStr">
        <is>
          <t>Ưu tiên LEFT JOIN theo business key hoặc hashkey. Xem lại các chỗ dùng UNION ALL kết hợp EXISTS/NOT EXISTS — thường thay được bằng một LEFT JOIN. Join không có điều kiện bằng (=) dễ tạo tích Descartes.</t>
        </is>
      </c>
      <c r="J1440" s="48" t="inlineStr">
        <is>
          <t>111. OCB_GOLD_TTDL_BPM_VOLUME_TDCN_THU.xlsx [Script: BPM_VOLUME_TDCN]</t>
        </is>
      </c>
    </row>
    <row r="1441">
      <c r="A1441" s="48" t="inlineStr">
        <is>
          <t>BPM_VOLUME_TDCN</t>
        </is>
      </c>
      <c r="B1441" s="48" t="inlineStr">
        <is>
          <t>SILVER_CONSUMER</t>
        </is>
      </c>
      <c r="C1441" s="48" t="inlineStr">
        <is>
          <t>2.12</t>
        </is>
      </c>
      <c r="D1441" s="48" t="inlineStr">
        <is>
          <t>Nhom 2 - Logic</t>
        </is>
      </c>
      <c r="E1441" s="48" t="inlineStr">
        <is>
          <t>Build Gold từ CTE snapshot Silver, không build nhiều tầng chồng chéo</t>
        </is>
      </c>
      <c r="F1441" s="49" t="inlineStr">
        <is>
          <t>PASS</t>
        </is>
      </c>
      <c r="G1441" s="48" t="inlineStr">
        <is>
          <t>Pass</t>
        </is>
      </c>
      <c r="H1441" s="50" t="inlineStr">
        <is>
          <t>mỗi bảng nguồn chỉ đọc trong 1 khối SELECT</t>
        </is>
      </c>
      <c r="I1441"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41" s="48" t="inlineStr">
        <is>
          <t>111. OCB_GOLD_TTDL_BPM_VOLUME_TDCN_THU.xlsx [Script: BPM_VOLUME_TDCN]</t>
        </is>
      </c>
    </row>
    <row r="1442">
      <c r="A1442" s="48" t="inlineStr">
        <is>
          <t>BPM_VOLUME_TDCN</t>
        </is>
      </c>
      <c r="B1442" s="48" t="inlineStr">
        <is>
          <t>SILVER_CONSUMER</t>
        </is>
      </c>
      <c r="C1442" s="48" t="inlineStr">
        <is>
          <t>3.1</t>
        </is>
      </c>
      <c r="D1442" s="48" t="inlineStr">
        <is>
          <t>Nhom 3 - Optimization</t>
        </is>
      </c>
      <c r="E1442" s="48" t="inlineStr">
        <is>
          <t>Không SELECT *</t>
        </is>
      </c>
      <c r="F1442" s="49" t="inlineStr">
        <is>
          <t>PASS</t>
        </is>
      </c>
      <c r="G1442" s="48" t="inlineStr">
        <is>
          <t>Pass</t>
        </is>
      </c>
      <c r="H1442" s="50" t="inlineStr">
        <is>
          <t>không dùng SELECT * ở đâu</t>
        </is>
      </c>
      <c r="I1442" s="50" t="inlineStr">
        <is>
          <t>Liệt kê tường minh các cột cần dùng, kể cả trong CTE trung gian. SELECT * làm tăng IO/memory và vỡ script khi bảng nguồn thêm cột.</t>
        </is>
      </c>
      <c r="J1442" s="48" t="inlineStr">
        <is>
          <t>111. OCB_GOLD_TTDL_BPM_VOLUME_TDCN_THU.xlsx [Script: BPM_VOLUME_TDCN]</t>
        </is>
      </c>
    </row>
    <row r="1443">
      <c r="A1443" s="48" t="inlineStr">
        <is>
          <t>BPM_VOLUME_TDCN</t>
        </is>
      </c>
      <c r="B1443" s="48" t="inlineStr">
        <is>
          <t>SILVER_CONSUMER</t>
        </is>
      </c>
      <c r="C1443" s="48" t="inlineStr">
        <is>
          <t>3.2</t>
        </is>
      </c>
      <c r="D1443" s="48" t="inlineStr">
        <is>
          <t>Nhom 3 - Optimization</t>
        </is>
      </c>
      <c r="E1443" s="48" t="inlineStr">
        <is>
          <t>CTE không bị scan lại nhiều lần</t>
        </is>
      </c>
      <c r="F1443" s="51" t="inlineStr">
        <is>
          <t>WARN</t>
        </is>
      </c>
      <c r="G1443" s="48" t="inlineStr">
        <is>
          <t>WARN</t>
        </is>
      </c>
      <c r="H1443" s="50" t="inlineStr">
        <is>
          <t>CTE bị tham chiếu lại nhiều lần: giao_dich_tdcn_tsbd_sat x2</t>
        </is>
      </c>
      <c r="I1443" s="50" t="inlineStr">
        <is>
          <t>Với CTE nặng (đọc nhiều bảng Silver) bị tham chiếu từ 2 chỗ trở lên: gom lại còn một lần dùng, hoặc vật chất hóa (CACHE / bảng tạm). CTE nhẹ chỉ chứa tham số thì bỏ qua được — tự tick Pass.</t>
        </is>
      </c>
      <c r="J1443" s="48" t="inlineStr">
        <is>
          <t>111. OCB_GOLD_TTDL_BPM_VOLUME_TDCN_THU.xlsx [Script: BPM_VOLUME_TDCN]</t>
        </is>
      </c>
    </row>
    <row r="1444">
      <c r="A1444" s="48" t="inlineStr">
        <is>
          <t>BPM_VOLUME_TDCN</t>
        </is>
      </c>
      <c r="B1444" s="48" t="inlineStr">
        <is>
          <t>SILVER_CONSUMER</t>
        </is>
      </c>
      <c r="C1444" s="48" t="inlineStr">
        <is>
          <t>3.3</t>
        </is>
      </c>
      <c r="D1444" s="48" t="inlineStr">
        <is>
          <t>Nhom 3 - Optimization</t>
        </is>
      </c>
      <c r="E1444" s="48" t="inlineStr">
        <is>
          <t>Filter trước khi join, tận dụng partition pruning</t>
        </is>
      </c>
      <c r="F1444" s="51" t="inlineStr">
        <is>
          <t>WARN</t>
        </is>
      </c>
      <c r="G1444" s="48" t="inlineStr">
        <is>
          <t>WARN</t>
        </is>
      </c>
      <c r="H1444" s="50" t="inlineStr">
        <is>
          <t>5 bảng join trực tiếp mà không có filter riêng: ref_bpm_auth_nhom (NHOM), ref_bpm_danh_muc (dmTSBD), ref_bpm_danh_muc (luongPD), ref_bpm_danh_muc (trangThai), ref_bpm_danh_muc (trangThaiHD)</t>
        </is>
      </c>
      <c r="I1444" s="50" t="inlineStr">
        <is>
          <t>Đưa điều kiện lọc (ngày dữ liệu, trạng thái) vào subquery của từng bảng TRƯỚC khi join, để tận dụng partition pruning. Bảng dim nhỏ không partition thì không cần — tự tick Pass.</t>
        </is>
      </c>
      <c r="J1444" s="48" t="inlineStr">
        <is>
          <t>111. OCB_GOLD_TTDL_BPM_VOLUME_TDCN_THU.xlsx [Script: BPM_VOLUME_TDCN]</t>
        </is>
      </c>
    </row>
    <row r="1445">
      <c r="A1445" s="48" t="inlineStr">
        <is>
          <t>BPM_VOLUME_TDCN</t>
        </is>
      </c>
      <c r="B1445" s="48" t="inlineStr">
        <is>
          <t>SILVER_CONSUMER</t>
        </is>
      </c>
      <c r="C1445" s="48" t="inlineStr">
        <is>
          <t>3.4</t>
        </is>
      </c>
      <c r="D1445" s="48" t="inlineStr">
        <is>
          <t>Nhom 3 - Optimization</t>
        </is>
      </c>
      <c r="E1445" s="48" t="inlineStr">
        <is>
          <t>Sử dụng CACHE cho query lặp lại trong cùng luồng</t>
        </is>
      </c>
      <c r="F1445" s="51" t="inlineStr">
        <is>
          <t>WARN</t>
        </is>
      </c>
      <c r="G1445" s="48" t="inlineStr">
        <is>
          <t>WARN</t>
        </is>
      </c>
      <c r="H1445" s="50" t="inlineStr">
        <is>
          <t>1 CTE nặng dùng lại &gt;= 2 lần mà không có CACHE: giao_dich_tdcn_tsbd_sat</t>
        </is>
      </c>
      <c r="I1445" s="50" t="inlineStr">
        <is>
          <t>Nếu một kết quả nặng được dùng lại nhiều bước trong cùng luồng, thêm CACHE TABLE / CACHE SELECT. Kết quả nhỏ thì cache còn chậm hơn — tự tick Pass.</t>
        </is>
      </c>
      <c r="J1445" s="48" t="inlineStr">
        <is>
          <t>111. OCB_GOLD_TTDL_BPM_VOLUME_TDCN_THU.xlsx [Script: BPM_VOLUME_TDCN]</t>
        </is>
      </c>
    </row>
    <row r="1446">
      <c r="A1446" s="48" t="inlineStr">
        <is>
          <t>BPM_VOLUME_TDCN</t>
        </is>
      </c>
      <c r="B1446" s="48" t="inlineStr">
        <is>
          <t>SILVER_CONSUMER</t>
        </is>
      </c>
      <c r="C1446" s="48" t="inlineStr">
        <is>
          <t>3.5</t>
        </is>
      </c>
      <c r="D1446" s="48" t="inlineStr">
        <is>
          <t>Nhom 3 - Optimization</t>
        </is>
      </c>
      <c r="E1446" s="48" t="inlineStr">
        <is>
          <t>Ưu tiên MAX_BY + QUALIFY thay ROW_NUMBER() + WHERE rn = 1</t>
        </is>
      </c>
      <c r="F1446" s="48" t="inlineStr">
        <is>
          <t>N-A</t>
        </is>
      </c>
      <c r="G1446" s="48" t="inlineStr">
        <is>
          <t>Pass</t>
        </is>
      </c>
      <c r="H1446" s="50" t="inlineStr">
        <is>
          <t>script không dùng ROW_NUMBER</t>
        </is>
      </c>
      <c r="I1446"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46" s="48" t="inlineStr">
        <is>
          <t>111. OCB_GOLD_TTDL_BPM_VOLUME_TDCN_THU.xlsx [Script: BPM_VOLUME_TDCN]</t>
        </is>
      </c>
    </row>
    <row r="1447">
      <c r="A1447" s="48" t="inlineStr">
        <is>
          <t>BPM_VOLUME_TDCN</t>
        </is>
      </c>
      <c r="B1447" s="48" t="inlineStr">
        <is>
          <t>SILVER_CONSUMER</t>
        </is>
      </c>
      <c r="C1447" s="48" t="inlineStr">
        <is>
          <t>3.6</t>
        </is>
      </c>
      <c r="D1447" s="48" t="inlineStr">
        <is>
          <t>Nhom 3 - Optimization</t>
        </is>
      </c>
      <c r="E1447" s="48" t="inlineStr">
        <is>
          <t>Không lạm dụng window function; có comment khi dùng</t>
        </is>
      </c>
      <c r="F1447" s="48" t="inlineStr">
        <is>
          <t>N-A</t>
        </is>
      </c>
      <c r="G1447" s="48" t="inlineStr">
        <is>
          <t>Pass</t>
        </is>
      </c>
      <c r="H1447" s="50" t="inlineStr">
        <is>
          <t>script không dùng window function</t>
        </is>
      </c>
      <c r="I1447" s="50" t="inlineStr">
        <is>
          <t>Mỗi window function cần một comment ngay trên khối CTE chứa nó, nói rõ vì sao không dùng được max_by/QUALIFY đơn giản hơn.</t>
        </is>
      </c>
      <c r="J1447" s="48" t="inlineStr">
        <is>
          <t>111. OCB_GOLD_TTDL_BPM_VOLUME_TDCN_THU.xlsx [Script: BPM_VOLUME_TDCN]</t>
        </is>
      </c>
    </row>
    <row r="1448">
      <c r="A1448" s="48" t="inlineStr">
        <is>
          <t>BPM_VOLUME_TDCN</t>
        </is>
      </c>
      <c r="B1448" s="48" t="inlineStr">
        <is>
          <t>SILVER_CONSUMER</t>
        </is>
      </c>
      <c r="C1448" s="48" t="inlineStr">
        <is>
          <t>X.1</t>
        </is>
      </c>
      <c r="D1448" s="48" t="inlineStr">
        <is>
          <t>Nhom X - Bo sung Raffles</t>
        </is>
      </c>
      <c r="E1448" s="48" t="inlineStr">
        <is>
          <t>[Bổ sung] Link phải rút về current trước khi join (chống fan-out)</t>
        </is>
      </c>
      <c r="F1448" s="52" t="inlineStr">
        <is>
          <t>FAIL</t>
        </is>
      </c>
      <c r="G1448" s="48" t="inlineStr">
        <is>
          <t>Fail</t>
        </is>
      </c>
      <c r="H1448" s="50" t="inlineStr">
        <is>
          <t>1 bảng link_* join trực tiếp mà chưa rút về current, sẽ nhân đôi số dòng: link_giao_dich_khach_hang_cur (dong 49)</t>
        </is>
      </c>
      <c r="I1448"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48" s="48" t="inlineStr">
        <is>
          <t>111. OCB_GOLD_TTDL_BPM_VOLUME_TDCN_THU.xlsx [Script: BPM_VOLUME_TDCN]</t>
        </is>
      </c>
    </row>
    <row r="1449">
      <c r="A1449" s="48" t="inlineStr">
        <is>
          <t>BPM_VOLUME_TDCN</t>
        </is>
      </c>
      <c r="B1449" s="48" t="inlineStr">
        <is>
          <t>SILVER_CONSUMER</t>
        </is>
      </c>
      <c r="C1449" s="48" t="inlineStr">
        <is>
          <t>X.6</t>
        </is>
      </c>
      <c r="D1449" s="48" t="inlineStr">
        <is>
          <t>Nhom X - Bo sung Raffles</t>
        </is>
      </c>
      <c r="E1449" s="48" t="inlineStr">
        <is>
          <t>[Bổ sung] Satellite phải LEFT JOIN, không INNER JOIN</t>
        </is>
      </c>
      <c r="F1449" s="49" t="inlineStr">
        <is>
          <t>PASS</t>
        </is>
      </c>
      <c r="G1449" s="48" t="inlineStr">
        <is>
          <t>Pass</t>
        </is>
      </c>
      <c r="H1449" s="50" t="inlineStr">
        <is>
          <t>các satellite đều LEFT JOIN</t>
        </is>
      </c>
      <c r="I1449" s="50" t="inlineStr">
        <is>
          <t>Technical Document III.4.2.2 nguyên tắc 1: làm giàu thuộc tính luôn dùng LEFT JOIN. INNER JOIN satellite sẽ loại mất bản ghi Hub đang còn hiệu lực nhưng chưa có dòng satellite.</t>
        </is>
      </c>
      <c r="J1449" s="48" t="inlineStr">
        <is>
          <t>111. OCB_GOLD_TTDL_BPM_VOLUME_TDCN_THU.xlsx [Script: BPM_VOLUME_TDCN]</t>
        </is>
      </c>
    </row>
    <row r="1450">
      <c r="A1450" s="48" t="inlineStr">
        <is>
          <t>BPM_VOLUME_TDCN</t>
        </is>
      </c>
      <c r="B1450" s="48" t="inlineStr">
        <is>
          <t>SILVER_CONSUMER</t>
        </is>
      </c>
      <c r="C1450" s="48" t="inlineStr">
        <is>
          <t>X.7</t>
        </is>
      </c>
      <c r="D1450" s="48" t="inlineStr">
        <is>
          <t>Nhom X - Bo sung Raffles</t>
        </is>
      </c>
      <c r="E1450" s="48" t="inlineStr">
        <is>
          <t>[Bổ sung] Không hard-code catalog, dùng biến môi trường</t>
        </is>
      </c>
      <c r="F1450" s="49" t="inlineStr">
        <is>
          <t>PASS</t>
        </is>
      </c>
      <c r="G1450" s="48" t="inlineStr">
        <is>
          <t>Pass</t>
        </is>
      </c>
      <c r="H1450" s="50" t="inlineStr">
        <is>
          <t>dùng biến môi trường cho catalog</t>
        </is>
      </c>
      <c r="I1450"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50" s="48" t="inlineStr">
        <is>
          <t>111. OCB_GOLD_TTDL_BPM_VOLUME_TDCN_THU.xlsx [Script: BPM_VOLUME_TDCN]</t>
        </is>
      </c>
    </row>
    <row r="1451">
      <c r="A1451" s="48" t="inlineStr">
        <is>
          <t>TCKH.SECTOR_LIST</t>
        </is>
      </c>
      <c r="B1451" s="48" t="inlineStr">
        <is>
          <t>GOLD_DERIVED</t>
        </is>
      </c>
      <c r="C1451" s="48" t="inlineStr">
        <is>
          <t>1.1</t>
        </is>
      </c>
      <c r="D1451" s="48" t="inlineStr">
        <is>
          <t>Nhom 1 - Mapping</t>
        </is>
      </c>
      <c r="E1451" s="48" t="inlineStr">
        <is>
          <t>Đầy đủ mapping từ Silver/manual sang Gold</t>
        </is>
      </c>
      <c r="F1451" s="49" t="inlineStr">
        <is>
          <t>PASS</t>
        </is>
      </c>
      <c r="G1451" s="48" t="inlineStr">
        <is>
          <t>Pass</t>
        </is>
      </c>
      <c r="H1451" s="50" t="inlineStr">
        <is>
          <t>workbook 038. OCB_GOLD_TCKH_V_SECTOR_LIST_HOP.xlsx: thiết kế 3 field, SQL có 3 cột</t>
        </is>
      </c>
      <c r="I1451"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51" s="48" t="inlineStr">
        <is>
          <t>113. OCB_GOLD_TCKH_SECTOR_LIST_HOP.xlsx [Script: SECTOR_LIST]</t>
        </is>
      </c>
    </row>
    <row r="1452">
      <c r="A1452" s="48" t="inlineStr">
        <is>
          <t>TCKH.SECTOR_LIST</t>
        </is>
      </c>
      <c r="B1452" s="48" t="inlineStr">
        <is>
          <t>GOLD_DERIVED</t>
        </is>
      </c>
      <c r="C1452" s="48" t="inlineStr">
        <is>
          <t>1.2</t>
        </is>
      </c>
      <c r="D1452" s="48" t="inlineStr">
        <is>
          <t>Nhom 1 - Mapping</t>
        </is>
      </c>
      <c r="E1452" s="48" t="inlineStr">
        <is>
          <t>Danh sách bảng/view Gold khớp tài liệu thiết kế đã duyệt</t>
        </is>
      </c>
      <c r="F1452" s="49" t="inlineStr">
        <is>
          <t>PASS</t>
        </is>
      </c>
      <c r="G1452" s="48" t="inlineStr">
        <is>
          <t>Pass</t>
        </is>
      </c>
      <c r="H1452" s="50" t="inlineStr">
        <is>
          <t>SECTOR_LIST có workbook thiết kế: 038. OCB_GOLD_TCKH_V_SECTOR_LIST_HOP.xlsx</t>
        </is>
      </c>
      <c r="I1452" s="50" t="inlineStr">
        <is>
          <t>Đảm bảo object có workbook thiết kế tương ứng trong thư mục --mapping-dir. Muốn đối chiếu với danh sách đã duyệt thì chạy thêm tham số --gold-list "&lt;file danh sách Gold&gt;.xlsx".</t>
        </is>
      </c>
      <c r="J1452" s="48" t="inlineStr">
        <is>
          <t>113. OCB_GOLD_TCKH_SECTOR_LIST_HOP.xlsx [Script: SECTOR_LIST]</t>
        </is>
      </c>
    </row>
    <row r="1453">
      <c r="A1453" s="48" t="inlineStr">
        <is>
          <t>TCKH.SECTOR_LIST</t>
        </is>
      </c>
      <c r="B1453" s="48" t="inlineStr">
        <is>
          <t>GOLD_DERIVED</t>
        </is>
      </c>
      <c r="C1453" s="48" t="inlineStr">
        <is>
          <t>2.1</t>
        </is>
      </c>
      <c r="D1453" s="48" t="inlineStr">
        <is>
          <t>Nhom 2 - Logic</t>
        </is>
      </c>
      <c r="E1453" s="48" t="inlineStr">
        <is>
          <t>Chỉ lấy bản ghi active, loại bản ghi đã xóa (qua sts_hub)</t>
        </is>
      </c>
      <c r="F1453" s="48" t="inlineStr">
        <is>
          <t>N-A</t>
        </is>
      </c>
      <c r="G1453" s="48" t="inlineStr">
        <is>
          <t>Pass</t>
        </is>
      </c>
      <c r="H1453" s="50" t="inlineStr">
        <is>
          <t>khong ap dung cho profile GOLD_DERIVED</t>
        </is>
      </c>
      <c r="I1453"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53" s="48" t="inlineStr">
        <is>
          <t>113. OCB_GOLD_TCKH_SECTOR_LIST_HOP.xlsx [Script: SECTOR_LIST]</t>
        </is>
      </c>
    </row>
    <row r="1454">
      <c r="A1454" s="48" t="inlineStr">
        <is>
          <t>TCKH.SECTOR_LIST</t>
        </is>
      </c>
      <c r="B1454" s="48" t="inlineStr">
        <is>
          <t>GOLD_DERIVED</t>
        </is>
      </c>
      <c r="C1454" s="48" t="inlineStr">
        <is>
          <t>2.2</t>
        </is>
      </c>
      <c r="D1454" s="48" t="inlineStr">
        <is>
          <t>Nhom 2 - Logic</t>
        </is>
      </c>
      <c r="E1454" s="48" t="inlineStr">
        <is>
          <t>Thống nhất MỘT pattern duy nhất xác định bản ghi active mới nhất</t>
        </is>
      </c>
      <c r="F1454" s="48" t="inlineStr">
        <is>
          <t>N-A</t>
        </is>
      </c>
      <c r="G1454" s="48" t="inlineStr">
        <is>
          <t>Pass</t>
        </is>
      </c>
      <c r="H1454" s="50" t="inlineStr">
        <is>
          <t>khong ap dung cho profile GOLD_DERIVED</t>
        </is>
      </c>
      <c r="I1454"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54" s="48" t="inlineStr">
        <is>
          <t>113. OCB_GOLD_TCKH_SECTOR_LIST_HOP.xlsx [Script: SECTOR_LIST]</t>
        </is>
      </c>
    </row>
    <row r="1455">
      <c r="A1455" s="48" t="inlineStr">
        <is>
          <t>TCKH.SECTOR_LIST</t>
        </is>
      </c>
      <c r="B1455" s="48" t="inlineStr">
        <is>
          <t>GOLD_DERIVED</t>
        </is>
      </c>
      <c r="C1455" s="48" t="inlineStr">
        <is>
          <t>2.3</t>
        </is>
      </c>
      <c r="D1455" s="48" t="inlineStr">
        <is>
          <t>Nhom 2 - Logic</t>
        </is>
      </c>
      <c r="E1455" s="48" t="inlineStr">
        <is>
          <t>Điều kiện lọc trạng thái đặt SAU khi xác định bản ghi mới nhất</t>
        </is>
      </c>
      <c r="F1455" s="49" t="inlineStr">
        <is>
          <t>PASS</t>
        </is>
      </c>
      <c r="G1455" s="48" t="inlineStr">
        <is>
          <t>Pass</t>
        </is>
      </c>
      <c r="H1455" s="50" t="inlineStr">
        <is>
          <t>không có điều kiện trạng thái nào lồng trong JOIN ON</t>
        </is>
      </c>
      <c r="I1455"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55" s="48" t="inlineStr">
        <is>
          <t>113. OCB_GOLD_TCKH_SECTOR_LIST_HOP.xlsx [Script: SECTOR_LIST]</t>
        </is>
      </c>
    </row>
    <row r="1456">
      <c r="A1456" s="48" t="inlineStr">
        <is>
          <t>TCKH.SECTOR_LIST</t>
        </is>
      </c>
      <c r="B1456" s="48" t="inlineStr">
        <is>
          <t>GOLD_DERIVED</t>
        </is>
      </c>
      <c r="C1456" s="48" t="inlineStr">
        <is>
          <t>2.4</t>
        </is>
      </c>
      <c r="D1456" s="48" t="inlineStr">
        <is>
          <t>Nhom 2 - Logic</t>
        </is>
      </c>
      <c r="E1456" s="48" t="inlineStr">
        <is>
          <t>source_event_date áp dụng đúng dạng theo loại bảng</t>
        </is>
      </c>
      <c r="F1456" s="48" t="inlineStr">
        <is>
          <t>N-A</t>
        </is>
      </c>
      <c r="G1456" s="48" t="inlineStr">
        <is>
          <t>Pass</t>
        </is>
      </c>
      <c r="H1456" s="50" t="inlineStr">
        <is>
          <t>khong ap dung cho profile GOLD_DERIVED</t>
        </is>
      </c>
      <c r="I1456"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56" s="48" t="inlineStr">
        <is>
          <t>113. OCB_GOLD_TCKH_SECTOR_LIST_HOP.xlsx [Script: SECTOR_LIST]</t>
        </is>
      </c>
    </row>
    <row r="1457">
      <c r="A1457" s="48" t="inlineStr">
        <is>
          <t>TCKH.SECTOR_LIST</t>
        </is>
      </c>
      <c r="B1457" s="48" t="inlineStr">
        <is>
          <t>GOLD_DERIVED</t>
        </is>
      </c>
      <c r="C1457" s="48" t="inlineStr">
        <is>
          <t>2.5</t>
        </is>
      </c>
      <c r="D1457" s="48" t="inlineStr">
        <is>
          <t>Nhom 2 - Logic</t>
        </is>
      </c>
      <c r="E1457" s="48" t="inlineStr">
        <is>
          <t>Không lặp lại lỗi logic cũ đã được DA Data Vault fix</t>
        </is>
      </c>
      <c r="F1457" s="49" t="inlineStr">
        <is>
          <t>PASS</t>
        </is>
      </c>
      <c r="G1457" s="48" t="inlineStr">
        <is>
          <t>Pass</t>
        </is>
      </c>
      <c r="H1457" s="50" t="inlineStr">
        <is>
          <t>không trùng lỗi nào trong Issue log của DA Data Vault</t>
        </is>
      </c>
      <c r="I1457"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57" s="48" t="inlineStr">
        <is>
          <t>113. OCB_GOLD_TCKH_SECTOR_LIST_HOP.xlsx [Script: SECTOR_LIST]</t>
        </is>
      </c>
    </row>
    <row r="1458">
      <c r="A1458" s="48" t="inlineStr">
        <is>
          <t>TCKH.SECTOR_LIST</t>
        </is>
      </c>
      <c r="B1458" s="48" t="inlineStr">
        <is>
          <t>GOLD_DERIVED</t>
        </is>
      </c>
      <c r="C1458" s="48" t="inlineStr">
        <is>
          <t>2.6</t>
        </is>
      </c>
      <c r="D1458" s="48" t="inlineStr">
        <is>
          <t>Nhom 2 - Logic</t>
        </is>
      </c>
      <c r="E1458" s="48" t="inlineStr">
        <is>
          <t>SCD Type 2 cho bảng DIM áp dụng đúng kỹ thuật đã thống nhất</t>
        </is>
      </c>
      <c r="F1458" s="48" t="inlineStr">
        <is>
          <t>N-A</t>
        </is>
      </c>
      <c r="G1458" s="48" t="inlineStr">
        <is>
          <t>Pass</t>
        </is>
      </c>
      <c r="H1458" s="50" t="inlineStr">
        <is>
          <t>object không phải bảng DIM nên không áp dụng SCD Type 2</t>
        </is>
      </c>
      <c r="I1458"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58" s="48" t="inlineStr">
        <is>
          <t>113. OCB_GOLD_TCKH_SECTOR_LIST_HOP.xlsx [Script: SECTOR_LIST]</t>
        </is>
      </c>
    </row>
    <row r="1459">
      <c r="A1459" s="48" t="inlineStr">
        <is>
          <t>TCKH.SECTOR_LIST</t>
        </is>
      </c>
      <c r="B1459" s="48" t="inlineStr">
        <is>
          <t>GOLD_DERIVED</t>
        </is>
      </c>
      <c r="C1459" s="48" t="inlineStr">
        <is>
          <t>2.7</t>
        </is>
      </c>
      <c r="D1459" s="48" t="inlineStr">
        <is>
          <t>Nhom 2 - Logic</t>
        </is>
      </c>
      <c r="E1459" s="48" t="inlineStr">
        <is>
          <t>CASE WHEN cover đủ nhánh như job on-prem</t>
        </is>
      </c>
      <c r="F1459" s="48" t="inlineStr">
        <is>
          <t>N-A</t>
        </is>
      </c>
      <c r="G1459" s="48" t="inlineStr">
        <is>
          <t>Pass</t>
        </is>
      </c>
      <c r="H1459" s="50" t="inlineStr">
        <is>
          <t>script không có CASE WHEN nào</t>
        </is>
      </c>
      <c r="I1459" s="50" t="inlineStr">
        <is>
          <t>Mở job on-prem tương ứng (DataStage DSX hoặc SQL cũ), đối chiếu từng nhánh WHEN và cả nhánh ELSE. CASE không có ELSE sẽ trả NULL âm thầm — xác nhận đó là ý muốn hay thiếu nhánh.</t>
        </is>
      </c>
      <c r="J1459" s="48" t="inlineStr">
        <is>
          <t>113. OCB_GOLD_TCKH_SECTOR_LIST_HOP.xlsx [Script: SECTOR_LIST]</t>
        </is>
      </c>
    </row>
    <row r="1460">
      <c r="A1460" s="48" t="inlineStr">
        <is>
          <t>TCKH.SECTOR_LIST</t>
        </is>
      </c>
      <c r="B1460" s="48" t="inlineStr">
        <is>
          <t>GOLD_DERIVED</t>
        </is>
      </c>
      <c r="C1460" s="48" t="inlineStr">
        <is>
          <t>2.8</t>
        </is>
      </c>
      <c r="D1460" s="48" t="inlineStr">
        <is>
          <t>Nhom 2 - Logic</t>
        </is>
      </c>
      <c r="E1460" s="48" t="inlineStr">
        <is>
          <t>Cột SUM/COUNT được COALESCE/NVL hợp lý</t>
        </is>
      </c>
      <c r="F1460" s="49" t="inlineStr">
        <is>
          <t>PASS</t>
        </is>
      </c>
      <c r="G1460" s="48" t="inlineStr">
        <is>
          <t>Pass</t>
        </is>
      </c>
      <c r="H1460" s="50" t="inlineStr">
        <is>
          <t>mọi SUM/COUNT đều đã coalesce (trực tiếp hoặc ở lớp ngoài)</t>
        </is>
      </c>
      <c r="I1460"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60" s="48" t="inlineStr">
        <is>
          <t>113. OCB_GOLD_TCKH_SECTOR_LIST_HOP.xlsx [Script: SECTOR_LIST]</t>
        </is>
      </c>
    </row>
    <row r="1461">
      <c r="A1461" s="48" t="inlineStr">
        <is>
          <t>TCKH.SECTOR_LIST</t>
        </is>
      </c>
      <c r="B1461" s="48" t="inlineStr">
        <is>
          <t>GOLD_DERIVED</t>
        </is>
      </c>
      <c r="C1461" s="48" t="inlineStr">
        <is>
          <t>2.9</t>
        </is>
      </c>
      <c r="D1461" s="48" t="inlineStr">
        <is>
          <t>Nhom 2 - Logic</t>
        </is>
      </c>
      <c r="E1461" s="48" t="inlineStr">
        <is>
          <t>Subquery / custom function / điều kiện LIKE đúng ý nghĩa nghiệp vụ</t>
        </is>
      </c>
      <c r="F1461" s="48" t="inlineStr">
        <is>
          <t>N-A</t>
        </is>
      </c>
      <c r="G1461" s="48" t="inlineStr">
        <is>
          <t>Pass</t>
        </is>
      </c>
      <c r="H1461" s="50" t="inlineStr">
        <is>
          <t>script không có điều kiện LIKE hay scalar subquery nào</t>
        </is>
      </c>
      <c r="I1461" s="50" t="inlineStr">
        <is>
          <t>Đọc lại từng điều kiện LIKE và từng subquery, đối chiếu ý nghĩa nghiệp vụ với on-prem — đúng cú pháp không đủ. Chú ý pattern LIKE có ký tự % ở đầu/cuối và phân biệt chữ hoa/thường.</t>
        </is>
      </c>
      <c r="J1461" s="48" t="inlineStr">
        <is>
          <t>113. OCB_GOLD_TCKH_SECTOR_LIST_HOP.xlsx [Script: SECTOR_LIST]</t>
        </is>
      </c>
    </row>
    <row r="1462">
      <c r="A1462" s="48" t="inlineStr">
        <is>
          <t>TCKH.SECTOR_LIST</t>
        </is>
      </c>
      <c r="B1462" s="48" t="inlineStr">
        <is>
          <t>GOLD_DERIVED</t>
        </is>
      </c>
      <c r="C1462" s="48" t="inlineStr">
        <is>
          <t>2.10</t>
        </is>
      </c>
      <c r="D1462" s="48" t="inlineStr">
        <is>
          <t>Nhom 2 - Logic</t>
        </is>
      </c>
      <c r="E1462" s="48" t="inlineStr">
        <is>
          <t>Aggregation kèm filter date range chính xác</t>
        </is>
      </c>
      <c r="F1462" s="49" t="inlineStr">
        <is>
          <t>PASS</t>
        </is>
      </c>
      <c r="G1462" s="48" t="inlineStr">
        <is>
          <t>Pass</t>
        </is>
      </c>
      <c r="H1462" s="50" t="inlineStr">
        <is>
          <t>mọi khối tổng hợp đều có điều kiện theo kỳ dữ liệu</t>
        </is>
      </c>
      <c r="I1462" s="50" t="inlineStr">
        <is>
          <t>Mỗi khối SUM/COUNT/AVG phải có điều kiện lọc theo kỳ dữ liệu (CDR_DT_ID, DATA_DATE, :DATADT…). Nếu điều kiện nằm ở CTE nguồn thì ghi rõ trong comment để người review không phải truy ngược.</t>
        </is>
      </c>
      <c r="J1462" s="48" t="inlineStr">
        <is>
          <t>113. OCB_GOLD_TCKH_SECTOR_LIST_HOP.xlsx [Script: SECTOR_LIST]</t>
        </is>
      </c>
    </row>
    <row r="1463">
      <c r="A1463" s="48" t="inlineStr">
        <is>
          <t>TCKH.SECTOR_LIST</t>
        </is>
      </c>
      <c r="B1463" s="48" t="inlineStr">
        <is>
          <t>GOLD_DERIVED</t>
        </is>
      </c>
      <c r="C1463" s="48" t="inlineStr">
        <is>
          <t>2.11</t>
        </is>
      </c>
      <c r="D1463" s="48" t="inlineStr">
        <is>
          <t>Nhom 2 - Logic</t>
        </is>
      </c>
      <c r="E1463" s="48" t="inlineStr">
        <is>
          <t>Join dùng key hợp lý, không lạm dụng UNION ALL + EXISTS/NOT EXISTS</t>
        </is>
      </c>
      <c r="F1463" s="49" t="inlineStr">
        <is>
          <t>PASS</t>
        </is>
      </c>
      <c r="G1463" s="48" t="inlineStr">
        <is>
          <t>Pass</t>
        </is>
      </c>
      <c r="H1463" s="50" t="inlineStr">
        <is>
          <t>join đều theo điều kiện bằng, không lạm dụng UNION ALL + EXISTS</t>
        </is>
      </c>
      <c r="I1463" s="50" t="inlineStr">
        <is>
          <t>Ưu tiên LEFT JOIN theo business key hoặc hashkey. Xem lại các chỗ dùng UNION ALL kết hợp EXISTS/NOT EXISTS — thường thay được bằng một LEFT JOIN. Join không có điều kiện bằng (=) dễ tạo tích Descartes.</t>
        </is>
      </c>
      <c r="J1463" s="48" t="inlineStr">
        <is>
          <t>113. OCB_GOLD_TCKH_SECTOR_LIST_HOP.xlsx [Script: SECTOR_LIST]</t>
        </is>
      </c>
    </row>
    <row r="1464">
      <c r="A1464" s="48" t="inlineStr">
        <is>
          <t>TCKH.SECTOR_LIST</t>
        </is>
      </c>
      <c r="B1464" s="48" t="inlineStr">
        <is>
          <t>GOLD_DERIVED</t>
        </is>
      </c>
      <c r="C1464" s="48" t="inlineStr">
        <is>
          <t>2.12</t>
        </is>
      </c>
      <c r="D1464" s="48" t="inlineStr">
        <is>
          <t>Nhom 2 - Logic</t>
        </is>
      </c>
      <c r="E1464" s="48" t="inlineStr">
        <is>
          <t>Build Gold từ CTE snapshot Silver, không build nhiều tầng chồng chéo</t>
        </is>
      </c>
      <c r="F1464" s="49" t="inlineStr">
        <is>
          <t>PASS</t>
        </is>
      </c>
      <c r="G1464" s="48" t="inlineStr">
        <is>
          <t>Pass</t>
        </is>
      </c>
      <c r="H1464" s="50" t="inlineStr">
        <is>
          <t>mỗi bảng nguồn chỉ đọc trong 1 khối SELECT</t>
        </is>
      </c>
      <c r="I1464"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64" s="48" t="inlineStr">
        <is>
          <t>113. OCB_GOLD_TCKH_SECTOR_LIST_HOP.xlsx [Script: SECTOR_LIST]</t>
        </is>
      </c>
    </row>
    <row r="1465">
      <c r="A1465" s="48" t="inlineStr">
        <is>
          <t>TCKH.SECTOR_LIST</t>
        </is>
      </c>
      <c r="B1465" s="48" t="inlineStr">
        <is>
          <t>GOLD_DERIVED</t>
        </is>
      </c>
      <c r="C1465" s="48" t="inlineStr">
        <is>
          <t>3.1</t>
        </is>
      </c>
      <c r="D1465" s="48" t="inlineStr">
        <is>
          <t>Nhom 3 - Optimization</t>
        </is>
      </c>
      <c r="E1465" s="48" t="inlineStr">
        <is>
          <t>Không SELECT *</t>
        </is>
      </c>
      <c r="F1465" s="49" t="inlineStr">
        <is>
          <t>PASS</t>
        </is>
      </c>
      <c r="G1465" s="48" t="inlineStr">
        <is>
          <t>Pass</t>
        </is>
      </c>
      <c r="H1465" s="50" t="inlineStr">
        <is>
          <t>không dùng SELECT * ở đâu</t>
        </is>
      </c>
      <c r="I1465" s="50" t="inlineStr">
        <is>
          <t>Liệt kê tường minh các cột cần dùng, kể cả trong CTE trung gian. SELECT * làm tăng IO/memory và vỡ script khi bảng nguồn thêm cột.</t>
        </is>
      </c>
      <c r="J1465" s="48" t="inlineStr">
        <is>
          <t>113. OCB_GOLD_TCKH_SECTOR_LIST_HOP.xlsx [Script: SECTOR_LIST]</t>
        </is>
      </c>
    </row>
    <row r="1466">
      <c r="A1466" s="48" t="inlineStr">
        <is>
          <t>TCKH.SECTOR_LIST</t>
        </is>
      </c>
      <c r="B1466" s="48" t="inlineStr">
        <is>
          <t>GOLD_DERIVED</t>
        </is>
      </c>
      <c r="C1466" s="48" t="inlineStr">
        <is>
          <t>3.2</t>
        </is>
      </c>
      <c r="D1466" s="48" t="inlineStr">
        <is>
          <t>Nhom 3 - Optimization</t>
        </is>
      </c>
      <c r="E1466" s="48" t="inlineStr">
        <is>
          <t>CTE không bị scan lại nhiều lần</t>
        </is>
      </c>
      <c r="F1466" s="49" t="inlineStr">
        <is>
          <t>PASS</t>
        </is>
      </c>
      <c r="G1466" s="48" t="inlineStr">
        <is>
          <t>Pass</t>
        </is>
      </c>
      <c r="H1466" s="50" t="inlineStr">
        <is>
          <t>không có CTE nào bị gọi lại</t>
        </is>
      </c>
      <c r="I1466" s="50" t="inlineStr">
        <is>
          <t>Với CTE nặng (đọc nhiều bảng Silver) bị tham chiếu từ 2 chỗ trở lên: gom lại còn một lần dùng, hoặc vật chất hóa (CACHE / bảng tạm). CTE nhẹ chỉ chứa tham số thì bỏ qua được — tự tick Pass.</t>
        </is>
      </c>
      <c r="J1466" s="48" t="inlineStr">
        <is>
          <t>113. OCB_GOLD_TCKH_SECTOR_LIST_HOP.xlsx [Script: SECTOR_LIST]</t>
        </is>
      </c>
    </row>
    <row r="1467">
      <c r="A1467" s="48" t="inlineStr">
        <is>
          <t>TCKH.SECTOR_LIST</t>
        </is>
      </c>
      <c r="B1467" s="48" t="inlineStr">
        <is>
          <t>GOLD_DERIVED</t>
        </is>
      </c>
      <c r="C1467" s="48" t="inlineStr">
        <is>
          <t>3.3</t>
        </is>
      </c>
      <c r="D1467" s="48" t="inlineStr">
        <is>
          <t>Nhom 3 - Optimization</t>
        </is>
      </c>
      <c r="E1467" s="48" t="inlineStr">
        <is>
          <t>Filter trước khi join, tận dụng partition pruning</t>
        </is>
      </c>
      <c r="F1467" s="49" t="inlineStr">
        <is>
          <t>PASS</t>
        </is>
      </c>
      <c r="G1467" s="48" t="inlineStr">
        <is>
          <t>Pass</t>
        </is>
      </c>
      <c r="H1467" s="50" t="inlineStr">
        <is>
          <t>các bảng join đều được filter trước</t>
        </is>
      </c>
      <c r="I1467" s="50" t="inlineStr">
        <is>
          <t>Đưa điều kiện lọc (ngày dữ liệu, trạng thái) vào subquery của từng bảng TRƯỚC khi join, để tận dụng partition pruning. Bảng dim nhỏ không partition thì không cần — tự tick Pass.</t>
        </is>
      </c>
      <c r="J1467" s="48" t="inlineStr">
        <is>
          <t>113. OCB_GOLD_TCKH_SECTOR_LIST_HOP.xlsx [Script: SECTOR_LIST]</t>
        </is>
      </c>
    </row>
    <row r="1468">
      <c r="A1468" s="48" t="inlineStr">
        <is>
          <t>TCKH.SECTOR_LIST</t>
        </is>
      </c>
      <c r="B1468" s="48" t="inlineStr">
        <is>
          <t>GOLD_DERIVED</t>
        </is>
      </c>
      <c r="C1468" s="48" t="inlineStr">
        <is>
          <t>3.4</t>
        </is>
      </c>
      <c r="D1468" s="48" t="inlineStr">
        <is>
          <t>Nhom 3 - Optimization</t>
        </is>
      </c>
      <c r="E1468" s="48" t="inlineStr">
        <is>
          <t>Sử dụng CACHE cho query lặp lại trong cùng luồng</t>
        </is>
      </c>
      <c r="F1468" s="48" t="inlineStr">
        <is>
          <t>N-A</t>
        </is>
      </c>
      <c r="G1468" s="48" t="inlineStr">
        <is>
          <t>Pass</t>
        </is>
      </c>
      <c r="H1468" s="50" t="inlineStr">
        <is>
          <t>không có kết quả nào được dùng lại nhiều lần nên chưa cần CACHE</t>
        </is>
      </c>
      <c r="I1468" s="50" t="inlineStr">
        <is>
          <t>Nếu một kết quả nặng được dùng lại nhiều bước trong cùng luồng, thêm CACHE TABLE / CACHE SELECT. Kết quả nhỏ thì cache còn chậm hơn — tự tick Pass.</t>
        </is>
      </c>
      <c r="J1468" s="48" t="inlineStr">
        <is>
          <t>113. OCB_GOLD_TCKH_SECTOR_LIST_HOP.xlsx [Script: SECTOR_LIST]</t>
        </is>
      </c>
    </row>
    <row r="1469">
      <c r="A1469" s="48" t="inlineStr">
        <is>
          <t>TCKH.SECTOR_LIST</t>
        </is>
      </c>
      <c r="B1469" s="48" t="inlineStr">
        <is>
          <t>GOLD_DERIVED</t>
        </is>
      </c>
      <c r="C1469" s="48" t="inlineStr">
        <is>
          <t>3.5</t>
        </is>
      </c>
      <c r="D1469" s="48" t="inlineStr">
        <is>
          <t>Nhom 3 - Optimization</t>
        </is>
      </c>
      <c r="E1469" s="48" t="inlineStr">
        <is>
          <t>Ưu tiên MAX_BY + QUALIFY thay ROW_NUMBER() + WHERE rn = 1</t>
        </is>
      </c>
      <c r="F1469" s="48" t="inlineStr">
        <is>
          <t>N-A</t>
        </is>
      </c>
      <c r="G1469" s="48" t="inlineStr">
        <is>
          <t>Pass</t>
        </is>
      </c>
      <c r="H1469" s="50" t="inlineStr">
        <is>
          <t>script không dùng ROW_NUMBER</t>
        </is>
      </c>
      <c r="I1469"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69" s="48" t="inlineStr">
        <is>
          <t>113. OCB_GOLD_TCKH_SECTOR_LIST_HOP.xlsx [Script: SECTOR_LIST]</t>
        </is>
      </c>
    </row>
    <row r="1470">
      <c r="A1470" s="48" t="inlineStr">
        <is>
          <t>TCKH.SECTOR_LIST</t>
        </is>
      </c>
      <c r="B1470" s="48" t="inlineStr">
        <is>
          <t>GOLD_DERIVED</t>
        </is>
      </c>
      <c r="C1470" s="48" t="inlineStr">
        <is>
          <t>3.6</t>
        </is>
      </c>
      <c r="D1470" s="48" t="inlineStr">
        <is>
          <t>Nhom 3 - Optimization</t>
        </is>
      </c>
      <c r="E1470" s="48" t="inlineStr">
        <is>
          <t>Không lạm dụng window function; có comment khi dùng</t>
        </is>
      </c>
      <c r="F1470" s="48" t="inlineStr">
        <is>
          <t>N-A</t>
        </is>
      </c>
      <c r="G1470" s="48" t="inlineStr">
        <is>
          <t>Pass</t>
        </is>
      </c>
      <c r="H1470" s="50" t="inlineStr">
        <is>
          <t>script không dùng window function</t>
        </is>
      </c>
      <c r="I1470" s="50" t="inlineStr">
        <is>
          <t>Mỗi window function cần một comment ngay trên khối CTE chứa nó, nói rõ vì sao không dùng được max_by/QUALIFY đơn giản hơn.</t>
        </is>
      </c>
      <c r="J1470" s="48" t="inlineStr">
        <is>
          <t>113. OCB_GOLD_TCKH_SECTOR_LIST_HOP.xlsx [Script: SECTOR_LIST]</t>
        </is>
      </c>
    </row>
    <row r="1471">
      <c r="A1471" s="48" t="inlineStr">
        <is>
          <t>TCKH.SECTOR_LIST</t>
        </is>
      </c>
      <c r="B1471" s="48" t="inlineStr">
        <is>
          <t>GOLD_DERIVED</t>
        </is>
      </c>
      <c r="C1471" s="48" t="inlineStr">
        <is>
          <t>X.1</t>
        </is>
      </c>
      <c r="D1471" s="48" t="inlineStr">
        <is>
          <t>Nhom X - Bo sung Raffles</t>
        </is>
      </c>
      <c r="E1471" s="48" t="inlineStr">
        <is>
          <t>[Bổ sung] Link phải rút về current trước khi join (chống fan-out)</t>
        </is>
      </c>
      <c r="F1471" s="48" t="inlineStr">
        <is>
          <t>N-A</t>
        </is>
      </c>
      <c r="G1471" s="48" t="inlineStr">
        <is>
          <t>Pass</t>
        </is>
      </c>
      <c r="H1471" s="50" t="inlineStr">
        <is>
          <t>khong ap dung cho profile GOLD_DERIVED</t>
        </is>
      </c>
      <c r="I1471"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1" s="48" t="inlineStr">
        <is>
          <t>113. OCB_GOLD_TCKH_SECTOR_LIST_HOP.xlsx [Script: SECTOR_LIST]</t>
        </is>
      </c>
    </row>
    <row r="1472">
      <c r="A1472" s="48" t="inlineStr">
        <is>
          <t>TCKH.SECTOR_LIST</t>
        </is>
      </c>
      <c r="B1472" s="48" t="inlineStr">
        <is>
          <t>GOLD_DERIVED</t>
        </is>
      </c>
      <c r="C1472" s="48" t="inlineStr">
        <is>
          <t>X.6</t>
        </is>
      </c>
      <c r="D1472" s="48" t="inlineStr">
        <is>
          <t>Nhom X - Bo sung Raffles</t>
        </is>
      </c>
      <c r="E1472" s="48" t="inlineStr">
        <is>
          <t>[Bổ sung] Satellite phải LEFT JOIN, không INNER JOIN</t>
        </is>
      </c>
      <c r="F1472" s="48" t="inlineStr">
        <is>
          <t>N-A</t>
        </is>
      </c>
      <c r="G1472" s="48" t="inlineStr">
        <is>
          <t>Pass</t>
        </is>
      </c>
      <c r="H1472" s="50" t="inlineStr">
        <is>
          <t>khong ap dung cho profile GOLD_DERIVED</t>
        </is>
      </c>
      <c r="I1472" s="50" t="inlineStr">
        <is>
          <t>Technical Document III.4.2.2 nguyên tắc 1: làm giàu thuộc tính luôn dùng LEFT JOIN. INNER JOIN satellite sẽ loại mất bản ghi Hub đang còn hiệu lực nhưng chưa có dòng satellite.</t>
        </is>
      </c>
      <c r="J1472" s="48" t="inlineStr">
        <is>
          <t>113. OCB_GOLD_TCKH_SECTOR_LIST_HOP.xlsx [Script: SECTOR_LIST]</t>
        </is>
      </c>
    </row>
    <row r="1473">
      <c r="A1473" s="48" t="inlineStr">
        <is>
          <t>TCKH.SECTOR_LIST</t>
        </is>
      </c>
      <c r="B1473" s="48" t="inlineStr">
        <is>
          <t>GOLD_DERIVED</t>
        </is>
      </c>
      <c r="C1473" s="48" t="inlineStr">
        <is>
          <t>X.7</t>
        </is>
      </c>
      <c r="D1473" s="48" t="inlineStr">
        <is>
          <t>Nhom X - Bo sung Raffles</t>
        </is>
      </c>
      <c r="E1473" s="48" t="inlineStr">
        <is>
          <t>[Bổ sung] Không hard-code catalog, dùng biến môi trường</t>
        </is>
      </c>
      <c r="F1473" s="49" t="inlineStr">
        <is>
          <t>PASS</t>
        </is>
      </c>
      <c r="G1473" s="48" t="inlineStr">
        <is>
          <t>Pass</t>
        </is>
      </c>
      <c r="H1473" s="50" t="inlineStr">
        <is>
          <t>dùng biến môi trường cho catalog</t>
        </is>
      </c>
      <c r="I1473"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73" s="48" t="inlineStr">
        <is>
          <t>113. OCB_GOLD_TCKH_SECTOR_LIST_HOP.xlsx [Script: SECTOR_LIST]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2026-07-23T16:42:25Z</dcterms:created>
  <dcterms:modified xmlns:dcterms="http://purl.org/dc/terms/" xmlns:xsi="http://www.w3.org/2001/XMLSchema-instance" xsi:type="dcterms:W3CDTF">2026-08-06T03:41:48Z</dcterms:modified>
  <cp:lastModifiedBy>Quang Viet Ha (RAFFLES)</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0x0101008E8AE0589F554649956EA8CE8E02225C</vt:lpwstr>
  </property>
  <property name="MediaServiceImageTags" fmtid="{D5CDD505-2E9C-101B-9397-08002B2CF9AE}" pid="3">
    <vt:lpwstr xmlns:vt="http://schemas.openxmlformats.org/officeDocument/2006/docPropsVTypes"/>
  </property>
</Properties>
</file>