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5">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48">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77</v>
      </c>
      <c r="B3" s="42" t="inlineStr">
        <is>
          <t>LOAN_SUMMARY_LIST</t>
        </is>
      </c>
      <c r="C3" s="42" t="inlineStr">
        <is>
          <t>Batch 2</t>
        </is>
      </c>
      <c r="D3" s="42" t="inlineStr">
        <is>
          <t>PHAT</t>
        </is>
      </c>
      <c r="E3" s="42" t="inlineStr">
        <is>
          <t>2026-08-11</t>
        </is>
      </c>
      <c r="F3" s="42" t="inlineStr">
        <is>
          <t>Fail</t>
        </is>
      </c>
      <c r="G3" s="42" t="inlineStr">
        <is>
          <t>Fail</t>
        </is>
      </c>
      <c r="H3" s="42" t="inlineStr">
        <is>
          <t>Fail</t>
        </is>
      </c>
      <c r="I3" s="42" t="inlineStr">
        <is>
          <t>Fail</t>
        </is>
      </c>
      <c r="J3" s="42" t="inlineStr">
        <is>
          <t>Fail</t>
        </is>
      </c>
      <c r="K3" s="42" t="inlineStr">
        <is>
          <t>Fail</t>
        </is>
      </c>
      <c r="L3" s="42" t="inlineStr">
        <is>
          <t>Fail</t>
        </is>
      </c>
      <c r="M3" s="42" t="inlineStr">
        <is>
          <t>Fail</t>
        </is>
      </c>
      <c r="N3" s="42" t="inlineStr">
        <is>
          <t>Fail</t>
        </is>
      </c>
      <c r="O3" s="42" t="inlineStr">
        <is>
          <t>Fail</t>
        </is>
      </c>
      <c r="P3" s="42" t="inlineStr">
        <is>
          <t>Fail</t>
        </is>
      </c>
      <c r="Q3" s="42" t="inlineStr">
        <is>
          <t>Fail</t>
        </is>
      </c>
      <c r="R3" s="42" t="inlineStr">
        <is>
          <t>Fail</t>
        </is>
      </c>
      <c r="S3" s="42" t="inlineStr">
        <is>
          <t>Fail</t>
        </is>
      </c>
      <c r="T3" s="42" t="inlineStr">
        <is>
          <t>Fail</t>
        </is>
      </c>
      <c r="U3" s="42" t="inlineStr">
        <is>
          <t>Fail</t>
        </is>
      </c>
      <c r="V3" s="42" t="inlineStr">
        <is>
          <t>Fail</t>
        </is>
      </c>
      <c r="W3" s="42" t="inlineStr">
        <is>
          <t>Fail</t>
        </is>
      </c>
      <c r="X3" s="42" t="inlineStr">
        <is>
          <t>Fail</t>
        </is>
      </c>
      <c r="Y3" s="42" t="inlineStr">
        <is>
          <t>Fail</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FAIL: 25 tiêu chí — 1.1, 1.2, 2.1, 2.2, 2.3, 2.4, 2.5, 2.6, 2.7, 2.8, 2.9, 2.10, 2.11, 2.12, 3.1, 3.2, 3.3, 3.4, 3.5, 3.6, X.1, X.6, X.7, X.10, X.11
    Lý do chung: SQL lỗi cú pháp, không phân tích được: ParseError: Expecting ). Line 664, Col: 13.</t>
        </is>
      </c>
    </row>
    <row r="4" ht="30" customHeight="1" s="36">
      <c r="A4" s="17" t="n">
        <v>2</v>
      </c>
      <c r="B4" s="18" t="n"/>
      <c r="C4" s="17" t="n"/>
      <c r="D4" s="17" t="n"/>
      <c r="E4" s="17" t="n"/>
      <c r="F4" s="26" t="n"/>
      <c r="G4" s="26" t="n"/>
      <c r="H4" s="26" t="n"/>
      <c r="I4" s="26" t="n"/>
      <c r="J4" s="26" t="n"/>
      <c r="K4" s="26" t="n"/>
      <c r="L4" s="26" t="n"/>
      <c r="M4" s="26" t="n"/>
      <c r="N4" s="26" t="n"/>
      <c r="O4" s="26" t="n"/>
      <c r="P4" s="26" t="n"/>
      <c r="Q4" s="26" t="n"/>
      <c r="R4" s="26" t="n"/>
      <c r="S4" s="26" t="n"/>
      <c r="T4" s="26" t="n"/>
      <c r="U4" s="26" t="n"/>
      <c r="V4" s="26" t="n"/>
      <c r="W4" s="26" t="n"/>
      <c r="X4" s="26" t="n"/>
      <c r="Y4" s="26" t="n"/>
      <c r="Z4" s="26">
        <f>IF(B4="","",IF(COUNTIF(F4:G4,"Fail")&gt;0,1,0))</f>
        <v/>
      </c>
      <c r="AA4" s="26">
        <f>IF(B4="","",IF(COUNTIF(H4:S4,"Fail")&gt;0,1,0))</f>
        <v/>
      </c>
      <c r="AB4" s="26">
        <f>IF(B4="","",IF(COUNTIF(T4:Y4,"Fail")&gt;0,1,0))</f>
        <v/>
      </c>
      <c r="AC4" s="27">
        <f>IF(B4="","",0.1*Z4+0.8*AA4+0.1*AB4)</f>
        <v/>
      </c>
      <c r="AD4" s="27">
        <f>IF(B4="","",IF(C4="Batch 1",0.3,0.2))</f>
        <v/>
      </c>
      <c r="AE4" s="19">
        <f>IF(B4="","",IF(AC4&lt;=AD4,"Đạt","Không đạt"))</f>
        <v/>
      </c>
      <c r="AF4" s="28" t="n"/>
    </row>
    <row r="5" ht="30" customHeight="1" s="36">
      <c r="A5" s="17" t="n">
        <v>3</v>
      </c>
      <c r="B5" s="18" t="n"/>
      <c r="C5" s="17" t="n"/>
      <c r="D5" s="17" t="n"/>
      <c r="E5" s="17" t="n"/>
      <c r="F5" s="26" t="n"/>
      <c r="G5" s="26" t="n"/>
      <c r="H5" s="26" t="n"/>
      <c r="I5" s="26" t="n"/>
      <c r="J5" s="26" t="n"/>
      <c r="K5" s="26" t="n"/>
      <c r="L5" s="26" t="n"/>
      <c r="M5" s="26" t="n"/>
      <c r="N5" s="26" t="n"/>
      <c r="O5" s="26" t="n"/>
      <c r="P5" s="26" t="n"/>
      <c r="Q5" s="26" t="n"/>
      <c r="R5" s="26" t="n"/>
      <c r="S5" s="26" t="n"/>
      <c r="T5" s="26" t="n"/>
      <c r="U5" s="26" t="n"/>
      <c r="V5" s="26" t="n"/>
      <c r="W5" s="26" t="n"/>
      <c r="X5" s="26" t="n"/>
      <c r="Y5" s="26" t="n"/>
      <c r="Z5" s="26">
        <f>IF(B5="","",IF(COUNTIF(F5:G5,"Fail")&gt;0,1,0))</f>
        <v/>
      </c>
      <c r="AA5" s="26">
        <f>IF(B5="","",IF(COUNTIF(H5:S5,"Fail")&gt;0,1,0))</f>
        <v/>
      </c>
      <c r="AB5" s="26">
        <f>IF(B5="","",IF(COUNTIF(T5:Y5,"Fail")&gt;0,1,0))</f>
        <v/>
      </c>
      <c r="AC5" s="27">
        <f>IF(B5="","",0.1*Z5+0.8*AA5+0.1*AB5)</f>
        <v/>
      </c>
      <c r="AD5" s="27">
        <f>IF(B5="","",IF(C5="Batch 1",0.3,0.2))</f>
        <v/>
      </c>
      <c r="AE5" s="19">
        <f>IF(B5="","",IF(AC5&lt;=AD5,"Đạt","Không đạt"))</f>
        <v/>
      </c>
      <c r="AF5" s="28" t="n"/>
    </row>
    <row r="6" ht="30" customHeight="1" s="36">
      <c r="A6" s="17" t="n">
        <v>4</v>
      </c>
      <c r="B6" s="18" t="n"/>
      <c r="C6" s="17" t="n"/>
      <c r="D6" s="17" t="n"/>
      <c r="E6" s="17" t="n"/>
      <c r="F6" s="26" t="n"/>
      <c r="G6" s="26" t="n"/>
      <c r="H6" s="26" t="n"/>
      <c r="I6" s="26" t="n"/>
      <c r="J6" s="26" t="n"/>
      <c r="K6" s="26" t="n"/>
      <c r="L6" s="26" t="n"/>
      <c r="M6" s="26" t="n"/>
      <c r="N6" s="26" t="n"/>
      <c r="O6" s="26" t="n"/>
      <c r="P6" s="26" t="n"/>
      <c r="Q6" s="26" t="n"/>
      <c r="R6" s="26" t="n"/>
      <c r="S6" s="26" t="n"/>
      <c r="T6" s="26" t="n"/>
      <c r="U6" s="26" t="n"/>
      <c r="V6" s="26" t="n"/>
      <c r="W6" s="26" t="n"/>
      <c r="X6" s="26" t="n"/>
      <c r="Y6" s="26" t="n"/>
      <c r="Z6" s="26">
        <f>IF(B6="","",IF(COUNTIF(F6:G6,"Fail")&gt;0,1,0))</f>
        <v/>
      </c>
      <c r="AA6" s="26">
        <f>IF(B6="","",IF(COUNTIF(H6:S6,"Fail")&gt;0,1,0))</f>
        <v/>
      </c>
      <c r="AB6" s="26">
        <f>IF(B6="","",IF(COUNTIF(T6:Y6,"Fail")&gt;0,1,0))</f>
        <v/>
      </c>
      <c r="AC6" s="27">
        <f>IF(B6="","",0.1*Z6+0.8*AA6+0.1*AB6)</f>
        <v/>
      </c>
      <c r="AD6" s="27">
        <f>IF(B6="","",IF(C6="Batch 1",0.3,0.2))</f>
        <v/>
      </c>
      <c r="AE6" s="19">
        <f>IF(B6="","",IF(AC6&lt;=AD6,"Đạt","Không đạt"))</f>
        <v/>
      </c>
      <c r="AF6" s="28" t="n"/>
    </row>
    <row r="7" ht="30" customHeight="1" s="36">
      <c r="A7" s="17" t="n">
        <v>5</v>
      </c>
      <c r="B7" s="18" t="n"/>
      <c r="C7" s="17" t="n"/>
      <c r="D7" s="17" t="n"/>
      <c r="E7" s="17" t="n"/>
      <c r="F7" s="26" t="n"/>
      <c r="G7" s="26" t="n"/>
      <c r="H7" s="26" t="n"/>
      <c r="I7" s="26" t="n"/>
      <c r="J7" s="26" t="n"/>
      <c r="K7" s="26" t="n"/>
      <c r="L7" s="26" t="n"/>
      <c r="M7" s="26" t="n"/>
      <c r="N7" s="26" t="n"/>
      <c r="O7" s="26" t="n"/>
      <c r="P7" s="26" t="n"/>
      <c r="Q7" s="26" t="n"/>
      <c r="R7" s="26" t="n"/>
      <c r="S7" s="26" t="n"/>
      <c r="T7" s="26" t="n"/>
      <c r="U7" s="26" t="n"/>
      <c r="V7" s="26" t="n"/>
      <c r="W7" s="26" t="n"/>
      <c r="X7" s="26" t="n"/>
      <c r="Y7" s="26" t="n"/>
      <c r="Z7" s="26">
        <f>IF(B7="","",IF(COUNTIF(F7:G7,"Fail")&gt;0,1,0))</f>
        <v/>
      </c>
      <c r="AA7" s="26">
        <f>IF(B7="","",IF(COUNTIF(H7:S7,"Fail")&gt;0,1,0))</f>
        <v/>
      </c>
      <c r="AB7" s="26">
        <f>IF(B7="","",IF(COUNTIF(T7:Y7,"Fail")&gt;0,1,0))</f>
        <v/>
      </c>
      <c r="AC7" s="27">
        <f>IF(B7="","",0.1*Z7+0.8*AA7+0.1*AB7)</f>
        <v/>
      </c>
      <c r="AD7" s="27">
        <f>IF(B7="","",IF(C7="Batch 1",0.3,0.2))</f>
        <v/>
      </c>
      <c r="AE7" s="19">
        <f>IF(B7="","",IF(AC7&lt;=AD7,"Đạt","Không đạt"))</f>
        <v/>
      </c>
      <c r="AF7" s="28" t="n"/>
    </row>
    <row r="8" ht="30" customHeight="1" s="36">
      <c r="A8" s="17" t="n">
        <v>6</v>
      </c>
      <c r="B8" s="18" t="n"/>
      <c r="C8" s="17" t="n"/>
      <c r="D8" s="17" t="n"/>
      <c r="E8" s="17" t="n"/>
      <c r="F8" s="26" t="n"/>
      <c r="G8" s="26" t="n"/>
      <c r="H8" s="26" t="n"/>
      <c r="I8" s="26" t="n"/>
      <c r="J8" s="26" t="n"/>
      <c r="K8" s="26" t="n"/>
      <c r="L8" s="26" t="n"/>
      <c r="M8" s="26" t="n"/>
      <c r="N8" s="26" t="n"/>
      <c r="O8" s="26" t="n"/>
      <c r="P8" s="26" t="n"/>
      <c r="Q8" s="26" t="n"/>
      <c r="R8" s="26" t="n"/>
      <c r="S8" s="26" t="n"/>
      <c r="T8" s="26" t="n"/>
      <c r="U8" s="26" t="n"/>
      <c r="V8" s="26" t="n"/>
      <c r="W8" s="26" t="n"/>
      <c r="X8" s="26" t="n"/>
      <c r="Y8" s="26" t="n"/>
      <c r="Z8" s="26">
        <f>IF(B8="","",IF(COUNTIF(F8:G8,"Fail")&gt;0,1,0))</f>
        <v/>
      </c>
      <c r="AA8" s="26">
        <f>IF(B8="","",IF(COUNTIF(H8:S8,"Fail")&gt;0,1,0))</f>
        <v/>
      </c>
      <c r="AB8" s="26">
        <f>IF(B8="","",IF(COUNTIF(T8:Y8,"Fail")&gt;0,1,0))</f>
        <v/>
      </c>
      <c r="AC8" s="27">
        <f>IF(B8="","",0.1*Z8+0.8*AA8+0.1*AB8)</f>
        <v/>
      </c>
      <c r="AD8" s="27">
        <f>IF(B8="","",IF(C8="Batch 1",0.3,0.2))</f>
        <v/>
      </c>
      <c r="AE8" s="19">
        <f>IF(B8="","",IF(AC8&lt;=AD8,"Đạt","Không đạt"))</f>
        <v/>
      </c>
      <c r="AF8" s="28" t="n"/>
    </row>
    <row r="9" ht="30" customHeight="1" s="36">
      <c r="A9" s="17" t="n">
        <v>7</v>
      </c>
      <c r="B9" s="18" t="n"/>
      <c r="C9" s="17" t="n"/>
      <c r="D9" s="17" t="n"/>
      <c r="E9" s="17" t="n"/>
      <c r="F9" s="26" t="n"/>
      <c r="G9" s="26" t="n"/>
      <c r="H9" s="26" t="n"/>
      <c r="I9" s="26" t="n"/>
      <c r="J9" s="26" t="n"/>
      <c r="K9" s="26" t="n"/>
      <c r="L9" s="26" t="n"/>
      <c r="M9" s="26" t="n"/>
      <c r="N9" s="26" t="n"/>
      <c r="O9" s="26" t="n"/>
      <c r="P9" s="26" t="n"/>
      <c r="Q9" s="26" t="n"/>
      <c r="R9" s="26" t="n"/>
      <c r="S9" s="26" t="n"/>
      <c r="T9" s="26" t="n"/>
      <c r="U9" s="26" t="n"/>
      <c r="V9" s="26" t="n"/>
      <c r="W9" s="26" t="n"/>
      <c r="X9" s="26" t="n"/>
      <c r="Y9" s="26" t="n"/>
      <c r="Z9" s="26">
        <f>IF(B9="","",IF(COUNTIF(F9:G9,"Fail")&gt;0,1,0))</f>
        <v/>
      </c>
      <c r="AA9" s="26">
        <f>IF(B9="","",IF(COUNTIF(H9:S9,"Fail")&gt;0,1,0))</f>
        <v/>
      </c>
      <c r="AB9" s="26">
        <f>IF(B9="","",IF(COUNTIF(T9:Y9,"Fail")&gt;0,1,0))</f>
        <v/>
      </c>
      <c r="AC9" s="27">
        <f>IF(B9="","",0.1*Z9+0.8*AA9+0.1*AB9)</f>
        <v/>
      </c>
      <c r="AD9" s="27">
        <f>IF(B9="","",IF(C9="Batch 1",0.3,0.2))</f>
        <v/>
      </c>
      <c r="AE9" s="19">
        <f>IF(B9="","",IF(AC9&lt;=AD9,"Đạt","Không đạt"))</f>
        <v/>
      </c>
      <c r="AF9" s="28" t="n"/>
    </row>
    <row r="10" ht="30" customHeight="1" s="36">
      <c r="A10" s="17" t="n">
        <v>8</v>
      </c>
      <c r="B10" s="18" t="n"/>
      <c r="C10" s="17" t="n"/>
      <c r="D10" s="17" t="n"/>
      <c r="E10" s="17" t="n"/>
      <c r="F10" s="26" t="n"/>
      <c r="G10" s="26" t="n"/>
      <c r="H10" s="26" t="n"/>
      <c r="I10" s="26" t="n"/>
      <c r="J10" s="26" t="n"/>
      <c r="K10" s="26" t="n"/>
      <c r="L10" s="26" t="n"/>
      <c r="M10" s="26" t="n"/>
      <c r="N10" s="26" t="n"/>
      <c r="O10" s="26" t="n"/>
      <c r="P10" s="26" t="n"/>
      <c r="Q10" s="26" t="n"/>
      <c r="R10" s="26" t="n"/>
      <c r="S10" s="26" t="n"/>
      <c r="T10" s="26" t="n"/>
      <c r="U10" s="26" t="n"/>
      <c r="V10" s="26" t="n"/>
      <c r="W10" s="26" t="n"/>
      <c r="X10" s="26" t="n"/>
      <c r="Y10" s="26" t="n"/>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28" t="n"/>
    </row>
    <row r="11" ht="30" customHeight="1" s="36">
      <c r="A11" s="17" t="n">
        <v>9</v>
      </c>
      <c r="B11" s="18" t="n"/>
      <c r="C11" s="17" t="n"/>
      <c r="D11" s="17" t="n"/>
      <c r="E11" s="17" t="n"/>
      <c r="F11" s="26" t="n"/>
      <c r="G11" s="26" t="n"/>
      <c r="H11" s="26" t="n"/>
      <c r="I11" s="26" t="n"/>
      <c r="J11" s="26" t="n"/>
      <c r="K11" s="26" t="n"/>
      <c r="L11" s="26" t="n"/>
      <c r="M11" s="26" t="n"/>
      <c r="N11" s="26" t="n"/>
      <c r="O11" s="26" t="n"/>
      <c r="P11" s="26" t="n"/>
      <c r="Q11" s="26" t="n"/>
      <c r="R11" s="26" t="n"/>
      <c r="S11" s="26" t="n"/>
      <c r="T11" s="26" t="n"/>
      <c r="U11" s="26" t="n"/>
      <c r="V11" s="26" t="n"/>
      <c r="W11" s="26" t="n"/>
      <c r="X11" s="26" t="n"/>
      <c r="Y11" s="26" t="n"/>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28" t="n"/>
    </row>
    <row r="12" ht="30" customHeight="1" s="36">
      <c r="A12" s="17" t="n">
        <v>10</v>
      </c>
      <c r="B12" s="18" t="n"/>
      <c r="C12" s="17" t="n"/>
      <c r="D12" s="17" t="n"/>
      <c r="E12" s="17" t="n"/>
      <c r="F12" s="26" t="n"/>
      <c r="G12" s="26" t="n"/>
      <c r="H12" s="26" t="n"/>
      <c r="I12" s="26" t="n"/>
      <c r="J12" s="26" t="n"/>
      <c r="K12" s="26" t="n"/>
      <c r="L12" s="26" t="n"/>
      <c r="M12" s="26" t="n"/>
      <c r="N12" s="26" t="n"/>
      <c r="O12" s="26" t="n"/>
      <c r="P12" s="26" t="n"/>
      <c r="Q12" s="26" t="n"/>
      <c r="R12" s="26" t="n"/>
      <c r="S12" s="26" t="n"/>
      <c r="T12" s="26" t="n"/>
      <c r="U12" s="26" t="n"/>
      <c r="V12" s="26" t="n"/>
      <c r="W12" s="26" t="n"/>
      <c r="X12" s="26" t="n"/>
      <c r="Y12" s="26" t="n"/>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28" t="n"/>
    </row>
    <row r="13" ht="30" customHeight="1" s="36">
      <c r="A13" s="17" t="n">
        <v>11</v>
      </c>
      <c r="B13" s="18" t="n"/>
      <c r="C13" s="17" t="n"/>
      <c r="D13" s="17" t="n"/>
      <c r="E13" s="17" t="n"/>
      <c r="F13" s="26" t="n"/>
      <c r="G13" s="26" t="n"/>
      <c r="H13" s="26" t="n"/>
      <c r="I13" s="26" t="n"/>
      <c r="J13" s="26" t="n"/>
      <c r="K13" s="26" t="n"/>
      <c r="L13" s="26" t="n"/>
      <c r="M13" s="26" t="n"/>
      <c r="N13" s="26" t="n"/>
      <c r="O13" s="26" t="n"/>
      <c r="P13" s="26" t="n"/>
      <c r="Q13" s="26" t="n"/>
      <c r="R13" s="26" t="n"/>
      <c r="S13" s="26" t="n"/>
      <c r="T13" s="26" t="n"/>
      <c r="U13" s="26" t="n"/>
      <c r="V13" s="26" t="n"/>
      <c r="W13" s="26" t="n"/>
      <c r="X13" s="26" t="n"/>
      <c r="Y13" s="26" t="n"/>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28" t="n"/>
    </row>
    <row r="14" ht="30" customHeight="1" s="36">
      <c r="A14" s="17" t="n">
        <v>12</v>
      </c>
      <c r="B14" s="18" t="n"/>
      <c r="C14" s="17" t="n"/>
      <c r="D14" s="17" t="n"/>
      <c r="E14" s="17" t="n"/>
      <c r="F14" s="26" t="n"/>
      <c r="G14" s="26" t="n"/>
      <c r="H14" s="26" t="n"/>
      <c r="I14" s="26" t="n"/>
      <c r="J14" s="26" t="n"/>
      <c r="K14" s="26" t="n"/>
      <c r="L14" s="26" t="n"/>
      <c r="M14" s="26" t="n"/>
      <c r="N14" s="26" t="n"/>
      <c r="O14" s="26" t="n"/>
      <c r="P14" s="26" t="n"/>
      <c r="Q14" s="26" t="n"/>
      <c r="R14" s="26" t="n"/>
      <c r="S14" s="26" t="n"/>
      <c r="T14" s="26" t="n"/>
      <c r="U14" s="26" t="n"/>
      <c r="V14" s="26" t="n"/>
      <c r="W14" s="26" t="n"/>
      <c r="X14" s="26" t="n"/>
      <c r="Y14" s="26" t="n"/>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28" t="n"/>
    </row>
    <row r="15" ht="30" customHeight="1" s="36">
      <c r="A15" s="17" t="n">
        <v>13</v>
      </c>
      <c r="B15" s="18" t="n"/>
      <c r="C15" s="17" t="n"/>
      <c r="D15" s="17" t="n"/>
      <c r="E15" s="17" t="n"/>
      <c r="F15" s="26" t="n"/>
      <c r="G15" s="26" t="n"/>
      <c r="H15" s="26" t="n"/>
      <c r="I15" s="26" t="n"/>
      <c r="J15" s="26" t="n"/>
      <c r="K15" s="26" t="n"/>
      <c r="L15" s="26" t="n"/>
      <c r="M15" s="26" t="n"/>
      <c r="N15" s="26" t="n"/>
      <c r="O15" s="26" t="n"/>
      <c r="P15" s="26" t="n"/>
      <c r="Q15" s="26" t="n"/>
      <c r="R15" s="26" t="n"/>
      <c r="S15" s="26" t="n"/>
      <c r="T15" s="26" t="n"/>
      <c r="U15" s="26" t="n"/>
      <c r="V15" s="26" t="n"/>
      <c r="W15" s="26" t="n"/>
      <c r="X15" s="26" t="n"/>
      <c r="Y15" s="26" t="n"/>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28" t="n"/>
    </row>
    <row r="16" ht="30" customHeight="1" s="36">
      <c r="A16" s="17" t="n">
        <v>14</v>
      </c>
      <c r="B16" s="18" t="n"/>
      <c r="C16" s="17" t="n"/>
      <c r="D16" s="17" t="n"/>
      <c r="E16" s="17" t="n"/>
      <c r="F16" s="26" t="n"/>
      <c r="G16" s="26" t="n"/>
      <c r="H16" s="26" t="n"/>
      <c r="I16" s="26" t="n"/>
      <c r="J16" s="26" t="n"/>
      <c r="K16" s="26" t="n"/>
      <c r="L16" s="26" t="n"/>
      <c r="M16" s="26" t="n"/>
      <c r="N16" s="26" t="n"/>
      <c r="O16" s="26" t="n"/>
      <c r="P16" s="26" t="n"/>
      <c r="Q16" s="26" t="n"/>
      <c r="R16" s="26" t="n"/>
      <c r="S16" s="26" t="n"/>
      <c r="T16" s="26" t="n"/>
      <c r="U16" s="26" t="n"/>
      <c r="V16" s="26" t="n"/>
      <c r="W16" s="26" t="n"/>
      <c r="X16" s="26" t="n"/>
      <c r="Y16" s="26" t="n"/>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28" t="n"/>
    </row>
    <row r="17" ht="30" customHeight="1" s="36">
      <c r="A17" s="17" t="n">
        <v>15</v>
      </c>
      <c r="B17" s="18" t="n"/>
      <c r="C17" s="17" t="n"/>
      <c r="D17" s="17" t="n"/>
      <c r="E17" s="17" t="n"/>
      <c r="F17" s="26" t="n"/>
      <c r="G17" s="26" t="n"/>
      <c r="H17" s="26" t="n"/>
      <c r="I17" s="26" t="n"/>
      <c r="J17" s="26" t="n"/>
      <c r="K17" s="26" t="n"/>
      <c r="L17" s="26" t="n"/>
      <c r="M17" s="26" t="n"/>
      <c r="N17" s="26" t="n"/>
      <c r="O17" s="26" t="n"/>
      <c r="P17" s="26" t="n"/>
      <c r="Q17" s="26" t="n"/>
      <c r="R17" s="26" t="n"/>
      <c r="S17" s="26" t="n"/>
      <c r="T17" s="26" t="n"/>
      <c r="U17" s="26" t="n"/>
      <c r="V17" s="26" t="n"/>
      <c r="W17" s="26" t="n"/>
      <c r="X17" s="26" t="n"/>
      <c r="Y17" s="26" t="n"/>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28" t="n"/>
    </row>
    <row r="18" ht="30" customHeight="1" s="36">
      <c r="A18" s="17" t="n">
        <v>16</v>
      </c>
      <c r="B18" s="18" t="n"/>
      <c r="C18" s="17" t="n"/>
      <c r="D18" s="17" t="n"/>
      <c r="E18" s="17" t="n"/>
      <c r="F18" s="26" t="n"/>
      <c r="G18" s="26" t="n"/>
      <c r="H18" s="26" t="n"/>
      <c r="I18" s="26" t="n"/>
      <c r="J18" s="26" t="n"/>
      <c r="K18" s="26" t="n"/>
      <c r="L18" s="26" t="n"/>
      <c r="M18" s="26" t="n"/>
      <c r="N18" s="26" t="n"/>
      <c r="O18" s="26" t="n"/>
      <c r="P18" s="26" t="n"/>
      <c r="Q18" s="26" t="n"/>
      <c r="R18" s="26" t="n"/>
      <c r="S18" s="26" t="n"/>
      <c r="T18" s="26" t="n"/>
      <c r="U18" s="26" t="n"/>
      <c r="V18" s="26" t="n"/>
      <c r="W18" s="26" t="n"/>
      <c r="X18" s="26" t="n"/>
      <c r="Y18" s="26" t="n"/>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28" t="n"/>
    </row>
    <row r="19" ht="30" customHeight="1" s="36">
      <c r="A19" s="17" t="n">
        <v>17</v>
      </c>
      <c r="B19" s="18" t="n"/>
      <c r="C19" s="17" t="n"/>
      <c r="D19" s="17" t="n"/>
      <c r="E19" s="17" t="n"/>
      <c r="F19" s="26" t="n"/>
      <c r="G19" s="26" t="n"/>
      <c r="H19" s="26" t="n"/>
      <c r="I19" s="26" t="n"/>
      <c r="J19" s="26" t="n"/>
      <c r="K19" s="26" t="n"/>
      <c r="L19" s="26" t="n"/>
      <c r="M19" s="26" t="n"/>
      <c r="N19" s="26" t="n"/>
      <c r="O19" s="26" t="n"/>
      <c r="P19" s="26" t="n"/>
      <c r="Q19" s="26" t="n"/>
      <c r="R19" s="26" t="n"/>
      <c r="S19" s="26" t="n"/>
      <c r="T19" s="26" t="n"/>
      <c r="U19" s="26" t="n"/>
      <c r="V19" s="26" t="n"/>
      <c r="W19" s="26" t="n"/>
      <c r="X19" s="26" t="n"/>
      <c r="Y19" s="26" t="n"/>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28" t="n"/>
    </row>
    <row r="20" ht="30" customHeight="1" s="36">
      <c r="A20" s="17" t="n">
        <v>18</v>
      </c>
      <c r="B20" s="18" t="n"/>
      <c r="C20" s="17" t="n"/>
      <c r="D20" s="17" t="n"/>
      <c r="E20" s="17" t="n"/>
      <c r="F20" s="26" t="n"/>
      <c r="G20" s="26" t="n"/>
      <c r="H20" s="26" t="n"/>
      <c r="I20" s="26" t="n"/>
      <c r="J20" s="26" t="n"/>
      <c r="K20" s="26" t="n"/>
      <c r="L20" s="26" t="n"/>
      <c r="M20" s="26" t="n"/>
      <c r="N20" s="26" t="n"/>
      <c r="O20" s="26" t="n"/>
      <c r="P20" s="26" t="n"/>
      <c r="Q20" s="26" t="n"/>
      <c r="R20" s="26" t="n"/>
      <c r="S20" s="26" t="n"/>
      <c r="T20" s="26" t="n"/>
      <c r="U20" s="26" t="n"/>
      <c r="V20" s="26" t="n"/>
      <c r="W20" s="26" t="n"/>
      <c r="X20" s="26" t="n"/>
      <c r="Y20" s="26" t="n"/>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28" t="n"/>
    </row>
    <row r="21" ht="30" customHeight="1" s="36">
      <c r="A21" s="17" t="n">
        <v>19</v>
      </c>
      <c r="B21" s="18" t="n"/>
      <c r="C21" s="17" t="n"/>
      <c r="D21" s="17" t="n"/>
      <c r="E21" s="17" t="n"/>
      <c r="F21" s="26" t="n"/>
      <c r="G21" s="26" t="n"/>
      <c r="H21" s="26" t="n"/>
      <c r="I21" s="26" t="n"/>
      <c r="J21" s="26" t="n"/>
      <c r="K21" s="26" t="n"/>
      <c r="L21" s="26" t="n"/>
      <c r="M21" s="26" t="n"/>
      <c r="N21" s="26" t="n"/>
      <c r="O21" s="26" t="n"/>
      <c r="P21" s="26" t="n"/>
      <c r="Q21" s="26" t="n"/>
      <c r="R21" s="26" t="n"/>
      <c r="S21" s="26" t="n"/>
      <c r="T21" s="26" t="n"/>
      <c r="U21" s="26" t="n"/>
      <c r="V21" s="26" t="n"/>
      <c r="W21" s="26" t="n"/>
      <c r="X21" s="26" t="n"/>
      <c r="Y21" s="26" t="n"/>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28" t="n"/>
    </row>
    <row r="22" ht="30" customHeight="1" s="36">
      <c r="A22" s="17" t="n">
        <v>20</v>
      </c>
      <c r="B22" s="18" t="n"/>
      <c r="C22" s="17" t="n"/>
      <c r="D22" s="17" t="n"/>
      <c r="E22" s="17" t="n"/>
      <c r="F22" s="26" t="n"/>
      <c r="G22" s="26" t="n"/>
      <c r="H22" s="26" t="n"/>
      <c r="I22" s="26" t="n"/>
      <c r="J22" s="26" t="n"/>
      <c r="K22" s="26" t="n"/>
      <c r="L22" s="26" t="n"/>
      <c r="M22" s="26" t="n"/>
      <c r="N22" s="26" t="n"/>
      <c r="O22" s="26" t="n"/>
      <c r="P22" s="26" t="n"/>
      <c r="Q22" s="26" t="n"/>
      <c r="R22" s="26" t="n"/>
      <c r="S22" s="26" t="n"/>
      <c r="T22" s="26" t="n"/>
      <c r="U22" s="26" t="n"/>
      <c r="V22" s="26" t="n"/>
      <c r="W22" s="26" t="n"/>
      <c r="X22" s="26" t="n"/>
      <c r="Y22" s="26" t="n"/>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28" t="n"/>
    </row>
    <row r="23" ht="30" customHeight="1" s="36">
      <c r="A23" s="17" t="n">
        <v>21</v>
      </c>
      <c r="B23" s="18" t="n"/>
      <c r="C23" s="17" t="n"/>
      <c r="D23" s="17" t="n"/>
      <c r="E23" s="17" t="n"/>
      <c r="F23" s="26" t="n"/>
      <c r="G23" s="26" t="n"/>
      <c r="H23" s="26" t="n"/>
      <c r="I23" s="26" t="n"/>
      <c r="J23" s="26" t="n"/>
      <c r="K23" s="26" t="n"/>
      <c r="L23" s="26" t="n"/>
      <c r="M23" s="26" t="n"/>
      <c r="N23" s="26" t="n"/>
      <c r="O23" s="26" t="n"/>
      <c r="P23" s="26" t="n"/>
      <c r="Q23" s="26" t="n"/>
      <c r="R23" s="26" t="n"/>
      <c r="S23" s="26" t="n"/>
      <c r="T23" s="26" t="n"/>
      <c r="U23" s="26" t="n"/>
      <c r="V23" s="26" t="n"/>
      <c r="W23" s="26" t="n"/>
      <c r="X23" s="26" t="n"/>
      <c r="Y23" s="26" t="n"/>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28" t="n"/>
    </row>
    <row r="24" ht="30" customHeight="1" s="36">
      <c r="A24" s="17" t="n">
        <v>22</v>
      </c>
      <c r="B24" s="18" t="n"/>
      <c r="C24" s="17" t="n"/>
      <c r="D24" s="17" t="n"/>
      <c r="E24" s="17" t="n"/>
      <c r="F24" s="26" t="n"/>
      <c r="G24" s="26" t="n"/>
      <c r="H24" s="26" t="n"/>
      <c r="I24" s="26" t="n"/>
      <c r="J24" s="26" t="n"/>
      <c r="K24" s="26" t="n"/>
      <c r="L24" s="26" t="n"/>
      <c r="M24" s="26" t="n"/>
      <c r="N24" s="26" t="n"/>
      <c r="O24" s="26" t="n"/>
      <c r="P24" s="26" t="n"/>
      <c r="Q24" s="26" t="n"/>
      <c r="R24" s="26" t="n"/>
      <c r="S24" s="26" t="n"/>
      <c r="T24" s="26" t="n"/>
      <c r="U24" s="26" t="n"/>
      <c r="V24" s="26" t="n"/>
      <c r="W24" s="26" t="n"/>
      <c r="X24" s="26" t="n"/>
      <c r="Y24" s="26" t="n"/>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28" t="n"/>
    </row>
    <row r="25" ht="30" customHeight="1" s="36">
      <c r="A25" s="17" t="n">
        <v>23</v>
      </c>
      <c r="B25" s="18" t="n"/>
      <c r="C25" s="17" t="n"/>
      <c r="D25" s="17" t="n"/>
      <c r="E25" s="17" t="n"/>
      <c r="F25" s="26" t="n"/>
      <c r="G25" s="26" t="n"/>
      <c r="H25" s="26" t="n"/>
      <c r="I25" s="26" t="n"/>
      <c r="J25" s="26" t="n"/>
      <c r="K25" s="26" t="n"/>
      <c r="L25" s="26" t="n"/>
      <c r="M25" s="26" t="n"/>
      <c r="N25" s="26" t="n"/>
      <c r="O25" s="26" t="n"/>
      <c r="P25" s="26" t="n"/>
      <c r="Q25" s="26" t="n"/>
      <c r="R25" s="26" t="n"/>
      <c r="S25" s="26" t="n"/>
      <c r="T25" s="26" t="n"/>
      <c r="U25" s="26" t="n"/>
      <c r="V25" s="26" t="n"/>
      <c r="W25" s="26" t="n"/>
      <c r="X25" s="26" t="n"/>
      <c r="Y25" s="26" t="n"/>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28" t="n"/>
    </row>
    <row r="26" ht="30" customHeight="1" s="36">
      <c r="A26" s="17" t="n">
        <v>24</v>
      </c>
      <c r="B26" s="18" t="n"/>
      <c r="C26" s="17" t="n"/>
      <c r="D26" s="17" t="n"/>
      <c r="E26" s="17" t="n"/>
      <c r="F26" s="26" t="n"/>
      <c r="G26" s="26" t="n"/>
      <c r="H26" s="26" t="n"/>
      <c r="I26" s="26" t="n"/>
      <c r="J26" s="26" t="n"/>
      <c r="K26" s="26" t="n"/>
      <c r="L26" s="26" t="n"/>
      <c r="M26" s="26" t="n"/>
      <c r="N26" s="26" t="n"/>
      <c r="O26" s="26" t="n"/>
      <c r="P26" s="26" t="n"/>
      <c r="Q26" s="26" t="n"/>
      <c r="R26" s="26" t="n"/>
      <c r="S26" s="26" t="n"/>
      <c r="T26" s="26" t="n"/>
      <c r="U26" s="26" t="n"/>
      <c r="V26" s="26" t="n"/>
      <c r="W26" s="26" t="n"/>
      <c r="X26" s="26" t="n"/>
      <c r="Y26" s="26" t="n"/>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28" t="n"/>
    </row>
    <row r="27" ht="30" customHeight="1" s="36">
      <c r="A27" s="17" t="n">
        <v>25</v>
      </c>
      <c r="B27" s="18" t="n"/>
      <c r="C27" s="17" t="n"/>
      <c r="D27" s="17" t="n"/>
      <c r="E27" s="17" t="n"/>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28" t="n"/>
    </row>
    <row r="28" ht="30" customHeight="1" s="36">
      <c r="A28" s="17" t="n">
        <v>26</v>
      </c>
      <c r="B28" s="18" t="n"/>
      <c r="C28" s="17" t="n"/>
      <c r="D28" s="17" t="n"/>
      <c r="E28" s="17"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28" t="n"/>
    </row>
    <row r="29" ht="30" customHeight="1" s="36">
      <c r="A29" s="17" t="n">
        <v>27</v>
      </c>
      <c r="B29" s="18" t="n"/>
      <c r="C29" s="17" t="n"/>
      <c r="D29" s="17" t="n"/>
      <c r="E29" s="17"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28" t="n"/>
    </row>
    <row r="30" ht="30" customHeight="1" s="36">
      <c r="A30" s="17" t="n">
        <v>28</v>
      </c>
      <c r="B30" s="18" t="n"/>
      <c r="C30" s="17" t="n"/>
      <c r="D30" s="17" t="n"/>
      <c r="E30" s="17"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28" t="n"/>
    </row>
    <row r="31" ht="30" customHeight="1" s="36">
      <c r="A31" s="17" t="n">
        <v>29</v>
      </c>
      <c r="B31" s="18" t="n"/>
      <c r="C31" s="17" t="n"/>
      <c r="D31" s="17" t="n"/>
      <c r="E31" s="17" t="n"/>
      <c r="F31" s="26" t="n"/>
      <c r="G31" s="26" t="n"/>
      <c r="H31" s="26" t="n"/>
      <c r="I31" s="26" t="n"/>
      <c r="J31" s="26" t="n"/>
      <c r="K31" s="26" t="n"/>
      <c r="L31" s="26" t="n"/>
      <c r="M31" s="26" t="n"/>
      <c r="N31" s="26" t="n"/>
      <c r="O31" s="26" t="n"/>
      <c r="P31" s="26" t="n"/>
      <c r="Q31" s="26" t="n"/>
      <c r="R31" s="26" t="n"/>
      <c r="S31" s="26" t="n"/>
      <c r="T31" s="26" t="n"/>
      <c r="U31" s="26" t="n"/>
      <c r="V31" s="26" t="n"/>
      <c r="W31" s="26" t="n"/>
      <c r="X31" s="26" t="n"/>
      <c r="Y31" s="26" t="n"/>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28" t="n"/>
    </row>
    <row r="32" ht="30" customHeight="1" s="36">
      <c r="A32" s="17" t="n">
        <v>30</v>
      </c>
      <c r="B32" s="18" t="n"/>
      <c r="C32" s="17" t="n"/>
      <c r="D32" s="17" t="n"/>
      <c r="E32" s="17" t="n"/>
      <c r="F32" s="26" t="n"/>
      <c r="G32" s="26" t="n"/>
      <c r="H32" s="26" t="n"/>
      <c r="I32" s="26" t="n"/>
      <c r="J32" s="26" t="n"/>
      <c r="K32" s="26" t="n"/>
      <c r="L32" s="26" t="n"/>
      <c r="M32" s="26" t="n"/>
      <c r="N32" s="26" t="n"/>
      <c r="O32" s="26" t="n"/>
      <c r="P32" s="26" t="n"/>
      <c r="Q32" s="26" t="n"/>
      <c r="R32" s="26" t="n"/>
      <c r="S32" s="26" t="n"/>
      <c r="T32" s="26" t="n"/>
      <c r="U32" s="26" t="n"/>
      <c r="V32" s="26" t="n"/>
      <c r="W32" s="26" t="n"/>
      <c r="X32" s="26" t="n"/>
      <c r="Y32" s="26" t="n"/>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28" t="n"/>
    </row>
    <row r="33" ht="30" customHeight="1" s="36">
      <c r="A33" s="17" t="n">
        <v>31</v>
      </c>
      <c r="B33" s="18" t="n"/>
      <c r="C33" s="17" t="n"/>
      <c r="D33" s="17" t="n"/>
      <c r="E33" s="17" t="n"/>
      <c r="F33" s="26" t="n"/>
      <c r="G33" s="26" t="n"/>
      <c r="H33" s="26" t="n"/>
      <c r="I33" s="26" t="n"/>
      <c r="J33" s="26" t="n"/>
      <c r="K33" s="26" t="n"/>
      <c r="L33" s="26" t="n"/>
      <c r="M33" s="26" t="n"/>
      <c r="N33" s="26" t="n"/>
      <c r="O33" s="26" t="n"/>
      <c r="P33" s="26" t="n"/>
      <c r="Q33" s="26" t="n"/>
      <c r="R33" s="26" t="n"/>
      <c r="S33" s="26" t="n"/>
      <c r="T33" s="26" t="n"/>
      <c r="U33" s="26" t="n"/>
      <c r="V33" s="26" t="n"/>
      <c r="W33" s="26" t="n"/>
      <c r="X33" s="26" t="n"/>
      <c r="Y33" s="26" t="n"/>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28" t="n"/>
    </row>
    <row r="34" ht="30" customHeight="1" s="36">
      <c r="A34" s="17" t="n">
        <v>32</v>
      </c>
      <c r="B34" s="18" t="n"/>
      <c r="C34" s="17" t="n"/>
      <c r="D34" s="17" t="n"/>
      <c r="E34" s="17" t="n"/>
      <c r="F34" s="26" t="n"/>
      <c r="G34" s="26" t="n"/>
      <c r="H34" s="26" t="n"/>
      <c r="I34" s="26" t="n"/>
      <c r="J34" s="26" t="n"/>
      <c r="K34" s="26" t="n"/>
      <c r="L34" s="26" t="n"/>
      <c r="M34" s="26" t="n"/>
      <c r="N34" s="26" t="n"/>
      <c r="O34" s="26" t="n"/>
      <c r="P34" s="26" t="n"/>
      <c r="Q34" s="26" t="n"/>
      <c r="R34" s="26" t="n"/>
      <c r="S34" s="26" t="n"/>
      <c r="T34" s="26" t="n"/>
      <c r="U34" s="26" t="n"/>
      <c r="V34" s="26" t="n"/>
      <c r="W34" s="26" t="n"/>
      <c r="X34" s="26" t="n"/>
      <c r="Y34" s="26" t="n"/>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28" t="n"/>
    </row>
    <row r="35" ht="30" customHeight="1" s="36">
      <c r="A35" s="17" t="n">
        <v>33</v>
      </c>
      <c r="B35" s="18" t="n"/>
      <c r="C35" s="17" t="n"/>
      <c r="D35" s="17" t="n"/>
      <c r="E35" s="17" t="n"/>
      <c r="F35" s="26" t="n"/>
      <c r="G35" s="26" t="n"/>
      <c r="H35" s="26" t="n"/>
      <c r="I35" s="26" t="n"/>
      <c r="J35" s="26" t="n"/>
      <c r="K35" s="26" t="n"/>
      <c r="L35" s="26" t="n"/>
      <c r="M35" s="26" t="n"/>
      <c r="N35" s="26" t="n"/>
      <c r="O35" s="26" t="n"/>
      <c r="P35" s="26" t="n"/>
      <c r="Q35" s="26" t="n"/>
      <c r="R35" s="26" t="n"/>
      <c r="S35" s="26" t="n"/>
      <c r="T35" s="26" t="n"/>
      <c r="U35" s="26" t="n"/>
      <c r="V35" s="26" t="n"/>
      <c r="W35" s="26" t="n"/>
      <c r="X35" s="26" t="n"/>
      <c r="Y35" s="26" t="n"/>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28" t="n"/>
    </row>
    <row r="36" ht="30" customHeight="1" s="36">
      <c r="A36" s="17" t="n">
        <v>34</v>
      </c>
      <c r="B36" s="18" t="n"/>
      <c r="C36" s="17" t="n"/>
      <c r="D36" s="17" t="n"/>
      <c r="E36" s="17" t="n"/>
      <c r="F36" s="26" t="n"/>
      <c r="G36" s="26" t="n"/>
      <c r="H36" s="26" t="n"/>
      <c r="I36" s="26" t="n"/>
      <c r="J36" s="26" t="n"/>
      <c r="K36" s="26" t="n"/>
      <c r="L36" s="26" t="n"/>
      <c r="M36" s="26" t="n"/>
      <c r="N36" s="26" t="n"/>
      <c r="O36" s="26" t="n"/>
      <c r="P36" s="26" t="n"/>
      <c r="Q36" s="26" t="n"/>
      <c r="R36" s="26" t="n"/>
      <c r="S36" s="26" t="n"/>
      <c r="T36" s="26" t="n"/>
      <c r="U36" s="26" t="n"/>
      <c r="V36" s="26" t="n"/>
      <c r="W36" s="26" t="n"/>
      <c r="X36" s="26" t="n"/>
      <c r="Y36" s="26" t="n"/>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28" t="n"/>
    </row>
    <row r="37" ht="30" customHeight="1" s="36">
      <c r="A37" s="17" t="n">
        <v>35</v>
      </c>
      <c r="B37" s="18" t="n"/>
      <c r="C37" s="17" t="n"/>
      <c r="D37" s="17" t="n"/>
      <c r="E37" s="17" t="n"/>
      <c r="F37" s="26" t="n"/>
      <c r="G37" s="26" t="n"/>
      <c r="H37" s="26" t="n"/>
      <c r="I37" s="26" t="n"/>
      <c r="J37" s="26" t="n"/>
      <c r="K37" s="26" t="n"/>
      <c r="L37" s="26" t="n"/>
      <c r="M37" s="26" t="n"/>
      <c r="N37" s="26" t="n"/>
      <c r="O37" s="26" t="n"/>
      <c r="P37" s="26" t="n"/>
      <c r="Q37" s="26" t="n"/>
      <c r="R37" s="26" t="n"/>
      <c r="S37" s="26" t="n"/>
      <c r="T37" s="26" t="n"/>
      <c r="U37" s="26" t="n"/>
      <c r="V37" s="26" t="n"/>
      <c r="W37" s="26" t="n"/>
      <c r="X37" s="26" t="n"/>
      <c r="Y37" s="26" t="n"/>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28" t="n"/>
    </row>
    <row r="38" ht="30" customHeight="1" s="36">
      <c r="A38" s="17" t="n">
        <v>36</v>
      </c>
      <c r="B38" s="18" t="n"/>
      <c r="C38" s="17" t="n"/>
      <c r="D38" s="17" t="n"/>
      <c r="E38" s="17" t="n"/>
      <c r="F38" s="26" t="n"/>
      <c r="G38" s="26" t="n"/>
      <c r="H38" s="26" t="n"/>
      <c r="I38" s="26" t="n"/>
      <c r="J38" s="26" t="n"/>
      <c r="K38" s="26" t="n"/>
      <c r="L38" s="26" t="n"/>
      <c r="M38" s="26" t="n"/>
      <c r="N38" s="26" t="n"/>
      <c r="O38" s="26" t="n"/>
      <c r="P38" s="26" t="n"/>
      <c r="Q38" s="26" t="n"/>
      <c r="R38" s="26" t="n"/>
      <c r="S38" s="26" t="n"/>
      <c r="T38" s="26" t="n"/>
      <c r="U38" s="26" t="n"/>
      <c r="V38" s="26" t="n"/>
      <c r="W38" s="26" t="n"/>
      <c r="X38" s="26" t="n"/>
      <c r="Y38" s="26" t="n"/>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28" t="n"/>
    </row>
    <row r="39" ht="30" customHeight="1" s="36">
      <c r="A39" s="17" t="n">
        <v>37</v>
      </c>
      <c r="B39" s="18" t="n"/>
      <c r="C39" s="17" t="n"/>
      <c r="D39" s="17" t="n"/>
      <c r="E39" s="17" t="n"/>
      <c r="F39" s="26" t="n"/>
      <c r="G39" s="26" t="n"/>
      <c r="H39" s="26" t="n"/>
      <c r="I39" s="26" t="n"/>
      <c r="J39" s="26" t="n"/>
      <c r="K39" s="26" t="n"/>
      <c r="L39" s="26" t="n"/>
      <c r="M39" s="26" t="n"/>
      <c r="N39" s="26" t="n"/>
      <c r="O39" s="26" t="n"/>
      <c r="P39" s="26" t="n"/>
      <c r="Q39" s="26" t="n"/>
      <c r="R39" s="26" t="n"/>
      <c r="S39" s="26" t="n"/>
      <c r="T39" s="26" t="n"/>
      <c r="U39" s="26" t="n"/>
      <c r="V39" s="26" t="n"/>
      <c r="W39" s="26" t="n"/>
      <c r="X39" s="26" t="n"/>
      <c r="Y39" s="26" t="n"/>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28" t="n"/>
    </row>
    <row r="40" ht="30" customHeight="1" s="36">
      <c r="A40" s="17" t="n">
        <v>38</v>
      </c>
      <c r="B40" s="18" t="n"/>
      <c r="C40" s="17" t="n"/>
      <c r="D40" s="17" t="n"/>
      <c r="E40" s="17" t="n"/>
      <c r="F40" s="26" t="n"/>
      <c r="G40" s="26" t="n"/>
      <c r="H40" s="26" t="n"/>
      <c r="I40" s="26" t="n"/>
      <c r="J40" s="26" t="n"/>
      <c r="K40" s="26" t="n"/>
      <c r="L40" s="26" t="n"/>
      <c r="M40" s="26" t="n"/>
      <c r="N40" s="26" t="n"/>
      <c r="O40" s="26" t="n"/>
      <c r="P40" s="26" t="n"/>
      <c r="Q40" s="26" t="n"/>
      <c r="R40" s="26" t="n"/>
      <c r="S40" s="26" t="n"/>
      <c r="T40" s="26" t="n"/>
      <c r="U40" s="26" t="n"/>
      <c r="V40" s="26" t="n"/>
      <c r="W40" s="26" t="n"/>
      <c r="X40" s="26" t="n"/>
      <c r="Y40" s="26" t="n"/>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28" t="n"/>
    </row>
    <row r="41" ht="30" customHeight="1" s="36">
      <c r="A41" s="17" t="n">
        <v>39</v>
      </c>
      <c r="B41" s="18" t="n"/>
      <c r="C41" s="17" t="n"/>
      <c r="D41" s="17" t="n"/>
      <c r="E41" s="17" t="n"/>
      <c r="F41" s="26" t="n"/>
      <c r="G41" s="26" t="n"/>
      <c r="H41" s="26" t="n"/>
      <c r="I41" s="26" t="n"/>
      <c r="J41" s="26" t="n"/>
      <c r="K41" s="26" t="n"/>
      <c r="L41" s="26" t="n"/>
      <c r="M41" s="26" t="n"/>
      <c r="N41" s="26" t="n"/>
      <c r="O41" s="26" t="n"/>
      <c r="P41" s="26" t="n"/>
      <c r="Q41" s="26" t="n"/>
      <c r="R41" s="26" t="n"/>
      <c r="S41" s="26" t="n"/>
      <c r="T41" s="26" t="n"/>
      <c r="U41" s="26" t="n"/>
      <c r="V41" s="26" t="n"/>
      <c r="W41" s="26" t="n"/>
      <c r="X41" s="26" t="n"/>
      <c r="Y41" s="26" t="n"/>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28" t="n"/>
    </row>
    <row r="42" ht="30" customHeight="1" s="36">
      <c r="A42" s="17" t="n">
        <v>40</v>
      </c>
      <c r="B42" s="18" t="n"/>
      <c r="C42" s="17" t="n"/>
      <c r="D42" s="17" t="n"/>
      <c r="E42" s="17" t="n"/>
      <c r="F42" s="26" t="n"/>
      <c r="G42" s="26" t="n"/>
      <c r="H42" s="26" t="n"/>
      <c r="I42" s="26" t="n"/>
      <c r="J42" s="26" t="n"/>
      <c r="K42" s="26" t="n"/>
      <c r="L42" s="26" t="n"/>
      <c r="M42" s="26" t="n"/>
      <c r="N42" s="26" t="n"/>
      <c r="O42" s="26" t="n"/>
      <c r="P42" s="26" t="n"/>
      <c r="Q42" s="26" t="n"/>
      <c r="R42" s="26" t="n"/>
      <c r="S42" s="26" t="n"/>
      <c r="T42" s="26" t="n"/>
      <c r="U42" s="26" t="n"/>
      <c r="V42" s="26" t="n"/>
      <c r="W42" s="26" t="n"/>
      <c r="X42" s="26" t="n"/>
      <c r="Y42" s="26" t="n"/>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28" t="n"/>
    </row>
    <row r="43" ht="30" customHeight="1" s="36">
      <c r="A43" s="17" t="n">
        <v>41</v>
      </c>
      <c r="B43" s="18" t="n"/>
      <c r="C43" s="17" t="n"/>
      <c r="D43" s="17" t="n"/>
      <c r="E43" s="17" t="n"/>
      <c r="F43" s="26" t="n"/>
      <c r="G43" s="26" t="n"/>
      <c r="H43" s="26" t="n"/>
      <c r="I43" s="26" t="n"/>
      <c r="J43" s="26" t="n"/>
      <c r="K43" s="26" t="n"/>
      <c r="L43" s="26" t="n"/>
      <c r="M43" s="26" t="n"/>
      <c r="N43" s="26" t="n"/>
      <c r="O43" s="26" t="n"/>
      <c r="P43" s="26" t="n"/>
      <c r="Q43" s="26" t="n"/>
      <c r="R43" s="26" t="n"/>
      <c r="S43" s="26" t="n"/>
      <c r="T43" s="26" t="n"/>
      <c r="U43" s="26" t="n"/>
      <c r="V43" s="26" t="n"/>
      <c r="W43" s="26" t="n"/>
      <c r="X43" s="26" t="n"/>
      <c r="Y43" s="26" t="n"/>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28" t="n"/>
    </row>
    <row r="44" ht="30" customHeight="1" s="36">
      <c r="A44" s="17" t="n">
        <v>42</v>
      </c>
      <c r="B44" s="18" t="n"/>
      <c r="C44" s="17" t="n"/>
      <c r="D44" s="17" t="n"/>
      <c r="E44" s="17" t="n"/>
      <c r="F44" s="26" t="n"/>
      <c r="G44" s="26" t="n"/>
      <c r="H44" s="26" t="n"/>
      <c r="I44" s="26" t="n"/>
      <c r="J44" s="26" t="n"/>
      <c r="K44" s="26" t="n"/>
      <c r="L44" s="26" t="n"/>
      <c r="M44" s="26" t="n"/>
      <c r="N44" s="26" t="n"/>
      <c r="O44" s="26" t="n"/>
      <c r="P44" s="26" t="n"/>
      <c r="Q44" s="26" t="n"/>
      <c r="R44" s="26" t="n"/>
      <c r="S44" s="26" t="n"/>
      <c r="T44" s="26" t="n"/>
      <c r="U44" s="26" t="n"/>
      <c r="V44" s="26" t="n"/>
      <c r="W44" s="26" t="n"/>
      <c r="X44" s="26" t="n"/>
      <c r="Y44" s="26" t="n"/>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28" t="n"/>
    </row>
    <row r="45" ht="30" customHeight="1" s="36">
      <c r="A45" s="17" t="n">
        <v>43</v>
      </c>
      <c r="B45" s="18" t="n"/>
      <c r="C45" s="17" t="n"/>
      <c r="D45" s="17" t="n"/>
      <c r="E45" s="17" t="n"/>
      <c r="F45" s="26" t="n"/>
      <c r="G45" s="26" t="n"/>
      <c r="H45" s="26" t="n"/>
      <c r="I45" s="26" t="n"/>
      <c r="J45" s="26" t="n"/>
      <c r="K45" s="26" t="n"/>
      <c r="L45" s="26" t="n"/>
      <c r="M45" s="26" t="n"/>
      <c r="N45" s="26" t="n"/>
      <c r="O45" s="26" t="n"/>
      <c r="P45" s="26" t="n"/>
      <c r="Q45" s="26" t="n"/>
      <c r="R45" s="26" t="n"/>
      <c r="S45" s="26" t="n"/>
      <c r="T45" s="26" t="n"/>
      <c r="U45" s="26" t="n"/>
      <c r="V45" s="26" t="n"/>
      <c r="W45" s="26" t="n"/>
      <c r="X45" s="26" t="n"/>
      <c r="Y45" s="26" t="n"/>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28" t="n"/>
    </row>
    <row r="46" ht="30" customHeight="1" s="36">
      <c r="A46" s="17" t="n">
        <v>44</v>
      </c>
      <c r="B46" s="18" t="n"/>
      <c r="C46" s="17" t="n"/>
      <c r="D46" s="17" t="n"/>
      <c r="E46" s="17" t="n"/>
      <c r="F46" s="26" t="n"/>
      <c r="G46" s="26" t="n"/>
      <c r="H46" s="26" t="n"/>
      <c r="I46" s="26" t="n"/>
      <c r="J46" s="26" t="n"/>
      <c r="K46" s="26" t="n"/>
      <c r="L46" s="26" t="n"/>
      <c r="M46" s="26" t="n"/>
      <c r="N46" s="26" t="n"/>
      <c r="O46" s="26" t="n"/>
      <c r="P46" s="26" t="n"/>
      <c r="Q46" s="26" t="n"/>
      <c r="R46" s="26" t="n"/>
      <c r="S46" s="26" t="n"/>
      <c r="T46" s="26" t="n"/>
      <c r="U46" s="26" t="n"/>
      <c r="V46" s="26" t="n"/>
      <c r="W46" s="26" t="n"/>
      <c r="X46" s="26" t="n"/>
      <c r="Y46" s="26" t="n"/>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28" t="n"/>
    </row>
    <row r="47" ht="30" customHeight="1" s="36">
      <c r="A47" s="17" t="n">
        <v>45</v>
      </c>
      <c r="B47" s="18" t="n"/>
      <c r="C47" s="17" t="n"/>
      <c r="D47" s="17" t="n"/>
      <c r="E47" s="17" t="n"/>
      <c r="F47" s="26" t="n"/>
      <c r="G47" s="26" t="n"/>
      <c r="H47" s="26" t="n"/>
      <c r="I47" s="26" t="n"/>
      <c r="J47" s="26" t="n"/>
      <c r="K47" s="26" t="n"/>
      <c r="L47" s="26" t="n"/>
      <c r="M47" s="26" t="n"/>
      <c r="N47" s="26" t="n"/>
      <c r="O47" s="26" t="n"/>
      <c r="P47" s="26" t="n"/>
      <c r="Q47" s="26" t="n"/>
      <c r="R47" s="26" t="n"/>
      <c r="S47" s="26" t="n"/>
      <c r="T47" s="26" t="n"/>
      <c r="U47" s="26" t="n"/>
      <c r="V47" s="26" t="n"/>
      <c r="W47" s="26" t="n"/>
      <c r="X47" s="26" t="n"/>
      <c r="Y47" s="26" t="n"/>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28" t="n"/>
    </row>
    <row r="48" ht="30" customHeight="1" s="36">
      <c r="A48" s="17" t="n">
        <v>46</v>
      </c>
      <c r="B48" s="18" t="n"/>
      <c r="C48" s="17" t="n"/>
      <c r="D48" s="17" t="n"/>
      <c r="E48" s="17" t="n"/>
      <c r="F48" s="26" t="n"/>
      <c r="G48" s="26" t="n"/>
      <c r="H48" s="26" t="n"/>
      <c r="I48" s="26" t="n"/>
      <c r="J48" s="26" t="n"/>
      <c r="K48" s="26" t="n"/>
      <c r="L48" s="26" t="n"/>
      <c r="M48" s="26" t="n"/>
      <c r="N48" s="26" t="n"/>
      <c r="O48" s="26" t="n"/>
      <c r="P48" s="26" t="n"/>
      <c r="Q48" s="26" t="n"/>
      <c r="R48" s="26" t="n"/>
      <c r="S48" s="26" t="n"/>
      <c r="T48" s="26" t="n"/>
      <c r="U48" s="26" t="n"/>
      <c r="V48" s="26" t="n"/>
      <c r="W48" s="26" t="n"/>
      <c r="X48" s="26" t="n"/>
      <c r="Y48" s="26" t="n"/>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28" t="n"/>
    </row>
    <row r="49" ht="30" customHeight="1" s="36">
      <c r="A49" s="17" t="n">
        <v>47</v>
      </c>
      <c r="B49" s="18" t="n"/>
      <c r="C49" s="17" t="n"/>
      <c r="D49" s="17" t="n"/>
      <c r="E49" s="17" t="n"/>
      <c r="F49" s="26" t="n"/>
      <c r="G49" s="26" t="n"/>
      <c r="H49" s="26" t="n"/>
      <c r="I49" s="26" t="n"/>
      <c r="J49" s="26" t="n"/>
      <c r="K49" s="26" t="n"/>
      <c r="L49" s="26" t="n"/>
      <c r="M49" s="26" t="n"/>
      <c r="N49" s="26" t="n"/>
      <c r="O49" s="26" t="n"/>
      <c r="P49" s="26" t="n"/>
      <c r="Q49" s="26" t="n"/>
      <c r="R49" s="26" t="n"/>
      <c r="S49" s="26" t="n"/>
      <c r="T49" s="26" t="n"/>
      <c r="U49" s="26" t="n"/>
      <c r="V49" s="26" t="n"/>
      <c r="W49" s="26" t="n"/>
      <c r="X49" s="26" t="n"/>
      <c r="Y49" s="26" t="n"/>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28" t="n"/>
    </row>
    <row r="50" ht="30" customHeight="1" s="36">
      <c r="A50" s="17" t="n">
        <v>48</v>
      </c>
      <c r="B50" s="18" t="n"/>
      <c r="C50" s="17" t="n"/>
      <c r="D50" s="17" t="n"/>
      <c r="E50" s="17" t="n"/>
      <c r="F50" s="26" t="n"/>
      <c r="G50" s="26" t="n"/>
      <c r="H50" s="26" t="n"/>
      <c r="I50" s="26" t="n"/>
      <c r="J50" s="26" t="n"/>
      <c r="K50" s="26" t="n"/>
      <c r="L50" s="26" t="n"/>
      <c r="M50" s="26" t="n"/>
      <c r="N50" s="26" t="n"/>
      <c r="O50" s="26" t="n"/>
      <c r="P50" s="26" t="n"/>
      <c r="Q50" s="26" t="n"/>
      <c r="R50" s="26" t="n"/>
      <c r="S50" s="26" t="n"/>
      <c r="T50" s="26" t="n"/>
      <c r="U50" s="26" t="n"/>
      <c r="V50" s="26" t="n"/>
      <c r="W50" s="26" t="n"/>
      <c r="X50" s="26" t="n"/>
      <c r="Y50" s="26" t="n"/>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28" t="n"/>
    </row>
    <row r="51" ht="30" customHeight="1" s="36">
      <c r="A51" s="17" t="n">
        <v>49</v>
      </c>
      <c r="B51" s="18" t="n"/>
      <c r="C51" s="17" t="n"/>
      <c r="D51" s="17" t="n"/>
      <c r="E51" s="17" t="n"/>
      <c r="F51" s="26" t="n"/>
      <c r="G51" s="26" t="n"/>
      <c r="H51" s="26" t="n"/>
      <c r="I51" s="26" t="n"/>
      <c r="J51" s="26" t="n"/>
      <c r="K51" s="26" t="n"/>
      <c r="L51" s="26" t="n"/>
      <c r="M51" s="26" t="n"/>
      <c r="N51" s="26" t="n"/>
      <c r="O51" s="26" t="n"/>
      <c r="P51" s="26" t="n"/>
      <c r="Q51" s="26" t="n"/>
      <c r="R51" s="26" t="n"/>
      <c r="S51" s="26" t="n"/>
      <c r="T51" s="26" t="n"/>
      <c r="U51" s="26" t="n"/>
      <c r="V51" s="26" t="n"/>
      <c r="W51" s="26" t="n"/>
      <c r="X51" s="26" t="n"/>
      <c r="Y51" s="26" t="n"/>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28" t="n"/>
    </row>
    <row r="52" ht="30" customHeight="1" s="36">
      <c r="A52" s="17" t="n">
        <v>50</v>
      </c>
      <c r="B52" s="18" t="n"/>
      <c r="C52" s="17" t="n"/>
      <c r="D52" s="17" t="n"/>
      <c r="E52" s="17" t="n"/>
      <c r="F52" s="26" t="n"/>
      <c r="G52" s="26" t="n"/>
      <c r="H52" s="26" t="n"/>
      <c r="I52" s="26" t="n"/>
      <c r="J52" s="26" t="n"/>
      <c r="K52" s="26" t="n"/>
      <c r="L52" s="26" t="n"/>
      <c r="M52" s="26" t="n"/>
      <c r="N52" s="26" t="n"/>
      <c r="O52" s="26" t="n"/>
      <c r="P52" s="26" t="n"/>
      <c r="Q52" s="26" t="n"/>
      <c r="R52" s="26" t="n"/>
      <c r="S52" s="26" t="n"/>
      <c r="T52" s="26" t="n"/>
      <c r="U52" s="26" t="n"/>
      <c r="V52" s="26" t="n"/>
      <c r="W52" s="26" t="n"/>
      <c r="X52" s="26" t="n"/>
      <c r="Y52" s="26" t="n"/>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28" t="n"/>
    </row>
    <row r="53" ht="30" customHeight="1" s="36">
      <c r="A53" s="17" t="n">
        <v>51</v>
      </c>
      <c r="B53" s="18" t="n"/>
      <c r="C53" s="17" t="n"/>
      <c r="D53" s="17" t="n"/>
      <c r="E53" s="17" t="n"/>
      <c r="F53" s="26" t="n"/>
      <c r="G53" s="26" t="n"/>
      <c r="H53" s="26" t="n"/>
      <c r="I53" s="26" t="n"/>
      <c r="J53" s="26" t="n"/>
      <c r="K53" s="26" t="n"/>
      <c r="L53" s="26" t="n"/>
      <c r="M53" s="26" t="n"/>
      <c r="N53" s="26" t="n"/>
      <c r="O53" s="26" t="n"/>
      <c r="P53" s="26" t="n"/>
      <c r="Q53" s="26" t="n"/>
      <c r="R53" s="26" t="n"/>
      <c r="S53" s="26" t="n"/>
      <c r="T53" s="26" t="n"/>
      <c r="U53" s="26" t="n"/>
      <c r="V53" s="26" t="n"/>
      <c r="W53" s="26" t="n"/>
      <c r="X53" s="26" t="n"/>
      <c r="Y53" s="26" t="n"/>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28" t="n"/>
    </row>
    <row r="54" ht="30" customHeight="1" s="36">
      <c r="A54" s="17" t="n">
        <v>52</v>
      </c>
      <c r="B54" s="18" t="n"/>
      <c r="C54" s="17" t="n"/>
      <c r="D54" s="17" t="n"/>
      <c r="E54" s="17" t="n"/>
      <c r="F54" s="26" t="n"/>
      <c r="G54" s="26" t="n"/>
      <c r="H54" s="26" t="n"/>
      <c r="I54" s="26" t="n"/>
      <c r="J54" s="26" t="n"/>
      <c r="K54" s="26" t="n"/>
      <c r="L54" s="26" t="n"/>
      <c r="M54" s="26" t="n"/>
      <c r="N54" s="26" t="n"/>
      <c r="O54" s="26" t="n"/>
      <c r="P54" s="26" t="n"/>
      <c r="Q54" s="26" t="n"/>
      <c r="R54" s="26" t="n"/>
      <c r="S54" s="26" t="n"/>
      <c r="T54" s="26" t="n"/>
      <c r="U54" s="26" t="n"/>
      <c r="V54" s="26" t="n"/>
      <c r="W54" s="26" t="n"/>
      <c r="X54" s="26" t="n"/>
      <c r="Y54" s="26" t="n"/>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28" t="n"/>
    </row>
    <row r="55" ht="30" customHeight="1" s="36">
      <c r="A55" s="17" t="n">
        <v>53</v>
      </c>
      <c r="B55" s="18" t="n"/>
      <c r="C55" s="17" t="n"/>
      <c r="D55" s="17" t="n"/>
      <c r="E55" s="17" t="n"/>
      <c r="F55" s="26" t="n"/>
      <c r="G55" s="26" t="n"/>
      <c r="H55" s="26" t="n"/>
      <c r="I55" s="26" t="n"/>
      <c r="J55" s="26" t="n"/>
      <c r="K55" s="26" t="n"/>
      <c r="L55" s="26" t="n"/>
      <c r="M55" s="26" t="n"/>
      <c r="N55" s="26" t="n"/>
      <c r="O55" s="26" t="n"/>
      <c r="P55" s="26" t="n"/>
      <c r="Q55" s="26" t="n"/>
      <c r="R55" s="26" t="n"/>
      <c r="S55" s="26" t="n"/>
      <c r="T55" s="26" t="n"/>
      <c r="U55" s="26" t="n"/>
      <c r="V55" s="26" t="n"/>
      <c r="W55" s="26" t="n"/>
      <c r="X55" s="26" t="n"/>
      <c r="Y55" s="26" t="n"/>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28" t="n"/>
    </row>
    <row r="56" ht="30" customHeight="1" s="36">
      <c r="A56" s="17" t="n">
        <v>54</v>
      </c>
      <c r="B56" s="18" t="n"/>
      <c r="C56" s="17" t="n"/>
      <c r="D56" s="17" t="n"/>
      <c r="E56" s="17" t="n"/>
      <c r="F56" s="26" t="n"/>
      <c r="G56" s="26" t="n"/>
      <c r="H56" s="26" t="n"/>
      <c r="I56" s="26" t="n"/>
      <c r="J56" s="26" t="n"/>
      <c r="K56" s="26" t="n"/>
      <c r="L56" s="26" t="n"/>
      <c r="M56" s="26" t="n"/>
      <c r="N56" s="26" t="n"/>
      <c r="O56" s="26" t="n"/>
      <c r="P56" s="26" t="n"/>
      <c r="Q56" s="26" t="n"/>
      <c r="R56" s="26" t="n"/>
      <c r="S56" s="26" t="n"/>
      <c r="T56" s="26" t="n"/>
      <c r="U56" s="26" t="n"/>
      <c r="V56" s="26" t="n"/>
      <c r="W56" s="26" t="n"/>
      <c r="X56" s="26" t="n"/>
      <c r="Y56" s="26" t="n"/>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28" t="n"/>
    </row>
    <row r="57" ht="30" customHeight="1" s="36">
      <c r="A57" s="17" t="n">
        <v>55</v>
      </c>
      <c r="B57" s="18" t="n"/>
      <c r="C57" s="17" t="n"/>
      <c r="D57" s="17" t="n"/>
      <c r="E57" s="17" t="n"/>
      <c r="F57" s="26" t="n"/>
      <c r="G57" s="26" t="n"/>
      <c r="H57" s="26" t="n"/>
      <c r="I57" s="26" t="n"/>
      <c r="J57" s="26" t="n"/>
      <c r="K57" s="26" t="n"/>
      <c r="L57" s="26" t="n"/>
      <c r="M57" s="26" t="n"/>
      <c r="N57" s="26" t="n"/>
      <c r="O57" s="26" t="n"/>
      <c r="P57" s="26" t="n"/>
      <c r="Q57" s="26" t="n"/>
      <c r="R57" s="26" t="n"/>
      <c r="S57" s="26" t="n"/>
      <c r="T57" s="26" t="n"/>
      <c r="U57" s="26" t="n"/>
      <c r="V57" s="26" t="n"/>
      <c r="W57" s="26" t="n"/>
      <c r="X57" s="26" t="n"/>
      <c r="Y57" s="26" t="n"/>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28" t="n"/>
    </row>
    <row r="58" ht="30" customHeight="1" s="36">
      <c r="A58" s="17" t="n">
        <v>56</v>
      </c>
      <c r="B58" s="18" t="n"/>
      <c r="C58" s="17" t="n"/>
      <c r="D58" s="17" t="n"/>
      <c r="E58" s="17" t="n"/>
      <c r="F58" s="26" t="n"/>
      <c r="G58" s="26" t="n"/>
      <c r="H58" s="26" t="n"/>
      <c r="I58" s="26" t="n"/>
      <c r="J58" s="26" t="n"/>
      <c r="K58" s="26" t="n"/>
      <c r="L58" s="26" t="n"/>
      <c r="M58" s="26" t="n"/>
      <c r="N58" s="26" t="n"/>
      <c r="O58" s="26" t="n"/>
      <c r="P58" s="26" t="n"/>
      <c r="Q58" s="26" t="n"/>
      <c r="R58" s="26" t="n"/>
      <c r="S58" s="26" t="n"/>
      <c r="T58" s="26" t="n"/>
      <c r="U58" s="26" t="n"/>
      <c r="V58" s="26" t="n"/>
      <c r="W58" s="26" t="n"/>
      <c r="X58" s="26" t="n"/>
      <c r="Y58" s="26" t="n"/>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28" t="n"/>
    </row>
    <row r="59" ht="30" customHeight="1" s="36">
      <c r="A59" s="17" t="n">
        <v>57</v>
      </c>
      <c r="B59" s="18" t="n"/>
      <c r="C59" s="17" t="n"/>
      <c r="D59" s="17" t="n"/>
      <c r="E59" s="17" t="n"/>
      <c r="F59" s="26" t="n"/>
      <c r="G59" s="26" t="n"/>
      <c r="H59" s="26" t="n"/>
      <c r="I59" s="26" t="n"/>
      <c r="J59" s="26" t="n"/>
      <c r="K59" s="26" t="n"/>
      <c r="L59" s="26" t="n"/>
      <c r="M59" s="26" t="n"/>
      <c r="N59" s="26" t="n"/>
      <c r="O59" s="26" t="n"/>
      <c r="P59" s="26" t="n"/>
      <c r="Q59" s="26" t="n"/>
      <c r="R59" s="26" t="n"/>
      <c r="S59" s="26" t="n"/>
      <c r="T59" s="26" t="n"/>
      <c r="U59" s="26" t="n"/>
      <c r="V59" s="26" t="n"/>
      <c r="W59" s="26" t="n"/>
      <c r="X59" s="26" t="n"/>
      <c r="Y59" s="26" t="n"/>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28" t="n"/>
    </row>
    <row r="60" ht="30" customHeight="1" s="36">
      <c r="A60" s="17" t="n">
        <v>58</v>
      </c>
      <c r="B60" s="18" t="n"/>
      <c r="C60" s="17" t="n"/>
      <c r="D60" s="17" t="n"/>
      <c r="E60" s="17" t="n"/>
      <c r="F60" s="26" t="n"/>
      <c r="G60" s="26" t="n"/>
      <c r="H60" s="26" t="n"/>
      <c r="I60" s="26" t="n"/>
      <c r="J60" s="26" t="n"/>
      <c r="K60" s="26" t="n"/>
      <c r="L60" s="26" t="n"/>
      <c r="M60" s="26" t="n"/>
      <c r="N60" s="26" t="n"/>
      <c r="O60" s="26" t="n"/>
      <c r="P60" s="26" t="n"/>
      <c r="Q60" s="26" t="n"/>
      <c r="R60" s="26" t="n"/>
      <c r="S60" s="26" t="n"/>
      <c r="T60" s="26" t="n"/>
      <c r="U60" s="26" t="n"/>
      <c r="V60" s="26" t="n"/>
      <c r="W60" s="26" t="n"/>
      <c r="X60" s="26" t="n"/>
      <c r="Y60" s="26" t="n"/>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28" t="n"/>
    </row>
    <row r="61" ht="30" customHeight="1" s="36">
      <c r="A61" s="17" t="n">
        <v>59</v>
      </c>
      <c r="B61" s="18" t="n"/>
      <c r="C61" s="17" t="n"/>
      <c r="D61" s="17" t="n"/>
      <c r="E61" s="17" t="n"/>
      <c r="F61" s="26" t="n"/>
      <c r="G61" s="26" t="n"/>
      <c r="H61" s="26" t="n"/>
      <c r="I61" s="26" t="n"/>
      <c r="J61" s="26" t="n"/>
      <c r="K61" s="26" t="n"/>
      <c r="L61" s="26" t="n"/>
      <c r="M61" s="26" t="n"/>
      <c r="N61" s="26" t="n"/>
      <c r="O61" s="26" t="n"/>
      <c r="P61" s="26" t="n"/>
      <c r="Q61" s="26" t="n"/>
      <c r="R61" s="26" t="n"/>
      <c r="S61" s="26" t="n"/>
      <c r="T61" s="26" t="n"/>
      <c r="U61" s="26" t="n"/>
      <c r="V61" s="26" t="n"/>
      <c r="W61" s="26" t="n"/>
      <c r="X61" s="26" t="n"/>
      <c r="Y61" s="26" t="n"/>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28" t="n"/>
    </row>
    <row r="62" ht="30" customHeight="1" s="36">
      <c r="A62" s="17" t="n">
        <v>60</v>
      </c>
      <c r="B62" s="18" t="n"/>
      <c r="C62" s="17" t="n"/>
      <c r="D62" s="17" t="n"/>
      <c r="E62" s="17" t="n"/>
      <c r="F62" s="26" t="n"/>
      <c r="G62" s="26" t="n"/>
      <c r="H62" s="26" t="n"/>
      <c r="I62" s="26" t="n"/>
      <c r="J62" s="26" t="n"/>
      <c r="K62" s="26" t="n"/>
      <c r="L62" s="26" t="n"/>
      <c r="M62" s="26" t="n"/>
      <c r="N62" s="26" t="n"/>
      <c r="O62" s="26" t="n"/>
      <c r="P62" s="26" t="n"/>
      <c r="Q62" s="26" t="n"/>
      <c r="R62" s="26" t="n"/>
      <c r="S62" s="26" t="n"/>
      <c r="T62" s="26" t="n"/>
      <c r="U62" s="26" t="n"/>
      <c r="V62" s="26" t="n"/>
      <c r="W62" s="26" t="n"/>
      <c r="X62" s="26" t="n"/>
      <c r="Y62" s="26" t="n"/>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28" t="n"/>
    </row>
    <row r="63" ht="30" customHeight="1" s="36">
      <c r="A63" s="17" t="n">
        <v>61</v>
      </c>
      <c r="B63" s="18" t="n"/>
      <c r="C63" s="17" t="n"/>
      <c r="D63" s="17" t="n"/>
      <c r="E63" s="17" t="n"/>
      <c r="F63" s="26" t="n"/>
      <c r="G63" s="26" t="n"/>
      <c r="H63" s="26" t="n"/>
      <c r="I63" s="26" t="n"/>
      <c r="J63" s="26" t="n"/>
      <c r="K63" s="26" t="n"/>
      <c r="L63" s="26" t="n"/>
      <c r="M63" s="26" t="n"/>
      <c r="N63" s="26" t="n"/>
      <c r="O63" s="26" t="n"/>
      <c r="P63" s="26" t="n"/>
      <c r="Q63" s="26" t="n"/>
      <c r="R63" s="26" t="n"/>
      <c r="S63" s="26" t="n"/>
      <c r="T63" s="26" t="n"/>
      <c r="U63" s="26" t="n"/>
      <c r="V63" s="26" t="n"/>
      <c r="W63" s="26" t="n"/>
      <c r="X63" s="26" t="n"/>
      <c r="Y63" s="26" t="n"/>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28" t="n"/>
    </row>
    <row r="64" ht="30" customHeight="1" s="36">
      <c r="A64" s="17" t="n">
        <v>62</v>
      </c>
      <c r="B64" s="18" t="n"/>
      <c r="C64" s="17" t="n"/>
      <c r="D64" s="17" t="n"/>
      <c r="E64" s="17" t="n"/>
      <c r="F64" s="26" t="n"/>
      <c r="G64" s="26" t="n"/>
      <c r="H64" s="26" t="n"/>
      <c r="I64" s="26" t="n"/>
      <c r="J64" s="26" t="n"/>
      <c r="K64" s="26" t="n"/>
      <c r="L64" s="26" t="n"/>
      <c r="M64" s="26" t="n"/>
      <c r="N64" s="26" t="n"/>
      <c r="O64" s="26" t="n"/>
      <c r="P64" s="26" t="n"/>
      <c r="Q64" s="26" t="n"/>
      <c r="R64" s="26" t="n"/>
      <c r="S64" s="26" t="n"/>
      <c r="T64" s="26" t="n"/>
      <c r="U64" s="26" t="n"/>
      <c r="V64" s="26" t="n"/>
      <c r="W64" s="26" t="n"/>
      <c r="X64" s="26" t="n"/>
      <c r="Y64" s="26" t="n"/>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28" t="n"/>
    </row>
    <row r="65" ht="30" customHeight="1" s="36">
      <c r="A65" s="17" t="n">
        <v>63</v>
      </c>
      <c r="B65" s="18" t="n"/>
      <c r="C65" s="17" t="n"/>
      <c r="D65" s="17" t="n"/>
      <c r="E65" s="17" t="n"/>
      <c r="F65" s="26" t="n"/>
      <c r="G65" s="26" t="n"/>
      <c r="H65" s="26" t="n"/>
      <c r="I65" s="26" t="n"/>
      <c r="J65" s="26" t="n"/>
      <c r="K65" s="26" t="n"/>
      <c r="L65" s="26" t="n"/>
      <c r="M65" s="26" t="n"/>
      <c r="N65" s="26" t="n"/>
      <c r="O65" s="26" t="n"/>
      <c r="P65" s="26" t="n"/>
      <c r="Q65" s="26" t="n"/>
      <c r="R65" s="26" t="n"/>
      <c r="S65" s="26" t="n"/>
      <c r="T65" s="26" t="n"/>
      <c r="U65" s="26" t="n"/>
      <c r="V65" s="26" t="n"/>
      <c r="W65" s="26" t="n"/>
      <c r="X65" s="26" t="n"/>
      <c r="Y65" s="26" t="n"/>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28" t="n"/>
    </row>
    <row r="66" ht="30" customHeight="1" s="36">
      <c r="A66" s="17" t="n">
        <v>64</v>
      </c>
      <c r="B66" s="18" t="n"/>
      <c r="C66" s="17" t="n"/>
      <c r="D66" s="17" t="n"/>
      <c r="E66" s="17" t="n"/>
      <c r="F66" s="26" t="n"/>
      <c r="G66" s="26" t="n"/>
      <c r="H66" s="26" t="n"/>
      <c r="I66" s="26" t="n"/>
      <c r="J66" s="26" t="n"/>
      <c r="K66" s="26" t="n"/>
      <c r="L66" s="26" t="n"/>
      <c r="M66" s="26" t="n"/>
      <c r="N66" s="26" t="n"/>
      <c r="O66" s="26" t="n"/>
      <c r="P66" s="26" t="n"/>
      <c r="Q66" s="26" t="n"/>
      <c r="R66" s="26" t="n"/>
      <c r="S66" s="26" t="n"/>
      <c r="T66" s="26" t="n"/>
      <c r="U66" s="26" t="n"/>
      <c r="V66" s="26" t="n"/>
      <c r="W66" s="26" t="n"/>
      <c r="X66" s="26" t="n"/>
      <c r="Y66" s="26" t="n"/>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28" t="n"/>
    </row>
    <row r="67" ht="30" customHeight="1" s="36">
      <c r="A67" s="17" t="n">
        <v>65</v>
      </c>
      <c r="B67" s="18" t="n"/>
      <c r="C67" s="17" t="n"/>
      <c r="D67" s="17" t="n"/>
      <c r="E67" s="17" t="n"/>
      <c r="F67" s="26" t="n"/>
      <c r="G67" s="26" t="n"/>
      <c r="H67" s="26" t="n"/>
      <c r="I67" s="26" t="n"/>
      <c r="J67" s="26" t="n"/>
      <c r="K67" s="26" t="n"/>
      <c r="L67" s="26" t="n"/>
      <c r="M67" s="26" t="n"/>
      <c r="N67" s="26" t="n"/>
      <c r="O67" s="26" t="n"/>
      <c r="P67" s="26" t="n"/>
      <c r="Q67" s="26" t="n"/>
      <c r="R67" s="26" t="n"/>
      <c r="S67" s="26" t="n"/>
      <c r="T67" s="26" t="n"/>
      <c r="U67" s="26" t="n"/>
      <c r="V67" s="26" t="n"/>
      <c r="W67" s="26" t="n"/>
      <c r="X67" s="26" t="n"/>
      <c r="Y67" s="26" t="n"/>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28" t="n"/>
    </row>
    <row r="68" ht="30" customHeight="1" s="36">
      <c r="A68" s="17" t="n">
        <v>66</v>
      </c>
      <c r="B68" s="18" t="n"/>
      <c r="C68" s="17" t="n"/>
      <c r="D68" s="17" t="n"/>
      <c r="E68" s="17" t="n"/>
      <c r="F68" s="26" t="n"/>
      <c r="G68" s="26" t="n"/>
      <c r="H68" s="26" t="n"/>
      <c r="I68" s="26" t="n"/>
      <c r="J68" s="26" t="n"/>
      <c r="K68" s="26" t="n"/>
      <c r="L68" s="26" t="n"/>
      <c r="M68" s="26" t="n"/>
      <c r="N68" s="26" t="n"/>
      <c r="O68" s="26" t="n"/>
      <c r="P68" s="26" t="n"/>
      <c r="Q68" s="26" t="n"/>
      <c r="R68" s="26" t="n"/>
      <c r="S68" s="26" t="n"/>
      <c r="T68" s="26" t="n"/>
      <c r="U68" s="26" t="n"/>
      <c r="V68" s="26" t="n"/>
      <c r="W68" s="26" t="n"/>
      <c r="X68" s="26" t="n"/>
      <c r="Y68" s="26" t="n"/>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28" t="n"/>
    </row>
    <row r="69" ht="30" customHeight="1" s="36">
      <c r="A69" s="17" t="n">
        <v>67</v>
      </c>
      <c r="B69" s="18" t="n"/>
      <c r="C69" s="17" t="n"/>
      <c r="D69" s="17" t="n"/>
      <c r="E69" s="17" t="n"/>
      <c r="F69" s="26" t="n"/>
      <c r="G69" s="26" t="n"/>
      <c r="H69" s="26" t="n"/>
      <c r="I69" s="26" t="n"/>
      <c r="J69" s="26" t="n"/>
      <c r="K69" s="26" t="n"/>
      <c r="L69" s="26" t="n"/>
      <c r="M69" s="26" t="n"/>
      <c r="N69" s="26" t="n"/>
      <c r="O69" s="26" t="n"/>
      <c r="P69" s="26" t="n"/>
      <c r="Q69" s="26" t="n"/>
      <c r="R69" s="26" t="n"/>
      <c r="S69" s="26" t="n"/>
      <c r="T69" s="26" t="n"/>
      <c r="U69" s="26" t="n"/>
      <c r="V69" s="26" t="n"/>
      <c r="W69" s="26" t="n"/>
      <c r="X69" s="26" t="n"/>
      <c r="Y69" s="26" t="n"/>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28" t="n"/>
    </row>
    <row r="70" ht="30" customHeight="1" s="36">
      <c r="A70" s="17" t="n">
        <v>68</v>
      </c>
      <c r="B70" s="18" t="n"/>
      <c r="C70" s="17" t="n"/>
      <c r="D70" s="17" t="n"/>
      <c r="E70" s="17" t="n"/>
      <c r="F70" s="26" t="n"/>
      <c r="G70" s="26" t="n"/>
      <c r="H70" s="26" t="n"/>
      <c r="I70" s="26" t="n"/>
      <c r="J70" s="26" t="n"/>
      <c r="K70" s="26" t="n"/>
      <c r="L70" s="26" t="n"/>
      <c r="M70" s="26" t="n"/>
      <c r="N70" s="26" t="n"/>
      <c r="O70" s="26" t="n"/>
      <c r="P70" s="26" t="n"/>
      <c r="Q70" s="26" t="n"/>
      <c r="R70" s="26" t="n"/>
      <c r="S70" s="26" t="n"/>
      <c r="T70" s="26" t="n"/>
      <c r="U70" s="26" t="n"/>
      <c r="V70" s="26" t="n"/>
      <c r="W70" s="26" t="n"/>
      <c r="X70" s="26" t="n"/>
      <c r="Y70" s="26" t="n"/>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28" t="n"/>
    </row>
    <row r="71" ht="30" customHeight="1" s="36">
      <c r="A71" s="17" t="n">
        <v>69</v>
      </c>
      <c r="B71" s="18" t="n"/>
      <c r="C71" s="17" t="n"/>
      <c r="D71" s="17" t="n"/>
      <c r="E71" s="17" t="n"/>
      <c r="F71" s="26" t="n"/>
      <c r="G71" s="26" t="n"/>
      <c r="H71" s="26" t="n"/>
      <c r="I71" s="26" t="n"/>
      <c r="J71" s="26" t="n"/>
      <c r="K71" s="26" t="n"/>
      <c r="L71" s="26" t="n"/>
      <c r="M71" s="26" t="n"/>
      <c r="N71" s="26" t="n"/>
      <c r="O71" s="26" t="n"/>
      <c r="P71" s="26" t="n"/>
      <c r="Q71" s="26" t="n"/>
      <c r="R71" s="26" t="n"/>
      <c r="S71" s="26" t="n"/>
      <c r="T71" s="26" t="n"/>
      <c r="U71" s="26" t="n"/>
      <c r="V71" s="26" t="n"/>
      <c r="W71" s="26" t="n"/>
      <c r="X71" s="26" t="n"/>
      <c r="Y71" s="26" t="n"/>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28" t="n"/>
    </row>
    <row r="72" ht="30" customHeight="1" s="36">
      <c r="A72" s="17" t="n">
        <v>70</v>
      </c>
      <c r="B72" s="18" t="n"/>
      <c r="C72" s="17" t="n"/>
      <c r="D72" s="17" t="n"/>
      <c r="E72" s="17" t="n"/>
      <c r="F72" s="26" t="n"/>
      <c r="G72" s="26" t="n"/>
      <c r="H72" s="26" t="n"/>
      <c r="I72" s="26" t="n"/>
      <c r="J72" s="26" t="n"/>
      <c r="K72" s="26" t="n"/>
      <c r="L72" s="26" t="n"/>
      <c r="M72" s="26" t="n"/>
      <c r="N72" s="26" t="n"/>
      <c r="O72" s="26" t="n"/>
      <c r="P72" s="26" t="n"/>
      <c r="Q72" s="26" t="n"/>
      <c r="R72" s="26" t="n"/>
      <c r="S72" s="26" t="n"/>
      <c r="T72" s="26" t="n"/>
      <c r="U72" s="26" t="n"/>
      <c r="V72" s="26" t="n"/>
      <c r="W72" s="26" t="n"/>
      <c r="X72" s="26" t="n"/>
      <c r="Y72" s="26" t="n"/>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28" t="n"/>
    </row>
    <row r="73" ht="30" customHeight="1" s="36">
      <c r="A73" s="17" t="n">
        <v>71</v>
      </c>
      <c r="B73" s="18" t="n"/>
      <c r="C73" s="17" t="n"/>
      <c r="D73" s="17" t="n"/>
      <c r="E73" s="17" t="n"/>
      <c r="F73" s="26" t="n"/>
      <c r="G73" s="26" t="n"/>
      <c r="H73" s="26" t="n"/>
      <c r="I73" s="26" t="n"/>
      <c r="J73" s="26" t="n"/>
      <c r="K73" s="26" t="n"/>
      <c r="L73" s="26" t="n"/>
      <c r="M73" s="26" t="n"/>
      <c r="N73" s="26" t="n"/>
      <c r="O73" s="26" t="n"/>
      <c r="P73" s="26" t="n"/>
      <c r="Q73" s="26" t="n"/>
      <c r="R73" s="26" t="n"/>
      <c r="S73" s="26" t="n"/>
      <c r="T73" s="26" t="n"/>
      <c r="U73" s="26" t="n"/>
      <c r="V73" s="26" t="n"/>
      <c r="W73" s="26" t="n"/>
      <c r="X73" s="26" t="n"/>
      <c r="Y73" s="26" t="n"/>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28" t="n"/>
    </row>
    <row r="74" ht="30" customHeight="1" s="36">
      <c r="A74" s="17" t="n">
        <v>72</v>
      </c>
      <c r="B74" s="18" t="n"/>
      <c r="C74" s="17" t="n"/>
      <c r="D74" s="17" t="n"/>
      <c r="E74" s="17" t="n"/>
      <c r="F74" s="26" t="n"/>
      <c r="G74" s="26" t="n"/>
      <c r="H74" s="26" t="n"/>
      <c r="I74" s="26" t="n"/>
      <c r="J74" s="26" t="n"/>
      <c r="K74" s="26" t="n"/>
      <c r="L74" s="26" t="n"/>
      <c r="M74" s="26" t="n"/>
      <c r="N74" s="26" t="n"/>
      <c r="O74" s="26" t="n"/>
      <c r="P74" s="26" t="n"/>
      <c r="Q74" s="26" t="n"/>
      <c r="R74" s="26" t="n"/>
      <c r="S74" s="26" t="n"/>
      <c r="T74" s="26" t="n"/>
      <c r="U74" s="26" t="n"/>
      <c r="V74" s="26" t="n"/>
      <c r="W74" s="26" t="n"/>
      <c r="X74" s="26" t="n"/>
      <c r="Y74" s="26" t="n"/>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28" t="n"/>
    </row>
    <row r="75" ht="30" customHeight="1" s="36">
      <c r="A75" s="17" t="n">
        <v>73</v>
      </c>
      <c r="B75" s="18" t="n"/>
      <c r="C75" s="17" t="n"/>
      <c r="D75" s="17" t="n"/>
      <c r="E75" s="17" t="n"/>
      <c r="F75" s="26" t="n"/>
      <c r="G75" s="26" t="n"/>
      <c r="H75" s="26" t="n"/>
      <c r="I75" s="26" t="n"/>
      <c r="J75" s="26" t="n"/>
      <c r="K75" s="26" t="n"/>
      <c r="L75" s="26" t="n"/>
      <c r="M75" s="26" t="n"/>
      <c r="N75" s="26" t="n"/>
      <c r="O75" s="26" t="n"/>
      <c r="P75" s="26" t="n"/>
      <c r="Q75" s="26" t="n"/>
      <c r="R75" s="26" t="n"/>
      <c r="S75" s="26" t="n"/>
      <c r="T75" s="26" t="n"/>
      <c r="U75" s="26" t="n"/>
      <c r="V75" s="26" t="n"/>
      <c r="W75" s="26" t="n"/>
      <c r="X75" s="26" t="n"/>
      <c r="Y75" s="26" t="n"/>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28" t="n"/>
    </row>
    <row r="76" ht="30" customHeight="1" s="36">
      <c r="A76" s="17" t="n">
        <v>74</v>
      </c>
      <c r="B76" s="18" t="n"/>
      <c r="C76" s="17" t="n"/>
      <c r="D76" s="17" t="n"/>
      <c r="E76" s="17" t="n"/>
      <c r="F76" s="26" t="n"/>
      <c r="G76" s="26" t="n"/>
      <c r="H76" s="26" t="n"/>
      <c r="I76" s="26" t="n"/>
      <c r="J76" s="26" t="n"/>
      <c r="K76" s="26" t="n"/>
      <c r="L76" s="26" t="n"/>
      <c r="M76" s="26" t="n"/>
      <c r="N76" s="26" t="n"/>
      <c r="O76" s="26" t="n"/>
      <c r="P76" s="26" t="n"/>
      <c r="Q76" s="26" t="n"/>
      <c r="R76" s="26" t="n"/>
      <c r="S76" s="26" t="n"/>
      <c r="T76" s="26" t="n"/>
      <c r="U76" s="26" t="n"/>
      <c r="V76" s="26" t="n"/>
      <c r="W76" s="26" t="n"/>
      <c r="X76" s="26" t="n"/>
      <c r="Y76" s="26" t="n"/>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28" t="n"/>
    </row>
    <row r="77" ht="30" customHeight="1" s="36">
      <c r="A77" s="17" t="n">
        <v>75</v>
      </c>
      <c r="B77" s="18" t="n"/>
      <c r="C77" s="17" t="n"/>
      <c r="D77" s="17" t="n"/>
      <c r="E77" s="17" t="n"/>
      <c r="F77" s="26" t="n"/>
      <c r="G77" s="26" t="n"/>
      <c r="H77" s="26" t="n"/>
      <c r="I77" s="26" t="n"/>
      <c r="J77" s="26" t="n"/>
      <c r="K77" s="26" t="n"/>
      <c r="L77" s="26" t="n"/>
      <c r="M77" s="26" t="n"/>
      <c r="N77" s="26" t="n"/>
      <c r="O77" s="26" t="n"/>
      <c r="P77" s="26" t="n"/>
      <c r="Q77" s="26" t="n"/>
      <c r="R77" s="26" t="n"/>
      <c r="S77" s="26" t="n"/>
      <c r="T77" s="26" t="n"/>
      <c r="U77" s="26" t="n"/>
      <c r="V77" s="26" t="n"/>
      <c r="W77" s="26" t="n"/>
      <c r="X77" s="26" t="n"/>
      <c r="Y77" s="26" t="n"/>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28" t="n"/>
    </row>
    <row r="78" ht="30" customHeight="1" s="36">
      <c r="A78" s="17" t="n">
        <v>76</v>
      </c>
      <c r="B78" s="18" t="n"/>
      <c r="C78" s="17" t="n"/>
      <c r="D78" s="17" t="n"/>
      <c r="E78" s="17" t="n"/>
      <c r="F78" s="26" t="n"/>
      <c r="G78" s="26" t="n"/>
      <c r="H78" s="26" t="n"/>
      <c r="I78" s="26" t="n"/>
      <c r="J78" s="26" t="n"/>
      <c r="K78" s="26" t="n"/>
      <c r="L78" s="26" t="n"/>
      <c r="M78" s="26" t="n"/>
      <c r="N78" s="26" t="n"/>
      <c r="O78" s="26" t="n"/>
      <c r="P78" s="26" t="n"/>
      <c r="Q78" s="26" t="n"/>
      <c r="R78" s="26" t="n"/>
      <c r="S78" s="26" t="n"/>
      <c r="T78" s="26" t="n"/>
      <c r="U78" s="26" t="n"/>
      <c r="V78" s="26" t="n"/>
      <c r="W78" s="26" t="n"/>
      <c r="X78" s="26" t="n"/>
      <c r="Y78" s="26" t="n"/>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28" t="n"/>
    </row>
    <row r="79" ht="30" customHeight="1" s="36">
      <c r="A79" s="17" t="n">
        <v>77</v>
      </c>
      <c r="B79" s="18" t="n"/>
      <c r="C79" s="17" t="n"/>
      <c r="D79" s="17" t="n"/>
      <c r="E79" s="17" t="n"/>
      <c r="F79" s="26" t="n"/>
      <c r="G79" s="26" t="n"/>
      <c r="H79" s="26" t="n"/>
      <c r="I79" s="26" t="n"/>
      <c r="J79" s="26" t="n"/>
      <c r="K79" s="26" t="n"/>
      <c r="L79" s="26" t="n"/>
      <c r="M79" s="26" t="n"/>
      <c r="N79" s="26" t="n"/>
      <c r="O79" s="26" t="n"/>
      <c r="P79" s="26" t="n"/>
      <c r="Q79" s="26" t="n"/>
      <c r="R79" s="26" t="n"/>
      <c r="S79" s="26" t="n"/>
      <c r="T79" s="26" t="n"/>
      <c r="U79" s="26" t="n"/>
      <c r="V79" s="26" t="n"/>
      <c r="W79" s="26" t="n"/>
      <c r="X79" s="26" t="n"/>
      <c r="Y79" s="26" t="n"/>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28" t="n"/>
    </row>
    <row r="80" ht="30" customHeight="1" s="36">
      <c r="A80" s="17" t="n">
        <v>78</v>
      </c>
      <c r="B80" s="18" t="n"/>
      <c r="C80" s="17" t="n"/>
      <c r="D80" s="17" t="n"/>
      <c r="E80" s="17" t="n"/>
      <c r="F80" s="26" t="n"/>
      <c r="G80" s="26" t="n"/>
      <c r="H80" s="26" t="n"/>
      <c r="I80" s="26" t="n"/>
      <c r="J80" s="26" t="n"/>
      <c r="K80" s="26" t="n"/>
      <c r="L80" s="26" t="n"/>
      <c r="M80" s="26" t="n"/>
      <c r="N80" s="26" t="n"/>
      <c r="O80" s="26" t="n"/>
      <c r="P80" s="26" t="n"/>
      <c r="Q80" s="26" t="n"/>
      <c r="R80" s="26" t="n"/>
      <c r="S80" s="26" t="n"/>
      <c r="T80" s="26" t="n"/>
      <c r="U80" s="26" t="n"/>
      <c r="V80" s="26" t="n"/>
      <c r="W80" s="26" t="n"/>
      <c r="X80" s="26" t="n"/>
      <c r="Y80" s="26" t="n"/>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28" t="n"/>
    </row>
    <row r="81" ht="30" customHeight="1" s="36">
      <c r="A81" s="17" t="n">
        <v>79</v>
      </c>
      <c r="B81" s="18" t="n"/>
      <c r="C81" s="17" t="n"/>
      <c r="D81" s="17" t="n"/>
      <c r="E81" s="17" t="n"/>
      <c r="F81" s="26" t="n"/>
      <c r="G81" s="26" t="n"/>
      <c r="H81" s="26" t="n"/>
      <c r="I81" s="26" t="n"/>
      <c r="J81" s="26" t="n"/>
      <c r="K81" s="26" t="n"/>
      <c r="L81" s="26" t="n"/>
      <c r="M81" s="26" t="n"/>
      <c r="N81" s="26" t="n"/>
      <c r="O81" s="26" t="n"/>
      <c r="P81" s="26" t="n"/>
      <c r="Q81" s="26" t="n"/>
      <c r="R81" s="26" t="n"/>
      <c r="S81" s="26" t="n"/>
      <c r="T81" s="26" t="n"/>
      <c r="U81" s="26" t="n"/>
      <c r="V81" s="26" t="n"/>
      <c r="W81" s="26" t="n"/>
      <c r="X81" s="26" t="n"/>
      <c r="Y81" s="26" t="n"/>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28" t="n"/>
    </row>
    <row r="82" ht="30" customHeight="1" s="36">
      <c r="A82" s="17" t="n">
        <v>80</v>
      </c>
      <c r="B82" s="18" t="n"/>
      <c r="C82" s="17" t="n"/>
      <c r="D82" s="17" t="n"/>
      <c r="E82" s="17" t="n"/>
      <c r="F82" s="26" t="n"/>
      <c r="G82" s="26" t="n"/>
      <c r="H82" s="26" t="n"/>
      <c r="I82" s="26" t="n"/>
      <c r="J82" s="26" t="n"/>
      <c r="K82" s="26" t="n"/>
      <c r="L82" s="26" t="n"/>
      <c r="M82" s="26" t="n"/>
      <c r="N82" s="26" t="n"/>
      <c r="O82" s="26" t="n"/>
      <c r="P82" s="26" t="n"/>
      <c r="Q82" s="26" t="n"/>
      <c r="R82" s="26" t="n"/>
      <c r="S82" s="26" t="n"/>
      <c r="T82" s="26" t="n"/>
      <c r="U82" s="26" t="n"/>
      <c r="V82" s="26" t="n"/>
      <c r="W82" s="26" t="n"/>
      <c r="X82" s="26" t="n"/>
      <c r="Y82" s="26" t="n"/>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28" t="n"/>
    </row>
    <row r="83" ht="30" customHeight="1" s="36">
      <c r="A83" s="17" t="n">
        <v>81</v>
      </c>
      <c r="B83" s="18" t="n"/>
      <c r="C83" s="17" t="n"/>
      <c r="D83" s="17" t="n"/>
      <c r="E83" s="17" t="n"/>
      <c r="F83" s="26" t="n"/>
      <c r="G83" s="26" t="n"/>
      <c r="H83" s="26" t="n"/>
      <c r="I83" s="26" t="n"/>
      <c r="J83" s="26" t="n"/>
      <c r="K83" s="26" t="n"/>
      <c r="L83" s="26" t="n"/>
      <c r="M83" s="26" t="n"/>
      <c r="N83" s="26" t="n"/>
      <c r="O83" s="26" t="n"/>
      <c r="P83" s="26" t="n"/>
      <c r="Q83" s="26" t="n"/>
      <c r="R83" s="26" t="n"/>
      <c r="S83" s="26" t="n"/>
      <c r="T83" s="26" t="n"/>
      <c r="U83" s="26" t="n"/>
      <c r="V83" s="26" t="n"/>
      <c r="W83" s="26" t="n"/>
      <c r="X83" s="26" t="n"/>
      <c r="Y83" s="26" t="n"/>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28" t="n"/>
    </row>
    <row r="84" ht="30" customHeight="1" s="36">
      <c r="A84" s="17" t="n">
        <v>82</v>
      </c>
      <c r="B84" s="18" t="n"/>
      <c r="C84" s="17" t="n"/>
      <c r="D84" s="17" t="n"/>
      <c r="E84" s="17" t="n"/>
      <c r="F84" s="26" t="n"/>
      <c r="G84" s="26" t="n"/>
      <c r="H84" s="26" t="n"/>
      <c r="I84" s="26" t="n"/>
      <c r="J84" s="26" t="n"/>
      <c r="K84" s="26" t="n"/>
      <c r="L84" s="26" t="n"/>
      <c r="M84" s="26" t="n"/>
      <c r="N84" s="26" t="n"/>
      <c r="O84" s="26" t="n"/>
      <c r="P84" s="26" t="n"/>
      <c r="Q84" s="26" t="n"/>
      <c r="R84" s="26" t="n"/>
      <c r="S84" s="26" t="n"/>
      <c r="T84" s="26" t="n"/>
      <c r="U84" s="26" t="n"/>
      <c r="V84" s="26" t="n"/>
      <c r="W84" s="26" t="n"/>
      <c r="X84" s="26" t="n"/>
      <c r="Y84" s="26" t="n"/>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28" t="n"/>
    </row>
    <row r="85" ht="30" customHeight="1" s="36">
      <c r="A85" s="17" t="n">
        <v>83</v>
      </c>
      <c r="B85" s="18" t="n"/>
      <c r="C85" s="17" t="n"/>
      <c r="D85" s="17" t="n"/>
      <c r="E85" s="17" t="n"/>
      <c r="F85" s="26" t="n"/>
      <c r="G85" s="26" t="n"/>
      <c r="H85" s="26" t="n"/>
      <c r="I85" s="26" t="n"/>
      <c r="J85" s="26" t="n"/>
      <c r="K85" s="26" t="n"/>
      <c r="L85" s="26" t="n"/>
      <c r="M85" s="26" t="n"/>
      <c r="N85" s="26" t="n"/>
      <c r="O85" s="26" t="n"/>
      <c r="P85" s="26" t="n"/>
      <c r="Q85" s="26" t="n"/>
      <c r="R85" s="26" t="n"/>
      <c r="S85" s="26" t="n"/>
      <c r="T85" s="26" t="n"/>
      <c r="U85" s="26" t="n"/>
      <c r="V85" s="26" t="n"/>
      <c r="W85" s="26" t="n"/>
      <c r="X85" s="26" t="n"/>
      <c r="Y85" s="26" t="n"/>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28" t="n"/>
    </row>
    <row r="86" ht="30" customHeight="1" s="36">
      <c r="A86" s="17" t="n">
        <v>84</v>
      </c>
      <c r="B86" s="18" t="n"/>
      <c r="C86" s="17" t="n"/>
      <c r="D86" s="17" t="n"/>
      <c r="E86" s="17" t="n"/>
      <c r="F86" s="26" t="n"/>
      <c r="G86" s="26" t="n"/>
      <c r="H86" s="26" t="n"/>
      <c r="I86" s="26" t="n"/>
      <c r="J86" s="26" t="n"/>
      <c r="K86" s="26" t="n"/>
      <c r="L86" s="26" t="n"/>
      <c r="M86" s="26" t="n"/>
      <c r="N86" s="26" t="n"/>
      <c r="O86" s="26" t="n"/>
      <c r="P86" s="26" t="n"/>
      <c r="Q86" s="26" t="n"/>
      <c r="R86" s="26" t="n"/>
      <c r="S86" s="26" t="n"/>
      <c r="T86" s="26" t="n"/>
      <c r="U86" s="26" t="n"/>
      <c r="V86" s="26" t="n"/>
      <c r="W86" s="26" t="n"/>
      <c r="X86" s="26" t="n"/>
      <c r="Y86" s="26" t="n"/>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28" t="n"/>
    </row>
    <row r="87" ht="30" customHeight="1" s="36">
      <c r="A87" s="17" t="n">
        <v>85</v>
      </c>
      <c r="B87" s="18" t="n"/>
      <c r="C87" s="17" t="n"/>
      <c r="D87" s="17" t="n"/>
      <c r="E87" s="17" t="n"/>
      <c r="F87" s="26" t="n"/>
      <c r="G87" s="26" t="n"/>
      <c r="H87" s="26" t="n"/>
      <c r="I87" s="26" t="n"/>
      <c r="J87" s="26" t="n"/>
      <c r="K87" s="26" t="n"/>
      <c r="L87" s="26" t="n"/>
      <c r="M87" s="26" t="n"/>
      <c r="N87" s="26" t="n"/>
      <c r="O87" s="26" t="n"/>
      <c r="P87" s="26" t="n"/>
      <c r="Q87" s="26" t="n"/>
      <c r="R87" s="26" t="n"/>
      <c r="S87" s="26" t="n"/>
      <c r="T87" s="26" t="n"/>
      <c r="U87" s="26" t="n"/>
      <c r="V87" s="26" t="n"/>
      <c r="W87" s="26" t="n"/>
      <c r="X87" s="26" t="n"/>
      <c r="Y87" s="26" t="n"/>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28" t="n"/>
    </row>
    <row r="88" ht="30" customHeight="1" s="36">
      <c r="A88" s="17" t="n">
        <v>86</v>
      </c>
      <c r="B88" s="18" t="n"/>
      <c r="C88" s="17" t="n"/>
      <c r="D88" s="17" t="n"/>
      <c r="E88" s="17" t="n"/>
      <c r="F88" s="26" t="n"/>
      <c r="G88" s="26" t="n"/>
      <c r="H88" s="26" t="n"/>
      <c r="I88" s="26" t="n"/>
      <c r="J88" s="26" t="n"/>
      <c r="K88" s="26" t="n"/>
      <c r="L88" s="26" t="n"/>
      <c r="M88" s="26" t="n"/>
      <c r="N88" s="26" t="n"/>
      <c r="O88" s="26" t="n"/>
      <c r="P88" s="26" t="n"/>
      <c r="Q88" s="26" t="n"/>
      <c r="R88" s="26" t="n"/>
      <c r="S88" s="26" t="n"/>
      <c r="T88" s="26" t="n"/>
      <c r="U88" s="26" t="n"/>
      <c r="V88" s="26" t="n"/>
      <c r="W88" s="26" t="n"/>
      <c r="X88" s="26" t="n"/>
      <c r="Y88" s="26" t="n"/>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28" t="n"/>
    </row>
    <row r="89" ht="30" customHeight="1" s="36">
      <c r="A89" s="17" t="n">
        <v>87</v>
      </c>
      <c r="B89" s="18" t="n"/>
      <c r="C89" s="17" t="n"/>
      <c r="D89" s="17" t="n"/>
      <c r="E89" s="17" t="n"/>
      <c r="F89" s="26" t="n"/>
      <c r="G89" s="26" t="n"/>
      <c r="H89" s="26" t="n"/>
      <c r="I89" s="26" t="n"/>
      <c r="J89" s="26" t="n"/>
      <c r="K89" s="26" t="n"/>
      <c r="L89" s="26" t="n"/>
      <c r="M89" s="26" t="n"/>
      <c r="N89" s="26" t="n"/>
      <c r="O89" s="26" t="n"/>
      <c r="P89" s="26" t="n"/>
      <c r="Q89" s="26" t="n"/>
      <c r="R89" s="26" t="n"/>
      <c r="S89" s="26" t="n"/>
      <c r="T89" s="26" t="n"/>
      <c r="U89" s="26" t="n"/>
      <c r="V89" s="26" t="n"/>
      <c r="W89" s="26" t="n"/>
      <c r="X89" s="26" t="n"/>
      <c r="Y89" s="26" t="n"/>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28" t="n"/>
    </row>
    <row r="90" ht="30" customHeight="1" s="36">
      <c r="A90" s="17" t="n">
        <v>88</v>
      </c>
      <c r="B90" s="18" t="n"/>
      <c r="C90" s="17" t="n"/>
      <c r="D90" s="17" t="n"/>
      <c r="E90" s="17" t="n"/>
      <c r="F90" s="26" t="n"/>
      <c r="G90" s="26" t="n"/>
      <c r="H90" s="26" t="n"/>
      <c r="I90" s="26" t="n"/>
      <c r="J90" s="26" t="n"/>
      <c r="K90" s="26" t="n"/>
      <c r="L90" s="26" t="n"/>
      <c r="M90" s="26" t="n"/>
      <c r="N90" s="26" t="n"/>
      <c r="O90" s="26" t="n"/>
      <c r="P90" s="26" t="n"/>
      <c r="Q90" s="26" t="n"/>
      <c r="R90" s="26" t="n"/>
      <c r="S90" s="26" t="n"/>
      <c r="T90" s="26" t="n"/>
      <c r="U90" s="26" t="n"/>
      <c r="V90" s="26" t="n"/>
      <c r="W90" s="26" t="n"/>
      <c r="X90" s="26" t="n"/>
      <c r="Y90" s="26" t="n"/>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28" t="n"/>
    </row>
    <row r="91" ht="30" customHeight="1" s="36">
      <c r="A91" s="17" t="n">
        <v>89</v>
      </c>
      <c r="B91" s="18" t="n"/>
      <c r="C91" s="17" t="n"/>
      <c r="D91" s="17" t="n"/>
      <c r="E91" s="17" t="n"/>
      <c r="F91" s="26" t="n"/>
      <c r="G91" s="26" t="n"/>
      <c r="H91" s="26" t="n"/>
      <c r="I91" s="26" t="n"/>
      <c r="J91" s="26" t="n"/>
      <c r="K91" s="26" t="n"/>
      <c r="L91" s="26" t="n"/>
      <c r="M91" s="26" t="n"/>
      <c r="N91" s="26" t="n"/>
      <c r="O91" s="26" t="n"/>
      <c r="P91" s="26" t="n"/>
      <c r="Q91" s="26" t="n"/>
      <c r="R91" s="26" t="n"/>
      <c r="S91" s="26" t="n"/>
      <c r="T91" s="26" t="n"/>
      <c r="U91" s="26" t="n"/>
      <c r="V91" s="26" t="n"/>
      <c r="W91" s="26" t="n"/>
      <c r="X91" s="26" t="n"/>
      <c r="Y91" s="26" t="n"/>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28" t="n"/>
    </row>
    <row r="92" ht="30" customHeight="1" s="36">
      <c r="A92" s="17" t="n">
        <v>90</v>
      </c>
      <c r="B92" s="18" t="n"/>
      <c r="C92" s="17" t="n"/>
      <c r="D92" s="17" t="n"/>
      <c r="E92" s="17" t="n"/>
      <c r="F92" s="26" t="n"/>
      <c r="G92" s="26" t="n"/>
      <c r="H92" s="26" t="n"/>
      <c r="I92" s="26" t="n"/>
      <c r="J92" s="26" t="n"/>
      <c r="K92" s="26" t="n"/>
      <c r="L92" s="26" t="n"/>
      <c r="M92" s="26" t="n"/>
      <c r="N92" s="26" t="n"/>
      <c r="O92" s="26" t="n"/>
      <c r="P92" s="26" t="n"/>
      <c r="Q92" s="26" t="n"/>
      <c r="R92" s="26" t="n"/>
      <c r="S92" s="26" t="n"/>
      <c r="T92" s="26" t="n"/>
      <c r="U92" s="26" t="n"/>
      <c r="V92" s="26" t="n"/>
      <c r="W92" s="26" t="n"/>
      <c r="X92" s="26" t="n"/>
      <c r="Y92" s="26" t="n"/>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28" t="n"/>
    </row>
    <row r="93" ht="30" customHeight="1" s="36">
      <c r="A93" s="17" t="n">
        <v>91</v>
      </c>
      <c r="B93" s="18" t="n"/>
      <c r="C93" s="17" t="n"/>
      <c r="D93" s="17" t="n"/>
      <c r="E93" s="17" t="n"/>
      <c r="F93" s="26" t="n"/>
      <c r="G93" s="26" t="n"/>
      <c r="H93" s="26" t="n"/>
      <c r="I93" s="26" t="n"/>
      <c r="J93" s="26" t="n"/>
      <c r="K93" s="26" t="n"/>
      <c r="L93" s="26" t="n"/>
      <c r="M93" s="26" t="n"/>
      <c r="N93" s="26" t="n"/>
      <c r="O93" s="26" t="n"/>
      <c r="P93" s="26" t="n"/>
      <c r="Q93" s="26" t="n"/>
      <c r="R93" s="26" t="n"/>
      <c r="S93" s="26" t="n"/>
      <c r="T93" s="26" t="n"/>
      <c r="U93" s="26" t="n"/>
      <c r="V93" s="26" t="n"/>
      <c r="W93" s="26" t="n"/>
      <c r="X93" s="26" t="n"/>
      <c r="Y93" s="26" t="n"/>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28" t="n"/>
    </row>
    <row r="94" ht="30" customHeight="1" s="36">
      <c r="A94" s="17" t="n">
        <v>92</v>
      </c>
      <c r="B94" s="18" t="n"/>
      <c r="C94" s="17" t="n"/>
      <c r="D94" s="17" t="n"/>
      <c r="E94" s="17" t="n"/>
      <c r="F94" s="26" t="n"/>
      <c r="G94" s="26" t="n"/>
      <c r="H94" s="26" t="n"/>
      <c r="I94" s="26" t="n"/>
      <c r="J94" s="26" t="n"/>
      <c r="K94" s="26" t="n"/>
      <c r="L94" s="26" t="n"/>
      <c r="M94" s="26" t="n"/>
      <c r="N94" s="26" t="n"/>
      <c r="O94" s="26" t="n"/>
      <c r="P94" s="26" t="n"/>
      <c r="Q94" s="26" t="n"/>
      <c r="R94" s="26" t="n"/>
      <c r="S94" s="26" t="n"/>
      <c r="T94" s="26" t="n"/>
      <c r="U94" s="26" t="n"/>
      <c r="V94" s="26" t="n"/>
      <c r="W94" s="26" t="n"/>
      <c r="X94" s="26" t="n"/>
      <c r="Y94" s="26" t="n"/>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28" t="n"/>
    </row>
    <row r="95" ht="30" customHeight="1" s="36">
      <c r="A95" s="17" t="n">
        <v>93</v>
      </c>
      <c r="B95" s="18" t="n"/>
      <c r="C95" s="17" t="n"/>
      <c r="D95" s="17" t="n"/>
      <c r="E95" s="17" t="n"/>
      <c r="F95" s="26" t="n"/>
      <c r="G95" s="26" t="n"/>
      <c r="H95" s="26" t="n"/>
      <c r="I95" s="26" t="n"/>
      <c r="J95" s="26" t="n"/>
      <c r="K95" s="26" t="n"/>
      <c r="L95" s="26" t="n"/>
      <c r="M95" s="26" t="n"/>
      <c r="N95" s="26" t="n"/>
      <c r="O95" s="26" t="n"/>
      <c r="P95" s="26" t="n"/>
      <c r="Q95" s="26" t="n"/>
      <c r="R95" s="26" t="n"/>
      <c r="S95" s="26" t="n"/>
      <c r="T95" s="26" t="n"/>
      <c r="U95" s="26" t="n"/>
      <c r="V95" s="26" t="n"/>
      <c r="W95" s="26" t="n"/>
      <c r="X95" s="26" t="n"/>
      <c r="Y95" s="26" t="n"/>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28" t="n"/>
    </row>
    <row r="96" ht="30" customHeight="1" s="36">
      <c r="A96" s="17" t="n">
        <v>94</v>
      </c>
      <c r="B96" s="18" t="n"/>
      <c r="C96" s="17" t="n"/>
      <c r="D96" s="17" t="n"/>
      <c r="E96" s="17" t="n"/>
      <c r="F96" s="26" t="n"/>
      <c r="G96" s="26" t="n"/>
      <c r="H96" s="26" t="n"/>
      <c r="I96" s="26" t="n"/>
      <c r="J96" s="26" t="n"/>
      <c r="K96" s="26" t="n"/>
      <c r="L96" s="26" t="n"/>
      <c r="M96" s="26" t="n"/>
      <c r="N96" s="26" t="n"/>
      <c r="O96" s="26" t="n"/>
      <c r="P96" s="26" t="n"/>
      <c r="Q96" s="26" t="n"/>
      <c r="R96" s="26" t="n"/>
      <c r="S96" s="26" t="n"/>
      <c r="T96" s="26" t="n"/>
      <c r="U96" s="26" t="n"/>
      <c r="V96" s="26" t="n"/>
      <c r="W96" s="26" t="n"/>
      <c r="X96" s="26" t="n"/>
      <c r="Y96" s="26" t="n"/>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28" t="n"/>
    </row>
    <row r="97" ht="30" customHeight="1" s="36">
      <c r="A97" s="17" t="n">
        <v>95</v>
      </c>
      <c r="B97" s="18" t="n"/>
      <c r="C97" s="17" t="n"/>
      <c r="D97" s="17" t="n"/>
      <c r="E97" s="17" t="n"/>
      <c r="F97" s="26" t="n"/>
      <c r="G97" s="26" t="n"/>
      <c r="H97" s="26" t="n"/>
      <c r="I97" s="26" t="n"/>
      <c r="J97" s="26" t="n"/>
      <c r="K97" s="26" t="n"/>
      <c r="L97" s="26" t="n"/>
      <c r="M97" s="26" t="n"/>
      <c r="N97" s="26" t="n"/>
      <c r="O97" s="26" t="n"/>
      <c r="P97" s="26" t="n"/>
      <c r="Q97" s="26" t="n"/>
      <c r="R97" s="26" t="n"/>
      <c r="S97" s="26" t="n"/>
      <c r="T97" s="26" t="n"/>
      <c r="U97" s="26" t="n"/>
      <c r="V97" s="26" t="n"/>
      <c r="W97" s="26" t="n"/>
      <c r="X97" s="26" t="n"/>
      <c r="Y97" s="26" t="n"/>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28" t="n"/>
    </row>
    <row r="98" ht="30" customHeight="1" s="36">
      <c r="A98" s="17" t="n">
        <v>96</v>
      </c>
      <c r="B98" s="18" t="n"/>
      <c r="C98" s="17" t="n"/>
      <c r="D98" s="17" t="n"/>
      <c r="E98" s="17" t="n"/>
      <c r="F98" s="26" t="n"/>
      <c r="G98" s="26" t="n"/>
      <c r="H98" s="26" t="n"/>
      <c r="I98" s="26" t="n"/>
      <c r="J98" s="26" t="n"/>
      <c r="K98" s="26" t="n"/>
      <c r="L98" s="26" t="n"/>
      <c r="M98" s="26" t="n"/>
      <c r="N98" s="26" t="n"/>
      <c r="O98" s="26" t="n"/>
      <c r="P98" s="26" t="n"/>
      <c r="Q98" s="26" t="n"/>
      <c r="R98" s="26" t="n"/>
      <c r="S98" s="26" t="n"/>
      <c r="T98" s="26" t="n"/>
      <c r="U98" s="26" t="n"/>
      <c r="V98" s="26" t="n"/>
      <c r="W98" s="26" t="n"/>
      <c r="X98" s="26" t="n"/>
      <c r="Y98" s="26" t="n"/>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28" t="n"/>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6"/>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4" t="inlineStr">
        <is>
          <t>Object Gold</t>
        </is>
      </c>
      <c r="B1" s="44" t="inlineStr">
        <is>
          <t>Profile</t>
        </is>
      </c>
      <c r="C1" s="44" t="inlineStr">
        <is>
          <t>Mã</t>
        </is>
      </c>
      <c r="D1" s="44" t="inlineStr">
        <is>
          <t>Nhóm</t>
        </is>
      </c>
      <c r="E1" s="44" t="inlineStr">
        <is>
          <t>Tiêu chí</t>
        </is>
      </c>
      <c r="F1" s="44" t="inlineStr">
        <is>
          <t>Kết quả máy</t>
        </is>
      </c>
      <c r="G1" s="44" t="inlineStr">
        <is>
          <t>Ghi vào Excel</t>
        </is>
      </c>
      <c r="H1" s="44" t="inlineStr">
        <is>
          <t>Bằng chứng / số dòng</t>
        </is>
      </c>
      <c r="I1" s="44" t="inlineStr">
        <is>
          <t>Cách sửa</t>
        </is>
      </c>
      <c r="J1" s="44" t="inlineStr">
        <is>
          <t>File</t>
        </is>
      </c>
    </row>
    <row r="2">
      <c r="A2" s="45" t="inlineStr">
        <is>
          <t>LOAN_SUMMARY_LIST</t>
        </is>
      </c>
      <c r="B2" s="45" t="inlineStr">
        <is>
          <t>SCRIPT_ONLY</t>
        </is>
      </c>
      <c r="C2" s="45" t="inlineStr">
        <is>
          <t>1.1</t>
        </is>
      </c>
      <c r="D2" s="45" t="inlineStr">
        <is>
          <t>Nhom 1 - Mapping</t>
        </is>
      </c>
      <c r="E2" s="45" t="inlineStr">
        <is>
          <t>Đầy đủ mapping từ Silver/manual sang Gold</t>
        </is>
      </c>
      <c r="F2" s="46" t="inlineStr">
        <is>
          <t>FAIL</t>
        </is>
      </c>
      <c r="G2" s="45" t="inlineStr">
        <is>
          <t>Fail</t>
        </is>
      </c>
      <c r="H2" s="47" t="inlineStr">
        <is>
          <t>SQL lỗi cú pháp, không phân tích được: ParseError: Expecting ). Line 664, Col: 13.</t>
        </is>
      </c>
      <c r="I2" s="47"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5" t="inlineStr">
        <is>
          <t>077. OCB_GOLD_TCKH_LOAN_SUMMARY_LIST_PHAT.xlsx [Script: LOAN_SUMMARY_LIST]</t>
        </is>
      </c>
    </row>
    <row r="3">
      <c r="A3" s="45" t="inlineStr">
        <is>
          <t>LOAN_SUMMARY_LIST</t>
        </is>
      </c>
      <c r="B3" s="45" t="inlineStr">
        <is>
          <t>SCRIPT_ONLY</t>
        </is>
      </c>
      <c r="C3" s="45" t="inlineStr">
        <is>
          <t>1.2</t>
        </is>
      </c>
      <c r="D3" s="45" t="inlineStr">
        <is>
          <t>Nhom 1 - Mapping</t>
        </is>
      </c>
      <c r="E3" s="45" t="inlineStr">
        <is>
          <t>Danh sách bảng/view Gold khớp tài liệu thiết kế đã duyệt</t>
        </is>
      </c>
      <c r="F3" s="46" t="inlineStr">
        <is>
          <t>FAIL</t>
        </is>
      </c>
      <c r="G3" s="45" t="inlineStr">
        <is>
          <t>Fail</t>
        </is>
      </c>
      <c r="H3" s="47" t="inlineStr">
        <is>
          <t>SQL lỗi cú pháp, không phân tích được: ParseError: Expecting ). Line 664, Col: 13.</t>
        </is>
      </c>
      <c r="I3" s="47" t="inlineStr">
        <is>
          <t>Đảm bảo object có workbook thiết kế tương ứng trong thư mục --mapping-dir. Muốn đối chiếu với danh sách đã duyệt thì chạy thêm tham số --gold-list "&lt;file danh sách Gold&gt;.xlsx".</t>
        </is>
      </c>
      <c r="J3" s="45" t="inlineStr">
        <is>
          <t>077. OCB_GOLD_TCKH_LOAN_SUMMARY_LIST_PHAT.xlsx [Script: LOAN_SUMMARY_LIST]</t>
        </is>
      </c>
    </row>
    <row r="4">
      <c r="A4" s="45" t="inlineStr">
        <is>
          <t>LOAN_SUMMARY_LIST</t>
        </is>
      </c>
      <c r="B4" s="45" t="inlineStr">
        <is>
          <t>SCRIPT_ONLY</t>
        </is>
      </c>
      <c r="C4" s="45" t="inlineStr">
        <is>
          <t>2.1</t>
        </is>
      </c>
      <c r="D4" s="45" t="inlineStr">
        <is>
          <t>Nhom 2 - Logic</t>
        </is>
      </c>
      <c r="E4" s="45" t="inlineStr">
        <is>
          <t>Chỉ lấy bản ghi active, loại bản ghi đã xóa (qua sts_hub)</t>
        </is>
      </c>
      <c r="F4" s="46" t="inlineStr">
        <is>
          <t>FAIL</t>
        </is>
      </c>
      <c r="G4" s="45" t="inlineStr">
        <is>
          <t>Fail</t>
        </is>
      </c>
      <c r="H4" s="47" t="inlineStr">
        <is>
          <t>SQL lỗi cú pháp, không phân tích được: ParseError: Expecting ). Line 664, Col: 13.</t>
        </is>
      </c>
      <c r="I4" s="47"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5" t="inlineStr">
        <is>
          <t>077. OCB_GOLD_TCKH_LOAN_SUMMARY_LIST_PHAT.xlsx [Script: LOAN_SUMMARY_LIST]</t>
        </is>
      </c>
    </row>
    <row r="5">
      <c r="A5" s="45" t="inlineStr">
        <is>
          <t>LOAN_SUMMARY_LIST</t>
        </is>
      </c>
      <c r="B5" s="45" t="inlineStr">
        <is>
          <t>SCRIPT_ONLY</t>
        </is>
      </c>
      <c r="C5" s="45" t="inlineStr">
        <is>
          <t>2.2</t>
        </is>
      </c>
      <c r="D5" s="45" t="inlineStr">
        <is>
          <t>Nhom 2 - Logic</t>
        </is>
      </c>
      <c r="E5" s="45" t="inlineStr">
        <is>
          <t>Thống nhất MỘT pattern duy nhất xác định bản ghi active mới nhất</t>
        </is>
      </c>
      <c r="F5" s="46" t="inlineStr">
        <is>
          <t>FAIL</t>
        </is>
      </c>
      <c r="G5" s="45" t="inlineStr">
        <is>
          <t>Fail</t>
        </is>
      </c>
      <c r="H5" s="47" t="inlineStr">
        <is>
          <t>SQL lỗi cú pháp, không phân tích được: ParseError: Expecting ). Line 664, Col: 13.</t>
        </is>
      </c>
      <c r="I5" s="47"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5" t="inlineStr">
        <is>
          <t>077. OCB_GOLD_TCKH_LOAN_SUMMARY_LIST_PHAT.xlsx [Script: LOAN_SUMMARY_LIST]</t>
        </is>
      </c>
    </row>
    <row r="6">
      <c r="A6" s="45" t="inlineStr">
        <is>
          <t>LOAN_SUMMARY_LIST</t>
        </is>
      </c>
      <c r="B6" s="45" t="inlineStr">
        <is>
          <t>SCRIPT_ONLY</t>
        </is>
      </c>
      <c r="C6" s="45" t="inlineStr">
        <is>
          <t>2.3</t>
        </is>
      </c>
      <c r="D6" s="45" t="inlineStr">
        <is>
          <t>Nhom 2 - Logic</t>
        </is>
      </c>
      <c r="E6" s="45" t="inlineStr">
        <is>
          <t>Điều kiện lọc trạng thái đặt SAU khi xác định bản ghi mới nhất</t>
        </is>
      </c>
      <c r="F6" s="46" t="inlineStr">
        <is>
          <t>FAIL</t>
        </is>
      </c>
      <c r="G6" s="45" t="inlineStr">
        <is>
          <t>Fail</t>
        </is>
      </c>
      <c r="H6" s="47" t="inlineStr">
        <is>
          <t>SQL lỗi cú pháp, không phân tích được: ParseError: Expecting ). Line 664, Col: 13.</t>
        </is>
      </c>
      <c r="I6" s="47"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5" t="inlineStr">
        <is>
          <t>077. OCB_GOLD_TCKH_LOAN_SUMMARY_LIST_PHAT.xlsx [Script: LOAN_SUMMARY_LIST]</t>
        </is>
      </c>
    </row>
    <row r="7">
      <c r="A7" s="45" t="inlineStr">
        <is>
          <t>LOAN_SUMMARY_LIST</t>
        </is>
      </c>
      <c r="B7" s="45" t="inlineStr">
        <is>
          <t>SCRIPT_ONLY</t>
        </is>
      </c>
      <c r="C7" s="45" t="inlineStr">
        <is>
          <t>2.4</t>
        </is>
      </c>
      <c r="D7" s="45" t="inlineStr">
        <is>
          <t>Nhom 2 - Logic</t>
        </is>
      </c>
      <c r="E7" s="45" t="inlineStr">
        <is>
          <t>source_event_date áp dụng đúng dạng theo loại bảng</t>
        </is>
      </c>
      <c r="F7" s="46" t="inlineStr">
        <is>
          <t>FAIL</t>
        </is>
      </c>
      <c r="G7" s="45" t="inlineStr">
        <is>
          <t>Fail</t>
        </is>
      </c>
      <c r="H7" s="47" t="inlineStr">
        <is>
          <t>SQL lỗi cú pháp, không phân tích được: ParseError: Expecting ). Line 664, Col: 13.</t>
        </is>
      </c>
      <c r="I7" s="47"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5" t="inlineStr">
        <is>
          <t>077. OCB_GOLD_TCKH_LOAN_SUMMARY_LIST_PHAT.xlsx [Script: LOAN_SUMMARY_LIST]</t>
        </is>
      </c>
    </row>
    <row r="8">
      <c r="A8" s="45" t="inlineStr">
        <is>
          <t>LOAN_SUMMARY_LIST</t>
        </is>
      </c>
      <c r="B8" s="45" t="inlineStr">
        <is>
          <t>SCRIPT_ONLY</t>
        </is>
      </c>
      <c r="C8" s="45" t="inlineStr">
        <is>
          <t>2.5</t>
        </is>
      </c>
      <c r="D8" s="45" t="inlineStr">
        <is>
          <t>Nhom 2 - Logic</t>
        </is>
      </c>
      <c r="E8" s="45" t="inlineStr">
        <is>
          <t>Không lặp lại lỗi logic cũ đã được DA Data Vault fix</t>
        </is>
      </c>
      <c r="F8" s="46" t="inlineStr">
        <is>
          <t>FAIL</t>
        </is>
      </c>
      <c r="G8" s="45" t="inlineStr">
        <is>
          <t>Fail</t>
        </is>
      </c>
      <c r="H8" s="47" t="inlineStr">
        <is>
          <t>SQL lỗi cú pháp, không phân tích được: ParseError: Expecting ). Line 664, Col: 13.</t>
        </is>
      </c>
      <c r="I8" s="47"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5" t="inlineStr">
        <is>
          <t>077. OCB_GOLD_TCKH_LOAN_SUMMARY_LIST_PHAT.xlsx [Script: LOAN_SUMMARY_LIST]</t>
        </is>
      </c>
    </row>
    <row r="9">
      <c r="A9" s="45" t="inlineStr">
        <is>
          <t>LOAN_SUMMARY_LIST</t>
        </is>
      </c>
      <c r="B9" s="45" t="inlineStr">
        <is>
          <t>SCRIPT_ONLY</t>
        </is>
      </c>
      <c r="C9" s="45" t="inlineStr">
        <is>
          <t>2.6</t>
        </is>
      </c>
      <c r="D9" s="45" t="inlineStr">
        <is>
          <t>Nhom 2 - Logic</t>
        </is>
      </c>
      <c r="E9" s="45" t="inlineStr">
        <is>
          <t>SCD Type 2 cho bảng DIM áp dụng đúng kỹ thuật đã thống nhất</t>
        </is>
      </c>
      <c r="F9" s="46" t="inlineStr">
        <is>
          <t>FAIL</t>
        </is>
      </c>
      <c r="G9" s="45" t="inlineStr">
        <is>
          <t>Fail</t>
        </is>
      </c>
      <c r="H9" s="47" t="inlineStr">
        <is>
          <t>SQL lỗi cú pháp, không phân tích được: ParseError: Expecting ). Line 664, Col: 13.</t>
        </is>
      </c>
      <c r="I9" s="47"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5" t="inlineStr">
        <is>
          <t>077. OCB_GOLD_TCKH_LOAN_SUMMARY_LIST_PHAT.xlsx [Script: LOAN_SUMMARY_LIST]</t>
        </is>
      </c>
    </row>
    <row r="10">
      <c r="A10" s="45" t="inlineStr">
        <is>
          <t>LOAN_SUMMARY_LIST</t>
        </is>
      </c>
      <c r="B10" s="45" t="inlineStr">
        <is>
          <t>SCRIPT_ONLY</t>
        </is>
      </c>
      <c r="C10" s="45" t="inlineStr">
        <is>
          <t>2.7</t>
        </is>
      </c>
      <c r="D10" s="45" t="inlineStr">
        <is>
          <t>Nhom 2 - Logic</t>
        </is>
      </c>
      <c r="E10" s="45" t="inlineStr">
        <is>
          <t>CASE WHEN cover đủ nhánh như job on-prem</t>
        </is>
      </c>
      <c r="F10" s="46" t="inlineStr">
        <is>
          <t>FAIL</t>
        </is>
      </c>
      <c r="G10" s="45" t="inlineStr">
        <is>
          <t>Fail</t>
        </is>
      </c>
      <c r="H10" s="47" t="inlineStr">
        <is>
          <t>SQL lỗi cú pháp, không phân tích được: ParseError: Expecting ). Line 664, Col: 13.</t>
        </is>
      </c>
      <c r="I10" s="47" t="inlineStr">
        <is>
          <t>Mở job on-prem tương ứng (DataStage DSX hoặc SQL cũ), đối chiếu từng nhánh WHEN và cả nhánh ELSE. CASE không có ELSE sẽ trả NULL âm thầm — xác nhận đó là ý muốn hay thiếu nhánh.</t>
        </is>
      </c>
      <c r="J10" s="45" t="inlineStr">
        <is>
          <t>077. OCB_GOLD_TCKH_LOAN_SUMMARY_LIST_PHAT.xlsx [Script: LOAN_SUMMARY_LIST]</t>
        </is>
      </c>
    </row>
    <row r="11">
      <c r="A11" s="45" t="inlineStr">
        <is>
          <t>LOAN_SUMMARY_LIST</t>
        </is>
      </c>
      <c r="B11" s="45" t="inlineStr">
        <is>
          <t>SCRIPT_ONLY</t>
        </is>
      </c>
      <c r="C11" s="45" t="inlineStr">
        <is>
          <t>2.8</t>
        </is>
      </c>
      <c r="D11" s="45" t="inlineStr">
        <is>
          <t>Nhom 2 - Logic</t>
        </is>
      </c>
      <c r="E11" s="45" t="inlineStr">
        <is>
          <t>Cột SUM/COUNT được COALESCE/NVL hợp lý</t>
        </is>
      </c>
      <c r="F11" s="46" t="inlineStr">
        <is>
          <t>FAIL</t>
        </is>
      </c>
      <c r="G11" s="45" t="inlineStr">
        <is>
          <t>Fail</t>
        </is>
      </c>
      <c r="H11" s="47" t="inlineStr">
        <is>
          <t>SQL lỗi cú pháp, không phân tích được: ParseError: Expecting ). Line 664, Col: 13.</t>
        </is>
      </c>
      <c r="I11" s="47"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5" t="inlineStr">
        <is>
          <t>077. OCB_GOLD_TCKH_LOAN_SUMMARY_LIST_PHAT.xlsx [Script: LOAN_SUMMARY_LIST]</t>
        </is>
      </c>
    </row>
    <row r="12">
      <c r="A12" s="45" t="inlineStr">
        <is>
          <t>LOAN_SUMMARY_LIST</t>
        </is>
      </c>
      <c r="B12" s="45" t="inlineStr">
        <is>
          <t>SCRIPT_ONLY</t>
        </is>
      </c>
      <c r="C12" s="45" t="inlineStr">
        <is>
          <t>2.9</t>
        </is>
      </c>
      <c r="D12" s="45" t="inlineStr">
        <is>
          <t>Nhom 2 - Logic</t>
        </is>
      </c>
      <c r="E12" s="45" t="inlineStr">
        <is>
          <t>Subquery / custom function / điều kiện LIKE đúng ý nghĩa nghiệp vụ</t>
        </is>
      </c>
      <c r="F12" s="46" t="inlineStr">
        <is>
          <t>FAIL</t>
        </is>
      </c>
      <c r="G12" s="45" t="inlineStr">
        <is>
          <t>Fail</t>
        </is>
      </c>
      <c r="H12" s="47" t="inlineStr">
        <is>
          <t>SQL lỗi cú pháp, không phân tích được: ParseError: Expecting ). Line 664, Col: 13.</t>
        </is>
      </c>
      <c r="I12" s="47" t="inlineStr">
        <is>
          <t>Đọc lại từng điều kiện LIKE và từng subquery, đối chiếu ý nghĩa nghiệp vụ với on-prem — đúng cú pháp không đủ. Chú ý pattern LIKE có ký tự % ở đầu/cuối và phân biệt chữ hoa/thường.</t>
        </is>
      </c>
      <c r="J12" s="45" t="inlineStr">
        <is>
          <t>077. OCB_GOLD_TCKH_LOAN_SUMMARY_LIST_PHAT.xlsx [Script: LOAN_SUMMARY_LIST]</t>
        </is>
      </c>
    </row>
    <row r="13">
      <c r="A13" s="45" t="inlineStr">
        <is>
          <t>LOAN_SUMMARY_LIST</t>
        </is>
      </c>
      <c r="B13" s="45" t="inlineStr">
        <is>
          <t>SCRIPT_ONLY</t>
        </is>
      </c>
      <c r="C13" s="45" t="inlineStr">
        <is>
          <t>2.10</t>
        </is>
      </c>
      <c r="D13" s="45" t="inlineStr">
        <is>
          <t>Nhom 2 - Logic</t>
        </is>
      </c>
      <c r="E13" s="45" t="inlineStr">
        <is>
          <t>Aggregation kèm filter date range chính xác</t>
        </is>
      </c>
      <c r="F13" s="46" t="inlineStr">
        <is>
          <t>FAIL</t>
        </is>
      </c>
      <c r="G13" s="45" t="inlineStr">
        <is>
          <t>Fail</t>
        </is>
      </c>
      <c r="H13" s="47" t="inlineStr">
        <is>
          <t>SQL lỗi cú pháp, không phân tích được: ParseError: Expecting ). Line 664, Col: 13.</t>
        </is>
      </c>
      <c r="I13" s="47" t="inlineStr">
        <is>
          <t>Mỗi khối SUM/COUNT/AVG phải có điều kiện lọc theo kỳ dữ liệu (CDR_DT_ID, DATA_DATE, :DATADT…). Nếu điều kiện nằm ở CTE nguồn thì ghi rõ trong comment để người review không phải truy ngược.</t>
        </is>
      </c>
      <c r="J13" s="45" t="inlineStr">
        <is>
          <t>077. OCB_GOLD_TCKH_LOAN_SUMMARY_LIST_PHAT.xlsx [Script: LOAN_SUMMARY_LIST]</t>
        </is>
      </c>
    </row>
    <row r="14">
      <c r="A14" s="45" t="inlineStr">
        <is>
          <t>LOAN_SUMMARY_LIST</t>
        </is>
      </c>
      <c r="B14" s="45" t="inlineStr">
        <is>
          <t>SCRIPT_ONLY</t>
        </is>
      </c>
      <c r="C14" s="45" t="inlineStr">
        <is>
          <t>2.11</t>
        </is>
      </c>
      <c r="D14" s="45" t="inlineStr">
        <is>
          <t>Nhom 2 - Logic</t>
        </is>
      </c>
      <c r="E14" s="45" t="inlineStr">
        <is>
          <t>Join dùng key hợp lý, không lạm dụng UNION ALL + EXISTS/NOT EXISTS</t>
        </is>
      </c>
      <c r="F14" s="46" t="inlineStr">
        <is>
          <t>FAIL</t>
        </is>
      </c>
      <c r="G14" s="45" t="inlineStr">
        <is>
          <t>Fail</t>
        </is>
      </c>
      <c r="H14" s="47" t="inlineStr">
        <is>
          <t>SQL lỗi cú pháp, không phân tích được: ParseError: Expecting ). Line 664, Col: 13.</t>
        </is>
      </c>
      <c r="I14" s="47" t="inlineStr">
        <is>
          <t>Ưu tiên LEFT JOIN theo business key hoặc hashkey. Xem lại các chỗ dùng UNION ALL kết hợp EXISTS/NOT EXISTS — thường thay được bằng một LEFT JOIN. Join không có điều kiện bằng (=) dễ tạo tích Descartes.</t>
        </is>
      </c>
      <c r="J14" s="45" t="inlineStr">
        <is>
          <t>077. OCB_GOLD_TCKH_LOAN_SUMMARY_LIST_PHAT.xlsx [Script: LOAN_SUMMARY_LIST]</t>
        </is>
      </c>
    </row>
    <row r="15">
      <c r="A15" s="45" t="inlineStr">
        <is>
          <t>LOAN_SUMMARY_LIST</t>
        </is>
      </c>
      <c r="B15" s="45" t="inlineStr">
        <is>
          <t>SCRIPT_ONLY</t>
        </is>
      </c>
      <c r="C15" s="45" t="inlineStr">
        <is>
          <t>2.12</t>
        </is>
      </c>
      <c r="D15" s="45" t="inlineStr">
        <is>
          <t>Nhom 2 - Logic</t>
        </is>
      </c>
      <c r="E15" s="45" t="inlineStr">
        <is>
          <t>Build Gold từ CTE snapshot Silver, không build nhiều tầng chồng chéo</t>
        </is>
      </c>
      <c r="F15" s="46" t="inlineStr">
        <is>
          <t>FAIL</t>
        </is>
      </c>
      <c r="G15" s="45" t="inlineStr">
        <is>
          <t>Fail</t>
        </is>
      </c>
      <c r="H15" s="47" t="inlineStr">
        <is>
          <t>SQL lỗi cú pháp, không phân tích được: ParseError: Expecting ). Line 664, Col: 13.</t>
        </is>
      </c>
      <c r="I15" s="47"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5" t="inlineStr">
        <is>
          <t>077. OCB_GOLD_TCKH_LOAN_SUMMARY_LIST_PHAT.xlsx [Script: LOAN_SUMMARY_LIST]</t>
        </is>
      </c>
    </row>
    <row r="16">
      <c r="A16" s="45" t="inlineStr">
        <is>
          <t>LOAN_SUMMARY_LIST</t>
        </is>
      </c>
      <c r="B16" s="45" t="inlineStr">
        <is>
          <t>SCRIPT_ONLY</t>
        </is>
      </c>
      <c r="C16" s="45" t="inlineStr">
        <is>
          <t>3.1</t>
        </is>
      </c>
      <c r="D16" s="45" t="inlineStr">
        <is>
          <t>Nhom 3 - Optimization</t>
        </is>
      </c>
      <c r="E16" s="45" t="inlineStr">
        <is>
          <t>Không SELECT *</t>
        </is>
      </c>
      <c r="F16" s="46" t="inlineStr">
        <is>
          <t>FAIL</t>
        </is>
      </c>
      <c r="G16" s="45" t="inlineStr">
        <is>
          <t>Fail</t>
        </is>
      </c>
      <c r="H16" s="47" t="inlineStr">
        <is>
          <t>SQL lỗi cú pháp, không phân tích được: ParseError: Expecting ). Line 664, Col: 13.</t>
        </is>
      </c>
      <c r="I16" s="47" t="inlineStr">
        <is>
          <t>Liệt kê tường minh các cột cần dùng, kể cả trong CTE trung gian. SELECT * làm tăng IO/memory và vỡ script khi bảng nguồn thêm cột.</t>
        </is>
      </c>
      <c r="J16" s="45" t="inlineStr">
        <is>
          <t>077. OCB_GOLD_TCKH_LOAN_SUMMARY_LIST_PHAT.xlsx [Script: LOAN_SUMMARY_LIST]</t>
        </is>
      </c>
    </row>
    <row r="17">
      <c r="A17" s="45" t="inlineStr">
        <is>
          <t>LOAN_SUMMARY_LIST</t>
        </is>
      </c>
      <c r="B17" s="45" t="inlineStr">
        <is>
          <t>SCRIPT_ONLY</t>
        </is>
      </c>
      <c r="C17" s="45" t="inlineStr">
        <is>
          <t>3.2</t>
        </is>
      </c>
      <c r="D17" s="45" t="inlineStr">
        <is>
          <t>Nhom 3 - Optimization</t>
        </is>
      </c>
      <c r="E17" s="45" t="inlineStr">
        <is>
          <t>CTE không bị scan lại nhiều lần</t>
        </is>
      </c>
      <c r="F17" s="46" t="inlineStr">
        <is>
          <t>FAIL</t>
        </is>
      </c>
      <c r="G17" s="45" t="inlineStr">
        <is>
          <t>Fail</t>
        </is>
      </c>
      <c r="H17" s="47" t="inlineStr">
        <is>
          <t>SQL lỗi cú pháp, không phân tích được: ParseError: Expecting ). Line 664, Col: 13.</t>
        </is>
      </c>
      <c r="I17" s="47" t="inlineStr">
        <is>
          <t>Với CTE nặng (đọc nhiều bảng Silver) bị tham chiếu từ 2 chỗ trở lên: gom lại còn một lần dùng, hoặc vật chất hóa (CACHE / bảng tạm). CTE nhẹ chỉ chứa tham số thì bỏ qua được — tự tick Pass.</t>
        </is>
      </c>
      <c r="J17" s="45" t="inlineStr">
        <is>
          <t>077. OCB_GOLD_TCKH_LOAN_SUMMARY_LIST_PHAT.xlsx [Script: LOAN_SUMMARY_LIST]</t>
        </is>
      </c>
    </row>
    <row r="18">
      <c r="A18" s="45" t="inlineStr">
        <is>
          <t>LOAN_SUMMARY_LIST</t>
        </is>
      </c>
      <c r="B18" s="45" t="inlineStr">
        <is>
          <t>SCRIPT_ONLY</t>
        </is>
      </c>
      <c r="C18" s="45" t="inlineStr">
        <is>
          <t>3.3</t>
        </is>
      </c>
      <c r="D18" s="45" t="inlineStr">
        <is>
          <t>Nhom 3 - Optimization</t>
        </is>
      </c>
      <c r="E18" s="45" t="inlineStr">
        <is>
          <t>Filter trước khi join, tận dụng partition pruning</t>
        </is>
      </c>
      <c r="F18" s="46" t="inlineStr">
        <is>
          <t>FAIL</t>
        </is>
      </c>
      <c r="G18" s="45" t="inlineStr">
        <is>
          <t>Fail</t>
        </is>
      </c>
      <c r="H18" s="47" t="inlineStr">
        <is>
          <t>SQL lỗi cú pháp, không phân tích được: ParseError: Expecting ). Line 664, Col: 13.</t>
        </is>
      </c>
      <c r="I18" s="47" t="inlineStr">
        <is>
          <t>Đưa điều kiện lọc (ngày dữ liệu, trạng thái) vào subquery của từng bảng TRƯỚC khi join, để tận dụng partition pruning. Bảng dim nhỏ không partition thì không cần — tự tick Pass.</t>
        </is>
      </c>
      <c r="J18" s="45" t="inlineStr">
        <is>
          <t>077. OCB_GOLD_TCKH_LOAN_SUMMARY_LIST_PHAT.xlsx [Script: LOAN_SUMMARY_LIST]</t>
        </is>
      </c>
    </row>
    <row r="19">
      <c r="A19" s="45" t="inlineStr">
        <is>
          <t>LOAN_SUMMARY_LIST</t>
        </is>
      </c>
      <c r="B19" s="45" t="inlineStr">
        <is>
          <t>SCRIPT_ONLY</t>
        </is>
      </c>
      <c r="C19" s="45" t="inlineStr">
        <is>
          <t>3.4</t>
        </is>
      </c>
      <c r="D19" s="45" t="inlineStr">
        <is>
          <t>Nhom 3 - Optimization</t>
        </is>
      </c>
      <c r="E19" s="45" t="inlineStr">
        <is>
          <t>Sử dụng CACHE cho query lặp lại trong cùng luồng</t>
        </is>
      </c>
      <c r="F19" s="46" t="inlineStr">
        <is>
          <t>FAIL</t>
        </is>
      </c>
      <c r="G19" s="45" t="inlineStr">
        <is>
          <t>Fail</t>
        </is>
      </c>
      <c r="H19" s="47" t="inlineStr">
        <is>
          <t>SQL lỗi cú pháp, không phân tích được: ParseError: Expecting ). Line 664, Col: 13.</t>
        </is>
      </c>
      <c r="I19" s="47" t="inlineStr">
        <is>
          <t>Nếu một kết quả nặng được dùng lại nhiều bước trong cùng luồng, thêm CACHE TABLE / CACHE SELECT. Kết quả nhỏ thì cache còn chậm hơn — tự tick Pass.</t>
        </is>
      </c>
      <c r="J19" s="45" t="inlineStr">
        <is>
          <t>077. OCB_GOLD_TCKH_LOAN_SUMMARY_LIST_PHAT.xlsx [Script: LOAN_SUMMARY_LIST]</t>
        </is>
      </c>
    </row>
    <row r="20">
      <c r="A20" s="45" t="inlineStr">
        <is>
          <t>LOAN_SUMMARY_LIST</t>
        </is>
      </c>
      <c r="B20" s="45" t="inlineStr">
        <is>
          <t>SCRIPT_ONLY</t>
        </is>
      </c>
      <c r="C20" s="45" t="inlineStr">
        <is>
          <t>3.5</t>
        </is>
      </c>
      <c r="D20" s="45" t="inlineStr">
        <is>
          <t>Nhom 3 - Optimization</t>
        </is>
      </c>
      <c r="E20" s="45" t="inlineStr">
        <is>
          <t>Ưu tiên MAX_BY + QUALIFY thay ROW_NUMBER() + WHERE rn = 1</t>
        </is>
      </c>
      <c r="F20" s="46" t="inlineStr">
        <is>
          <t>FAIL</t>
        </is>
      </c>
      <c r="G20" s="45" t="inlineStr">
        <is>
          <t>Fail</t>
        </is>
      </c>
      <c r="H20" s="47" t="inlineStr">
        <is>
          <t>SQL lỗi cú pháp, không phân tích được: ParseError: Expecting ). Line 664, Col: 13.</t>
        </is>
      </c>
      <c r="I20" s="47"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5" t="inlineStr">
        <is>
          <t>077. OCB_GOLD_TCKH_LOAN_SUMMARY_LIST_PHAT.xlsx [Script: LOAN_SUMMARY_LIST]</t>
        </is>
      </c>
    </row>
    <row r="21">
      <c r="A21" s="45" t="inlineStr">
        <is>
          <t>LOAN_SUMMARY_LIST</t>
        </is>
      </c>
      <c r="B21" s="45" t="inlineStr">
        <is>
          <t>SCRIPT_ONLY</t>
        </is>
      </c>
      <c r="C21" s="45" t="inlineStr">
        <is>
          <t>3.6</t>
        </is>
      </c>
      <c r="D21" s="45" t="inlineStr">
        <is>
          <t>Nhom 3 - Optimization</t>
        </is>
      </c>
      <c r="E21" s="45" t="inlineStr">
        <is>
          <t>Không lạm dụng window function; có comment khi dùng</t>
        </is>
      </c>
      <c r="F21" s="46" t="inlineStr">
        <is>
          <t>FAIL</t>
        </is>
      </c>
      <c r="G21" s="45" t="inlineStr">
        <is>
          <t>Fail</t>
        </is>
      </c>
      <c r="H21" s="47" t="inlineStr">
        <is>
          <t>SQL lỗi cú pháp, không phân tích được: ParseError: Expecting ). Line 664, Col: 13.</t>
        </is>
      </c>
      <c r="I21" s="47" t="inlineStr">
        <is>
          <t>Mỗi window function cần một comment ngay trên khối CTE chứa nó, nói rõ vì sao không dùng được max_by/QUALIFY đơn giản hơn.</t>
        </is>
      </c>
      <c r="J21" s="45" t="inlineStr">
        <is>
          <t>077. OCB_GOLD_TCKH_LOAN_SUMMARY_LIST_PHAT.xlsx [Script: LOAN_SUMMARY_LIST]</t>
        </is>
      </c>
    </row>
    <row r="22">
      <c r="A22" s="45" t="inlineStr">
        <is>
          <t>LOAN_SUMMARY_LIST</t>
        </is>
      </c>
      <c r="B22" s="45" t="inlineStr">
        <is>
          <t>SCRIPT_ONLY</t>
        </is>
      </c>
      <c r="C22" s="45" t="inlineStr">
        <is>
          <t>X.1</t>
        </is>
      </c>
      <c r="D22" s="45" t="inlineStr">
        <is>
          <t>Nhom X - Bo sung Raffles</t>
        </is>
      </c>
      <c r="E22" s="45" t="inlineStr">
        <is>
          <t>[Bổ sung] Link phải rút về current trước khi join (chống fan-out)</t>
        </is>
      </c>
      <c r="F22" s="46" t="inlineStr">
        <is>
          <t>FAIL</t>
        </is>
      </c>
      <c r="G22" s="45" t="inlineStr">
        <is>
          <t>Fail</t>
        </is>
      </c>
      <c r="H22" s="47" t="inlineStr">
        <is>
          <t>SQL lỗi cú pháp, không phân tích được: ParseError: Expecting ). Line 664, Col: 13.</t>
        </is>
      </c>
      <c r="I22" s="47"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5" t="inlineStr">
        <is>
          <t>077. OCB_GOLD_TCKH_LOAN_SUMMARY_LIST_PHAT.xlsx [Script: LOAN_SUMMARY_LIST]</t>
        </is>
      </c>
    </row>
    <row r="23">
      <c r="A23" s="45" t="inlineStr">
        <is>
          <t>LOAN_SUMMARY_LIST</t>
        </is>
      </c>
      <c r="B23" s="45" t="inlineStr">
        <is>
          <t>SCRIPT_ONLY</t>
        </is>
      </c>
      <c r="C23" s="45" t="inlineStr">
        <is>
          <t>X.6</t>
        </is>
      </c>
      <c r="D23" s="45" t="inlineStr">
        <is>
          <t>Nhom X - Bo sung Raffles</t>
        </is>
      </c>
      <c r="E23" s="45" t="inlineStr">
        <is>
          <t>[Bổ sung] Satellite phải LEFT JOIN, không INNER JOIN</t>
        </is>
      </c>
      <c r="F23" s="46" t="inlineStr">
        <is>
          <t>FAIL</t>
        </is>
      </c>
      <c r="G23" s="45" t="inlineStr">
        <is>
          <t>Fail</t>
        </is>
      </c>
      <c r="H23" s="47" t="inlineStr">
        <is>
          <t>SQL lỗi cú pháp, không phân tích được: ParseError: Expecting ). Line 664, Col: 13.</t>
        </is>
      </c>
      <c r="I23" s="47" t="inlineStr">
        <is>
          <t>Technical Document III.4.2.2 nguyên tắc 1: làm giàu thuộc tính luôn dùng LEFT JOIN. INNER JOIN satellite sẽ loại mất bản ghi Hub đang còn hiệu lực nhưng chưa có dòng satellite.</t>
        </is>
      </c>
      <c r="J23" s="45" t="inlineStr">
        <is>
          <t>077. OCB_GOLD_TCKH_LOAN_SUMMARY_LIST_PHAT.xlsx [Script: LOAN_SUMMARY_LIST]</t>
        </is>
      </c>
    </row>
    <row r="24">
      <c r="A24" s="45" t="inlineStr">
        <is>
          <t>LOAN_SUMMARY_LIST</t>
        </is>
      </c>
      <c r="B24" s="45" t="inlineStr">
        <is>
          <t>SCRIPT_ONLY</t>
        </is>
      </c>
      <c r="C24" s="45" t="inlineStr">
        <is>
          <t>X.7</t>
        </is>
      </c>
      <c r="D24" s="45" t="inlineStr">
        <is>
          <t>Nhom X - Bo sung Raffles</t>
        </is>
      </c>
      <c r="E24" s="45" t="inlineStr">
        <is>
          <t>[Bổ sung] Không hard-code catalog, dùng biến môi trường</t>
        </is>
      </c>
      <c r="F24" s="46" t="inlineStr">
        <is>
          <t>FAIL</t>
        </is>
      </c>
      <c r="G24" s="45" t="inlineStr">
        <is>
          <t>Fail</t>
        </is>
      </c>
      <c r="H24" s="47" t="inlineStr">
        <is>
          <t>SQL lỗi cú pháp, không phân tích được: ParseError: Expecting ). Line 664, Col: 13.</t>
        </is>
      </c>
      <c r="I24" s="47"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5" t="inlineStr">
        <is>
          <t>077. OCB_GOLD_TCKH_LOAN_SUMMARY_LIST_PHAT.xlsx [Script: LOAN_SUMMARY_LIST]</t>
        </is>
      </c>
    </row>
    <row r="25">
      <c r="A25" s="45" t="inlineStr">
        <is>
          <t>LOAN_SUMMARY_LIST</t>
        </is>
      </c>
      <c r="B25" s="45" t="inlineStr">
        <is>
          <t>SCRIPT_ONLY</t>
        </is>
      </c>
      <c r="C25" s="45" t="inlineStr">
        <is>
          <t>X.10</t>
        </is>
      </c>
      <c r="D25" s="45" t="inlineStr">
        <is>
          <t>Nhom X - Bo sung Raffles</t>
        </is>
      </c>
      <c r="E25" s="45" t="inlineStr">
        <is>
          <t>Bang raw_vault/business_vault duoc doc phai TON TAI THAT trong Data Vault model</t>
        </is>
      </c>
      <c r="F25" s="46" t="inlineStr">
        <is>
          <t>FAIL</t>
        </is>
      </c>
      <c r="G25" s="45" t="inlineStr">
        <is>
          <t>Fail</t>
        </is>
      </c>
      <c r="H25" s="47" t="inlineStr">
        <is>
          <t>SQL lỗi cú pháp, không phân tích được: ParseError: Expecting ). Line 664, Col: 13.</t>
        </is>
      </c>
      <c r="I25" s="47" t="inlineStr"/>
      <c r="J25" s="45" t="inlineStr">
        <is>
          <t>077. OCB_GOLD_TCKH_LOAN_SUMMARY_LIST_PHAT.xlsx [Script: LOAN_SUMMARY_LIST]</t>
        </is>
      </c>
    </row>
    <row r="26">
      <c r="A26" s="45" t="inlineStr">
        <is>
          <t>LOAN_SUMMARY_LIST</t>
        </is>
      </c>
      <c r="B26" s="45" t="inlineStr">
        <is>
          <t>SCRIPT_ONLY</t>
        </is>
      </c>
      <c r="C26" s="45" t="inlineStr">
        <is>
          <t>X.11</t>
        </is>
      </c>
      <c r="D26" s="45" t="inlineStr">
        <is>
          <t>Nhom X - Bo sung Raffles</t>
        </is>
      </c>
      <c r="E26" s="45" t="inlineStr">
        <is>
          <t>Cot doc tu satellite (sat_*) phai TON TAI THAT trong model</t>
        </is>
      </c>
      <c r="F26" s="46" t="inlineStr">
        <is>
          <t>FAIL</t>
        </is>
      </c>
      <c r="G26" s="45" t="inlineStr">
        <is>
          <t>Fail</t>
        </is>
      </c>
      <c r="H26" s="47" t="inlineStr">
        <is>
          <t>SQL lỗi cú pháp, không phân tích được: ParseError: Expecting ). Line 664, Col: 13.</t>
        </is>
      </c>
      <c r="I26" s="47" t="inlineStr"/>
      <c r="J26" s="45" t="inlineStr">
        <is>
          <t>077. OCB_GOLD_TCKH_LOAN_SUMMARY_LIST_PHAT.xlsx [Script: LOAN_SUMMARY_LIST]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2026-08-10T17:44:26Z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