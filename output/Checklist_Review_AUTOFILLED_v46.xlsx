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5">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48">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TCKH.CB_OU_DIM</t>
        </is>
      </c>
      <c r="C3" s="42" t="inlineStr">
        <is>
          <t>Batch 2</t>
        </is>
      </c>
      <c r="D3" s="42" t="inlineStr"/>
      <c r="E3" s="42" t="inlineStr">
        <is>
          <t>2026-08-11</t>
        </is>
      </c>
      <c r="F3" s="41" t="n"/>
      <c r="G3" s="41" t="n"/>
      <c r="H3" s="41" t="n"/>
      <c r="I3" s="41" t="n"/>
      <c r="J3" s="41" t="n"/>
      <c r="K3" s="41" t="n"/>
      <c r="L3" s="41" t="n"/>
      <c r="M3" s="42" t="inlineStr">
        <is>
          <t>Pass</t>
        </is>
      </c>
      <c r="N3" s="41" t="n"/>
      <c r="O3" s="41" t="n"/>
      <c r="P3" s="41" t="n"/>
      <c r="Q3" s="41" t="n"/>
      <c r="R3" s="41" t="n"/>
      <c r="S3" s="41" t="n"/>
      <c r="T3" s="41" t="n"/>
      <c r="U3" s="41" t="n"/>
      <c r="V3" s="41" t="n"/>
      <c r="W3" s="41" t="n"/>
      <c r="X3" s="41" t="n"/>
      <c r="Y3" s="41" t="n"/>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Đạt toàn bộ tiêu chí.</t>
        </is>
      </c>
    </row>
    <row r="4" ht="30" customHeight="1" s="36">
      <c r="A4" s="17" t="n">
        <v>2</v>
      </c>
      <c r="B4" s="18" t="n"/>
      <c r="C4" s="17" t="n"/>
      <c r="D4" s="17" t="n"/>
      <c r="E4" s="17" t="n"/>
      <c r="F4" s="26" t="n"/>
      <c r="G4" s="26" t="n"/>
      <c r="H4" s="26" t="n"/>
      <c r="I4" s="26" t="n"/>
      <c r="J4" s="26" t="n"/>
      <c r="K4" s="26" t="n"/>
      <c r="L4" s="26" t="n"/>
      <c r="M4" s="26" t="n"/>
      <c r="N4" s="26" t="n"/>
      <c r="O4" s="26" t="n"/>
      <c r="P4" s="26" t="n"/>
      <c r="Q4" s="26" t="n"/>
      <c r="R4" s="26" t="n"/>
      <c r="S4" s="26" t="n"/>
      <c r="T4" s="26" t="n"/>
      <c r="U4" s="26" t="n"/>
      <c r="V4" s="26" t="n"/>
      <c r="W4" s="26" t="n"/>
      <c r="X4" s="26" t="n"/>
      <c r="Y4" s="26" t="n"/>
      <c r="Z4" s="26">
        <f>IF(B4="","",IF(COUNTIF(F4:G4,"Fail")&gt;0,1,0))</f>
        <v/>
      </c>
      <c r="AA4" s="26">
        <f>IF(B4="","",IF(COUNTIF(H4:S4,"Fail")&gt;0,1,0))</f>
        <v/>
      </c>
      <c r="AB4" s="26">
        <f>IF(B4="","",IF(COUNTIF(T4:Y4,"Fail")&gt;0,1,0))</f>
        <v/>
      </c>
      <c r="AC4" s="27">
        <f>IF(B4="","",0.1*Z4+0.8*AA4+0.1*AB4)</f>
        <v/>
      </c>
      <c r="AD4" s="27">
        <f>IF(B4="","",IF(C4="Batch 1",0.3,0.2))</f>
        <v/>
      </c>
      <c r="AE4" s="19">
        <f>IF(B4="","",IF(AC4&lt;=AD4,"Đạt","Không đạt"))</f>
        <v/>
      </c>
      <c r="AF4" s="28" t="n"/>
    </row>
    <row r="5" ht="30" customHeight="1" s="36">
      <c r="A5" s="17" t="n">
        <v>3</v>
      </c>
      <c r="B5" s="18" t="n"/>
      <c r="C5" s="17" t="n"/>
      <c r="D5" s="17" t="n"/>
      <c r="E5" s="17" t="n"/>
      <c r="F5" s="26" t="n"/>
      <c r="G5" s="26" t="n"/>
      <c r="H5" s="26" t="n"/>
      <c r="I5" s="26" t="n"/>
      <c r="J5" s="26" t="n"/>
      <c r="K5" s="26" t="n"/>
      <c r="L5" s="26" t="n"/>
      <c r="M5" s="26" t="n"/>
      <c r="N5" s="26" t="n"/>
      <c r="O5" s="26" t="n"/>
      <c r="P5" s="26" t="n"/>
      <c r="Q5" s="26" t="n"/>
      <c r="R5" s="26" t="n"/>
      <c r="S5" s="26" t="n"/>
      <c r="T5" s="26" t="n"/>
      <c r="U5" s="26" t="n"/>
      <c r="V5" s="26" t="n"/>
      <c r="W5" s="26" t="n"/>
      <c r="X5" s="26" t="n"/>
      <c r="Y5" s="26" t="n"/>
      <c r="Z5" s="26">
        <f>IF(B5="","",IF(COUNTIF(F5:G5,"Fail")&gt;0,1,0))</f>
        <v/>
      </c>
      <c r="AA5" s="26">
        <f>IF(B5="","",IF(COUNTIF(H5:S5,"Fail")&gt;0,1,0))</f>
        <v/>
      </c>
      <c r="AB5" s="26">
        <f>IF(B5="","",IF(COUNTIF(T5:Y5,"Fail")&gt;0,1,0))</f>
        <v/>
      </c>
      <c r="AC5" s="27">
        <f>IF(B5="","",0.1*Z5+0.8*AA5+0.1*AB5)</f>
        <v/>
      </c>
      <c r="AD5" s="27">
        <f>IF(B5="","",IF(C5="Batch 1",0.3,0.2))</f>
        <v/>
      </c>
      <c r="AE5" s="19">
        <f>IF(B5="","",IF(AC5&lt;=AD5,"Đạt","Không đạt"))</f>
        <v/>
      </c>
      <c r="AF5" s="28" t="n"/>
    </row>
    <row r="6" ht="30" customHeight="1" s="36">
      <c r="A6" s="17" t="n">
        <v>4</v>
      </c>
      <c r="B6" s="18" t="n"/>
      <c r="C6" s="17" t="n"/>
      <c r="D6" s="17" t="n"/>
      <c r="E6" s="17" t="n"/>
      <c r="F6" s="26" t="n"/>
      <c r="G6" s="26" t="n"/>
      <c r="H6" s="26" t="n"/>
      <c r="I6" s="26" t="n"/>
      <c r="J6" s="26" t="n"/>
      <c r="K6" s="26" t="n"/>
      <c r="L6" s="26" t="n"/>
      <c r="M6" s="26" t="n"/>
      <c r="N6" s="26" t="n"/>
      <c r="O6" s="26" t="n"/>
      <c r="P6" s="26" t="n"/>
      <c r="Q6" s="26" t="n"/>
      <c r="R6" s="26" t="n"/>
      <c r="S6" s="26" t="n"/>
      <c r="T6" s="26" t="n"/>
      <c r="U6" s="26" t="n"/>
      <c r="V6" s="26" t="n"/>
      <c r="W6" s="26" t="n"/>
      <c r="X6" s="26" t="n"/>
      <c r="Y6" s="26" t="n"/>
      <c r="Z6" s="26">
        <f>IF(B6="","",IF(COUNTIF(F6:G6,"Fail")&gt;0,1,0))</f>
        <v/>
      </c>
      <c r="AA6" s="26">
        <f>IF(B6="","",IF(COUNTIF(H6:S6,"Fail")&gt;0,1,0))</f>
        <v/>
      </c>
      <c r="AB6" s="26">
        <f>IF(B6="","",IF(COUNTIF(T6:Y6,"Fail")&gt;0,1,0))</f>
        <v/>
      </c>
      <c r="AC6" s="27">
        <f>IF(B6="","",0.1*Z6+0.8*AA6+0.1*AB6)</f>
        <v/>
      </c>
      <c r="AD6" s="27">
        <f>IF(B6="","",IF(C6="Batch 1",0.3,0.2))</f>
        <v/>
      </c>
      <c r="AE6" s="19">
        <f>IF(B6="","",IF(AC6&lt;=AD6,"Đạt","Không đạt"))</f>
        <v/>
      </c>
      <c r="AF6" s="28" t="n"/>
    </row>
    <row r="7" ht="30" customHeight="1" s="36">
      <c r="A7" s="17" t="n">
        <v>5</v>
      </c>
      <c r="B7" s="18" t="n"/>
      <c r="C7" s="17" t="n"/>
      <c r="D7" s="17" t="n"/>
      <c r="E7" s="17" t="n"/>
      <c r="F7" s="26" t="n"/>
      <c r="G7" s="26" t="n"/>
      <c r="H7" s="26" t="n"/>
      <c r="I7" s="26" t="n"/>
      <c r="J7" s="26" t="n"/>
      <c r="K7" s="26" t="n"/>
      <c r="L7" s="26" t="n"/>
      <c r="M7" s="26" t="n"/>
      <c r="N7" s="26" t="n"/>
      <c r="O7" s="26" t="n"/>
      <c r="P7" s="26" t="n"/>
      <c r="Q7" s="26" t="n"/>
      <c r="R7" s="26" t="n"/>
      <c r="S7" s="26" t="n"/>
      <c r="T7" s="26" t="n"/>
      <c r="U7" s="26" t="n"/>
      <c r="V7" s="26" t="n"/>
      <c r="W7" s="26" t="n"/>
      <c r="X7" s="26" t="n"/>
      <c r="Y7" s="26" t="n"/>
      <c r="Z7" s="26">
        <f>IF(B7="","",IF(COUNTIF(F7:G7,"Fail")&gt;0,1,0))</f>
        <v/>
      </c>
      <c r="AA7" s="26">
        <f>IF(B7="","",IF(COUNTIF(H7:S7,"Fail")&gt;0,1,0))</f>
        <v/>
      </c>
      <c r="AB7" s="26">
        <f>IF(B7="","",IF(COUNTIF(T7:Y7,"Fail")&gt;0,1,0))</f>
        <v/>
      </c>
      <c r="AC7" s="27">
        <f>IF(B7="","",0.1*Z7+0.8*AA7+0.1*AB7)</f>
        <v/>
      </c>
      <c r="AD7" s="27">
        <f>IF(B7="","",IF(C7="Batch 1",0.3,0.2))</f>
        <v/>
      </c>
      <c r="AE7" s="19">
        <f>IF(B7="","",IF(AC7&lt;=AD7,"Đạt","Không đạt"))</f>
        <v/>
      </c>
      <c r="AF7" s="28" t="n"/>
    </row>
    <row r="8" ht="30" customHeight="1" s="36">
      <c r="A8" s="17" t="n">
        <v>6</v>
      </c>
      <c r="B8" s="18" t="n"/>
      <c r="C8" s="17" t="n"/>
      <c r="D8" s="17" t="n"/>
      <c r="E8" s="17" t="n"/>
      <c r="F8" s="26" t="n"/>
      <c r="G8" s="26" t="n"/>
      <c r="H8" s="26" t="n"/>
      <c r="I8" s="26" t="n"/>
      <c r="J8" s="26" t="n"/>
      <c r="K8" s="26" t="n"/>
      <c r="L8" s="26" t="n"/>
      <c r="M8" s="26" t="n"/>
      <c r="N8" s="26" t="n"/>
      <c r="O8" s="26" t="n"/>
      <c r="P8" s="26" t="n"/>
      <c r="Q8" s="26" t="n"/>
      <c r="R8" s="26" t="n"/>
      <c r="S8" s="26" t="n"/>
      <c r="T8" s="26" t="n"/>
      <c r="U8" s="26" t="n"/>
      <c r="V8" s="26" t="n"/>
      <c r="W8" s="26" t="n"/>
      <c r="X8" s="26" t="n"/>
      <c r="Y8" s="26" t="n"/>
      <c r="Z8" s="26">
        <f>IF(B8="","",IF(COUNTIF(F8:G8,"Fail")&gt;0,1,0))</f>
        <v/>
      </c>
      <c r="AA8" s="26">
        <f>IF(B8="","",IF(COUNTIF(H8:S8,"Fail")&gt;0,1,0))</f>
        <v/>
      </c>
      <c r="AB8" s="26">
        <f>IF(B8="","",IF(COUNTIF(T8:Y8,"Fail")&gt;0,1,0))</f>
        <v/>
      </c>
      <c r="AC8" s="27">
        <f>IF(B8="","",0.1*Z8+0.8*AA8+0.1*AB8)</f>
        <v/>
      </c>
      <c r="AD8" s="27">
        <f>IF(B8="","",IF(C8="Batch 1",0.3,0.2))</f>
        <v/>
      </c>
      <c r="AE8" s="19">
        <f>IF(B8="","",IF(AC8&lt;=AD8,"Đạt","Không đạt"))</f>
        <v/>
      </c>
      <c r="AF8" s="28" t="n"/>
    </row>
    <row r="9" ht="30" customHeight="1" s="36">
      <c r="A9" s="17" t="n">
        <v>7</v>
      </c>
      <c r="B9" s="18" t="n"/>
      <c r="C9" s="17" t="n"/>
      <c r="D9" s="17" t="n"/>
      <c r="E9" s="17" t="n"/>
      <c r="F9" s="26" t="n"/>
      <c r="G9" s="26" t="n"/>
      <c r="H9" s="26" t="n"/>
      <c r="I9" s="26" t="n"/>
      <c r="J9" s="26" t="n"/>
      <c r="K9" s="26" t="n"/>
      <c r="L9" s="26" t="n"/>
      <c r="M9" s="26" t="n"/>
      <c r="N9" s="26" t="n"/>
      <c r="O9" s="26" t="n"/>
      <c r="P9" s="26" t="n"/>
      <c r="Q9" s="26" t="n"/>
      <c r="R9" s="26" t="n"/>
      <c r="S9" s="26" t="n"/>
      <c r="T9" s="26" t="n"/>
      <c r="U9" s="26" t="n"/>
      <c r="V9" s="26" t="n"/>
      <c r="W9" s="26" t="n"/>
      <c r="X9" s="26" t="n"/>
      <c r="Y9" s="26" t="n"/>
      <c r="Z9" s="26">
        <f>IF(B9="","",IF(COUNTIF(F9:G9,"Fail")&gt;0,1,0))</f>
        <v/>
      </c>
      <c r="AA9" s="26">
        <f>IF(B9="","",IF(COUNTIF(H9:S9,"Fail")&gt;0,1,0))</f>
        <v/>
      </c>
      <c r="AB9" s="26">
        <f>IF(B9="","",IF(COUNTIF(T9:Y9,"Fail")&gt;0,1,0))</f>
        <v/>
      </c>
      <c r="AC9" s="27">
        <f>IF(B9="","",0.1*Z9+0.8*AA9+0.1*AB9)</f>
        <v/>
      </c>
      <c r="AD9" s="27">
        <f>IF(B9="","",IF(C9="Batch 1",0.3,0.2))</f>
        <v/>
      </c>
      <c r="AE9" s="19">
        <f>IF(B9="","",IF(AC9&lt;=AD9,"Đạt","Không đạt"))</f>
        <v/>
      </c>
      <c r="AF9" s="28" t="n"/>
    </row>
    <row r="10" ht="30" customHeight="1" s="36">
      <c r="A10" s="17" t="n">
        <v>8</v>
      </c>
      <c r="B10" s="18" t="n"/>
      <c r="C10" s="17" t="n"/>
      <c r="D10" s="17" t="n"/>
      <c r="E10" s="17"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28" t="n"/>
    </row>
    <row r="11" ht="30" customHeight="1" s="36">
      <c r="A11" s="17" t="n">
        <v>9</v>
      </c>
      <c r="B11" s="18" t="n"/>
      <c r="C11" s="17" t="n"/>
      <c r="D11" s="17" t="n"/>
      <c r="E11" s="17"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28" t="n"/>
    </row>
    <row r="12" ht="30" customHeight="1" s="36">
      <c r="A12" s="17" t="n">
        <v>10</v>
      </c>
      <c r="B12" s="18" t="n"/>
      <c r="C12" s="17" t="n"/>
      <c r="D12" s="17" t="n"/>
      <c r="E12" s="17"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28" t="n"/>
    </row>
    <row r="13" ht="30" customHeight="1" s="36">
      <c r="A13" s="17" t="n">
        <v>11</v>
      </c>
      <c r="B13" s="18" t="n"/>
      <c r="C13" s="17" t="n"/>
      <c r="D13" s="17" t="n"/>
      <c r="E13" s="17"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28" t="n"/>
    </row>
    <row r="14" ht="30" customHeight="1" s="36">
      <c r="A14" s="17" t="n">
        <v>12</v>
      </c>
      <c r="B14" s="18" t="n"/>
      <c r="C14" s="17" t="n"/>
      <c r="D14" s="17" t="n"/>
      <c r="E14" s="17"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28" t="n"/>
    </row>
    <row r="15" ht="30" customHeight="1" s="36">
      <c r="A15" s="17" t="n">
        <v>13</v>
      </c>
      <c r="B15" s="18" t="n"/>
      <c r="C15" s="17" t="n"/>
      <c r="D15" s="17" t="n"/>
      <c r="E15" s="17"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28" t="n"/>
    </row>
    <row r="16" ht="30" customHeight="1" s="36">
      <c r="A16" s="17" t="n">
        <v>14</v>
      </c>
      <c r="B16" s="18" t="n"/>
      <c r="C16" s="17" t="n"/>
      <c r="D16" s="17" t="n"/>
      <c r="E16" s="17"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28" t="n"/>
    </row>
    <row r="17" ht="30" customHeight="1" s="36">
      <c r="A17" s="17" t="n">
        <v>15</v>
      </c>
      <c r="B17" s="18" t="n"/>
      <c r="C17" s="17" t="n"/>
      <c r="D17" s="17" t="n"/>
      <c r="E17" s="17"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28" t="n"/>
    </row>
    <row r="18" ht="30" customHeight="1" s="36">
      <c r="A18" s="17" t="n">
        <v>16</v>
      </c>
      <c r="B18" s="18" t="n"/>
      <c r="C18" s="17" t="n"/>
      <c r="D18" s="17" t="n"/>
      <c r="E18" s="17"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28" t="n"/>
    </row>
    <row r="19" ht="30" customHeight="1" s="36">
      <c r="A19" s="17" t="n">
        <v>17</v>
      </c>
      <c r="B19" s="18" t="n"/>
      <c r="C19" s="17" t="n"/>
      <c r="D19" s="17" t="n"/>
      <c r="E19" s="17"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28" t="n"/>
    </row>
    <row r="20" ht="30" customHeight="1" s="36">
      <c r="A20" s="17" t="n">
        <v>18</v>
      </c>
      <c r="B20" s="18" t="n"/>
      <c r="C20" s="17" t="n"/>
      <c r="D20" s="17" t="n"/>
      <c r="E20" s="17" t="n"/>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28" t="n"/>
    </row>
    <row r="21" ht="30" customHeight="1" s="36">
      <c r="A21" s="17" t="n">
        <v>19</v>
      </c>
      <c r="B21" s="18" t="n"/>
      <c r="C21" s="17" t="n"/>
      <c r="D21" s="17" t="n"/>
      <c r="E21" s="17" t="n"/>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28" t="n"/>
    </row>
    <row r="22" ht="30" customHeight="1" s="36">
      <c r="A22" s="17" t="n">
        <v>20</v>
      </c>
      <c r="B22" s="18" t="n"/>
      <c r="C22" s="17" t="n"/>
      <c r="D22" s="17" t="n"/>
      <c r="E22" s="17" t="n"/>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28" t="n"/>
    </row>
    <row r="23" ht="30" customHeight="1" s="36">
      <c r="A23" s="17" t="n">
        <v>21</v>
      </c>
      <c r="B23" s="18" t="n"/>
      <c r="C23" s="17" t="n"/>
      <c r="D23" s="17" t="n"/>
      <c r="E23" s="17" t="n"/>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28" t="n"/>
    </row>
    <row r="24" ht="30" customHeight="1" s="36">
      <c r="A24" s="17" t="n">
        <v>22</v>
      </c>
      <c r="B24" s="18" t="n"/>
      <c r="C24" s="17" t="n"/>
      <c r="D24" s="17" t="n"/>
      <c r="E24" s="17" t="n"/>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28" t="n"/>
    </row>
    <row r="25" ht="30" customHeight="1" s="36">
      <c r="A25" s="17" t="n">
        <v>23</v>
      </c>
      <c r="B25" s="18" t="n"/>
      <c r="C25" s="17" t="n"/>
      <c r="D25" s="17" t="n"/>
      <c r="E25" s="17" t="n"/>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28" t="n"/>
    </row>
    <row r="26" ht="30" customHeight="1" s="36">
      <c r="A26" s="17" t="n">
        <v>24</v>
      </c>
      <c r="B26" s="18" t="n"/>
      <c r="C26" s="17" t="n"/>
      <c r="D26" s="17" t="n"/>
      <c r="E26" s="17"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28" t="n"/>
    </row>
    <row r="27" ht="30" customHeight="1" s="36">
      <c r="A27" s="17" t="n">
        <v>25</v>
      </c>
      <c r="B27" s="18" t="n"/>
      <c r="C27" s="17" t="n"/>
      <c r="D27" s="17" t="n"/>
      <c r="E27" s="17"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28" t="n"/>
    </row>
    <row r="28" ht="30" customHeight="1" s="36">
      <c r="A28" s="17" t="n">
        <v>26</v>
      </c>
      <c r="B28" s="18" t="n"/>
      <c r="C28" s="17" t="n"/>
      <c r="D28" s="17" t="n"/>
      <c r="E28" s="17"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28" t="n"/>
    </row>
    <row r="29" ht="30" customHeight="1" s="36">
      <c r="A29" s="17" t="n">
        <v>27</v>
      </c>
      <c r="B29" s="18" t="n"/>
      <c r="C29" s="17" t="n"/>
      <c r="D29" s="17" t="n"/>
      <c r="E29" s="17"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28" t="n"/>
    </row>
    <row r="30" ht="30" customHeight="1" s="36">
      <c r="A30" s="17" t="n">
        <v>28</v>
      </c>
      <c r="B30" s="18" t="n"/>
      <c r="C30" s="17" t="n"/>
      <c r="D30" s="17" t="n"/>
      <c r="E30" s="17"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28" t="n"/>
    </row>
    <row r="31" ht="30" customHeight="1" s="36">
      <c r="A31" s="17" t="n">
        <v>29</v>
      </c>
      <c r="B31" s="18" t="n"/>
      <c r="C31" s="17" t="n"/>
      <c r="D31" s="17" t="n"/>
      <c r="E31" s="17"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28" t="n"/>
    </row>
    <row r="32" ht="30" customHeight="1" s="36">
      <c r="A32" s="17" t="n">
        <v>30</v>
      </c>
      <c r="B32" s="18" t="n"/>
      <c r="C32" s="17" t="n"/>
      <c r="D32" s="17" t="n"/>
      <c r="E32" s="17"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28" t="n"/>
    </row>
    <row r="33" ht="30" customHeight="1" s="36">
      <c r="A33" s="17" t="n">
        <v>31</v>
      </c>
      <c r="B33" s="18" t="n"/>
      <c r="C33" s="17" t="n"/>
      <c r="D33" s="17" t="n"/>
      <c r="E33" s="17"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28" t="n"/>
    </row>
    <row r="34" ht="30" customHeight="1" s="36">
      <c r="A34" s="17" t="n">
        <v>32</v>
      </c>
      <c r="B34" s="18" t="n"/>
      <c r="C34" s="17" t="n"/>
      <c r="D34" s="17" t="n"/>
      <c r="E34" s="17"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28" t="n"/>
    </row>
    <row r="35" ht="30" customHeight="1" s="36">
      <c r="A35" s="17" t="n">
        <v>33</v>
      </c>
      <c r="B35" s="18" t="n"/>
      <c r="C35" s="17" t="n"/>
      <c r="D35" s="17" t="n"/>
      <c r="E35" s="17"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28" t="n"/>
    </row>
    <row r="36" ht="30" customHeight="1" s="36">
      <c r="A36" s="17" t="n">
        <v>34</v>
      </c>
      <c r="B36" s="18" t="n"/>
      <c r="C36" s="17" t="n"/>
      <c r="D36" s="17" t="n"/>
      <c r="E36" s="17"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28" t="n"/>
    </row>
    <row r="37" ht="30" customHeight="1" s="36">
      <c r="A37" s="17" t="n">
        <v>35</v>
      </c>
      <c r="B37" s="18" t="n"/>
      <c r="C37" s="17" t="n"/>
      <c r="D37" s="17" t="n"/>
      <c r="E37" s="17"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28" t="n"/>
    </row>
    <row r="38" ht="30" customHeight="1" s="36">
      <c r="A38" s="17" t="n">
        <v>36</v>
      </c>
      <c r="B38" s="18" t="n"/>
      <c r="C38" s="17" t="n"/>
      <c r="D38" s="17" t="n"/>
      <c r="E38" s="17"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28" t="n"/>
    </row>
    <row r="39" ht="30" customHeight="1" s="36">
      <c r="A39" s="17" t="n">
        <v>37</v>
      </c>
      <c r="B39" s="18" t="n"/>
      <c r="C39" s="17" t="n"/>
      <c r="D39" s="17" t="n"/>
      <c r="E39" s="17"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28" t="n"/>
    </row>
    <row r="40" ht="30" customHeight="1" s="36">
      <c r="A40" s="17" t="n">
        <v>38</v>
      </c>
      <c r="B40" s="18" t="n"/>
      <c r="C40" s="17" t="n"/>
      <c r="D40" s="17" t="n"/>
      <c r="E40" s="17"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28" t="n"/>
    </row>
    <row r="41" ht="30" customHeight="1" s="36">
      <c r="A41" s="17" t="n">
        <v>39</v>
      </c>
      <c r="B41" s="18" t="n"/>
      <c r="C41" s="17" t="n"/>
      <c r="D41" s="17" t="n"/>
      <c r="E41" s="17"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28" t="n"/>
    </row>
    <row r="42" ht="30" customHeight="1" s="36">
      <c r="A42" s="17" t="n">
        <v>40</v>
      </c>
      <c r="B42" s="18" t="n"/>
      <c r="C42" s="17" t="n"/>
      <c r="D42" s="17" t="n"/>
      <c r="E42" s="17"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28" t="n"/>
    </row>
    <row r="43" ht="30" customHeight="1" s="36">
      <c r="A43" s="17" t="n">
        <v>41</v>
      </c>
      <c r="B43" s="18" t="n"/>
      <c r="C43" s="17" t="n"/>
      <c r="D43" s="17" t="n"/>
      <c r="E43" s="17"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28" t="n"/>
    </row>
    <row r="44" ht="30" customHeight="1" s="36">
      <c r="A44" s="17" t="n">
        <v>42</v>
      </c>
      <c r="B44" s="18" t="n"/>
      <c r="C44" s="17" t="n"/>
      <c r="D44" s="17" t="n"/>
      <c r="E44" s="17"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28" t="n"/>
    </row>
    <row r="45" ht="30" customHeight="1" s="36">
      <c r="A45" s="17" t="n">
        <v>43</v>
      </c>
      <c r="B45" s="18" t="n"/>
      <c r="C45" s="17" t="n"/>
      <c r="D45" s="17" t="n"/>
      <c r="E45" s="17"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28" t="n"/>
    </row>
    <row r="46" ht="30" customHeight="1" s="36">
      <c r="A46" s="17" t="n">
        <v>44</v>
      </c>
      <c r="B46" s="18" t="n"/>
      <c r="C46" s="17" t="n"/>
      <c r="D46" s="17" t="n"/>
      <c r="E46" s="17"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28" t="n"/>
    </row>
    <row r="47" ht="30" customHeight="1" s="36">
      <c r="A47" s="17" t="n">
        <v>45</v>
      </c>
      <c r="B47" s="18" t="n"/>
      <c r="C47" s="17" t="n"/>
      <c r="D47" s="17" t="n"/>
      <c r="E47" s="17"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28" t="n"/>
    </row>
    <row r="48" ht="30" customHeight="1" s="36">
      <c r="A48" s="17" t="n">
        <v>46</v>
      </c>
      <c r="B48" s="18" t="n"/>
      <c r="C48" s="17" t="n"/>
      <c r="D48" s="17" t="n"/>
      <c r="E48" s="17"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28" t="n"/>
    </row>
    <row r="49" ht="30" customHeight="1" s="36">
      <c r="A49" s="17" t="n">
        <v>47</v>
      </c>
      <c r="B49" s="18" t="n"/>
      <c r="C49" s="17" t="n"/>
      <c r="D49" s="17" t="n"/>
      <c r="E49" s="17"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28" t="n"/>
    </row>
    <row r="50" ht="30" customHeight="1" s="36">
      <c r="A50" s="17" t="n">
        <v>48</v>
      </c>
      <c r="B50" s="18" t="n"/>
      <c r="C50" s="17" t="n"/>
      <c r="D50" s="17" t="n"/>
      <c r="E50" s="17"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28" t="n"/>
    </row>
    <row r="51" ht="30" customHeight="1" s="36">
      <c r="A51" s="17" t="n">
        <v>49</v>
      </c>
      <c r="B51" s="18" t="n"/>
      <c r="C51" s="17" t="n"/>
      <c r="D51" s="17" t="n"/>
      <c r="E51" s="17"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28" t="n"/>
    </row>
    <row r="52" ht="30" customHeight="1" s="36">
      <c r="A52" s="17" t="n">
        <v>50</v>
      </c>
      <c r="B52" s="18" t="n"/>
      <c r="C52" s="17" t="n"/>
      <c r="D52" s="17" t="n"/>
      <c r="E52" s="17"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28" t="n"/>
    </row>
    <row r="53" ht="30" customHeight="1" s="36">
      <c r="A53" s="17" t="n">
        <v>51</v>
      </c>
      <c r="B53" s="18" t="n"/>
      <c r="C53" s="17" t="n"/>
      <c r="D53" s="17" t="n"/>
      <c r="E53" s="17"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28" t="n"/>
    </row>
    <row r="54" ht="30" customHeight="1" s="36">
      <c r="A54" s="17" t="n">
        <v>52</v>
      </c>
      <c r="B54" s="18" t="n"/>
      <c r="C54" s="17" t="n"/>
      <c r="D54" s="17" t="n"/>
      <c r="E54" s="17"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28" t="n"/>
    </row>
    <row r="55" ht="30" customHeight="1" s="36">
      <c r="A55" s="17" t="n">
        <v>53</v>
      </c>
      <c r="B55" s="18" t="n"/>
      <c r="C55" s="17" t="n"/>
      <c r="D55" s="17" t="n"/>
      <c r="E55" s="17"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28" t="n"/>
    </row>
    <row r="56" ht="30" customHeight="1" s="36">
      <c r="A56" s="17" t="n">
        <v>54</v>
      </c>
      <c r="B56" s="18" t="n"/>
      <c r="C56" s="17" t="n"/>
      <c r="D56" s="17" t="n"/>
      <c r="E56" s="17"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28" t="n"/>
    </row>
    <row r="57" ht="30" customHeight="1" s="36">
      <c r="A57" s="17" t="n">
        <v>55</v>
      </c>
      <c r="B57" s="18" t="n"/>
      <c r="C57" s="17" t="n"/>
      <c r="D57" s="17" t="n"/>
      <c r="E57" s="17"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28" t="n"/>
    </row>
    <row r="58" ht="30" customHeight="1" s="36">
      <c r="A58" s="17" t="n">
        <v>56</v>
      </c>
      <c r="B58" s="18" t="n"/>
      <c r="C58" s="17" t="n"/>
      <c r="D58" s="17" t="n"/>
      <c r="E58" s="17"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28" t="n"/>
    </row>
    <row r="59" ht="30" customHeight="1" s="36">
      <c r="A59" s="17" t="n">
        <v>57</v>
      </c>
      <c r="B59" s="18" t="n"/>
      <c r="C59" s="17" t="n"/>
      <c r="D59" s="17" t="n"/>
      <c r="E59" s="17"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28" t="n"/>
    </row>
    <row r="60" ht="30" customHeight="1" s="36">
      <c r="A60" s="17" t="n">
        <v>58</v>
      </c>
      <c r="B60" s="18" t="n"/>
      <c r="C60" s="17" t="n"/>
      <c r="D60" s="17" t="n"/>
      <c r="E60" s="17"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28" t="n"/>
    </row>
    <row r="61" ht="30" customHeight="1" s="36">
      <c r="A61" s="17" t="n">
        <v>59</v>
      </c>
      <c r="B61" s="18" t="n"/>
      <c r="C61" s="17" t="n"/>
      <c r="D61" s="17" t="n"/>
      <c r="E61" s="17"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28" t="n"/>
    </row>
    <row r="62" ht="30" customHeight="1" s="36">
      <c r="A62" s="17" t="n">
        <v>60</v>
      </c>
      <c r="B62" s="18" t="n"/>
      <c r="C62" s="17" t="n"/>
      <c r="D62" s="17" t="n"/>
      <c r="E62" s="17"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28" t="n"/>
    </row>
    <row r="63" ht="30" customHeight="1" s="36">
      <c r="A63" s="17" t="n">
        <v>61</v>
      </c>
      <c r="B63" s="18" t="n"/>
      <c r="C63" s="17" t="n"/>
      <c r="D63" s="17" t="n"/>
      <c r="E63" s="17"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28" t="n"/>
    </row>
    <row r="64" ht="30" customHeight="1" s="36">
      <c r="A64" s="17" t="n">
        <v>62</v>
      </c>
      <c r="B64" s="18" t="n"/>
      <c r="C64" s="17" t="n"/>
      <c r="D64" s="17" t="n"/>
      <c r="E64" s="17"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28" t="n"/>
    </row>
    <row r="65" ht="30" customHeight="1" s="36">
      <c r="A65" s="17" t="n">
        <v>63</v>
      </c>
      <c r="B65" s="18" t="n"/>
      <c r="C65" s="17" t="n"/>
      <c r="D65" s="17" t="n"/>
      <c r="E65" s="17"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28" t="n"/>
    </row>
    <row r="66" ht="30" customHeight="1" s="36">
      <c r="A66" s="17" t="n">
        <v>64</v>
      </c>
      <c r="B66" s="18" t="n"/>
      <c r="C66" s="17" t="n"/>
      <c r="D66" s="17" t="n"/>
      <c r="E66" s="17"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28" t="n"/>
    </row>
    <row r="67" ht="30" customHeight="1" s="36">
      <c r="A67" s="17" t="n">
        <v>65</v>
      </c>
      <c r="B67" s="18" t="n"/>
      <c r="C67" s="17" t="n"/>
      <c r="D67" s="17" t="n"/>
      <c r="E67" s="17"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28" t="n"/>
    </row>
    <row r="68" ht="30" customHeight="1" s="36">
      <c r="A68" s="17" t="n">
        <v>66</v>
      </c>
      <c r="B68" s="18" t="n"/>
      <c r="C68" s="17" t="n"/>
      <c r="D68" s="17" t="n"/>
      <c r="E68" s="17"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28" t="n"/>
    </row>
    <row r="69" ht="30" customHeight="1" s="36">
      <c r="A69" s="17" t="n">
        <v>67</v>
      </c>
      <c r="B69" s="18" t="n"/>
      <c r="C69" s="17" t="n"/>
      <c r="D69" s="17" t="n"/>
      <c r="E69" s="17"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28" t="n"/>
    </row>
    <row r="70" ht="30" customHeight="1" s="36">
      <c r="A70" s="17" t="n">
        <v>68</v>
      </c>
      <c r="B70" s="18" t="n"/>
      <c r="C70" s="17" t="n"/>
      <c r="D70" s="17" t="n"/>
      <c r="E70" s="17"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28" t="n"/>
    </row>
    <row r="71" ht="30" customHeight="1" s="36">
      <c r="A71" s="17" t="n">
        <v>69</v>
      </c>
      <c r="B71" s="18" t="n"/>
      <c r="C71" s="17" t="n"/>
      <c r="D71" s="17" t="n"/>
      <c r="E71" s="17"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28" t="n"/>
    </row>
    <row r="72" ht="30" customHeight="1" s="36">
      <c r="A72" s="17" t="n">
        <v>70</v>
      </c>
      <c r="B72" s="18" t="n"/>
      <c r="C72" s="17" t="n"/>
      <c r="D72" s="17" t="n"/>
      <c r="E72" s="17"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28" t="n"/>
    </row>
    <row r="73" ht="30" customHeight="1" s="36">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ht="30" customHeight="1" s="36">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4" t="inlineStr">
        <is>
          <t>Object Gold</t>
        </is>
      </c>
      <c r="B1" s="44" t="inlineStr">
        <is>
          <t>Profile</t>
        </is>
      </c>
      <c r="C1" s="44" t="inlineStr">
        <is>
          <t>Mã</t>
        </is>
      </c>
      <c r="D1" s="44" t="inlineStr">
        <is>
          <t>Nhóm</t>
        </is>
      </c>
      <c r="E1" s="44" t="inlineStr">
        <is>
          <t>Tiêu chí</t>
        </is>
      </c>
      <c r="F1" s="44" t="inlineStr">
        <is>
          <t>Kết quả máy</t>
        </is>
      </c>
      <c r="G1" s="44" t="inlineStr">
        <is>
          <t>Ghi vào Excel</t>
        </is>
      </c>
      <c r="H1" s="44" t="inlineStr">
        <is>
          <t>Bằng chứng / số dòng</t>
        </is>
      </c>
      <c r="I1" s="44" t="inlineStr">
        <is>
          <t>Cách sửa</t>
        </is>
      </c>
      <c r="J1" s="44" t="inlineStr">
        <is>
          <t>File</t>
        </is>
      </c>
    </row>
    <row r="2">
      <c r="A2" s="45" t="inlineStr">
        <is>
          <t>TCKH.CB_OU_DIM</t>
        </is>
      </c>
      <c r="B2" s="45" t="inlineStr">
        <is>
          <t>SILVER_CONSUMER</t>
        </is>
      </c>
      <c r="C2" s="45" t="inlineStr">
        <is>
          <t>2.6</t>
        </is>
      </c>
      <c r="D2" s="45" t="inlineStr">
        <is>
          <t>Nhom 2 - Logic</t>
        </is>
      </c>
      <c r="E2" s="45" t="inlineStr">
        <is>
          <t>SCD Type 2 cho bảng DIM áp dụng đúng kỹ thuật đã thống nhất</t>
        </is>
      </c>
      <c r="F2" s="46" t="inlineStr">
        <is>
          <t>PASS</t>
        </is>
      </c>
      <c r="G2" s="45" t="inlineStr">
        <is>
          <t>Pass</t>
        </is>
      </c>
      <c r="H2" s="47" t="inlineStr">
        <is>
          <t>có cột hiệu lực và không dùng MAX(ID)+ROW_NUMBER</t>
        </is>
      </c>
      <c r="I2" s="47"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 s="45" t="inlineStr">
        <is>
          <t>C:\Users\Admin\AppData\Local\Temp\claude\c--ZoneC-DEV-zonec-datamart\addd5e70-9a0f-42dc-9fa3-868e913b8238\scratchpad\cb_ou_dim_new.sql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2026-08-11T08:59:47Z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