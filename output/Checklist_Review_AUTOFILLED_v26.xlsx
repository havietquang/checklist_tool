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omments/comment1.xml" ContentType="application/vnd.openxmlformats-officedocument.spreadsheetml.comments+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0" yWindow="300" windowWidth="19420" windowHeight="10420" tabRatio="500" firstSheet="0" activeTab="1" autoFilterDateGrouping="1"/>
  </bookViews>
  <sheets>
    <sheet xmlns:r="http://schemas.openxmlformats.org/officeDocument/2006/relationships" name="Hướng dẫn" sheetId="1" state="visible" r:id="rId1"/>
    <sheet xmlns:r="http://schemas.openxmlformats.org/officeDocument/2006/relationships" name="Checklist tiêu chí" sheetId="2" state="visible" r:id="rId2"/>
    <sheet xmlns:r="http://schemas.openxmlformats.org/officeDocument/2006/relationships" name="Review theo bảng" sheetId="3" state="visible" r:id="rId3"/>
    <sheet xmlns:r="http://schemas.openxmlformats.org/officeDocument/2006/relationships" name="Tổng hợp Dashboard" sheetId="4" state="visible" r:id="rId4"/>
    <sheet xmlns:r="http://schemas.openxmlformats.org/officeDocument/2006/relationships" name="Auto-check chi tiết" sheetId="5" state="visible" r:id="rId5"/>
  </sheets>
  <definedNames/>
  <calcPr calcId="191029" fullCalcOnLoad="1"/>
</workbook>
</file>

<file path=xl/styles.xml><?xml version="1.0" encoding="utf-8"?>
<styleSheet xmlns="http://schemas.openxmlformats.org/spreadsheetml/2006/main">
  <numFmts count="1">
    <numFmt numFmtId="164" formatCode="0.0%"/>
  </numFmts>
  <fonts count="17">
    <font>
      <name val="Calibri"/>
      <charset val="1"/>
      <family val="2"/>
      <color theme="1"/>
      <sz val="11"/>
    </font>
    <font>
      <name val="Arial"/>
      <family val="2"/>
      <sz val="10"/>
    </font>
    <font>
      <name val="Arial"/>
      <family val="2"/>
      <b val="1"/>
      <color rgb="FF000080"/>
      <sz val="14"/>
    </font>
    <font>
      <name val="Arial"/>
      <family val="2"/>
      <b val="1"/>
      <color rgb="FF0069BA"/>
      <sz val="12"/>
    </font>
    <font>
      <name val="Arial"/>
      <family val="2"/>
      <color rgb="FF000000"/>
      <sz val="11"/>
    </font>
    <font>
      <name val="Arial"/>
      <family val="2"/>
      <b val="1"/>
      <color rgb="FFFFFFFF"/>
      <sz val="11"/>
    </font>
    <font>
      <name val="Arial"/>
      <family val="2"/>
      <sz val="11"/>
    </font>
    <font>
      <name val="Arial"/>
      <family val="2"/>
      <b val="1"/>
      <color rgb="FFFFFFFF"/>
      <sz val="10"/>
    </font>
    <font>
      <name val="Arial"/>
      <family val="2"/>
      <b val="1"/>
      <color rgb="FFFFFFFF"/>
      <sz val="9"/>
    </font>
    <font>
      <name val="Arial"/>
      <family val="2"/>
      <b val="1"/>
      <sz val="10"/>
    </font>
    <font>
      <name val="Arial"/>
      <family val="2"/>
      <b val="1"/>
      <sz val="11"/>
    </font>
    <font>
      <name val="Arial"/>
      <family val="2"/>
      <i val="1"/>
      <color rgb="FF595959"/>
      <sz val="10"/>
    </font>
    <font>
      <name val="Arial"/>
      <sz val="11"/>
    </font>
    <font>
      <name val="Arial"/>
      <b val="1"/>
      <color rgb="FFFFFFFF"/>
      <sz val="11"/>
    </font>
    <font>
      <name val="Arial"/>
      <b val="1"/>
      <color rgb="FF1FBA00"/>
      <sz val="11"/>
    </font>
    <font>
      <name val="Arial"/>
      <b val="1"/>
      <color rgb="FF0069BA"/>
      <sz val="11"/>
    </font>
    <font>
      <name val="Arial"/>
      <b val="1"/>
      <color rgb="FF000080"/>
      <sz val="11"/>
    </font>
  </fonts>
  <fills count="9">
    <fill>
      <patternFill/>
    </fill>
    <fill>
      <patternFill patternType="gray125"/>
    </fill>
    <fill>
      <patternFill patternType="solid">
        <fgColor rgb="FF000080"/>
        <bgColor rgb="FF000080"/>
      </patternFill>
    </fill>
    <fill>
      <patternFill patternType="solid">
        <fgColor rgb="FFDCE6F1"/>
        <bgColor rgb="FFE7E6E6"/>
      </patternFill>
    </fill>
    <fill>
      <patternFill patternType="solid">
        <fgColor rgb="FFFDE9D9"/>
        <bgColor rgb="FFFFF2CC"/>
      </patternFill>
    </fill>
    <fill>
      <patternFill patternType="solid">
        <fgColor rgb="FFE2EFDA"/>
        <bgColor rgb="FFE7E6E6"/>
      </patternFill>
    </fill>
    <fill>
      <patternFill patternType="solid">
        <fgColor rgb="FF0069BA"/>
        <bgColor rgb="FF008080"/>
      </patternFill>
    </fill>
    <fill>
      <patternFill patternType="solid">
        <fgColor rgb="FFFFF2CC"/>
        <bgColor rgb="FFFDE9D9"/>
      </patternFill>
    </fill>
    <fill>
      <patternFill patternType="solid">
        <fgColor rgb="FF000080"/>
      </patternFill>
    </fill>
  </fills>
  <borders count="9">
    <border>
      <left/>
      <right/>
      <top/>
      <bottom/>
      <diagonal/>
    </border>
    <border>
      <left style="thin">
        <color rgb="FFBFBFBF"/>
      </left>
      <right style="thin">
        <color rgb="FFBFBFBF"/>
      </right>
      <top style="thin">
        <color rgb="FFBFBFBF"/>
      </top>
      <bottom style="thin">
        <color rgb="FFBFBFBF"/>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
      <left style="thin">
        <color rgb="FFBFBFBF"/>
      </left>
      <right style="thin">
        <color rgb="FFBFBFBF"/>
      </right>
      <top/>
      <bottom style="thin">
        <color rgb="FFBFBFBF"/>
      </bottom>
      <diagonal/>
    </border>
    <border>
      <left/>
      <right/>
      <top style="thin">
        <color rgb="FFBFBFBF"/>
      </top>
      <bottom/>
      <diagonal/>
    </border>
    <border>
      <left/>
      <right style="thin">
        <color rgb="FFBFBFBF"/>
      </right>
      <top style="thin">
        <color rgb="FFBFBFBF"/>
      </top>
      <bottom/>
      <diagonal/>
    </border>
    <border>
      <left style="thin">
        <color rgb="FFBFBFBF"/>
      </left>
      <right/>
      <top/>
      <bottom/>
      <diagonal/>
    </border>
    <border>
      <left style="thin">
        <color rgb="FFBFBFBF"/>
      </left>
      <right style="thin">
        <color rgb="FFBFBFBF"/>
      </right>
      <top/>
      <bottom/>
      <diagonal/>
    </border>
  </borders>
  <cellStyleXfs count="1">
    <xf numFmtId="0" fontId="0" fillId="0" borderId="0"/>
  </cellStyleXfs>
  <cellXfs count="53">
    <xf numFmtId="0" fontId="0" fillId="0" borderId="0" pivotButton="0" quotePrefix="0" xfId="0"/>
    <xf numFmtId="0" fontId="3" fillId="0" borderId="0" pivotButton="0" quotePrefix="0" xfId="0"/>
    <xf numFmtId="0" fontId="4" fillId="0" borderId="0" applyAlignment="1" pivotButton="0" quotePrefix="0" xfId="0">
      <alignment vertical="top" wrapText="1"/>
    </xf>
    <xf numFmtId="0" fontId="5" fillId="2" borderId="1" applyAlignment="1" pivotButton="0" quotePrefix="0" xfId="0">
      <alignment horizontal="center" vertical="center" wrapText="1"/>
    </xf>
    <xf numFmtId="0" fontId="6" fillId="3" borderId="1" applyAlignment="1" pivotButton="0" quotePrefix="0" xfId="0">
      <alignment horizontal="left" vertical="top" wrapText="1"/>
    </xf>
    <xf numFmtId="9" fontId="6" fillId="3" borderId="1" applyAlignment="1" pivotButton="0" quotePrefix="0" xfId="0">
      <alignment horizontal="center" vertical="top"/>
    </xf>
    <xf numFmtId="0" fontId="6" fillId="3" borderId="1" applyAlignment="1" pivotButton="0" quotePrefix="0" xfId="0">
      <alignment horizontal="center" vertical="top"/>
    </xf>
    <xf numFmtId="0" fontId="6" fillId="4" borderId="1" applyAlignment="1" pivotButton="0" quotePrefix="0" xfId="0">
      <alignment horizontal="left" vertical="top" wrapText="1"/>
    </xf>
    <xf numFmtId="9" fontId="6" fillId="4" borderId="1" applyAlignment="1" pivotButton="0" quotePrefix="0" xfId="0">
      <alignment horizontal="center" vertical="top"/>
    </xf>
    <xf numFmtId="0" fontId="6" fillId="4" borderId="1" applyAlignment="1" pivotButton="0" quotePrefix="0" xfId="0">
      <alignment horizontal="center" vertical="top"/>
    </xf>
    <xf numFmtId="0" fontId="6" fillId="5" borderId="1" applyAlignment="1" pivotButton="0" quotePrefix="0" xfId="0">
      <alignment horizontal="left" vertical="top" wrapText="1"/>
    </xf>
    <xf numFmtId="9" fontId="6" fillId="5" borderId="1" applyAlignment="1" pivotButton="0" quotePrefix="0" xfId="0">
      <alignment horizontal="center" vertical="top"/>
    </xf>
    <xf numFmtId="0" fontId="6" fillId="5" borderId="1" applyAlignment="1" pivotButton="0" quotePrefix="0" xfId="0">
      <alignment horizontal="center" vertical="top"/>
    </xf>
    <xf numFmtId="0" fontId="8" fillId="6" borderId="1" applyAlignment="1" pivotButton="0" quotePrefix="0" xfId="0">
      <alignment horizontal="center" vertical="center" wrapText="1"/>
    </xf>
    <xf numFmtId="0" fontId="8" fillId="2" borderId="1" applyAlignment="1" pivotButton="0" quotePrefix="0" xfId="0">
      <alignment horizontal="center" vertical="center" wrapText="1"/>
    </xf>
    <xf numFmtId="0" fontId="0" fillId="7" borderId="0" pivotButton="0" quotePrefix="0" xfId="0"/>
    <xf numFmtId="0" fontId="9" fillId="7" borderId="1" applyAlignment="1" pivotButton="0" quotePrefix="0" xfId="0">
      <alignment horizontal="center" vertical="center"/>
    </xf>
    <xf numFmtId="0" fontId="6" fillId="0" borderId="1" applyAlignment="1" pivotButton="0" quotePrefix="0" xfId="0">
      <alignment horizontal="center" vertical="center" wrapText="1"/>
    </xf>
    <xf numFmtId="0" fontId="6" fillId="0" borderId="1" applyAlignment="1" pivotButton="0" quotePrefix="0" xfId="0">
      <alignment horizontal="left" vertical="center" wrapText="1"/>
    </xf>
    <xf numFmtId="0" fontId="9" fillId="0" borderId="1" applyAlignment="1" pivotButton="0" quotePrefix="0" xfId="0">
      <alignment horizontal="center" vertical="center"/>
    </xf>
    <xf numFmtId="9" fontId="6" fillId="0" borderId="1" applyAlignment="1" pivotButton="0" quotePrefix="0" xfId="0">
      <alignment horizontal="center" vertical="center" wrapText="1"/>
    </xf>
    <xf numFmtId="164" fontId="6" fillId="0" borderId="1" applyAlignment="1" pivotButton="0" quotePrefix="0" xfId="0">
      <alignment horizontal="center" vertical="center" wrapText="1"/>
    </xf>
    <xf numFmtId="0" fontId="10" fillId="0" borderId="1" applyAlignment="1" pivotButton="0" quotePrefix="0" xfId="0">
      <alignment horizontal="center" vertical="center" wrapText="1"/>
    </xf>
    <xf numFmtId="0" fontId="0" fillId="7" borderId="0" applyAlignment="1" pivotButton="0" quotePrefix="0" xfId="0">
      <alignment horizontal="center" vertical="center"/>
    </xf>
    <xf numFmtId="0" fontId="1" fillId="7" borderId="1" applyAlignment="1" pivotButton="0" quotePrefix="0" xfId="0">
      <alignment horizontal="center" vertical="center"/>
    </xf>
    <xf numFmtId="164" fontId="1" fillId="7" borderId="1" applyAlignment="1" pivotButton="0" quotePrefix="0" xfId="0">
      <alignment horizontal="center" vertical="center"/>
    </xf>
    <xf numFmtId="0" fontId="1" fillId="0" borderId="1" applyAlignment="1" pivotButton="0" quotePrefix="0" xfId="0">
      <alignment horizontal="center" vertical="center"/>
    </xf>
    <xf numFmtId="164" fontId="1" fillId="0" borderId="1" applyAlignment="1" pivotButton="0" quotePrefix="0" xfId="0">
      <alignment horizontal="center" vertical="center"/>
    </xf>
    <xf numFmtId="0" fontId="1" fillId="0" borderId="1" applyAlignment="1" pivotButton="0" quotePrefix="0" xfId="0">
      <alignment horizontal="left" vertical="center" wrapText="1"/>
    </xf>
    <xf numFmtId="0" fontId="2" fillId="0" borderId="0" applyAlignment="1" pivotButton="0" quotePrefix="0" xfId="0">
      <alignment vertical="center" wrapText="1"/>
    </xf>
    <xf numFmtId="0" fontId="7" fillId="6" borderId="1" applyAlignment="1" pivotButton="0" quotePrefix="0" xfId="0">
      <alignment horizontal="center" vertical="center" wrapText="1"/>
    </xf>
    <xf numFmtId="0" fontId="0" fillId="0" borderId="2" pivotButton="0" quotePrefix="0" xfId="0"/>
    <xf numFmtId="0" fontId="0" fillId="0" borderId="3" pivotButton="0" quotePrefix="0" xfId="0"/>
    <xf numFmtId="0" fontId="7" fillId="2" borderId="1" applyAlignment="1" pivotButton="0" quotePrefix="0" xfId="0">
      <alignment horizontal="center" vertical="center" wrapText="1"/>
    </xf>
    <xf numFmtId="0" fontId="0" fillId="0" borderId="4" pivotButton="0" quotePrefix="0" xfId="0"/>
    <xf numFmtId="0" fontId="11" fillId="0" borderId="0" applyAlignment="1" pivotButton="0" quotePrefix="0" xfId="0">
      <alignment vertical="top" wrapText="1"/>
    </xf>
    <xf numFmtId="0" fontId="0" fillId="0" borderId="0" pivotButton="0" quotePrefix="0" xfId="0"/>
    <xf numFmtId="0" fontId="2" fillId="0" borderId="0" pivotButton="0" quotePrefix="0" xfId="0"/>
    <xf numFmtId="0" fontId="6" fillId="3" borderId="1" applyAlignment="1" pivotButton="0" quotePrefix="0" xfId="0">
      <alignment horizontal="left" vertical="top"/>
    </xf>
    <xf numFmtId="0" fontId="0" fillId="0" borderId="0" applyAlignment="1" pivotButton="0" quotePrefix="0" xfId="0">
      <alignment horizontal="center" vertical="center"/>
    </xf>
    <xf numFmtId="0" fontId="0" fillId="0" borderId="1" applyAlignment="1" pivotButton="0" quotePrefix="0" xfId="0">
      <alignment horizontal="center" vertical="center"/>
    </xf>
    <xf numFmtId="0" fontId="0" fillId="0" borderId="1" pivotButton="0" quotePrefix="0" xfId="0"/>
    <xf numFmtId="0" fontId="12" fillId="0" borderId="1" pivotButton="0" quotePrefix="0" xfId="0"/>
    <xf numFmtId="0" fontId="12" fillId="0" borderId="1" applyAlignment="1" pivotButton="0" quotePrefix="0" xfId="0">
      <alignment vertical="top" wrapText="1"/>
    </xf>
    <xf numFmtId="0" fontId="12" fillId="0" borderId="1" applyAlignment="1" pivotButton="0" quotePrefix="0" xfId="0">
      <alignment horizontal="left" vertical="center" wrapText="1"/>
    </xf>
    <xf numFmtId="0" fontId="12" fillId="0" borderId="1" applyAlignment="1" pivotButton="0" quotePrefix="0" xfId="0">
      <alignment horizontal="center" vertical="center" wrapText="1"/>
    </xf>
    <xf numFmtId="0" fontId="12" fillId="0" borderId="1" applyAlignment="1" pivotButton="0" quotePrefix="0" xfId="0">
      <alignment horizontal="center" vertical="center"/>
    </xf>
    <xf numFmtId="0" fontId="13" fillId="8" borderId="0" applyAlignment="1" pivotButton="0" quotePrefix="0" xfId="0">
      <alignment vertical="center" wrapText="1"/>
    </xf>
    <xf numFmtId="0" fontId="12" fillId="0" borderId="0" applyAlignment="1" pivotButton="0" quotePrefix="0" xfId="0">
      <alignment vertical="top"/>
    </xf>
    <xf numFmtId="0" fontId="14" fillId="0" borderId="0" applyAlignment="1" pivotButton="0" quotePrefix="0" xfId="0">
      <alignment vertical="top"/>
    </xf>
    <xf numFmtId="0" fontId="12" fillId="0" borderId="0" applyAlignment="1" pivotButton="0" quotePrefix="0" xfId="0">
      <alignment vertical="top" wrapText="1"/>
    </xf>
    <xf numFmtId="0" fontId="15" fillId="0" borderId="0" applyAlignment="1" pivotButton="0" quotePrefix="0" xfId="0">
      <alignment vertical="top"/>
    </xf>
    <xf numFmtId="0" fontId="16" fillId="0" borderId="0" applyAlignment="1" pivotButton="0" quotePrefix="0" xfId="0">
      <alignment vertical="top"/>
    </xf>
  </cellXfs>
  <cellStyles count="1">
    <cellStyle name="Bình thường" xfId="0" builtinId="0"/>
  </cellStyles>
  <dxfs count="13">
    <dxf>
      <fill>
        <patternFill>
          <bgColor rgb="FFC6EFCE"/>
        </patternFill>
      </fill>
    </dxf>
    <dxf>
      <fill>
        <patternFill>
          <bgColor rgb="FFFFC7CE"/>
        </patternFill>
      </fill>
    </dxf>
    <dxf>
      <font>
        <name val="Arial"/>
        <charset val="1"/>
        <b val="1"/>
        <color rgb="FF006100"/>
      </font>
      <fill>
        <patternFill>
          <bgColor rgb="FFC6EFCE"/>
        </patternFill>
      </fill>
    </dxf>
    <dxf>
      <font>
        <name val="Arial"/>
        <charset val="1"/>
        <b val="1"/>
        <color rgb="FF9C0006"/>
      </font>
      <fill>
        <patternFill>
          <bgColor rgb="FFFFC7CE"/>
        </patternFill>
      </fill>
    </dxf>
    <dxf>
      <fill>
        <patternFill>
          <bgColor rgb="FFE7E6E6"/>
        </patternFill>
      </fill>
    </dxf>
    <dxf>
      <fill>
        <patternFill>
          <bgColor rgb="FFC6EFCE"/>
        </patternFill>
      </fill>
    </dxf>
    <dxf>
      <fill>
        <patternFill>
          <bgColor rgb="FFFFC7CE"/>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ont>
        <color rgb="FF3F3F3F"/>
      </font>
      <fill>
        <patternFill patternType="solid">
          <fgColor rgb="FFD9D9D9"/>
          <bgColor rgb="FFD9D9D9"/>
        </patternFill>
      </fill>
    </dxf>
    <dxf>
      <font>
        <b val="1"/>
        <color rgb="FF9C0006"/>
      </font>
      <fill>
        <patternFill patternType="solid">
          <fgColor rgb="FFFFC7CE"/>
          <bgColor rgb="FFFFC7CE"/>
        </patternFill>
      </fill>
    </dxf>
    <dxf>
      <font>
        <b val="1"/>
        <color rgb="FF006100"/>
      </font>
      <fill>
        <patternFill patternType="solid">
          <fgColor rgb="FFC6EFCE"/>
          <bgColor rgb="FFC6EFCE"/>
        </patternFill>
      </fill>
    </dxf>
    <dxf>
      <font>
        <b val="1"/>
        <color rgb="FF9C6500"/>
      </font>
      <fill>
        <patternFill patternType="solid">
          <fgColor rgb="FFFFF2CC"/>
          <bgColor rgb="FFFFF2CC"/>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6100"/>
      <rgbColor rgb="FF000080"/>
      <rgbColor rgb="FF808000"/>
      <rgbColor rgb="FF800080"/>
      <rgbColor rgb="FF008080"/>
      <rgbColor rgb="FFBFBFBF"/>
      <rgbColor rgb="FF808080"/>
      <rgbColor rgb="FF9999FF"/>
      <rgbColor rgb="FF993366"/>
      <rgbColor rgb="FFFFF2CC"/>
      <rgbColor rgb="FFE2EFDA"/>
      <rgbColor rgb="FF660066"/>
      <rgbColor rgb="FFFF8080"/>
      <rgbColor rgb="FF0069BA"/>
      <rgbColor rgb="FFE7E6E6"/>
      <rgbColor rgb="FF000080"/>
      <rgbColor rgb="FFFF00FF"/>
      <rgbColor rgb="FFFFFF00"/>
      <rgbColor rgb="FF00FFFF"/>
      <rgbColor rgb="FF800080"/>
      <rgbColor rgb="FF800000"/>
      <rgbColor rgb="FF008080"/>
      <rgbColor rgb="FF0000FF"/>
      <rgbColor rgb="FF00CCFF"/>
      <rgbColor rgb="FFDCE6F1"/>
      <rgbColor rgb="FFC6EFCE"/>
      <rgbColor rgb="FFFDE9D9"/>
      <rgbColor rgb="FF99CCFF"/>
      <rgbColor rgb="FFFF99CC"/>
      <rgbColor rgb="FFCC99FF"/>
      <rgbColor rgb="FFFFC7CE"/>
      <rgbColor rgb="FF3366FF"/>
      <rgbColor rgb="FF33CCCC"/>
      <rgbColor rgb="FF99CC00"/>
      <rgbColor rgb="FFFFCC00"/>
      <rgbColor rgb="FFFF9900"/>
      <rgbColor rgb="FFFF6600"/>
      <rgbColor rgb="FF59595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comments/comment1.xml><?xml version="1.0" encoding="utf-8"?>
<comments xmlns="http://schemas.openxmlformats.org/spreadsheetml/2006/main">
  <authors>
    <author>Unknown Author</author>
  </authors>
  <commentList>
    <comment ref="F2" authorId="0" shapeId="0">
      <text>
        <t>Đầy đủ mapping từ tất cả layer nguồn (Silver/manual) sang Gold, không thiếu cột/bảng nguồn theo tài liệu mapping.</t>
      </text>
    </comment>
    <comment ref="G2" authorId="0" shapeId="0">
      <text>
        <t>Tổng số dòng và tổng SUM các cột số đối chiếu khớp với hệ thống on-prem/cũ, chênh lệch phải giải trình được.</t>
      </text>
    </comment>
    <comment ref="H2" authorId="0" shapeId="0">
      <text>
        <t>Danh sách bảng/view Gold khớp với danh sách trong tài liệu thiết kế mapping đã duyệt.</t>
      </text>
    </comment>
    <comment ref="I2" authorId="0" shapeId="0">
      <text>
        <t>Chỉ lấy các bản ghi active (cdc_status active), loại bản ghi đã xóa (cdc_status='D') trừ khi có yêu cầu nghiệp vụ khác kèm giải trình.</t>
      </text>
    </comment>
    <comment ref="J2" authorId="0" shapeId="0">
      <text>
        <t>Áp dụng thống nhất MỘT pattern xác định bản ghi active mới nhất cho toàn bộ các bảng, không có 2 cách viết khác nhau cho cùng 1 logic.</t>
      </text>
    </comment>
    <comment ref="K2" authorId="0" shapeId="0">
      <text>
        <t>Điều kiện lọc trạng thái (rn=1, cdc_status) đặt SAU khi xác định bản ghi mới nhất (WHERE/QUALIFY bên ngoài), không lồng trong điều kiện ON của LEFT JOIN.</t>
      </text>
    </comment>
    <comment ref="L2" authorId="0" shapeId="0">
      <text>
        <t>source_event_date &lt;= :p_data_date áp dụng nhất quán trên mọi Hub/Sat/Link liên quan trong cùng 1 script.</t>
      </text>
    </comment>
    <comment ref="M2" authorId="0" shapeId="0">
      <text>
        <t>Đối chiếu với các lỗi đã từng được DA Data Vault fix trước đó - xác nhận không bị lặp lại khi refactor.</t>
      </text>
    </comment>
    <comment ref="N2" authorId="0" shapeId="0">
      <text>
        <t>Logic SCD Type 2 (DIM) đúng kỹ thuật đã thống nhất: effective_date/end_date/current_flag rõ ràng, KHÔNG dùng MAX(id)+ROW_NUMBER() tăng dần.</t>
      </text>
    </comment>
    <comment ref="O2" authorId="0" shapeId="0">
      <text>
        <t>CASE WHEN cover đầy đủ các nhánh giá trị như job on-prem tương ứng (kể cả nhánh ELSE/NULL).</t>
      </text>
    </comment>
    <comment ref="P2" authorId="0" shapeId="0">
      <text>
        <t>Cột SUM/COUNT được COALESCE/NVL về 0 khi cần, đồng bộ với cách xử lý null của code/job cũ.</t>
      </text>
    </comment>
    <comment ref="Q2" authorId="0" shapeId="0">
      <text>
        <t>Subquery, custom function, điều kiện LIKE được review đúng ý nghĩa nghiệp vụ, không sai lệch so với on-prem.</t>
      </text>
    </comment>
    <comment ref="R2" authorId="0" shapeId="0">
      <text>
        <t>Điều kiện Aggregation kèm date range/filter chính xác theo kỳ báo cáo.</t>
      </text>
    </comment>
    <comment ref="S2" authorId="0" shapeId="0">
      <text>
        <t>Join dùng key hợp lý (business key/hash key đúng), không dùng UNION ALL + EXISTS/NOT EXISTS thay cho LEFT JOIN khi không cần thiết.</t>
      </text>
    </comment>
    <comment ref="T2" authorId="0" shapeId="0">
      <text>
        <t>Toàn bộ logic build trên CTE snapshot từ Silver trước khi tạo bảng Gold (không build trực tiếp nhiều tầng gây sai lệch).</t>
      </text>
    </comment>
    <comment ref="U2" authorId="0" shapeId="0">
      <text>
        <t>Không SELECT *, chỉ select cột cần dùng.</t>
      </text>
    </comment>
    <comment ref="V2" authorId="0" shapeId="0">
      <text>
        <t>CTE không bị scan lại nhiều lần (mỗi CTE chỉ nên được reference hợp lý).</t>
      </text>
    </comment>
    <comment ref="W2" authorId="0" shapeId="0">
      <text>
        <t>Filter dữ liệu trước khi join (partition pruning theo etl_date/ngày dữ liệu), tránh full scan &amp; shuffle không cần thiết.</t>
      </text>
    </comment>
    <comment ref="X2" authorId="0" shapeId="0">
      <text>
        <t>Sử dụng CACHE cho các query lặp lại nhiều lần trong cùng 1 luồng xử lý.</t>
      </text>
    </comment>
    <comment ref="Y2" authorId="0" shapeId="0">
      <text>
        <t>Ưu tiên MAX_BY kết hợp QUALIFY thay cho ROW_NUMBER()+WHERE rn=1 khi phù hợp (hiệu năng tốt hơn).</t>
      </text>
    </comment>
    <comment ref="Z2" authorId="0" shapeId="0">
      <text>
        <t>Không lạm dụng window function nếu không cần thiết; nếu dùng phải có comment giải thích lý do.</t>
      </text>
    </comment>
  </commentList>
</comment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B2:B16"/>
  <sheetViews>
    <sheetView showGridLines="0" topLeftCell="A9" zoomScaleNormal="100" workbookViewId="0">
      <selection activeCell="B16" sqref="B16"/>
    </sheetView>
  </sheetViews>
  <sheetFormatPr baseColWidth="8" defaultColWidth="8.7265625" defaultRowHeight="14.5"/>
  <cols>
    <col width="3" customWidth="1" style="36" min="1" max="1"/>
    <col width="110" customWidth="1" style="36" min="2" max="2"/>
  </cols>
  <sheetData>
    <row r="2" ht="34" customHeight="1" s="36">
      <c r="B2" s="29" t="inlineStr">
        <is>
          <t>CHECKLIST REVIEW CODE MAPPING SILVER (DATA VAULT 2.0) SANG GOLD (DATA MART) – ZONE C OCB</t>
        </is>
      </c>
    </row>
    <row r="4" ht="19.5" customHeight="1" s="36">
      <c r="B4" s="1" t="inlineStr">
        <is>
          <t>Mục đích</t>
        </is>
      </c>
    </row>
    <row r="5" ht="70" customHeight="1" s="36">
      <c r="B5" s="2" t="inlineStr">
        <is>
          <t>Đội Data Engineer của Raffles dùng checklist này để tự rà soát code và mapping của từng bảng/khung nhìn Zone C trước khi gửi OCB review. Nội dung checklist lấy từ hai nguồn: các tiêu chí đã thống nhất với OCB (sheet "Checklist - Raffles" và "Quality check") và các lỗi thực tế ghi nhận trong quá trình review Batch 1 (Issue log). Cách kiểm tra của từng tiêu chí tham chiếu trực tiếp đến tài liệu OCB_DBX_ZONEC – Technical Document v1.1, mục III.4.2 "Quy tắc khi xử lí các bảng từ Silver".</t>
        </is>
      </c>
    </row>
    <row r="6" ht="19.5" customHeight="1" s="36">
      <c r="B6" s="1" t="inlineStr">
        <is>
          <t>Cách sử dụng</t>
        </is>
      </c>
    </row>
    <row r="7" ht="28" customHeight="1" s="36">
      <c r="B7" s="2" t="inlineStr">
        <is>
          <t>1. Sheet "Checklist tiêu chí": mô tả điều kiện đạt và cách kiểm tra của từng tiêu chí, kèm mục tài liệu tham chiếu.</t>
        </is>
      </c>
    </row>
    <row r="8" ht="42" customHeight="1" s="36">
      <c r="B8" s="2" t="inlineStr">
        <is>
          <t>2. Sheet "Review theo bảng": mỗi dòng là một bảng/khung nhìn Gold. Với từng tiêu chí, DE chọn Pass / Fail / N/A từ danh sách chọn. Tiêu chí Fail phải ghi bằng chứng tại cột "Ghi chú / Bằng chứng lỗi" theo dạng: mã tiêu chí, tên file script, dòng code hoặc tên CTE liên quan.</t>
        </is>
      </c>
    </row>
    <row r="9" ht="28" customHeight="1" s="36">
      <c r="B9" s="2" t="inlineStr">
        <is>
          <t>3. Tỷ lệ lỗi tính tự động theo trọng số đã thống nhất với OCB: Nhóm 1 – Summary/Mapping 10%, Nhóm 2 – Logic 80%, Nhóm 3 – Optimization 10%. Một tiêu chí Fail thì cả nhóm đó tính là lỗi cho bảng đang xét.</t>
        </is>
      </c>
    </row>
    <row r="10" ht="28" customHeight="1" s="36">
      <c r="B10" s="2" t="inlineStr">
        <is>
          <t>4. Sheet "Tổng hợp Dashboard": tổng hợp số bảng Đạt / Không đạt theo batch và so với ngưỡng lỗi cho phép (Batch 1: 30%; Batch 2 và Batch 3: 20%).</t>
        </is>
      </c>
    </row>
    <row r="11" ht="28" customHeight="1" s="36">
      <c r="B11" s="2" t="inlineStr">
        <is>
          <t>5. Chỉ gửi code và mapping sang OCB khi bảng có kết luận "Đạt". Bảng "Không đạt" phải sửa theo pattern chuẩn nêu tại cột "Điều kiện đạt / Cách kiểm tra" rồi review lại.</t>
        </is>
      </c>
    </row>
    <row r="12" ht="19.5" customHeight="1" s="36">
      <c r="B12" s="1" t="inlineStr">
        <is>
          <t>Bốn lỗi phải kiểm tra kỹ (rút từ Issue log Batch 1)</t>
        </is>
      </c>
    </row>
    <row r="13" ht="28" customHeight="1" s="36">
      <c r="B13" s="2" t="inlineStr">
        <is>
          <t>- Điều kiện source_event_date &lt;= :DATADT bị bỏ sót ở một vài bảng trong cùng script, hoặc đặt thêm cận dưới (&gt;= start_date) làm bỏ sót bản ghi trạng thái mới nhất – Issue log #1.</t>
        </is>
      </c>
    </row>
    <row r="14" ht="28" customHeight="1" s="36">
      <c r="B14" s="2" t="inlineStr">
        <is>
          <t>- Cùng một mục đích lấy bản ghi hiệu lực nhưng mỗi script lọc cdc_status một kiểu khác nhau – Issue log #2. Toàn bộ Zone C dùng một pattern duy nhất tại mục III.4.2.1.</t>
        </is>
      </c>
    </row>
    <row r="15" ht="28" customHeight="1" s="36">
      <c r="B15" s="2" t="inlineStr">
        <is>
          <t>- Điều kiện rn = 1 hoặc cdc_status &lt;&gt; 'D' đặt trong ON của LEFT JOIN thay vì ở lớp ngoài, làm sai kết quả khi không match – Issue log #3.</t>
        </is>
      </c>
    </row>
    <row r="16" ht="28" customHeight="1" s="36">
      <c r="B16" s="2" t="inlineStr">
        <is>
          <t>- Bảng DIM sinh surrogate key bằng MAX(&lt;DIM_ID&gt;) + ROW_NUMBER(), trùng khóa khi chạy song song hoặc nạp lại lịch sử – Issue log #4. Dùng APPLY CHANGES … STORED AS SCD TYPE 2.</t>
        </is>
      </c>
    </row>
  </sheetData>
  <pageMargins left="0.75" right="0.75" top="1" bottom="1" header="0.511811023622047" footer="0.511811023622047"/>
  <pageSetup orientation="portrait" paperSize="9" horizontalDpi="300" verticalDpi="300"/>
</worksheet>
</file>

<file path=xl/worksheets/sheet2.xml><?xml version="1.0" encoding="utf-8"?>
<worksheet xmlns="http://schemas.openxmlformats.org/spreadsheetml/2006/main">
  <sheetPr>
    <outlinePr summaryBelow="1" summaryRight="1"/>
    <pageSetUpPr/>
  </sheetPr>
  <dimension ref="A1:F21"/>
  <sheetViews>
    <sheetView showGridLines="0" tabSelected="1" zoomScale="70" zoomScaleNormal="70" workbookViewId="0">
      <pane ySplit="1" topLeftCell="A2" activePane="bottomLeft" state="frozen"/>
      <selection pane="bottomLeft" activeCell="E6" sqref="E6"/>
    </sheetView>
  </sheetViews>
  <sheetFormatPr baseColWidth="8" defaultColWidth="8.7265625" defaultRowHeight="14.5"/>
  <cols>
    <col width="27.26953125" customWidth="1" style="36" min="1" max="1"/>
    <col width="18.7265625" customWidth="1" style="36" min="2" max="2"/>
    <col width="7" customWidth="1" style="36" min="3" max="3"/>
    <col width="40" customWidth="1" style="36" min="4" max="4"/>
    <col width="69.54296875" customWidth="1" style="36" min="5" max="5"/>
    <col width="39.90625" customWidth="1" style="36" min="6" max="6"/>
  </cols>
  <sheetData>
    <row r="1" ht="30" customHeight="1" s="36">
      <c r="A1" s="3" t="inlineStr">
        <is>
          <t>Nhóm</t>
        </is>
      </c>
      <c r="B1" s="3" t="inlineStr">
        <is>
          <t>Trọng số
nhóm</t>
        </is>
      </c>
      <c r="C1" s="3" t="inlineStr">
        <is>
          <t>Mã</t>
        </is>
      </c>
      <c r="D1" s="3" t="inlineStr">
        <is>
          <t>Tiêu chí kiểm tra</t>
        </is>
      </c>
      <c r="E1" s="3" t="inlineStr">
        <is>
          <t>Điều kiện đạt / Cách kiểm tra</t>
        </is>
      </c>
      <c r="F1" s="3" t="inlineStr">
        <is>
          <t>Tham chiếu (Technical Document / Issue log / Checklist RVN-OCB)</t>
        </is>
      </c>
    </row>
    <row r="2" ht="56" customHeight="1" s="36">
      <c r="A2" s="38" t="inlineStr">
        <is>
          <t>Nhóm 1 - Summary /
Mapping</t>
        </is>
      </c>
      <c r="B2" s="5" t="n">
        <v>0.1</v>
      </c>
      <c r="C2" s="6" t="inlineStr">
        <is>
          <t>1.1</t>
        </is>
      </c>
      <c r="D2" s="4" t="inlineStr">
        <is>
          <t>Mapping đầy đủ từ Silver và nguồn upload sang Gold</t>
        </is>
      </c>
      <c r="E2" s="4" t="inlineStr">
        <is>
          <t>Đối chiếu tài liệu mapping source-to-target với script: đủ cột đầu ra, đủ bảng nguồn cần dùng, không thêm cột ngoài đặc tả. Ghi dữ liệu vào đúng catalog/schema đích ocb_datavault_${env}_curated.&lt;schema&gt;, không hard-code tên catalog.</t>
        </is>
      </c>
      <c r="F2" s="4" t="inlineStr">
        <is>
          <t>TDD mục III.4.1 Quy ước chung; Quality check tiêu chí 1</t>
        </is>
      </c>
    </row>
    <row r="3" ht="70" customHeight="1" s="36">
      <c r="A3" s="4" t="inlineStr">
        <is>
          <t>Nhóm 1 - Summary /
Mapping</t>
        </is>
      </c>
      <c r="B3" s="5" t="n">
        <v>0.1</v>
      </c>
      <c r="C3" s="6" t="inlineStr">
        <is>
          <t>1.2</t>
        </is>
      </c>
      <c r="D3" s="4" t="inlineStr">
        <is>
          <t>Danh sách bảng và khung nhìn khớp tài liệu thiết kế</t>
        </is>
      </c>
      <c r="E3" s="4" t="inlineStr">
        <is>
          <t>Danh sách đối tượng triển khai trong batch khớp danh sách đã thống nhất với OCB. Thay đổi phạm vi hoặc mô hình dữ liệu phải được thống nhất và cập nhật vào tài liệu trước khi triển khai.</t>
        </is>
      </c>
      <c r="F3" s="4" t="inlineStr">
        <is>
          <t>TDD v1.1 mục I.3 Phạm vi tài liệu; Plan điều chỉnh 5.3.3</t>
        </is>
      </c>
    </row>
    <row r="4" ht="42" customHeight="1" s="36">
      <c r="A4" s="7" t="inlineStr">
        <is>
          <t>Nhóm 2 - Logic</t>
        </is>
      </c>
      <c r="B4" s="8" t="n">
        <v>0.8</v>
      </c>
      <c r="C4" s="9" t="inlineStr">
        <is>
          <t>2.1</t>
        </is>
      </c>
      <c r="D4" s="7" t="inlineStr">
        <is>
          <t>Chỉ lấy bản ghi Hub đang có hiệu lực</t>
        </is>
      </c>
      <c r="E4" s="7" t="inlineStr">
        <is>
          <t>Join hub_* với sts_hub_* theo pattern tại mục III.4.2.1: GROUP BY hashkey, HAVING max_by(cdc_status, source_event_date) = 'D' để lấy tập khóa đã xóa, sau đó LEFT JOIN và loại các khóa này khỏi kết quả. Chỉ giữ bản ghi đã xóa khi có yêu cầu nghiệp vụ và phải ghi rõ trong mapping.</t>
        </is>
      </c>
      <c r="F4" s="7" t="inlineStr">
        <is>
          <t>TDD v1.1 mục III.4.2.1; Checklist RVN-OCB #1; Issue log #3</t>
        </is>
      </c>
    </row>
    <row r="5" ht="70" customHeight="1" s="36">
      <c r="A5" s="7" t="inlineStr">
        <is>
          <t>Nhóm 2 - Logic</t>
        </is>
      </c>
      <c r="B5" s="8" t="n">
        <v>0.8</v>
      </c>
      <c r="C5" s="9" t="inlineStr">
        <is>
          <t>2.2</t>
        </is>
      </c>
      <c r="D5" s="7" t="inlineStr">
        <is>
          <t>Dùng một pattern thống nhất để lấy bản ghi hiệu lực</t>
        </is>
      </c>
      <c r="E5" s="7" t="inlineStr">
        <is>
          <t>Toàn bộ script Zone C dùng chung một pattern max_by(cdc_status, source_event_date) trên sts_hub. Không để hai script cùng xử lý một loại logic theo hai cách khác nhau, ví dụ một script lọc cdc_status &lt;&gt; 'D' trực tiếp trên satellite, script khác lọc = 'D' trên sts_hub.</t>
        </is>
      </c>
      <c r="F5" s="7" t="inlineStr">
        <is>
          <t>TDD v1.1 mục III.4.2.1; Issue log #2</t>
        </is>
      </c>
    </row>
    <row r="6" ht="70" customHeight="1" s="36">
      <c r="A6" s="7" t="inlineStr">
        <is>
          <t>Nhóm 2 - Logic</t>
        </is>
      </c>
      <c r="B6" s="8" t="n">
        <v>0.8</v>
      </c>
      <c r="C6" s="9" t="inlineStr">
        <is>
          <t>2.3</t>
        </is>
      </c>
      <c r="D6" s="7" t="inlineStr">
        <is>
          <t>Điều kiện trạng thái đặt ở lớp ngoài, không đặt trong ON của LEFT JOIN</t>
        </is>
      </c>
      <c r="E6" s="7" t="inlineStr">
        <is>
          <t>Điều kiện lọc trạng thái và điều kiện lấy bản ghi mới nhất đặt tại WHERE hoặc QUALIFY của lớp ngoài. Đặt trong ON của LEFT JOIN sẽ sai kết quả khi không match. Ngoại lệ được phép: join PIT với satellite theo source_event_date = &lt;sat&gt;_src_ev_dt là equi-join nên đặt trong ON.</t>
        </is>
      </c>
      <c r="F6" s="7" t="inlineStr">
        <is>
          <t>TDD v1.1 mục III.4.2.3 và III.4.2.4; Issue log #3</t>
        </is>
      </c>
    </row>
    <row r="7" ht="70" customHeight="1" s="36">
      <c r="A7" s="7" t="inlineStr">
        <is>
          <t>Nhóm 2 - Logic</t>
        </is>
      </c>
      <c r="B7" s="8" t="n">
        <v>0.8</v>
      </c>
      <c r="C7" s="9" t="inlineStr">
        <is>
          <t>2.4</t>
        </is>
      </c>
      <c r="D7" s="7" t="inlineStr">
        <is>
          <t>Điều kiện source_event_date áp dụng nhất quán trong cùng script</t>
        </is>
      </c>
      <c r="E7" s="7" t="inlineStr">
        <is>
          <t>Mọi hub, satellite, link, effsat trong cùng một script đều chặn source_event_date &lt;= TO_DATE(:DATADT,'yyyyMMdd'), không đặt cận dưới. Riêng nhóm bảng transaction tại mục "Các trường hợp đặc biệt" lọc source_event_date = :DATADT. Bảng PIT lọc theo snapshot_date.</t>
        </is>
      </c>
      <c r="F7" s="7" t="inlineStr">
        <is>
          <t>TDD v1.1 mục III.4.2 và mục "Các trường hợp đặc biệt"; Issue log #1</t>
        </is>
      </c>
    </row>
    <row r="8" ht="70" customHeight="1" s="36">
      <c r="A8" s="7" t="inlineStr">
        <is>
          <t>Nhóm 2 - Logic</t>
        </is>
      </c>
      <c r="B8" s="8" t="n">
        <v>0.8</v>
      </c>
      <c r="C8" s="9" t="inlineStr">
        <is>
          <t>2.5</t>
        </is>
      </c>
      <c r="D8" s="7" t="inlineStr">
        <is>
          <t>Không lặp lại lỗi logic đã được xử lý trước đó</t>
        </is>
      </c>
      <c r="E8" s="7" t="inlineStr">
        <is>
          <t>Đối chiếu với các lỗi mà DA Data Vault đã xác nhận sửa ở các lần review trước; script viết lại trên nền tảng mới không quay lại logic cũ. Ghi rõ trong ghi chú các điểm đã từng bị sửa để reviewer đối chiếu nhanh.</t>
        </is>
      </c>
      <c r="F8" s="7" t="inlineStr">
        <is>
          <t>Issue log #1</t>
        </is>
      </c>
    </row>
    <row r="9" ht="56" customHeight="1" s="36">
      <c r="A9" s="7" t="inlineStr">
        <is>
          <t>Nhóm 2 - Logic</t>
        </is>
      </c>
      <c r="B9" s="8" t="n">
        <v>0.8</v>
      </c>
      <c r="C9" s="9" t="inlineStr">
        <is>
          <t>2.6</t>
        </is>
      </c>
      <c r="D9" s="7" t="inlineStr">
        <is>
          <t>Bảng DIM áp dụng SCD Type 2 theo cơ chế APPLY CHANGES</t>
        </is>
      </c>
      <c r="E9" s="7" t="inlineStr">
        <is>
          <t>Bảng DIM dùng APPLY CHANGES INTO … KEYS (…) SEQUENCE BY … STORED AS SCD TYPE 2 trên streaming table. Không tự sinh surrogate key bằng MAX(&lt;DIM_ID&gt;) + ROW_NUMBER() vì trùng khóa khi chạy song song hoặc nạp lại dữ liệu lịch sử.</t>
        </is>
      </c>
      <c r="F9" s="7" t="inlineStr">
        <is>
          <t>TDD v1.1 mục III.2.3 và III.2.4; Issue log #4</t>
        </is>
      </c>
    </row>
    <row r="10" ht="56" customHeight="1" s="36">
      <c r="A10" s="7" t="inlineStr">
        <is>
          <t>Nhóm 2 - Logic</t>
        </is>
      </c>
      <c r="B10" s="8" t="n">
        <v>0.8</v>
      </c>
      <c r="C10" s="9" t="inlineStr">
        <is>
          <t>2.7</t>
        </is>
      </c>
      <c r="D10" s="7" t="inlineStr">
        <is>
          <t>CASE WHEN đủ nhánh so với job hiện hữu</t>
        </is>
      </c>
      <c r="E10" s="7" t="inlineStr">
        <is>
          <t>So từng nhánh CASE WHEN với job on-prem tương ứng, gồm cả nhánh ELSE và giá trị mặc định. Giữ nguyên logic cũ nếu chưa có thay đổi được thống nhất; thay đổi phải ghi vào tài liệu mapping.</t>
        </is>
      </c>
      <c r="F10" s="7" t="inlineStr">
        <is>
          <t>Checklist RVN-OCB #10</t>
        </is>
      </c>
    </row>
    <row r="11" ht="42" customHeight="1" s="36">
      <c r="A11" s="7" t="inlineStr">
        <is>
          <t>Nhóm 2 - Logic</t>
        </is>
      </c>
      <c r="B11" s="8" t="n">
        <v>0.8</v>
      </c>
      <c r="C11" s="9" t="inlineStr">
        <is>
          <t>2.8</t>
        </is>
      </c>
      <c r="D11" s="7" t="inlineStr">
        <is>
          <t>Cột SUM và COUNT xử lý giá trị NULL đúng</t>
        </is>
      </c>
      <c r="E11" s="7" t="inlineStr">
        <is>
          <t>Cột tổng hợp coalesce về 0 khi nghiệp vụ yêu cầu. Nếu code hiện hữu không dùng NVL thì giữ nguyên hành vi của code cũ và bổ sung NVL ở script đối soát để không lệch khi lấy hiệu số.</t>
        </is>
      </c>
      <c r="F11" s="7" t="inlineStr">
        <is>
          <t>Checklist RVN-OCB #11</t>
        </is>
      </c>
    </row>
    <row r="12" ht="42" customHeight="1" s="36">
      <c r="A12" s="7" t="inlineStr">
        <is>
          <t>Nhóm 2 - Logic</t>
        </is>
      </c>
      <c r="B12" s="8" t="n">
        <v>0.8</v>
      </c>
      <c r="C12" s="9" t="inlineStr">
        <is>
          <t>2.9</t>
        </is>
      </c>
      <c r="D12" s="7" t="inlineStr">
        <is>
          <t>Subquery, custom function và điều kiện LIKE đúng ý nghĩa nghiệp vụ</t>
        </is>
      </c>
      <c r="E12" s="7" t="inlineStr">
        <is>
          <t>Đọc lại logic bên trong subquery, custom function và các điều kiện LIKE, xác nhận đúng ý nghĩa nghiệp vụ so với job hiện hữu, không chỉ đúng cú pháp. Ghi lại cách hiểu nghiệp vụ trong mapping để OCB xác nhận.</t>
        </is>
      </c>
      <c r="F12" s="7" t="inlineStr">
        <is>
          <t>Checklist RVN-OCB #6</t>
        </is>
      </c>
    </row>
    <row r="13" ht="56" customHeight="1" s="36">
      <c r="A13" s="7" t="inlineStr">
        <is>
          <t>Nhóm 2 - Logic</t>
        </is>
      </c>
      <c r="B13" s="8" t="n">
        <v>0.8</v>
      </c>
      <c r="C13" s="9" t="inlineStr">
        <is>
          <t>2.10</t>
        </is>
      </c>
      <c r="D13" s="7" t="inlineStr">
        <is>
          <t>Aggregation lọc đúng kỳ dữ liệu</t>
        </is>
      </c>
      <c r="E13" s="7" t="inlineStr">
        <is>
          <t>Điều kiện lọc kỳ báo cáo đi kèm SUM/COUNT/AVG đúng phạm vi ngày hoặc tháng cần xử lý. Bảng nạp theo tháng lọc theo kỳ đang chạy, không quét toàn bộ lịch sử.</t>
        </is>
      </c>
      <c r="F13" s="7" t="inlineStr">
        <is>
          <t>Checklist RVN-OCB #7</t>
        </is>
      </c>
    </row>
    <row r="14" ht="42" customHeight="1" s="36">
      <c r="A14" s="7" t="inlineStr">
        <is>
          <t>Nhóm 2 - Logic</t>
        </is>
      </c>
      <c r="B14" s="8" t="n">
        <v>0.8</v>
      </c>
      <c r="C14" s="9" t="inlineStr">
        <is>
          <t>2.11</t>
        </is>
      </c>
      <c r="D14" s="7" t="inlineStr">
        <is>
          <t>Join theo key đúng, không lạm dụng UNION ALL kết hợp EXISTS</t>
        </is>
      </c>
      <c r="E14" s="7" t="inlineStr">
        <is>
          <t>LEFT JOIN theo hashkey hoặc business key. Link phải rút về quan hệ hiện hành trước khi join vào fact/dim: quan hệ 1:N lấy theo driving key, quan hệ M:N khử trùng ở mức link_hashkey. Thay union all kết hợp exists/not exists bằng join khi đã có key phù hợp.</t>
        </is>
      </c>
      <c r="F14" s="7" t="inlineStr">
        <is>
          <t>TDD v1.1 mục III.4.2.3; Checklist RVN-OCB #4</t>
        </is>
      </c>
    </row>
    <row r="15" ht="70" customHeight="1" s="36">
      <c r="A15" s="7" t="inlineStr">
        <is>
          <t>Nhóm 2 - Logic</t>
        </is>
      </c>
      <c r="B15" s="8" t="n">
        <v>0.8</v>
      </c>
      <c r="C15" s="9" t="inlineStr">
        <is>
          <t>2.12</t>
        </is>
      </c>
      <c r="D15" s="7" t="inlineStr">
        <is>
          <t>Bảng Gold build từ CTE snapshot dữ liệu Silver</t>
        </is>
      </c>
      <c r="E15" s="7" t="inlineStr">
        <is>
          <t>Mỗi bảng Silver được đọc một lần trong CTE snapshot theo :DATADT rồi dùng lại trong script. Không đọc lại cùng một bảng ở nhiều nhánh với điều kiện thời điểm khác nhau, tránh lệch thời điểm dữ liệu giữa các phần của cùng một script.</t>
        </is>
      </c>
      <c r="F15" s="7" t="inlineStr">
        <is>
          <t>TDD v1.1 mục III.4.2; Checklist RVN-OCB #4</t>
        </is>
      </c>
    </row>
    <row r="16" ht="56" customHeight="1" s="36">
      <c r="A16" s="10" t="inlineStr">
        <is>
          <t>Nhóm 3 - Optimization</t>
        </is>
      </c>
      <c r="B16" s="11" t="n">
        <v>0.1</v>
      </c>
      <c r="C16" s="12" t="inlineStr">
        <is>
          <t>3.1</t>
        </is>
      </c>
      <c r="D16" s="10" t="inlineStr">
        <is>
          <t>Không dùng SELECT *</t>
        </is>
      </c>
      <c r="E16" s="10" t="inlineStr">
        <is>
          <t>Chỉ select các cột thực sự dùng ở Gold, kể cả trong CTE trung gian. Nhánh sts_hub chỉ lấy cột hashkey để join gọn.</t>
        </is>
      </c>
      <c r="F16" s="10" t="inlineStr">
        <is>
          <t>TDD v1.1 mục III.4.2.2; Checklist RVN-OCB #2</t>
        </is>
      </c>
    </row>
    <row r="17" ht="30" customHeight="1" s="36">
      <c r="A17" s="10" t="inlineStr">
        <is>
          <t>Nhóm 3 - Optimization</t>
        </is>
      </c>
      <c r="B17" s="11" t="n">
        <v>0.1</v>
      </c>
      <c r="C17" s="12" t="inlineStr">
        <is>
          <t>3.2</t>
        </is>
      </c>
      <c r="D17" s="10" t="inlineStr">
        <is>
          <t>CTE không bị tính lại nhiều lần</t>
        </is>
      </c>
      <c r="E17" s="10" t="inlineStr">
        <is>
          <t>CTE nặng chỉ được tham chiếu một lần. Nếu buộc phải dùng lại nhiều lần thì tách thành bảng trung gian hoặc cache để không tính lại.</t>
        </is>
      </c>
      <c r="F17" s="10" t="inlineStr">
        <is>
          <t>Checklist RVN-OCB #4</t>
        </is>
      </c>
    </row>
    <row r="18" ht="42" customHeight="1" s="36">
      <c r="A18" s="10" t="inlineStr">
        <is>
          <t>Nhóm 3 - Optimization</t>
        </is>
      </c>
      <c r="B18" s="11" t="n">
        <v>0.1</v>
      </c>
      <c r="C18" s="12" t="inlineStr">
        <is>
          <t>3.3</t>
        </is>
      </c>
      <c r="D18" s="10" t="inlineStr">
        <is>
          <t>Lọc trước khi join, tận dụng partition pruning</t>
        </is>
      </c>
      <c r="E18" s="10" t="inlineStr">
        <is>
          <t>Đặt điều kiện ngày dữ liệu ngay trong CTE nguồn trước khi join, để giới hạn dữ liệu quét theo partition và giảm shuffle.</t>
        </is>
      </c>
      <c r="F18" s="10" t="inlineStr">
        <is>
          <t>Checklist RVN-OCB #5</t>
        </is>
      </c>
    </row>
    <row r="19" ht="30" customHeight="1" s="36">
      <c r="A19" s="10" t="inlineStr">
        <is>
          <t>Nhóm 3 - Optimization</t>
        </is>
      </c>
      <c r="B19" s="11" t="n">
        <v>0.1</v>
      </c>
      <c r="C19" s="12" t="inlineStr">
        <is>
          <t>3.4</t>
        </is>
      </c>
      <c r="D19" s="10" t="inlineStr">
        <is>
          <t>Cache kết quả được dùng lại trong cùng luồng</t>
        </is>
      </c>
      <c r="E19" s="10" t="inlineStr">
        <is>
          <t>Truy vấn dùng lại ở nhiều bước trong cùng một luồng thì cache hoặc vật chất hóa thành Materialized View thay vì tính lại từng lần.</t>
        </is>
      </c>
      <c r="F19" s="10" t="inlineStr">
        <is>
          <t>TDD v1.1 mục III.2.2; Checklist RVN-OCB #3</t>
        </is>
      </c>
    </row>
    <row r="20" ht="42" customHeight="1" s="36">
      <c r="A20" s="10" t="inlineStr">
        <is>
          <t>Nhóm 3 - Optimization</t>
        </is>
      </c>
      <c r="B20" s="11" t="n">
        <v>0.1</v>
      </c>
      <c r="C20" s="12" t="inlineStr">
        <is>
          <t>3.5</t>
        </is>
      </c>
      <c r="D20" s="10" t="inlineStr">
        <is>
          <t>Dùng MAX_BY thay ROW_NUMBER() kết hợp rn = 1</t>
        </is>
      </c>
      <c r="E20" s="10" t="inlineStr">
        <is>
          <t>Lấy bản ghi mới nhất bằng max_by(&lt;cột&gt;, source_event_date) với GROUP BY theo pattern chuẩn, thay cho ROW_NUMBER() OVER (…) kết hợp WHERE rn = 1.</t>
        </is>
      </c>
      <c r="F20" s="10" t="inlineStr">
        <is>
          <t>TDD v1.1 mục III.4.2; Issue log #5</t>
        </is>
      </c>
    </row>
    <row r="21" ht="42" customHeight="1" s="36">
      <c r="A21" s="10" t="inlineStr">
        <is>
          <t>Nhóm 3 - Optimization</t>
        </is>
      </c>
      <c r="B21" s="11" t="n">
        <v>0.1</v>
      </c>
      <c r="C21" s="12" t="inlineStr">
        <is>
          <t>3.6</t>
        </is>
      </c>
      <c r="D21" s="10" t="inlineStr">
        <is>
          <t>Window function dùng có chủ đích và có comment</t>
        </is>
      </c>
      <c r="E21" s="10" t="inlineStr">
        <is>
          <t>Chỉ dùng window function khi max_by hoặc QUALIFY không đáp ứng được yêu cầu nghiệp vụ. Khi dùng phải ghi comment nêu lý do ngay tại chỗ dùng.</t>
        </is>
      </c>
      <c r="F21" s="10" t="inlineStr">
        <is>
          <t>Checklist RVN-OCB #8</t>
        </is>
      </c>
    </row>
    <row r="22" ht="42" customHeight="1" s="36"/>
  </sheetData>
  <pageMargins left="0.75" right="0.75" top="1" bottom="1" header="0.511811023622047" footer="0.511811023622047"/>
  <pageSetup orientation="portrait" paperSize="9" horizontalDpi="300" verticalDpi="300"/>
</worksheet>
</file>

<file path=xl/worksheets/sheet3.xml><?xml version="1.0" encoding="utf-8"?>
<worksheet xmlns="http://schemas.openxmlformats.org/spreadsheetml/2006/main">
  <sheetPr>
    <outlinePr summaryBelow="1" summaryRight="1"/>
    <pageSetUpPr/>
  </sheetPr>
  <dimension ref="A1:AF200"/>
  <sheetViews>
    <sheetView showGridLines="0" zoomScale="90" zoomScaleNormal="90" workbookViewId="0">
      <pane xSplit="5" ySplit="2" topLeftCell="F3" activePane="bottomRight" state="frozen"/>
      <selection pane="topRight" activeCell="F1" sqref="F1"/>
      <selection pane="bottomLeft" activeCell="A3" sqref="A3"/>
      <selection pane="bottomRight" activeCell="AD5" sqref="AD5"/>
    </sheetView>
  </sheetViews>
  <sheetFormatPr baseColWidth="8" defaultColWidth="8.7265625" defaultRowHeight="14.5"/>
  <cols>
    <col width="7.54296875" customWidth="1" style="36" min="1" max="1"/>
    <col width="40.453125" bestFit="1" customWidth="1" style="36" min="2" max="2"/>
    <col width="10" customWidth="1" style="36" min="3" max="3"/>
    <col width="12.54296875" bestFit="1" customWidth="1" style="36" min="4" max="4"/>
    <col width="12" customWidth="1" style="36" min="5" max="5"/>
    <col width="13" customWidth="1" style="36" min="6" max="27"/>
    <col width="10" customWidth="1" style="36" min="26" max="26"/>
    <col width="40" customWidth="1" style="36" min="32" max="32"/>
  </cols>
  <sheetData>
    <row r="1" ht="21.75" customHeight="1" s="36">
      <c r="A1" s="33" t="inlineStr">
        <is>
          <t>STT</t>
        </is>
      </c>
      <c r="B1" s="33" t="inlineStr">
        <is>
          <t>Tên bảng / khung nhìn
(Gold)</t>
        </is>
      </c>
      <c r="C1" s="33" t="inlineStr">
        <is>
          <t>Batch</t>
        </is>
      </c>
      <c r="D1" s="33" t="inlineStr">
        <is>
          <t>PIC review</t>
        </is>
      </c>
      <c r="E1" s="33" t="inlineStr">
        <is>
          <t>Ngày review</t>
        </is>
      </c>
      <c r="F1" s="30" t="inlineStr">
        <is>
          <t>NHÓM 1 - SUMMARY / MAPPING (trọng số 10%)</t>
        </is>
      </c>
      <c r="G1" s="32" t="n"/>
      <c r="H1" s="33" t="inlineStr">
        <is>
          <t>NHÓM 2 - LOGIC (trọng số 80%)</t>
        </is>
      </c>
      <c r="I1" s="31" t="n"/>
      <c r="J1" s="31" t="n"/>
      <c r="K1" s="31" t="n"/>
      <c r="L1" s="31" t="n"/>
      <c r="M1" s="31" t="n"/>
      <c r="N1" s="31" t="n"/>
      <c r="O1" s="31" t="n"/>
      <c r="P1" s="31" t="n"/>
      <c r="Q1" s="31" t="n"/>
      <c r="R1" s="31" t="n"/>
      <c r="S1" s="32" t="n"/>
      <c r="T1" s="30" t="inlineStr">
        <is>
          <t>NHÓM 3 - OPTIMIZATION (trọng số 10%)</t>
        </is>
      </c>
      <c r="U1" s="31" t="n"/>
      <c r="V1" s="31" t="n"/>
      <c r="W1" s="31" t="n"/>
      <c r="X1" s="31" t="n"/>
      <c r="Y1" s="32" t="n"/>
      <c r="Z1" s="33" t="inlineStr">
        <is>
          <t>KẾT QUẢ TỔNG HỢP (tự động tính)</t>
        </is>
      </c>
      <c r="AA1" s="31" t="n"/>
      <c r="AB1" s="31" t="n"/>
      <c r="AC1" s="31" t="n"/>
      <c r="AD1" s="31" t="n"/>
      <c r="AE1" s="31" t="n"/>
      <c r="AF1" s="32" t="n"/>
    </row>
    <row r="2" ht="57" customHeight="1" s="36">
      <c r="A2" s="34" t="n"/>
      <c r="B2" s="34" t="n"/>
      <c r="C2" s="34" t="n"/>
      <c r="D2" s="34" t="n"/>
      <c r="E2" s="34" t="n"/>
      <c r="F2" s="13" t="inlineStr">
        <is>
          <t>Đủ mapping
Silver → Gold
(1.1)</t>
        </is>
      </c>
      <c r="G2" s="13" t="inlineStr">
        <is>
          <t>Danh sách bảng
khớp thiết kế
(1.2)</t>
        </is>
      </c>
      <c r="H2" s="14" t="inlineStr">
        <is>
          <t>Hub hiệu lực
qua sts_hub
(2.1)</t>
        </is>
      </c>
      <c r="I2" s="14" t="inlineStr">
        <is>
          <t>Một pattern
lấy bản ghi hiệu lực
(2.2)</t>
        </is>
      </c>
      <c r="J2" s="14" t="inlineStr">
        <is>
          <t>Điều kiện trạng thái
ở lớp ngoài
(2.3)</t>
        </is>
      </c>
      <c r="K2" s="14" t="inlineStr">
        <is>
          <t>source_event_date
nhất quán
(2.4)</t>
        </is>
      </c>
      <c r="L2" s="14" t="inlineStr">
        <is>
          <t>Không lặp lỗi
đã xử lý
(2.5)</t>
        </is>
      </c>
      <c r="M2" s="14" t="inlineStr">
        <is>
          <t>DIM SCD2 bằng
APPLY CHANGES
(2.6)</t>
        </is>
      </c>
      <c r="N2" s="14" t="inlineStr">
        <is>
          <t>CASE WHEN
đủ nhánh
(2.7)</t>
        </is>
      </c>
      <c r="O2" s="14" t="inlineStr">
        <is>
          <t>SUM/COUNT
xử lý NULL
(2.8)</t>
        </is>
      </c>
      <c r="P2" s="14" t="inlineStr">
        <is>
          <t>Subquery/function/
LIKE đúng nghiệp vụ
(2.9)</t>
        </is>
      </c>
      <c r="Q2" s="14" t="inlineStr">
        <is>
          <t>Aggregation
đúng kỳ dữ liệu
(2.10)</t>
        </is>
      </c>
      <c r="R2" s="14" t="inlineStr">
        <is>
          <t>Join đúng key,
link về hiện hành
(2.11)</t>
        </is>
      </c>
      <c r="S2" s="14" t="inlineStr">
        <is>
          <t>Build từ CTE
snapshot Silver
(2.12)</t>
        </is>
      </c>
      <c r="T2" s="13" t="inlineStr">
        <is>
          <t>Không
SELECT *
(3.1)</t>
        </is>
      </c>
      <c r="U2" s="13" t="inlineStr">
        <is>
          <t>CTE không
tính lại nhiều lần
(3.2)</t>
        </is>
      </c>
      <c r="V2" s="13" t="inlineStr">
        <is>
          <t>Lọc trước join,
partition pruning
(3.3)</t>
        </is>
      </c>
      <c r="W2" s="13" t="inlineStr">
        <is>
          <t>Cache truy vấn
dùng lại
(3.4)</t>
        </is>
      </c>
      <c r="X2" s="13" t="inlineStr">
        <is>
          <t>MAX_BY thay
ROW_NUMBER
(3.5)</t>
        </is>
      </c>
      <c r="Y2" s="13" t="inlineStr">
        <is>
          <t>Window function
có comment
(3.6)</t>
        </is>
      </c>
      <c r="Z2" s="14" t="inlineStr">
        <is>
          <t>N1
Fail?</t>
        </is>
      </c>
      <c r="AA2" s="14" t="inlineStr">
        <is>
          <t>N2
Fail?</t>
        </is>
      </c>
      <c r="AB2" s="14" t="inlineStr">
        <is>
          <t>N3
Fail?</t>
        </is>
      </c>
      <c r="AC2" s="14" t="inlineStr">
        <is>
          <t>Tỷ lệ lỗi
bảng</t>
        </is>
      </c>
      <c r="AD2" s="14" t="inlineStr">
        <is>
          <t>Ngưỡng
cho phép</t>
        </is>
      </c>
      <c r="AE2" s="14" t="inlineStr">
        <is>
          <t>Kết luận</t>
        </is>
      </c>
      <c r="AF2" s="14" t="inlineStr">
        <is>
          <t>Ghi rõ: mã tiêu chí – file script – dòng/CTE</t>
        </is>
      </c>
    </row>
    <row r="3" ht="30" customHeight="1" s="36">
      <c r="A3" s="40" t="n">
        <v>1</v>
      </c>
      <c r="B3" s="42" t="inlineStr">
        <is>
          <t>BPM_FTR_XLGDTD</t>
        </is>
      </c>
      <c r="C3" s="42" t="inlineStr">
        <is>
          <t>Batch 2</t>
        </is>
      </c>
      <c r="D3" s="42" t="inlineStr">
        <is>
          <t>THU 1</t>
        </is>
      </c>
      <c r="E3" s="42" t="inlineStr">
        <is>
          <t>2026-08-11</t>
        </is>
      </c>
      <c r="F3" s="42" t="inlineStr">
        <is>
          <t>Pass</t>
        </is>
      </c>
      <c r="G3" s="42" t="inlineStr">
        <is>
          <t>Pass</t>
        </is>
      </c>
      <c r="H3" s="42" t="inlineStr">
        <is>
          <t>Pass</t>
        </is>
      </c>
      <c r="I3" s="42" t="inlineStr">
        <is>
          <t>Pass</t>
        </is>
      </c>
      <c r="J3" s="42" t="inlineStr">
        <is>
          <t>Pass</t>
        </is>
      </c>
      <c r="K3" s="42" t="inlineStr">
        <is>
          <t>Pass</t>
        </is>
      </c>
      <c r="L3" s="42" t="inlineStr">
        <is>
          <t>Pass</t>
        </is>
      </c>
      <c r="M3" s="42" t="inlineStr">
        <is>
          <t>Pass</t>
        </is>
      </c>
      <c r="N3" s="42" t="inlineStr">
        <is>
          <t>Pass</t>
        </is>
      </c>
      <c r="O3" s="42" t="inlineStr">
        <is>
          <t>WARN</t>
        </is>
      </c>
      <c r="P3" s="42" t="inlineStr">
        <is>
          <t>Pass</t>
        </is>
      </c>
      <c r="Q3" s="42" t="inlineStr">
        <is>
          <t>Pass</t>
        </is>
      </c>
      <c r="R3" s="42" t="inlineStr">
        <is>
          <t>Pass</t>
        </is>
      </c>
      <c r="S3" s="42" t="inlineStr">
        <is>
          <t>Pass</t>
        </is>
      </c>
      <c r="T3" s="42" t="inlineStr">
        <is>
          <t>Pass</t>
        </is>
      </c>
      <c r="U3" s="42" t="inlineStr">
        <is>
          <t>WARN</t>
        </is>
      </c>
      <c r="V3" s="42" t="inlineStr">
        <is>
          <t>Pass</t>
        </is>
      </c>
      <c r="W3" s="42" t="inlineStr">
        <is>
          <t>WARN</t>
        </is>
      </c>
      <c r="X3" s="42" t="inlineStr">
        <is>
          <t>Pass</t>
        </is>
      </c>
      <c r="Y3" s="42" t="inlineStr">
        <is>
          <t>Pass</t>
        </is>
      </c>
      <c r="Z3" s="26">
        <f>IF(B3="","",IF(COUNTIF(F3:G3,"Fail")&gt;0,1,0))</f>
        <v/>
      </c>
      <c r="AA3" s="26">
        <f>IF(B3="","",IF(COUNTIF(H3:S3,"Fail")&gt;0,1,0))</f>
        <v/>
      </c>
      <c r="AB3" s="26">
        <f>IF(B3="","",IF(COUNTIF(T3:Y3,"Fail")&gt;0,1,0))</f>
        <v/>
      </c>
      <c r="AC3" s="27">
        <f>IF(B3="","",0.1*Z3+0.8*AA3+0.1*AB3)</f>
        <v/>
      </c>
      <c r="AD3" s="27">
        <f>IF(B3="","",IF(C3="Batch 1",0.3,0.2))</f>
        <v/>
      </c>
      <c r="AE3" s="19">
        <f>IF(B3="","",IF(AC3&lt;=AD3,"Đạt","Không đạt"))</f>
        <v/>
      </c>
      <c r="AF3" s="43" t="inlineStr">
        <is>
          <t>╔══ WARN: 3 tiêu chí — 2.8, 3.2, 3.4
▼ 2.8 — Cột SUM/COUNT được COALESCE/NVL hợp lý
   • 2 biểu thức tổng hợp chưa coalesce: COUNT(ct.gd_chitiet_id); COUNT(ls.ket_qua_xu_ly_user)
   • khi đối soát với hệ thống cũ phải bọc NVL/ISNULL CẢ HAI phía để không lệch khi trừ (Checklist RVN-OCB #11)
▼ 3.2 — CTE không bị scan lại nhiều lần
   • CTE bị tham chiếu lại nhiều lần: kh_hub x3, dv_hub x3, sat_dvktpd x7, sat_qt x4, sat_cbdg x3, sat_kh x3, ref_dm x3
▼ 3.4 — Sử dụng CACHE cho query lặp lại trong cùng luồng
   • 7 CTE nặng dùng lại &gt;= 2 lần mà không có CACHE: dv_hub, kh_hub, ref_dm, sat_cbdg, sat_dvktpd, sat_kh, sat_qt</t>
        </is>
      </c>
    </row>
    <row r="4" ht="30" customHeight="1" s="36">
      <c r="A4" s="17" t="n">
        <v>2</v>
      </c>
      <c r="B4" s="44" t="inlineStr">
        <is>
          <t>BPM_TDCN_NVCT</t>
        </is>
      </c>
      <c r="C4" s="45" t="inlineStr">
        <is>
          <t>Batch 2</t>
        </is>
      </c>
      <c r="D4" s="45" t="inlineStr">
        <is>
          <t>THU 1</t>
        </is>
      </c>
      <c r="E4" s="45" t="inlineStr">
        <is>
          <t>2026-08-11</t>
        </is>
      </c>
      <c r="F4" s="46" t="inlineStr">
        <is>
          <t>Pass</t>
        </is>
      </c>
      <c r="G4" s="46" t="inlineStr">
        <is>
          <t>Pass</t>
        </is>
      </c>
      <c r="H4" s="46" t="inlineStr">
        <is>
          <t>Pass</t>
        </is>
      </c>
      <c r="I4" s="46" t="inlineStr">
        <is>
          <t>Pass</t>
        </is>
      </c>
      <c r="J4" s="46" t="inlineStr">
        <is>
          <t>Pass</t>
        </is>
      </c>
      <c r="K4" s="46" t="inlineStr">
        <is>
          <t>Fail</t>
        </is>
      </c>
      <c r="L4" s="46" t="inlineStr">
        <is>
          <t>Pass</t>
        </is>
      </c>
      <c r="M4" s="46" t="inlineStr">
        <is>
          <t>Pass</t>
        </is>
      </c>
      <c r="N4" s="46" t="inlineStr">
        <is>
          <t>Pass</t>
        </is>
      </c>
      <c r="O4" s="46" t="inlineStr">
        <is>
          <t>Pass</t>
        </is>
      </c>
      <c r="P4" s="46" t="inlineStr">
        <is>
          <t>Pass</t>
        </is>
      </c>
      <c r="Q4" s="46" t="inlineStr">
        <is>
          <t>Pass</t>
        </is>
      </c>
      <c r="R4" s="46" t="inlineStr">
        <is>
          <t>Pass</t>
        </is>
      </c>
      <c r="S4" s="46" t="inlineStr">
        <is>
          <t>Pass</t>
        </is>
      </c>
      <c r="T4" s="46" t="inlineStr">
        <is>
          <t>Pass</t>
        </is>
      </c>
      <c r="U4" s="46" t="inlineStr">
        <is>
          <t>Pass</t>
        </is>
      </c>
      <c r="V4" s="46" t="inlineStr">
        <is>
          <t>Pass</t>
        </is>
      </c>
      <c r="W4" s="46" t="inlineStr">
        <is>
          <t>Pass</t>
        </is>
      </c>
      <c r="X4" s="46" t="inlineStr">
        <is>
          <t>Pass</t>
        </is>
      </c>
      <c r="Y4" s="46" t="inlineStr">
        <is>
          <t>Pass</t>
        </is>
      </c>
      <c r="Z4" s="26">
        <f>IF(B4="","",IF(COUNTIF(F4:G4,"Fail")&gt;0,1,0))</f>
        <v/>
      </c>
      <c r="AA4" s="26">
        <f>IF(B4="","",IF(COUNTIF(H4:S4,"Fail")&gt;0,1,0))</f>
        <v/>
      </c>
      <c r="AB4" s="26">
        <f>IF(B4="","",IF(COUNTIF(T4:Y4,"Fail")&gt;0,1,0))</f>
        <v/>
      </c>
      <c r="AC4" s="27">
        <f>IF(B4="","",0.1*Z4+0.8*AA4+0.1*AB4)</f>
        <v/>
      </c>
      <c r="AD4" s="27">
        <f>IF(B4="","",IF(C4="Batch 1",0.3,0.2))</f>
        <v/>
      </c>
      <c r="AE4" s="19">
        <f>IF(B4="","",IF(AC4&lt;=AD4,"Đạt","Không đạt"))</f>
        <v/>
      </c>
      <c r="AF4" s="43" t="inlineStr">
        <is>
          <t>╔══ FAIL: 1 tiêu chí — 2.4
▼ 2.4 — source_event_date áp dụng đúng dạng theo loại bảng
   • Lý do: sat_giao_dich_thong_tin_chung (dong 12): là bảng transaction nên phải dùng source_event_date = :DATADT, đang dùng &lt;=
   • Lý do: sat_giao_dich_tdcn_xl_gdtd (dong 21): là bảng transaction nên phải dùng source_event_date = :DATADT, đang dùng &lt;=
   → Cách sửa: 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row>
    <row r="5" ht="30" customHeight="1" s="36">
      <c r="A5" s="17" t="n">
        <v>3</v>
      </c>
      <c r="B5" s="44" t="inlineStr">
        <is>
          <t>BPM_TDCN_YCBS</t>
        </is>
      </c>
      <c r="C5" s="45" t="inlineStr">
        <is>
          <t>Batch 2</t>
        </is>
      </c>
      <c r="D5" s="45" t="inlineStr">
        <is>
          <t>THU 1</t>
        </is>
      </c>
      <c r="E5" s="45" t="inlineStr">
        <is>
          <t>2026-08-11</t>
        </is>
      </c>
      <c r="F5" s="46" t="inlineStr">
        <is>
          <t>Pass</t>
        </is>
      </c>
      <c r="G5" s="46" t="inlineStr">
        <is>
          <t>Pass</t>
        </is>
      </c>
      <c r="H5" s="46" t="inlineStr">
        <is>
          <t>Pass</t>
        </is>
      </c>
      <c r="I5" s="46" t="inlineStr">
        <is>
          <t>Pass</t>
        </is>
      </c>
      <c r="J5" s="46" t="inlineStr">
        <is>
          <t>Pass</t>
        </is>
      </c>
      <c r="K5" s="46" t="inlineStr">
        <is>
          <t>Fail</t>
        </is>
      </c>
      <c r="L5" s="46" t="inlineStr">
        <is>
          <t>Pass</t>
        </is>
      </c>
      <c r="M5" s="46" t="inlineStr">
        <is>
          <t>Pass</t>
        </is>
      </c>
      <c r="N5" s="46" t="inlineStr">
        <is>
          <t>Pass</t>
        </is>
      </c>
      <c r="O5" s="46" t="inlineStr">
        <is>
          <t>WARN</t>
        </is>
      </c>
      <c r="P5" s="46" t="inlineStr">
        <is>
          <t>Pass</t>
        </is>
      </c>
      <c r="Q5" s="46" t="inlineStr">
        <is>
          <t>Pass</t>
        </is>
      </c>
      <c r="R5" s="46" t="inlineStr">
        <is>
          <t>Pass</t>
        </is>
      </c>
      <c r="S5" s="46" t="inlineStr">
        <is>
          <t>Pass</t>
        </is>
      </c>
      <c r="T5" s="46" t="inlineStr">
        <is>
          <t>Pass</t>
        </is>
      </c>
      <c r="U5" s="46" t="inlineStr">
        <is>
          <t>Pass</t>
        </is>
      </c>
      <c r="V5" s="46" t="inlineStr">
        <is>
          <t>Pass</t>
        </is>
      </c>
      <c r="W5" s="46" t="inlineStr">
        <is>
          <t>Pass</t>
        </is>
      </c>
      <c r="X5" s="46" t="inlineStr">
        <is>
          <t>Pass</t>
        </is>
      </c>
      <c r="Y5" s="46" t="inlineStr">
        <is>
          <t>Pass</t>
        </is>
      </c>
      <c r="Z5" s="26">
        <f>IF(B5="","",IF(COUNTIF(F5:G5,"Fail")&gt;0,1,0))</f>
        <v/>
      </c>
      <c r="AA5" s="26">
        <f>IF(B5="","",IF(COUNTIF(H5:S5,"Fail")&gt;0,1,0))</f>
        <v/>
      </c>
      <c r="AB5" s="26">
        <f>IF(B5="","",IF(COUNTIF(T5:Y5,"Fail")&gt;0,1,0))</f>
        <v/>
      </c>
      <c r="AC5" s="27">
        <f>IF(B5="","",0.1*Z5+0.8*AA5+0.1*AB5)</f>
        <v/>
      </c>
      <c r="AD5" s="27">
        <f>IF(B5="","",IF(C5="Batch 1",0.3,0.2))</f>
        <v/>
      </c>
      <c r="AE5" s="19">
        <f>IF(B5="","",IF(AC5&lt;=AD5,"Đạt","Không đạt"))</f>
        <v/>
      </c>
      <c r="AF5" s="43" t="inlineStr">
        <is>
          <t>╔══ FAIL: 1 tiêu chí — 2.4
▼ 2.4 — source_event_date áp dụng đúng dạng theo loại bảng
   • Lý do: sat_giao_dich_thong_tin_chung (dong 11): là bảng transaction nên phải dùng source_event_date = :DATADT, đang dùng &lt;=
   → Cách sửa: 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
╔══ WARN: 1 tiêu chí — 2.8
▼ 2.8 — Cột SUM/COUNT được COALESCE/NVL hợp lý
   • 2 biểu thức tổng hợp chưa coalesce: YCBS_DVTD_ST = SUM(CASE WHEN A.vai_tro_nguoi_xl = 448 THEN 1 ELSE 0 END); YCBS_DVTD_XL = SUM(CASE WHEN A.vai_tro_nguoi_xl = 450 THEN 1 ELSE 0 END)
   • khi đối soát với hệ thống cũ phải bọc NVL/ISNULL CẢ HAI phía để không lệch khi trừ (Checklist RVN-OCB #11)</t>
        </is>
      </c>
    </row>
    <row r="6" ht="30" customHeight="1" s="36">
      <c r="A6" s="17" t="n">
        <v>4</v>
      </c>
      <c r="B6" s="44" t="inlineStr">
        <is>
          <t>BPM_VOLUME_CTGD</t>
        </is>
      </c>
      <c r="C6" s="45" t="inlineStr">
        <is>
          <t>Batch 2</t>
        </is>
      </c>
      <c r="D6" s="45" t="inlineStr">
        <is>
          <t>THU 1</t>
        </is>
      </c>
      <c r="E6" s="45" t="inlineStr">
        <is>
          <t>2026-08-11</t>
        </is>
      </c>
      <c r="F6" s="46" t="inlineStr">
        <is>
          <t>Pass</t>
        </is>
      </c>
      <c r="G6" s="46" t="inlineStr">
        <is>
          <t>Pass</t>
        </is>
      </c>
      <c r="H6" s="46" t="inlineStr">
        <is>
          <t>Pass</t>
        </is>
      </c>
      <c r="I6" s="46" t="inlineStr">
        <is>
          <t>Pass</t>
        </is>
      </c>
      <c r="J6" s="46" t="inlineStr">
        <is>
          <t>Pass</t>
        </is>
      </c>
      <c r="K6" s="46" t="inlineStr">
        <is>
          <t>Pass</t>
        </is>
      </c>
      <c r="L6" s="46" t="inlineStr">
        <is>
          <t>Pass</t>
        </is>
      </c>
      <c r="M6" s="46" t="inlineStr">
        <is>
          <t>Pass</t>
        </is>
      </c>
      <c r="N6" s="46" t="inlineStr">
        <is>
          <t>Pass</t>
        </is>
      </c>
      <c r="O6" s="46" t="inlineStr">
        <is>
          <t>Pass</t>
        </is>
      </c>
      <c r="P6" s="46" t="inlineStr">
        <is>
          <t>Pass</t>
        </is>
      </c>
      <c r="Q6" s="46" t="inlineStr">
        <is>
          <t>Pass</t>
        </is>
      </c>
      <c r="R6" s="46" t="inlineStr">
        <is>
          <t>Pass</t>
        </is>
      </c>
      <c r="S6" s="46" t="inlineStr">
        <is>
          <t>Pass</t>
        </is>
      </c>
      <c r="T6" s="46" t="inlineStr">
        <is>
          <t>Pass</t>
        </is>
      </c>
      <c r="U6" s="46" t="inlineStr">
        <is>
          <t>WARN</t>
        </is>
      </c>
      <c r="V6" s="46" t="inlineStr">
        <is>
          <t>Pass</t>
        </is>
      </c>
      <c r="W6" s="46" t="inlineStr">
        <is>
          <t>WARN</t>
        </is>
      </c>
      <c r="X6" s="46" t="inlineStr">
        <is>
          <t>Pass</t>
        </is>
      </c>
      <c r="Y6" s="46" t="inlineStr">
        <is>
          <t>Pass</t>
        </is>
      </c>
      <c r="Z6" s="26">
        <f>IF(B6="","",IF(COUNTIF(F6:G6,"Fail")&gt;0,1,0))</f>
        <v/>
      </c>
      <c r="AA6" s="26">
        <f>IF(B6="","",IF(COUNTIF(H6:S6,"Fail")&gt;0,1,0))</f>
        <v/>
      </c>
      <c r="AB6" s="26">
        <f>IF(B6="","",IF(COUNTIF(T6:Y6,"Fail")&gt;0,1,0))</f>
        <v/>
      </c>
      <c r="AC6" s="27">
        <f>IF(B6="","",0.1*Z6+0.8*AA6+0.1*AB6)</f>
        <v/>
      </c>
      <c r="AD6" s="27">
        <f>IF(B6="","",IF(C6="Batch 1",0.3,0.2))</f>
        <v/>
      </c>
      <c r="AE6" s="19">
        <f>IF(B6="","",IF(AC6&lt;=AD6,"Đạt","Không đạt"))</f>
        <v/>
      </c>
      <c r="AF6" s="43" t="inlineStr">
        <is>
          <t>╔══ WARN: 2 tiêu chí — 3.2, 3.4
▼ 3.2 — CTE không bị scan lại nhiều lần
   • CTE bị tham chiếu lại nhiều lần: kh_hub x3, ref_dm x9
▼ 3.4 — Sử dụng CACHE cho query lặp lại trong cùng luồng
   • 2 CTE nặng dùng lại &gt;= 2 lần mà không có CACHE: kh_hub, ref_dm</t>
        </is>
      </c>
    </row>
    <row r="7" ht="30" customHeight="1" s="36">
      <c r="A7" s="17" t="n">
        <v>5</v>
      </c>
      <c r="B7" s="44" t="inlineStr">
        <is>
          <t>BPM_VOLUME_TDCN</t>
        </is>
      </c>
      <c r="C7" s="45" t="inlineStr">
        <is>
          <t>Batch 2</t>
        </is>
      </c>
      <c r="D7" s="45" t="inlineStr">
        <is>
          <t>THU 1</t>
        </is>
      </c>
      <c r="E7" s="45" t="inlineStr">
        <is>
          <t>2026-08-11</t>
        </is>
      </c>
      <c r="F7" s="46" t="inlineStr">
        <is>
          <t>Pass</t>
        </is>
      </c>
      <c r="G7" s="46" t="inlineStr">
        <is>
          <t>Pass</t>
        </is>
      </c>
      <c r="H7" s="46" t="inlineStr">
        <is>
          <t>Pass</t>
        </is>
      </c>
      <c r="I7" s="46" t="inlineStr">
        <is>
          <t>Pass</t>
        </is>
      </c>
      <c r="J7" s="46" t="inlineStr">
        <is>
          <t>Pass</t>
        </is>
      </c>
      <c r="K7" s="46" t="inlineStr">
        <is>
          <t>Fail</t>
        </is>
      </c>
      <c r="L7" s="46" t="inlineStr">
        <is>
          <t>Pass</t>
        </is>
      </c>
      <c r="M7" s="46" t="inlineStr">
        <is>
          <t>Pass</t>
        </is>
      </c>
      <c r="N7" s="46" t="inlineStr">
        <is>
          <t>Pass</t>
        </is>
      </c>
      <c r="O7" s="46" t="inlineStr">
        <is>
          <t>Pass</t>
        </is>
      </c>
      <c r="P7" s="46" t="inlineStr">
        <is>
          <t>Pass</t>
        </is>
      </c>
      <c r="Q7" s="46" t="inlineStr">
        <is>
          <t>Pass</t>
        </is>
      </c>
      <c r="R7" s="46" t="inlineStr">
        <is>
          <t>Pass</t>
        </is>
      </c>
      <c r="S7" s="46" t="inlineStr">
        <is>
          <t>Pass</t>
        </is>
      </c>
      <c r="T7" s="46" t="inlineStr">
        <is>
          <t>Pass</t>
        </is>
      </c>
      <c r="U7" s="46" t="inlineStr">
        <is>
          <t>WARN</t>
        </is>
      </c>
      <c r="V7" s="46" t="inlineStr">
        <is>
          <t>Pass</t>
        </is>
      </c>
      <c r="W7" s="46" t="inlineStr">
        <is>
          <t>WARN</t>
        </is>
      </c>
      <c r="X7" s="46" t="inlineStr">
        <is>
          <t>WARN</t>
        </is>
      </c>
      <c r="Y7" s="46" t="inlineStr">
        <is>
          <t>Pass</t>
        </is>
      </c>
      <c r="Z7" s="26">
        <f>IF(B7="","",IF(COUNTIF(F7:G7,"Fail")&gt;0,1,0))</f>
        <v/>
      </c>
      <c r="AA7" s="26">
        <f>IF(B7="","",IF(COUNTIF(H7:S7,"Fail")&gt;0,1,0))</f>
        <v/>
      </c>
      <c r="AB7" s="26">
        <f>IF(B7="","",IF(COUNTIF(T7:Y7,"Fail")&gt;0,1,0))</f>
        <v/>
      </c>
      <c r="AC7" s="27">
        <f>IF(B7="","",0.1*Z7+0.8*AA7+0.1*AB7)</f>
        <v/>
      </c>
      <c r="AD7" s="27">
        <f>IF(B7="","",IF(C7="Batch 1",0.3,0.2))</f>
        <v/>
      </c>
      <c r="AE7" s="19">
        <f>IF(B7="","",IF(AC7&lt;=AD7,"Đạt","Không đạt"))</f>
        <v/>
      </c>
      <c r="AF7" s="43" t="inlineStr">
        <is>
          <t>╔══ FAIL: 1 tiêu chí — 2.4
▼ 2.4 — source_event_date áp dụng đúng dạng theo loại bảng
   • Lý do: sat_giao_dich_thong_tin_chung (dong 43): là bảng transaction nên phải dùng source_event_date = :DATADT, đang dùng &lt;=
   • Lý do: sat_giao_dich_tdcn_thong_tin_chung (dong 50): là bảng transaction nên phải dùng source_event_date = :DATADT, đang dùng &lt;=
   • Lý do: sat_giao_dich_tdcn_tai_san_bao_dam (dong 102): là bảng transaction nên phải dùng source_event_date = :DATADT, đang dùng &lt;=
   → Cách sửa: 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
╔══ WARN: 3 tiêu chí — 3.2, 3.4, 3.5
▼ 3.2 — CTE không bị scan lại nhiều lần
   • CTE bị tham chiếu lại nhiều lần: sat_gd_tsbd x2, ref_dm x4
▼ 3.4 — Sử dụng CACHE cho query lặp lại trong cùng luồng
   • 2 CTE nặng dùng lại &gt;= 2 lần mà không có CACHE: ref_dm, sat_gd_tsbd
▼ 3.5 — Ưu tiên MAX_BY + QUALIFY thay ROW_NUMBER() + WHERE rn = 1
   • 2 khối dùng MAX_BY độc lập cho &gt;5 cột (dòng 25, [10, 7]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row>
    <row r="8" ht="30" customHeight="1" s="36">
      <c r="A8" s="17" t="n">
        <v>6</v>
      </c>
      <c r="B8" s="18" t="n"/>
      <c r="C8" s="17" t="n"/>
      <c r="D8" s="17" t="n"/>
      <c r="E8" s="17" t="n"/>
      <c r="F8" s="26" t="n"/>
      <c r="G8" s="26" t="n"/>
      <c r="H8" s="26" t="n"/>
      <c r="I8" s="26" t="n"/>
      <c r="J8" s="26" t="n"/>
      <c r="K8" s="26" t="n"/>
      <c r="L8" s="26" t="n"/>
      <c r="M8" s="26" t="n"/>
      <c r="N8" s="26" t="n"/>
      <c r="O8" s="26" t="n"/>
      <c r="P8" s="26" t="n"/>
      <c r="Q8" s="26" t="n"/>
      <c r="R8" s="26" t="n"/>
      <c r="S8" s="26" t="n"/>
      <c r="T8" s="26" t="n"/>
      <c r="U8" s="26" t="n"/>
      <c r="V8" s="26" t="n"/>
      <c r="W8" s="26" t="n"/>
      <c r="X8" s="26" t="n"/>
      <c r="Y8" s="26" t="n"/>
      <c r="Z8" s="26">
        <f>IF(B8="","",IF(COUNTIF(F8:G8,"Fail")&gt;0,1,0))</f>
        <v/>
      </c>
      <c r="AA8" s="26">
        <f>IF(B8="","",IF(COUNTIF(H8:S8,"Fail")&gt;0,1,0))</f>
        <v/>
      </c>
      <c r="AB8" s="26">
        <f>IF(B8="","",IF(COUNTIF(T8:Y8,"Fail")&gt;0,1,0))</f>
        <v/>
      </c>
      <c r="AC8" s="27">
        <f>IF(B8="","",0.1*Z8+0.8*AA8+0.1*AB8)</f>
        <v/>
      </c>
      <c r="AD8" s="27">
        <f>IF(B8="","",IF(C8="Batch 1",0.3,0.2))</f>
        <v/>
      </c>
      <c r="AE8" s="19">
        <f>IF(B8="","",IF(AC8&lt;=AD8,"Đạt","Không đạt"))</f>
        <v/>
      </c>
      <c r="AF8" s="28" t="n"/>
    </row>
    <row r="9" ht="30" customHeight="1" s="36">
      <c r="A9" s="17" t="n">
        <v>7</v>
      </c>
      <c r="B9" s="18" t="n"/>
      <c r="C9" s="17" t="n"/>
      <c r="D9" s="17" t="n"/>
      <c r="E9" s="17" t="n"/>
      <c r="F9" s="26" t="n"/>
      <c r="G9" s="26" t="n"/>
      <c r="H9" s="26" t="n"/>
      <c r="I9" s="26" t="n"/>
      <c r="J9" s="26" t="n"/>
      <c r="K9" s="26" t="n"/>
      <c r="L9" s="26" t="n"/>
      <c r="M9" s="26" t="n"/>
      <c r="N9" s="26" t="n"/>
      <c r="O9" s="26" t="n"/>
      <c r="P9" s="26" t="n"/>
      <c r="Q9" s="26" t="n"/>
      <c r="R9" s="26" t="n"/>
      <c r="S9" s="26" t="n"/>
      <c r="T9" s="26" t="n"/>
      <c r="U9" s="26" t="n"/>
      <c r="V9" s="26" t="n"/>
      <c r="W9" s="26" t="n"/>
      <c r="X9" s="26" t="n"/>
      <c r="Y9" s="26" t="n"/>
      <c r="Z9" s="26">
        <f>IF(B9="","",IF(COUNTIF(F9:G9,"Fail")&gt;0,1,0))</f>
        <v/>
      </c>
      <c r="AA9" s="26">
        <f>IF(B9="","",IF(COUNTIF(H9:S9,"Fail")&gt;0,1,0))</f>
        <v/>
      </c>
      <c r="AB9" s="26">
        <f>IF(B9="","",IF(COUNTIF(T9:Y9,"Fail")&gt;0,1,0))</f>
        <v/>
      </c>
      <c r="AC9" s="27">
        <f>IF(B9="","",0.1*Z9+0.8*AA9+0.1*AB9)</f>
        <v/>
      </c>
      <c r="AD9" s="27">
        <f>IF(B9="","",IF(C9="Batch 1",0.3,0.2))</f>
        <v/>
      </c>
      <c r="AE9" s="19">
        <f>IF(B9="","",IF(AC9&lt;=AD9,"Đạt","Không đạt"))</f>
        <v/>
      </c>
      <c r="AF9" s="28" t="n"/>
    </row>
    <row r="10" ht="30" customHeight="1" s="36">
      <c r="A10" s="17" t="n">
        <v>8</v>
      </c>
      <c r="B10" s="18" t="n"/>
      <c r="C10" s="17" t="n"/>
      <c r="D10" s="17" t="n"/>
      <c r="E10" s="17" t="n"/>
      <c r="F10" s="26" t="n"/>
      <c r="G10" s="26" t="n"/>
      <c r="H10" s="26" t="n"/>
      <c r="I10" s="26" t="n"/>
      <c r="J10" s="26" t="n"/>
      <c r="K10" s="26" t="n"/>
      <c r="L10" s="26" t="n"/>
      <c r="M10" s="26" t="n"/>
      <c r="N10" s="26" t="n"/>
      <c r="O10" s="26" t="n"/>
      <c r="P10" s="26" t="n"/>
      <c r="Q10" s="26" t="n"/>
      <c r="R10" s="26" t="n"/>
      <c r="S10" s="26" t="n"/>
      <c r="T10" s="26" t="n"/>
      <c r="U10" s="26" t="n"/>
      <c r="V10" s="26" t="n"/>
      <c r="W10" s="26" t="n"/>
      <c r="X10" s="26" t="n"/>
      <c r="Y10" s="26" t="n"/>
      <c r="Z10" s="26">
        <f>IF(B10="","",IF(COUNTIF(F10:G10,"Fail")&gt;0,1,0))</f>
        <v/>
      </c>
      <c r="AA10" s="26">
        <f>IF(B10="","",IF(COUNTIF(H10:S10,"Fail")&gt;0,1,0))</f>
        <v/>
      </c>
      <c r="AB10" s="26">
        <f>IF(B10="","",IF(COUNTIF(T10:Y10,"Fail")&gt;0,1,0))</f>
        <v/>
      </c>
      <c r="AC10" s="27">
        <f>IF(B10="","",0.1*Z10+0.8*AA10+0.1*AB10)</f>
        <v/>
      </c>
      <c r="AD10" s="27">
        <f>IF(B10="","",IF(C10="Batch 1",0.3,0.2))</f>
        <v/>
      </c>
      <c r="AE10" s="19">
        <f>IF(B10="","",IF(AC10&lt;=AD10,"Đạt","Không đạt"))</f>
        <v/>
      </c>
      <c r="AF10" s="28" t="n"/>
    </row>
    <row r="11" ht="30" customHeight="1" s="36">
      <c r="A11" s="17" t="n">
        <v>9</v>
      </c>
      <c r="B11" s="18" t="n"/>
      <c r="C11" s="17" t="n"/>
      <c r="D11" s="17" t="n"/>
      <c r="E11" s="17" t="n"/>
      <c r="F11" s="26" t="n"/>
      <c r="G11" s="26" t="n"/>
      <c r="H11" s="26" t="n"/>
      <c r="I11" s="26" t="n"/>
      <c r="J11" s="26" t="n"/>
      <c r="K11" s="26" t="n"/>
      <c r="L11" s="26" t="n"/>
      <c r="M11" s="26" t="n"/>
      <c r="N11" s="26" t="n"/>
      <c r="O11" s="26" t="n"/>
      <c r="P11" s="26" t="n"/>
      <c r="Q11" s="26" t="n"/>
      <c r="R11" s="26" t="n"/>
      <c r="S11" s="26" t="n"/>
      <c r="T11" s="26" t="n"/>
      <c r="U11" s="26" t="n"/>
      <c r="V11" s="26" t="n"/>
      <c r="W11" s="26" t="n"/>
      <c r="X11" s="26" t="n"/>
      <c r="Y11" s="26" t="n"/>
      <c r="Z11" s="26">
        <f>IF(B11="","",IF(COUNTIF(F11:G11,"Fail")&gt;0,1,0))</f>
        <v/>
      </c>
      <c r="AA11" s="26">
        <f>IF(B11="","",IF(COUNTIF(H11:S11,"Fail")&gt;0,1,0))</f>
        <v/>
      </c>
      <c r="AB11" s="26">
        <f>IF(B11="","",IF(COUNTIF(T11:Y11,"Fail")&gt;0,1,0))</f>
        <v/>
      </c>
      <c r="AC11" s="27">
        <f>IF(B11="","",0.1*Z11+0.8*AA11+0.1*AB11)</f>
        <v/>
      </c>
      <c r="AD11" s="27">
        <f>IF(B11="","",IF(C11="Batch 1",0.3,0.2))</f>
        <v/>
      </c>
      <c r="AE11" s="19">
        <f>IF(B11="","",IF(AC11&lt;=AD11,"Đạt","Không đạt"))</f>
        <v/>
      </c>
      <c r="AF11" s="28" t="n"/>
    </row>
    <row r="12" ht="30" customHeight="1" s="36">
      <c r="A12" s="17" t="n">
        <v>10</v>
      </c>
      <c r="B12" s="18" t="n"/>
      <c r="C12" s="17" t="n"/>
      <c r="D12" s="17" t="n"/>
      <c r="E12" s="17" t="n"/>
      <c r="F12" s="26" t="n"/>
      <c r="G12" s="26" t="n"/>
      <c r="H12" s="26" t="n"/>
      <c r="I12" s="26" t="n"/>
      <c r="J12" s="26" t="n"/>
      <c r="K12" s="26" t="n"/>
      <c r="L12" s="26" t="n"/>
      <c r="M12" s="26" t="n"/>
      <c r="N12" s="26" t="n"/>
      <c r="O12" s="26" t="n"/>
      <c r="P12" s="26" t="n"/>
      <c r="Q12" s="26" t="n"/>
      <c r="R12" s="26" t="n"/>
      <c r="S12" s="26" t="n"/>
      <c r="T12" s="26" t="n"/>
      <c r="U12" s="26" t="n"/>
      <c r="V12" s="26" t="n"/>
      <c r="W12" s="26" t="n"/>
      <c r="X12" s="26" t="n"/>
      <c r="Y12" s="26" t="n"/>
      <c r="Z12" s="26">
        <f>IF(B12="","",IF(COUNTIF(F12:G12,"Fail")&gt;0,1,0))</f>
        <v/>
      </c>
      <c r="AA12" s="26">
        <f>IF(B12="","",IF(COUNTIF(H12:S12,"Fail")&gt;0,1,0))</f>
        <v/>
      </c>
      <c r="AB12" s="26">
        <f>IF(B12="","",IF(COUNTIF(T12:Y12,"Fail")&gt;0,1,0))</f>
        <v/>
      </c>
      <c r="AC12" s="27">
        <f>IF(B12="","",0.1*Z12+0.8*AA12+0.1*AB12)</f>
        <v/>
      </c>
      <c r="AD12" s="27">
        <f>IF(B12="","",IF(C12="Batch 1",0.3,0.2))</f>
        <v/>
      </c>
      <c r="AE12" s="19">
        <f>IF(B12="","",IF(AC12&lt;=AD12,"Đạt","Không đạt"))</f>
        <v/>
      </c>
      <c r="AF12" s="28" t="n"/>
    </row>
    <row r="13" ht="30" customHeight="1" s="36">
      <c r="A13" s="17" t="n">
        <v>11</v>
      </c>
      <c r="B13" s="18" t="n"/>
      <c r="C13" s="17" t="n"/>
      <c r="D13" s="17" t="n"/>
      <c r="E13" s="17" t="n"/>
      <c r="F13" s="26" t="n"/>
      <c r="G13" s="26" t="n"/>
      <c r="H13" s="26" t="n"/>
      <c r="I13" s="26" t="n"/>
      <c r="J13" s="26" t="n"/>
      <c r="K13" s="26" t="n"/>
      <c r="L13" s="26" t="n"/>
      <c r="M13" s="26" t="n"/>
      <c r="N13" s="26" t="n"/>
      <c r="O13" s="26" t="n"/>
      <c r="P13" s="26" t="n"/>
      <c r="Q13" s="26" t="n"/>
      <c r="R13" s="26" t="n"/>
      <c r="S13" s="26" t="n"/>
      <c r="T13" s="26" t="n"/>
      <c r="U13" s="26" t="n"/>
      <c r="V13" s="26" t="n"/>
      <c r="W13" s="26" t="n"/>
      <c r="X13" s="26" t="n"/>
      <c r="Y13" s="26" t="n"/>
      <c r="Z13" s="26">
        <f>IF(B13="","",IF(COUNTIF(F13:G13,"Fail")&gt;0,1,0))</f>
        <v/>
      </c>
      <c r="AA13" s="26">
        <f>IF(B13="","",IF(COUNTIF(H13:S13,"Fail")&gt;0,1,0))</f>
        <v/>
      </c>
      <c r="AB13" s="26">
        <f>IF(B13="","",IF(COUNTIF(T13:Y13,"Fail")&gt;0,1,0))</f>
        <v/>
      </c>
      <c r="AC13" s="27">
        <f>IF(B13="","",0.1*Z13+0.8*AA13+0.1*AB13)</f>
        <v/>
      </c>
      <c r="AD13" s="27">
        <f>IF(B13="","",IF(C13="Batch 1",0.3,0.2))</f>
        <v/>
      </c>
      <c r="AE13" s="19">
        <f>IF(B13="","",IF(AC13&lt;=AD13,"Đạt","Không đạt"))</f>
        <v/>
      </c>
      <c r="AF13" s="28" t="n"/>
    </row>
    <row r="14" ht="30" customHeight="1" s="36">
      <c r="A14" s="17" t="n">
        <v>12</v>
      </c>
      <c r="B14" s="18" t="n"/>
      <c r="C14" s="17" t="n"/>
      <c r="D14" s="17" t="n"/>
      <c r="E14" s="17" t="n"/>
      <c r="F14" s="26" t="n"/>
      <c r="G14" s="26" t="n"/>
      <c r="H14" s="26" t="n"/>
      <c r="I14" s="26" t="n"/>
      <c r="J14" s="26" t="n"/>
      <c r="K14" s="26" t="n"/>
      <c r="L14" s="26" t="n"/>
      <c r="M14" s="26" t="n"/>
      <c r="N14" s="26" t="n"/>
      <c r="O14" s="26" t="n"/>
      <c r="P14" s="26" t="n"/>
      <c r="Q14" s="26" t="n"/>
      <c r="R14" s="26" t="n"/>
      <c r="S14" s="26" t="n"/>
      <c r="T14" s="26" t="n"/>
      <c r="U14" s="26" t="n"/>
      <c r="V14" s="26" t="n"/>
      <c r="W14" s="26" t="n"/>
      <c r="X14" s="26" t="n"/>
      <c r="Y14" s="26" t="n"/>
      <c r="Z14" s="26">
        <f>IF(B14="","",IF(COUNTIF(F14:G14,"Fail")&gt;0,1,0))</f>
        <v/>
      </c>
      <c r="AA14" s="26">
        <f>IF(B14="","",IF(COUNTIF(H14:S14,"Fail")&gt;0,1,0))</f>
        <v/>
      </c>
      <c r="AB14" s="26">
        <f>IF(B14="","",IF(COUNTIF(T14:Y14,"Fail")&gt;0,1,0))</f>
        <v/>
      </c>
      <c r="AC14" s="27">
        <f>IF(B14="","",0.1*Z14+0.8*AA14+0.1*AB14)</f>
        <v/>
      </c>
      <c r="AD14" s="27">
        <f>IF(B14="","",IF(C14="Batch 1",0.3,0.2))</f>
        <v/>
      </c>
      <c r="AE14" s="19">
        <f>IF(B14="","",IF(AC14&lt;=AD14,"Đạt","Không đạt"))</f>
        <v/>
      </c>
      <c r="AF14" s="28" t="n"/>
    </row>
    <row r="15" ht="30" customHeight="1" s="36">
      <c r="A15" s="17" t="n">
        <v>13</v>
      </c>
      <c r="B15" s="18" t="n"/>
      <c r="C15" s="17" t="n"/>
      <c r="D15" s="17" t="n"/>
      <c r="E15" s="17" t="n"/>
      <c r="F15" s="26" t="n"/>
      <c r="G15" s="26" t="n"/>
      <c r="H15" s="26" t="n"/>
      <c r="I15" s="26" t="n"/>
      <c r="J15" s="26" t="n"/>
      <c r="K15" s="26" t="n"/>
      <c r="L15" s="26" t="n"/>
      <c r="M15" s="26" t="n"/>
      <c r="N15" s="26" t="n"/>
      <c r="O15" s="26" t="n"/>
      <c r="P15" s="26" t="n"/>
      <c r="Q15" s="26" t="n"/>
      <c r="R15" s="26" t="n"/>
      <c r="S15" s="26" t="n"/>
      <c r="T15" s="26" t="n"/>
      <c r="U15" s="26" t="n"/>
      <c r="V15" s="26" t="n"/>
      <c r="W15" s="26" t="n"/>
      <c r="X15" s="26" t="n"/>
      <c r="Y15" s="26" t="n"/>
      <c r="Z15" s="26">
        <f>IF(B15="","",IF(COUNTIF(F15:G15,"Fail")&gt;0,1,0))</f>
        <v/>
      </c>
      <c r="AA15" s="26">
        <f>IF(B15="","",IF(COUNTIF(H15:S15,"Fail")&gt;0,1,0))</f>
        <v/>
      </c>
      <c r="AB15" s="26">
        <f>IF(B15="","",IF(COUNTIF(T15:Y15,"Fail")&gt;0,1,0))</f>
        <v/>
      </c>
      <c r="AC15" s="27">
        <f>IF(B15="","",0.1*Z15+0.8*AA15+0.1*AB15)</f>
        <v/>
      </c>
      <c r="AD15" s="27">
        <f>IF(B15="","",IF(C15="Batch 1",0.3,0.2))</f>
        <v/>
      </c>
      <c r="AE15" s="19">
        <f>IF(B15="","",IF(AC15&lt;=AD15,"Đạt","Không đạt"))</f>
        <v/>
      </c>
      <c r="AF15" s="28" t="n"/>
    </row>
    <row r="16" ht="30" customHeight="1" s="36">
      <c r="A16" s="17" t="n">
        <v>14</v>
      </c>
      <c r="B16" s="18" t="n"/>
      <c r="C16" s="17" t="n"/>
      <c r="D16" s="17" t="n"/>
      <c r="E16" s="17" t="n"/>
      <c r="F16" s="26" t="n"/>
      <c r="G16" s="26" t="n"/>
      <c r="H16" s="26" t="n"/>
      <c r="I16" s="26" t="n"/>
      <c r="J16" s="26" t="n"/>
      <c r="K16" s="26" t="n"/>
      <c r="L16" s="26" t="n"/>
      <c r="M16" s="26" t="n"/>
      <c r="N16" s="26" t="n"/>
      <c r="O16" s="26" t="n"/>
      <c r="P16" s="26" t="n"/>
      <c r="Q16" s="26" t="n"/>
      <c r="R16" s="26" t="n"/>
      <c r="S16" s="26" t="n"/>
      <c r="T16" s="26" t="n"/>
      <c r="U16" s="26" t="n"/>
      <c r="V16" s="26" t="n"/>
      <c r="W16" s="26" t="n"/>
      <c r="X16" s="26" t="n"/>
      <c r="Y16" s="26" t="n"/>
      <c r="Z16" s="26">
        <f>IF(B16="","",IF(COUNTIF(F16:G16,"Fail")&gt;0,1,0))</f>
        <v/>
      </c>
      <c r="AA16" s="26">
        <f>IF(B16="","",IF(COUNTIF(H16:S16,"Fail")&gt;0,1,0))</f>
        <v/>
      </c>
      <c r="AB16" s="26">
        <f>IF(B16="","",IF(COUNTIF(T16:Y16,"Fail")&gt;0,1,0))</f>
        <v/>
      </c>
      <c r="AC16" s="27">
        <f>IF(B16="","",0.1*Z16+0.8*AA16+0.1*AB16)</f>
        <v/>
      </c>
      <c r="AD16" s="27">
        <f>IF(B16="","",IF(C16="Batch 1",0.3,0.2))</f>
        <v/>
      </c>
      <c r="AE16" s="19">
        <f>IF(B16="","",IF(AC16&lt;=AD16,"Đạt","Không đạt"))</f>
        <v/>
      </c>
      <c r="AF16" s="28" t="n"/>
    </row>
    <row r="17" ht="30" customHeight="1" s="36">
      <c r="A17" s="17" t="n">
        <v>15</v>
      </c>
      <c r="B17" s="18" t="n"/>
      <c r="C17" s="17" t="n"/>
      <c r="D17" s="17" t="n"/>
      <c r="E17" s="17" t="n"/>
      <c r="F17" s="26" t="n"/>
      <c r="G17" s="26" t="n"/>
      <c r="H17" s="26" t="n"/>
      <c r="I17" s="26" t="n"/>
      <c r="J17" s="26" t="n"/>
      <c r="K17" s="26" t="n"/>
      <c r="L17" s="26" t="n"/>
      <c r="M17" s="26" t="n"/>
      <c r="N17" s="26" t="n"/>
      <c r="O17" s="26" t="n"/>
      <c r="P17" s="26" t="n"/>
      <c r="Q17" s="26" t="n"/>
      <c r="R17" s="26" t="n"/>
      <c r="S17" s="26" t="n"/>
      <c r="T17" s="26" t="n"/>
      <c r="U17" s="26" t="n"/>
      <c r="V17" s="26" t="n"/>
      <c r="W17" s="26" t="n"/>
      <c r="X17" s="26" t="n"/>
      <c r="Y17" s="26" t="n"/>
      <c r="Z17" s="26">
        <f>IF(B17="","",IF(COUNTIF(F17:G17,"Fail")&gt;0,1,0))</f>
        <v/>
      </c>
      <c r="AA17" s="26">
        <f>IF(B17="","",IF(COUNTIF(H17:S17,"Fail")&gt;0,1,0))</f>
        <v/>
      </c>
      <c r="AB17" s="26">
        <f>IF(B17="","",IF(COUNTIF(T17:Y17,"Fail")&gt;0,1,0))</f>
        <v/>
      </c>
      <c r="AC17" s="27">
        <f>IF(B17="","",0.1*Z17+0.8*AA17+0.1*AB17)</f>
        <v/>
      </c>
      <c r="AD17" s="27">
        <f>IF(B17="","",IF(C17="Batch 1",0.3,0.2))</f>
        <v/>
      </c>
      <c r="AE17" s="19">
        <f>IF(B17="","",IF(AC17&lt;=AD17,"Đạt","Không đạt"))</f>
        <v/>
      </c>
      <c r="AF17" s="28" t="n"/>
    </row>
    <row r="18" ht="30" customHeight="1" s="36">
      <c r="A18" s="17" t="n">
        <v>16</v>
      </c>
      <c r="B18" s="18" t="n"/>
      <c r="C18" s="17" t="n"/>
      <c r="D18" s="17" t="n"/>
      <c r="E18" s="17" t="n"/>
      <c r="F18" s="26" t="n"/>
      <c r="G18" s="26" t="n"/>
      <c r="H18" s="26" t="n"/>
      <c r="I18" s="26" t="n"/>
      <c r="J18" s="26" t="n"/>
      <c r="K18" s="26" t="n"/>
      <c r="L18" s="26" t="n"/>
      <c r="M18" s="26" t="n"/>
      <c r="N18" s="26" t="n"/>
      <c r="O18" s="26" t="n"/>
      <c r="P18" s="26" t="n"/>
      <c r="Q18" s="26" t="n"/>
      <c r="R18" s="26" t="n"/>
      <c r="S18" s="26" t="n"/>
      <c r="T18" s="26" t="n"/>
      <c r="U18" s="26" t="n"/>
      <c r="V18" s="26" t="n"/>
      <c r="W18" s="26" t="n"/>
      <c r="X18" s="26" t="n"/>
      <c r="Y18" s="26" t="n"/>
      <c r="Z18" s="26">
        <f>IF(B18="","",IF(COUNTIF(F18:G18,"Fail")&gt;0,1,0))</f>
        <v/>
      </c>
      <c r="AA18" s="26">
        <f>IF(B18="","",IF(COUNTIF(H18:S18,"Fail")&gt;0,1,0))</f>
        <v/>
      </c>
      <c r="AB18" s="26">
        <f>IF(B18="","",IF(COUNTIF(T18:Y18,"Fail")&gt;0,1,0))</f>
        <v/>
      </c>
      <c r="AC18" s="27">
        <f>IF(B18="","",0.1*Z18+0.8*AA18+0.1*AB18)</f>
        <v/>
      </c>
      <c r="AD18" s="27">
        <f>IF(B18="","",IF(C18="Batch 1",0.3,0.2))</f>
        <v/>
      </c>
      <c r="AE18" s="19">
        <f>IF(B18="","",IF(AC18&lt;=AD18,"Đạt","Không đạt"))</f>
        <v/>
      </c>
      <c r="AF18" s="28" t="n"/>
    </row>
    <row r="19" ht="30" customHeight="1" s="36">
      <c r="A19" s="17" t="n">
        <v>17</v>
      </c>
      <c r="B19" s="18" t="n"/>
      <c r="C19" s="17" t="n"/>
      <c r="D19" s="17" t="n"/>
      <c r="E19" s="17" t="n"/>
      <c r="F19" s="26" t="n"/>
      <c r="G19" s="26" t="n"/>
      <c r="H19" s="26" t="n"/>
      <c r="I19" s="26" t="n"/>
      <c r="J19" s="26" t="n"/>
      <c r="K19" s="26" t="n"/>
      <c r="L19" s="26" t="n"/>
      <c r="M19" s="26" t="n"/>
      <c r="N19" s="26" t="n"/>
      <c r="O19" s="26" t="n"/>
      <c r="P19" s="26" t="n"/>
      <c r="Q19" s="26" t="n"/>
      <c r="R19" s="26" t="n"/>
      <c r="S19" s="26" t="n"/>
      <c r="T19" s="26" t="n"/>
      <c r="U19" s="26" t="n"/>
      <c r="V19" s="26" t="n"/>
      <c r="W19" s="26" t="n"/>
      <c r="X19" s="26" t="n"/>
      <c r="Y19" s="26" t="n"/>
      <c r="Z19" s="26">
        <f>IF(B19="","",IF(COUNTIF(F19:G19,"Fail")&gt;0,1,0))</f>
        <v/>
      </c>
      <c r="AA19" s="26">
        <f>IF(B19="","",IF(COUNTIF(H19:S19,"Fail")&gt;0,1,0))</f>
        <v/>
      </c>
      <c r="AB19" s="26">
        <f>IF(B19="","",IF(COUNTIF(T19:Y19,"Fail")&gt;0,1,0))</f>
        <v/>
      </c>
      <c r="AC19" s="27">
        <f>IF(B19="","",0.1*Z19+0.8*AA19+0.1*AB19)</f>
        <v/>
      </c>
      <c r="AD19" s="27">
        <f>IF(B19="","",IF(C19="Batch 1",0.3,0.2))</f>
        <v/>
      </c>
      <c r="AE19" s="19">
        <f>IF(B19="","",IF(AC19&lt;=AD19,"Đạt","Không đạt"))</f>
        <v/>
      </c>
      <c r="AF19" s="28" t="n"/>
    </row>
    <row r="20" ht="30" customHeight="1" s="36">
      <c r="A20" s="17" t="n">
        <v>18</v>
      </c>
      <c r="B20" s="18" t="n"/>
      <c r="C20" s="17" t="n"/>
      <c r="D20" s="17" t="n"/>
      <c r="E20" s="17" t="n"/>
      <c r="F20" s="26" t="n"/>
      <c r="G20" s="26" t="n"/>
      <c r="H20" s="26" t="n"/>
      <c r="I20" s="26" t="n"/>
      <c r="J20" s="26" t="n"/>
      <c r="K20" s="26" t="n"/>
      <c r="L20" s="26" t="n"/>
      <c r="M20" s="26" t="n"/>
      <c r="N20" s="26" t="n"/>
      <c r="O20" s="26" t="n"/>
      <c r="P20" s="26" t="n"/>
      <c r="Q20" s="26" t="n"/>
      <c r="R20" s="26" t="n"/>
      <c r="S20" s="26" t="n"/>
      <c r="T20" s="26" t="n"/>
      <c r="U20" s="26" t="n"/>
      <c r="V20" s="26" t="n"/>
      <c r="W20" s="26" t="n"/>
      <c r="X20" s="26" t="n"/>
      <c r="Y20" s="26" t="n"/>
      <c r="Z20" s="26">
        <f>IF(B20="","",IF(COUNTIF(F20:G20,"Fail")&gt;0,1,0))</f>
        <v/>
      </c>
      <c r="AA20" s="26">
        <f>IF(B20="","",IF(COUNTIF(H20:S20,"Fail")&gt;0,1,0))</f>
        <v/>
      </c>
      <c r="AB20" s="26">
        <f>IF(B20="","",IF(COUNTIF(T20:Y20,"Fail")&gt;0,1,0))</f>
        <v/>
      </c>
      <c r="AC20" s="27">
        <f>IF(B20="","",0.1*Z20+0.8*AA20+0.1*AB20)</f>
        <v/>
      </c>
      <c r="AD20" s="27">
        <f>IF(B20="","",IF(C20="Batch 1",0.3,0.2))</f>
        <v/>
      </c>
      <c r="AE20" s="19">
        <f>IF(B20="","",IF(AC20&lt;=AD20,"Đạt","Không đạt"))</f>
        <v/>
      </c>
      <c r="AF20" s="28" t="n"/>
    </row>
    <row r="21" ht="30" customHeight="1" s="36">
      <c r="A21" s="17" t="n">
        <v>19</v>
      </c>
      <c r="B21" s="18" t="n"/>
      <c r="C21" s="17" t="n"/>
      <c r="D21" s="17" t="n"/>
      <c r="E21" s="17" t="n"/>
      <c r="F21" s="26" t="n"/>
      <c r="G21" s="26" t="n"/>
      <c r="H21" s="26" t="n"/>
      <c r="I21" s="26" t="n"/>
      <c r="J21" s="26" t="n"/>
      <c r="K21" s="26" t="n"/>
      <c r="L21" s="26" t="n"/>
      <c r="M21" s="26" t="n"/>
      <c r="N21" s="26" t="n"/>
      <c r="O21" s="26" t="n"/>
      <c r="P21" s="26" t="n"/>
      <c r="Q21" s="26" t="n"/>
      <c r="R21" s="26" t="n"/>
      <c r="S21" s="26" t="n"/>
      <c r="T21" s="26" t="n"/>
      <c r="U21" s="26" t="n"/>
      <c r="V21" s="26" t="n"/>
      <c r="W21" s="26" t="n"/>
      <c r="X21" s="26" t="n"/>
      <c r="Y21" s="26" t="n"/>
      <c r="Z21" s="26">
        <f>IF(B21="","",IF(COUNTIF(F21:G21,"Fail")&gt;0,1,0))</f>
        <v/>
      </c>
      <c r="AA21" s="26">
        <f>IF(B21="","",IF(COUNTIF(H21:S21,"Fail")&gt;0,1,0))</f>
        <v/>
      </c>
      <c r="AB21" s="26">
        <f>IF(B21="","",IF(COUNTIF(T21:Y21,"Fail")&gt;0,1,0))</f>
        <v/>
      </c>
      <c r="AC21" s="27">
        <f>IF(B21="","",0.1*Z21+0.8*AA21+0.1*AB21)</f>
        <v/>
      </c>
      <c r="AD21" s="27">
        <f>IF(B21="","",IF(C21="Batch 1",0.3,0.2))</f>
        <v/>
      </c>
      <c r="AE21" s="19">
        <f>IF(B21="","",IF(AC21&lt;=AD21,"Đạt","Không đạt"))</f>
        <v/>
      </c>
      <c r="AF21" s="28" t="n"/>
    </row>
    <row r="22" ht="30" customHeight="1" s="36">
      <c r="A22" s="17" t="n">
        <v>20</v>
      </c>
      <c r="B22" s="18" t="n"/>
      <c r="C22" s="17" t="n"/>
      <c r="D22" s="17" t="n"/>
      <c r="E22" s="17" t="n"/>
      <c r="F22" s="26" t="n"/>
      <c r="G22" s="26" t="n"/>
      <c r="H22" s="26" t="n"/>
      <c r="I22" s="26" t="n"/>
      <c r="J22" s="26" t="n"/>
      <c r="K22" s="26" t="n"/>
      <c r="L22" s="26" t="n"/>
      <c r="M22" s="26" t="n"/>
      <c r="N22" s="26" t="n"/>
      <c r="O22" s="26" t="n"/>
      <c r="P22" s="26" t="n"/>
      <c r="Q22" s="26" t="n"/>
      <c r="R22" s="26" t="n"/>
      <c r="S22" s="26" t="n"/>
      <c r="T22" s="26" t="n"/>
      <c r="U22" s="26" t="n"/>
      <c r="V22" s="26" t="n"/>
      <c r="W22" s="26" t="n"/>
      <c r="X22" s="26" t="n"/>
      <c r="Y22" s="26" t="n"/>
      <c r="Z22" s="26">
        <f>IF(B22="","",IF(COUNTIF(F22:G22,"Fail")&gt;0,1,0))</f>
        <v/>
      </c>
      <c r="AA22" s="26">
        <f>IF(B22="","",IF(COUNTIF(H22:S22,"Fail")&gt;0,1,0))</f>
        <v/>
      </c>
      <c r="AB22" s="26">
        <f>IF(B22="","",IF(COUNTIF(T22:Y22,"Fail")&gt;0,1,0))</f>
        <v/>
      </c>
      <c r="AC22" s="27">
        <f>IF(B22="","",0.1*Z22+0.8*AA22+0.1*AB22)</f>
        <v/>
      </c>
      <c r="AD22" s="27">
        <f>IF(B22="","",IF(C22="Batch 1",0.3,0.2))</f>
        <v/>
      </c>
      <c r="AE22" s="19">
        <f>IF(B22="","",IF(AC22&lt;=AD22,"Đạt","Không đạt"))</f>
        <v/>
      </c>
      <c r="AF22" s="28" t="n"/>
    </row>
    <row r="23" ht="30" customHeight="1" s="36">
      <c r="A23" s="17" t="n">
        <v>21</v>
      </c>
      <c r="B23" s="18" t="n"/>
      <c r="C23" s="17" t="n"/>
      <c r="D23" s="17" t="n"/>
      <c r="E23" s="17" t="n"/>
      <c r="F23" s="26" t="n"/>
      <c r="G23" s="26" t="n"/>
      <c r="H23" s="26" t="n"/>
      <c r="I23" s="26" t="n"/>
      <c r="J23" s="26" t="n"/>
      <c r="K23" s="26" t="n"/>
      <c r="L23" s="26" t="n"/>
      <c r="M23" s="26" t="n"/>
      <c r="N23" s="26" t="n"/>
      <c r="O23" s="26" t="n"/>
      <c r="P23" s="26" t="n"/>
      <c r="Q23" s="26" t="n"/>
      <c r="R23" s="26" t="n"/>
      <c r="S23" s="26" t="n"/>
      <c r="T23" s="26" t="n"/>
      <c r="U23" s="26" t="n"/>
      <c r="V23" s="26" t="n"/>
      <c r="W23" s="26" t="n"/>
      <c r="X23" s="26" t="n"/>
      <c r="Y23" s="26" t="n"/>
      <c r="Z23" s="26">
        <f>IF(B23="","",IF(COUNTIF(F23:G23,"Fail")&gt;0,1,0))</f>
        <v/>
      </c>
      <c r="AA23" s="26">
        <f>IF(B23="","",IF(COUNTIF(H23:S23,"Fail")&gt;0,1,0))</f>
        <v/>
      </c>
      <c r="AB23" s="26">
        <f>IF(B23="","",IF(COUNTIF(T23:Y23,"Fail")&gt;0,1,0))</f>
        <v/>
      </c>
      <c r="AC23" s="27">
        <f>IF(B23="","",0.1*Z23+0.8*AA23+0.1*AB23)</f>
        <v/>
      </c>
      <c r="AD23" s="27">
        <f>IF(B23="","",IF(C23="Batch 1",0.3,0.2))</f>
        <v/>
      </c>
      <c r="AE23" s="19">
        <f>IF(B23="","",IF(AC23&lt;=AD23,"Đạt","Không đạt"))</f>
        <v/>
      </c>
      <c r="AF23" s="28" t="n"/>
    </row>
    <row r="24" ht="30" customHeight="1" s="36">
      <c r="A24" s="17" t="n">
        <v>22</v>
      </c>
      <c r="B24" s="18" t="n"/>
      <c r="C24" s="17" t="n"/>
      <c r="D24" s="17" t="n"/>
      <c r="E24" s="17" t="n"/>
      <c r="F24" s="26" t="n"/>
      <c r="G24" s="26" t="n"/>
      <c r="H24" s="26" t="n"/>
      <c r="I24" s="26" t="n"/>
      <c r="J24" s="26" t="n"/>
      <c r="K24" s="26" t="n"/>
      <c r="L24" s="26" t="n"/>
      <c r="M24" s="26" t="n"/>
      <c r="N24" s="26" t="n"/>
      <c r="O24" s="26" t="n"/>
      <c r="P24" s="26" t="n"/>
      <c r="Q24" s="26" t="n"/>
      <c r="R24" s="26" t="n"/>
      <c r="S24" s="26" t="n"/>
      <c r="T24" s="26" t="n"/>
      <c r="U24" s="26" t="n"/>
      <c r="V24" s="26" t="n"/>
      <c r="W24" s="26" t="n"/>
      <c r="X24" s="26" t="n"/>
      <c r="Y24" s="26" t="n"/>
      <c r="Z24" s="26">
        <f>IF(B24="","",IF(COUNTIF(F24:G24,"Fail")&gt;0,1,0))</f>
        <v/>
      </c>
      <c r="AA24" s="26">
        <f>IF(B24="","",IF(COUNTIF(H24:S24,"Fail")&gt;0,1,0))</f>
        <v/>
      </c>
      <c r="AB24" s="26">
        <f>IF(B24="","",IF(COUNTIF(T24:Y24,"Fail")&gt;0,1,0))</f>
        <v/>
      </c>
      <c r="AC24" s="27">
        <f>IF(B24="","",0.1*Z24+0.8*AA24+0.1*AB24)</f>
        <v/>
      </c>
      <c r="AD24" s="27">
        <f>IF(B24="","",IF(C24="Batch 1",0.3,0.2))</f>
        <v/>
      </c>
      <c r="AE24" s="19">
        <f>IF(B24="","",IF(AC24&lt;=AD24,"Đạt","Không đạt"))</f>
        <v/>
      </c>
      <c r="AF24" s="28" t="n"/>
    </row>
    <row r="25" ht="30" customHeight="1" s="36">
      <c r="A25" s="17" t="n">
        <v>23</v>
      </c>
      <c r="B25" s="18" t="n"/>
      <c r="C25" s="17" t="n"/>
      <c r="D25" s="17" t="n"/>
      <c r="E25" s="17" t="n"/>
      <c r="F25" s="26" t="n"/>
      <c r="G25" s="26" t="n"/>
      <c r="H25" s="26" t="n"/>
      <c r="I25" s="26" t="n"/>
      <c r="J25" s="26" t="n"/>
      <c r="K25" s="26" t="n"/>
      <c r="L25" s="26" t="n"/>
      <c r="M25" s="26" t="n"/>
      <c r="N25" s="26" t="n"/>
      <c r="O25" s="26" t="n"/>
      <c r="P25" s="26" t="n"/>
      <c r="Q25" s="26" t="n"/>
      <c r="R25" s="26" t="n"/>
      <c r="S25" s="26" t="n"/>
      <c r="T25" s="26" t="n"/>
      <c r="U25" s="26" t="n"/>
      <c r="V25" s="26" t="n"/>
      <c r="W25" s="26" t="n"/>
      <c r="X25" s="26" t="n"/>
      <c r="Y25" s="26" t="n"/>
      <c r="Z25" s="26">
        <f>IF(B25="","",IF(COUNTIF(F25:G25,"Fail")&gt;0,1,0))</f>
        <v/>
      </c>
      <c r="AA25" s="26">
        <f>IF(B25="","",IF(COUNTIF(H25:S25,"Fail")&gt;0,1,0))</f>
        <v/>
      </c>
      <c r="AB25" s="26">
        <f>IF(B25="","",IF(COUNTIF(T25:Y25,"Fail")&gt;0,1,0))</f>
        <v/>
      </c>
      <c r="AC25" s="27">
        <f>IF(B25="","",0.1*Z25+0.8*AA25+0.1*AB25)</f>
        <v/>
      </c>
      <c r="AD25" s="27">
        <f>IF(B25="","",IF(C25="Batch 1",0.3,0.2))</f>
        <v/>
      </c>
      <c r="AE25" s="19">
        <f>IF(B25="","",IF(AC25&lt;=AD25,"Đạt","Không đạt"))</f>
        <v/>
      </c>
      <c r="AF25" s="28" t="n"/>
    </row>
    <row r="26" ht="30" customHeight="1" s="36">
      <c r="A26" s="17" t="n">
        <v>24</v>
      </c>
      <c r="B26" s="18" t="n"/>
      <c r="C26" s="17" t="n"/>
      <c r="D26" s="17" t="n"/>
      <c r="E26" s="17" t="n"/>
      <c r="F26" s="26" t="n"/>
      <c r="G26" s="26" t="n"/>
      <c r="H26" s="26" t="n"/>
      <c r="I26" s="26" t="n"/>
      <c r="J26" s="26" t="n"/>
      <c r="K26" s="26" t="n"/>
      <c r="L26" s="26" t="n"/>
      <c r="M26" s="26" t="n"/>
      <c r="N26" s="26" t="n"/>
      <c r="O26" s="26" t="n"/>
      <c r="P26" s="26" t="n"/>
      <c r="Q26" s="26" t="n"/>
      <c r="R26" s="26" t="n"/>
      <c r="S26" s="26" t="n"/>
      <c r="T26" s="26" t="n"/>
      <c r="U26" s="26" t="n"/>
      <c r="V26" s="26" t="n"/>
      <c r="W26" s="26" t="n"/>
      <c r="X26" s="26" t="n"/>
      <c r="Y26" s="26" t="n"/>
      <c r="Z26" s="26">
        <f>IF(B26="","",IF(COUNTIF(F26:G26,"Fail")&gt;0,1,0))</f>
        <v/>
      </c>
      <c r="AA26" s="26">
        <f>IF(B26="","",IF(COUNTIF(H26:S26,"Fail")&gt;0,1,0))</f>
        <v/>
      </c>
      <c r="AB26" s="26">
        <f>IF(B26="","",IF(COUNTIF(T26:Y26,"Fail")&gt;0,1,0))</f>
        <v/>
      </c>
      <c r="AC26" s="27">
        <f>IF(B26="","",0.1*Z26+0.8*AA26+0.1*AB26)</f>
        <v/>
      </c>
      <c r="AD26" s="27">
        <f>IF(B26="","",IF(C26="Batch 1",0.3,0.2))</f>
        <v/>
      </c>
      <c r="AE26" s="19">
        <f>IF(B26="","",IF(AC26&lt;=AD26,"Đạt","Không đạt"))</f>
        <v/>
      </c>
      <c r="AF26" s="28" t="n"/>
    </row>
    <row r="27" ht="30" customHeight="1" s="36">
      <c r="A27" s="17" t="n">
        <v>25</v>
      </c>
      <c r="B27" s="18" t="n"/>
      <c r="C27" s="17" t="n"/>
      <c r="D27" s="17" t="n"/>
      <c r="E27" s="17" t="n"/>
      <c r="F27" s="26" t="n"/>
      <c r="G27" s="26" t="n"/>
      <c r="H27" s="26" t="n"/>
      <c r="I27" s="26" t="n"/>
      <c r="J27" s="26" t="n"/>
      <c r="K27" s="26" t="n"/>
      <c r="L27" s="26" t="n"/>
      <c r="M27" s="26" t="n"/>
      <c r="N27" s="26" t="n"/>
      <c r="O27" s="26" t="n"/>
      <c r="P27" s="26" t="n"/>
      <c r="Q27" s="26" t="n"/>
      <c r="R27" s="26" t="n"/>
      <c r="S27" s="26" t="n"/>
      <c r="T27" s="26" t="n"/>
      <c r="U27" s="26" t="n"/>
      <c r="V27" s="26" t="n"/>
      <c r="W27" s="26" t="n"/>
      <c r="X27" s="26" t="n"/>
      <c r="Y27" s="26" t="n"/>
      <c r="Z27" s="26">
        <f>IF(B27="","",IF(COUNTIF(F27:G27,"Fail")&gt;0,1,0))</f>
        <v/>
      </c>
      <c r="AA27" s="26">
        <f>IF(B27="","",IF(COUNTIF(H27:S27,"Fail")&gt;0,1,0))</f>
        <v/>
      </c>
      <c r="AB27" s="26">
        <f>IF(B27="","",IF(COUNTIF(T27:Y27,"Fail")&gt;0,1,0))</f>
        <v/>
      </c>
      <c r="AC27" s="27">
        <f>IF(B27="","",0.1*Z27+0.8*AA27+0.1*AB27)</f>
        <v/>
      </c>
      <c r="AD27" s="27">
        <f>IF(B27="","",IF(C27="Batch 1",0.3,0.2))</f>
        <v/>
      </c>
      <c r="AE27" s="19">
        <f>IF(B27="","",IF(AC27&lt;=AD27,"Đạt","Không đạt"))</f>
        <v/>
      </c>
      <c r="AF27" s="28" t="n"/>
    </row>
    <row r="28" ht="30" customHeight="1" s="36">
      <c r="A28" s="17" t="n">
        <v>26</v>
      </c>
      <c r="B28" s="18" t="n"/>
      <c r="C28" s="17" t="n"/>
      <c r="D28" s="17" t="n"/>
      <c r="E28" s="17" t="n"/>
      <c r="F28" s="26" t="n"/>
      <c r="G28" s="26" t="n"/>
      <c r="H28" s="26" t="n"/>
      <c r="I28" s="26" t="n"/>
      <c r="J28" s="26" t="n"/>
      <c r="K28" s="26" t="n"/>
      <c r="L28" s="26" t="n"/>
      <c r="M28" s="26" t="n"/>
      <c r="N28" s="26" t="n"/>
      <c r="O28" s="26" t="n"/>
      <c r="P28" s="26" t="n"/>
      <c r="Q28" s="26" t="n"/>
      <c r="R28" s="26" t="n"/>
      <c r="S28" s="26" t="n"/>
      <c r="T28" s="26" t="n"/>
      <c r="U28" s="26" t="n"/>
      <c r="V28" s="26" t="n"/>
      <c r="W28" s="26" t="n"/>
      <c r="X28" s="26" t="n"/>
      <c r="Y28" s="26" t="n"/>
      <c r="Z28" s="26">
        <f>IF(B28="","",IF(COUNTIF(F28:G28,"Fail")&gt;0,1,0))</f>
        <v/>
      </c>
      <c r="AA28" s="26">
        <f>IF(B28="","",IF(COUNTIF(H28:S28,"Fail")&gt;0,1,0))</f>
        <v/>
      </c>
      <c r="AB28" s="26">
        <f>IF(B28="","",IF(COUNTIF(T28:Y28,"Fail")&gt;0,1,0))</f>
        <v/>
      </c>
      <c r="AC28" s="27">
        <f>IF(B28="","",0.1*Z28+0.8*AA28+0.1*AB28)</f>
        <v/>
      </c>
      <c r="AD28" s="27">
        <f>IF(B28="","",IF(C28="Batch 1",0.3,0.2))</f>
        <v/>
      </c>
      <c r="AE28" s="19">
        <f>IF(B28="","",IF(AC28&lt;=AD28,"Đạt","Không đạt"))</f>
        <v/>
      </c>
      <c r="AF28" s="28" t="n"/>
    </row>
    <row r="29" ht="30" customHeight="1" s="36">
      <c r="A29" s="17" t="n">
        <v>27</v>
      </c>
      <c r="B29" s="18" t="n"/>
      <c r="C29" s="17" t="n"/>
      <c r="D29" s="17" t="n"/>
      <c r="E29" s="17" t="n"/>
      <c r="F29" s="26" t="n"/>
      <c r="G29" s="26" t="n"/>
      <c r="H29" s="26" t="n"/>
      <c r="I29" s="26" t="n"/>
      <c r="J29" s="26" t="n"/>
      <c r="K29" s="26" t="n"/>
      <c r="L29" s="26" t="n"/>
      <c r="M29" s="26" t="n"/>
      <c r="N29" s="26" t="n"/>
      <c r="O29" s="26" t="n"/>
      <c r="P29" s="26" t="n"/>
      <c r="Q29" s="26" t="n"/>
      <c r="R29" s="26" t="n"/>
      <c r="S29" s="26" t="n"/>
      <c r="T29" s="26" t="n"/>
      <c r="U29" s="26" t="n"/>
      <c r="V29" s="26" t="n"/>
      <c r="W29" s="26" t="n"/>
      <c r="X29" s="26" t="n"/>
      <c r="Y29" s="26" t="n"/>
      <c r="Z29" s="26">
        <f>IF(B29="","",IF(COUNTIF(F29:G29,"Fail")&gt;0,1,0))</f>
        <v/>
      </c>
      <c r="AA29" s="26">
        <f>IF(B29="","",IF(COUNTIF(H29:S29,"Fail")&gt;0,1,0))</f>
        <v/>
      </c>
      <c r="AB29" s="26">
        <f>IF(B29="","",IF(COUNTIF(T29:Y29,"Fail")&gt;0,1,0))</f>
        <v/>
      </c>
      <c r="AC29" s="27">
        <f>IF(B29="","",0.1*Z29+0.8*AA29+0.1*AB29)</f>
        <v/>
      </c>
      <c r="AD29" s="27">
        <f>IF(B29="","",IF(C29="Batch 1",0.3,0.2))</f>
        <v/>
      </c>
      <c r="AE29" s="19">
        <f>IF(B29="","",IF(AC29&lt;=AD29,"Đạt","Không đạt"))</f>
        <v/>
      </c>
      <c r="AF29" s="28" t="n"/>
    </row>
    <row r="30" ht="30" customHeight="1" s="36">
      <c r="A30" s="17" t="n">
        <v>28</v>
      </c>
      <c r="B30" s="18" t="n"/>
      <c r="C30" s="17" t="n"/>
      <c r="D30" s="17" t="n"/>
      <c r="E30" s="17" t="n"/>
      <c r="F30" s="26" t="n"/>
      <c r="G30" s="26" t="n"/>
      <c r="H30" s="26" t="n"/>
      <c r="I30" s="26" t="n"/>
      <c r="J30" s="26" t="n"/>
      <c r="K30" s="26" t="n"/>
      <c r="L30" s="26" t="n"/>
      <c r="M30" s="26" t="n"/>
      <c r="N30" s="26" t="n"/>
      <c r="O30" s="26" t="n"/>
      <c r="P30" s="26" t="n"/>
      <c r="Q30" s="26" t="n"/>
      <c r="R30" s="26" t="n"/>
      <c r="S30" s="26" t="n"/>
      <c r="T30" s="26" t="n"/>
      <c r="U30" s="26" t="n"/>
      <c r="V30" s="26" t="n"/>
      <c r="W30" s="26" t="n"/>
      <c r="X30" s="26" t="n"/>
      <c r="Y30" s="26" t="n"/>
      <c r="Z30" s="26">
        <f>IF(B30="","",IF(COUNTIF(F30:G30,"Fail")&gt;0,1,0))</f>
        <v/>
      </c>
      <c r="AA30" s="26">
        <f>IF(B30="","",IF(COUNTIF(H30:S30,"Fail")&gt;0,1,0))</f>
        <v/>
      </c>
      <c r="AB30" s="26">
        <f>IF(B30="","",IF(COUNTIF(T30:Y30,"Fail")&gt;0,1,0))</f>
        <v/>
      </c>
      <c r="AC30" s="27">
        <f>IF(B30="","",0.1*Z30+0.8*AA30+0.1*AB30)</f>
        <v/>
      </c>
      <c r="AD30" s="27">
        <f>IF(B30="","",IF(C30="Batch 1",0.3,0.2))</f>
        <v/>
      </c>
      <c r="AE30" s="19">
        <f>IF(B30="","",IF(AC30&lt;=AD30,"Đạt","Không đạt"))</f>
        <v/>
      </c>
      <c r="AF30" s="28" t="n"/>
    </row>
    <row r="31" ht="30" customHeight="1" s="36">
      <c r="A31" s="17" t="n">
        <v>29</v>
      </c>
      <c r="B31" s="18" t="n"/>
      <c r="C31" s="17" t="n"/>
      <c r="D31" s="17" t="n"/>
      <c r="E31" s="17" t="n"/>
      <c r="F31" s="26" t="n"/>
      <c r="G31" s="26" t="n"/>
      <c r="H31" s="26" t="n"/>
      <c r="I31" s="26" t="n"/>
      <c r="J31" s="26" t="n"/>
      <c r="K31" s="26" t="n"/>
      <c r="L31" s="26" t="n"/>
      <c r="M31" s="26" t="n"/>
      <c r="N31" s="26" t="n"/>
      <c r="O31" s="26" t="n"/>
      <c r="P31" s="26" t="n"/>
      <c r="Q31" s="26" t="n"/>
      <c r="R31" s="26" t="n"/>
      <c r="S31" s="26" t="n"/>
      <c r="T31" s="26" t="n"/>
      <c r="U31" s="26" t="n"/>
      <c r="V31" s="26" t="n"/>
      <c r="W31" s="26" t="n"/>
      <c r="X31" s="26" t="n"/>
      <c r="Y31" s="26" t="n"/>
      <c r="Z31" s="26">
        <f>IF(B31="","",IF(COUNTIF(F31:G31,"Fail")&gt;0,1,0))</f>
        <v/>
      </c>
      <c r="AA31" s="26">
        <f>IF(B31="","",IF(COUNTIF(H31:S31,"Fail")&gt;0,1,0))</f>
        <v/>
      </c>
      <c r="AB31" s="26">
        <f>IF(B31="","",IF(COUNTIF(T31:Y31,"Fail")&gt;0,1,0))</f>
        <v/>
      </c>
      <c r="AC31" s="27">
        <f>IF(B31="","",0.1*Z31+0.8*AA31+0.1*AB31)</f>
        <v/>
      </c>
      <c r="AD31" s="27">
        <f>IF(B31="","",IF(C31="Batch 1",0.3,0.2))</f>
        <v/>
      </c>
      <c r="AE31" s="19">
        <f>IF(B31="","",IF(AC31&lt;=AD31,"Đạt","Không đạt"))</f>
        <v/>
      </c>
      <c r="AF31" s="28" t="n"/>
    </row>
    <row r="32" ht="30" customHeight="1" s="36">
      <c r="A32" s="17" t="n">
        <v>30</v>
      </c>
      <c r="B32" s="18" t="n"/>
      <c r="C32" s="17" t="n"/>
      <c r="D32" s="17" t="n"/>
      <c r="E32" s="17" t="n"/>
      <c r="F32" s="26" t="n"/>
      <c r="G32" s="26" t="n"/>
      <c r="H32" s="26" t="n"/>
      <c r="I32" s="26" t="n"/>
      <c r="J32" s="26" t="n"/>
      <c r="K32" s="26" t="n"/>
      <c r="L32" s="26" t="n"/>
      <c r="M32" s="26" t="n"/>
      <c r="N32" s="26" t="n"/>
      <c r="O32" s="26" t="n"/>
      <c r="P32" s="26" t="n"/>
      <c r="Q32" s="26" t="n"/>
      <c r="R32" s="26" t="n"/>
      <c r="S32" s="26" t="n"/>
      <c r="T32" s="26" t="n"/>
      <c r="U32" s="26" t="n"/>
      <c r="V32" s="26" t="n"/>
      <c r="W32" s="26" t="n"/>
      <c r="X32" s="26" t="n"/>
      <c r="Y32" s="26" t="n"/>
      <c r="Z32" s="26">
        <f>IF(B32="","",IF(COUNTIF(F32:G32,"Fail")&gt;0,1,0))</f>
        <v/>
      </c>
      <c r="AA32" s="26">
        <f>IF(B32="","",IF(COUNTIF(H32:S32,"Fail")&gt;0,1,0))</f>
        <v/>
      </c>
      <c r="AB32" s="26">
        <f>IF(B32="","",IF(COUNTIF(T32:Y32,"Fail")&gt;0,1,0))</f>
        <v/>
      </c>
      <c r="AC32" s="27">
        <f>IF(B32="","",0.1*Z32+0.8*AA32+0.1*AB32)</f>
        <v/>
      </c>
      <c r="AD32" s="27">
        <f>IF(B32="","",IF(C32="Batch 1",0.3,0.2))</f>
        <v/>
      </c>
      <c r="AE32" s="19">
        <f>IF(B32="","",IF(AC32&lt;=AD32,"Đạt","Không đạt"))</f>
        <v/>
      </c>
      <c r="AF32" s="28" t="n"/>
    </row>
    <row r="33" ht="30" customHeight="1" s="36">
      <c r="A33" s="17" t="n">
        <v>31</v>
      </c>
      <c r="B33" s="18" t="n"/>
      <c r="C33" s="17" t="n"/>
      <c r="D33" s="17" t="n"/>
      <c r="E33" s="17" t="n"/>
      <c r="F33" s="26" t="n"/>
      <c r="G33" s="26" t="n"/>
      <c r="H33" s="26" t="n"/>
      <c r="I33" s="26" t="n"/>
      <c r="J33" s="26" t="n"/>
      <c r="K33" s="26" t="n"/>
      <c r="L33" s="26" t="n"/>
      <c r="M33" s="26" t="n"/>
      <c r="N33" s="26" t="n"/>
      <c r="O33" s="26" t="n"/>
      <c r="P33" s="26" t="n"/>
      <c r="Q33" s="26" t="n"/>
      <c r="R33" s="26" t="n"/>
      <c r="S33" s="26" t="n"/>
      <c r="T33" s="26" t="n"/>
      <c r="U33" s="26" t="n"/>
      <c r="V33" s="26" t="n"/>
      <c r="W33" s="26" t="n"/>
      <c r="X33" s="26" t="n"/>
      <c r="Y33" s="26" t="n"/>
      <c r="Z33" s="26">
        <f>IF(B33="","",IF(COUNTIF(F33:G33,"Fail")&gt;0,1,0))</f>
        <v/>
      </c>
      <c r="AA33" s="26">
        <f>IF(B33="","",IF(COUNTIF(H33:S33,"Fail")&gt;0,1,0))</f>
        <v/>
      </c>
      <c r="AB33" s="26">
        <f>IF(B33="","",IF(COUNTIF(T33:Y33,"Fail")&gt;0,1,0))</f>
        <v/>
      </c>
      <c r="AC33" s="27">
        <f>IF(B33="","",0.1*Z33+0.8*AA33+0.1*AB33)</f>
        <v/>
      </c>
      <c r="AD33" s="27">
        <f>IF(B33="","",IF(C33="Batch 1",0.3,0.2))</f>
        <v/>
      </c>
      <c r="AE33" s="19">
        <f>IF(B33="","",IF(AC33&lt;=AD33,"Đạt","Không đạt"))</f>
        <v/>
      </c>
      <c r="AF33" s="28" t="n"/>
    </row>
    <row r="34" ht="30" customHeight="1" s="36">
      <c r="A34" s="17" t="n">
        <v>32</v>
      </c>
      <c r="B34" s="18" t="n"/>
      <c r="C34" s="17" t="n"/>
      <c r="D34" s="17" t="n"/>
      <c r="E34" s="17" t="n"/>
      <c r="F34" s="26" t="n"/>
      <c r="G34" s="26" t="n"/>
      <c r="H34" s="26" t="n"/>
      <c r="I34" s="26" t="n"/>
      <c r="J34" s="26" t="n"/>
      <c r="K34" s="26" t="n"/>
      <c r="L34" s="26" t="n"/>
      <c r="M34" s="26" t="n"/>
      <c r="N34" s="26" t="n"/>
      <c r="O34" s="26" t="n"/>
      <c r="P34" s="26" t="n"/>
      <c r="Q34" s="26" t="n"/>
      <c r="R34" s="26" t="n"/>
      <c r="S34" s="26" t="n"/>
      <c r="T34" s="26" t="n"/>
      <c r="U34" s="26" t="n"/>
      <c r="V34" s="26" t="n"/>
      <c r="W34" s="26" t="n"/>
      <c r="X34" s="26" t="n"/>
      <c r="Y34" s="26" t="n"/>
      <c r="Z34" s="26">
        <f>IF(B34="","",IF(COUNTIF(F34:G34,"Fail")&gt;0,1,0))</f>
        <v/>
      </c>
      <c r="AA34" s="26">
        <f>IF(B34="","",IF(COUNTIF(H34:S34,"Fail")&gt;0,1,0))</f>
        <v/>
      </c>
      <c r="AB34" s="26">
        <f>IF(B34="","",IF(COUNTIF(T34:Y34,"Fail")&gt;0,1,0))</f>
        <v/>
      </c>
      <c r="AC34" s="27">
        <f>IF(B34="","",0.1*Z34+0.8*AA34+0.1*AB34)</f>
        <v/>
      </c>
      <c r="AD34" s="27">
        <f>IF(B34="","",IF(C34="Batch 1",0.3,0.2))</f>
        <v/>
      </c>
      <c r="AE34" s="19">
        <f>IF(B34="","",IF(AC34&lt;=AD34,"Đạt","Không đạt"))</f>
        <v/>
      </c>
      <c r="AF34" s="28" t="n"/>
    </row>
    <row r="35" ht="30" customHeight="1" s="36">
      <c r="A35" s="17" t="n">
        <v>33</v>
      </c>
      <c r="B35" s="18" t="n"/>
      <c r="C35" s="17" t="n"/>
      <c r="D35" s="17" t="n"/>
      <c r="E35" s="17" t="n"/>
      <c r="F35" s="26" t="n"/>
      <c r="G35" s="26" t="n"/>
      <c r="H35" s="26" t="n"/>
      <c r="I35" s="26" t="n"/>
      <c r="J35" s="26" t="n"/>
      <c r="K35" s="26" t="n"/>
      <c r="L35" s="26" t="n"/>
      <c r="M35" s="26" t="n"/>
      <c r="N35" s="26" t="n"/>
      <c r="O35" s="26" t="n"/>
      <c r="P35" s="26" t="n"/>
      <c r="Q35" s="26" t="n"/>
      <c r="R35" s="26" t="n"/>
      <c r="S35" s="26" t="n"/>
      <c r="T35" s="26" t="n"/>
      <c r="U35" s="26" t="n"/>
      <c r="V35" s="26" t="n"/>
      <c r="W35" s="26" t="n"/>
      <c r="X35" s="26" t="n"/>
      <c r="Y35" s="26" t="n"/>
      <c r="Z35" s="26">
        <f>IF(B35="","",IF(COUNTIF(F35:G35,"Fail")&gt;0,1,0))</f>
        <v/>
      </c>
      <c r="AA35" s="26">
        <f>IF(B35="","",IF(COUNTIF(H35:S35,"Fail")&gt;0,1,0))</f>
        <v/>
      </c>
      <c r="AB35" s="26">
        <f>IF(B35="","",IF(COUNTIF(T35:Y35,"Fail")&gt;0,1,0))</f>
        <v/>
      </c>
      <c r="AC35" s="27">
        <f>IF(B35="","",0.1*Z35+0.8*AA35+0.1*AB35)</f>
        <v/>
      </c>
      <c r="AD35" s="27">
        <f>IF(B35="","",IF(C35="Batch 1",0.3,0.2))</f>
        <v/>
      </c>
      <c r="AE35" s="19">
        <f>IF(B35="","",IF(AC35&lt;=AD35,"Đạt","Không đạt"))</f>
        <v/>
      </c>
      <c r="AF35" s="28" t="n"/>
    </row>
    <row r="36" ht="30" customHeight="1" s="36">
      <c r="A36" s="17" t="n">
        <v>34</v>
      </c>
      <c r="B36" s="18" t="n"/>
      <c r="C36" s="17" t="n"/>
      <c r="D36" s="17" t="n"/>
      <c r="E36" s="17" t="n"/>
      <c r="F36" s="26" t="n"/>
      <c r="G36" s="26" t="n"/>
      <c r="H36" s="26" t="n"/>
      <c r="I36" s="26" t="n"/>
      <c r="J36" s="26" t="n"/>
      <c r="K36" s="26" t="n"/>
      <c r="L36" s="26" t="n"/>
      <c r="M36" s="26" t="n"/>
      <c r="N36" s="26" t="n"/>
      <c r="O36" s="26" t="n"/>
      <c r="P36" s="26" t="n"/>
      <c r="Q36" s="26" t="n"/>
      <c r="R36" s="26" t="n"/>
      <c r="S36" s="26" t="n"/>
      <c r="T36" s="26" t="n"/>
      <c r="U36" s="26" t="n"/>
      <c r="V36" s="26" t="n"/>
      <c r="W36" s="26" t="n"/>
      <c r="X36" s="26" t="n"/>
      <c r="Y36" s="26" t="n"/>
      <c r="Z36" s="26">
        <f>IF(B36="","",IF(COUNTIF(F36:G36,"Fail")&gt;0,1,0))</f>
        <v/>
      </c>
      <c r="AA36" s="26">
        <f>IF(B36="","",IF(COUNTIF(H36:S36,"Fail")&gt;0,1,0))</f>
        <v/>
      </c>
      <c r="AB36" s="26">
        <f>IF(B36="","",IF(COUNTIF(T36:Y36,"Fail")&gt;0,1,0))</f>
        <v/>
      </c>
      <c r="AC36" s="27">
        <f>IF(B36="","",0.1*Z36+0.8*AA36+0.1*AB36)</f>
        <v/>
      </c>
      <c r="AD36" s="27">
        <f>IF(B36="","",IF(C36="Batch 1",0.3,0.2))</f>
        <v/>
      </c>
      <c r="AE36" s="19">
        <f>IF(B36="","",IF(AC36&lt;=AD36,"Đạt","Không đạt"))</f>
        <v/>
      </c>
      <c r="AF36" s="28" t="n"/>
    </row>
    <row r="37" ht="30" customHeight="1" s="36">
      <c r="A37" s="17" t="n">
        <v>35</v>
      </c>
      <c r="B37" s="18" t="n"/>
      <c r="C37" s="17" t="n"/>
      <c r="D37" s="17" t="n"/>
      <c r="E37" s="17" t="n"/>
      <c r="F37" s="26" t="n"/>
      <c r="G37" s="26" t="n"/>
      <c r="H37" s="26" t="n"/>
      <c r="I37" s="26" t="n"/>
      <c r="J37" s="26" t="n"/>
      <c r="K37" s="26" t="n"/>
      <c r="L37" s="26" t="n"/>
      <c r="M37" s="26" t="n"/>
      <c r="N37" s="26" t="n"/>
      <c r="O37" s="26" t="n"/>
      <c r="P37" s="26" t="n"/>
      <c r="Q37" s="26" t="n"/>
      <c r="R37" s="26" t="n"/>
      <c r="S37" s="26" t="n"/>
      <c r="T37" s="26" t="n"/>
      <c r="U37" s="26" t="n"/>
      <c r="V37" s="26" t="n"/>
      <c r="W37" s="26" t="n"/>
      <c r="X37" s="26" t="n"/>
      <c r="Y37" s="26" t="n"/>
      <c r="Z37" s="26">
        <f>IF(B37="","",IF(COUNTIF(F37:G37,"Fail")&gt;0,1,0))</f>
        <v/>
      </c>
      <c r="AA37" s="26">
        <f>IF(B37="","",IF(COUNTIF(H37:S37,"Fail")&gt;0,1,0))</f>
        <v/>
      </c>
      <c r="AB37" s="26">
        <f>IF(B37="","",IF(COUNTIF(T37:Y37,"Fail")&gt;0,1,0))</f>
        <v/>
      </c>
      <c r="AC37" s="27">
        <f>IF(B37="","",0.1*Z37+0.8*AA37+0.1*AB37)</f>
        <v/>
      </c>
      <c r="AD37" s="27">
        <f>IF(B37="","",IF(C37="Batch 1",0.3,0.2))</f>
        <v/>
      </c>
      <c r="AE37" s="19">
        <f>IF(B37="","",IF(AC37&lt;=AD37,"Đạt","Không đạt"))</f>
        <v/>
      </c>
      <c r="AF37" s="28" t="n"/>
    </row>
    <row r="38" ht="30" customHeight="1" s="36">
      <c r="A38" s="17" t="n">
        <v>36</v>
      </c>
      <c r="B38" s="18" t="n"/>
      <c r="C38" s="17" t="n"/>
      <c r="D38" s="17" t="n"/>
      <c r="E38" s="17" t="n"/>
      <c r="F38" s="26" t="n"/>
      <c r="G38" s="26" t="n"/>
      <c r="H38" s="26" t="n"/>
      <c r="I38" s="26" t="n"/>
      <c r="J38" s="26" t="n"/>
      <c r="K38" s="26" t="n"/>
      <c r="L38" s="26" t="n"/>
      <c r="M38" s="26" t="n"/>
      <c r="N38" s="26" t="n"/>
      <c r="O38" s="26" t="n"/>
      <c r="P38" s="26" t="n"/>
      <c r="Q38" s="26" t="n"/>
      <c r="R38" s="26" t="n"/>
      <c r="S38" s="26" t="n"/>
      <c r="T38" s="26" t="n"/>
      <c r="U38" s="26" t="n"/>
      <c r="V38" s="26" t="n"/>
      <c r="W38" s="26" t="n"/>
      <c r="X38" s="26" t="n"/>
      <c r="Y38" s="26" t="n"/>
      <c r="Z38" s="26">
        <f>IF(B38="","",IF(COUNTIF(F38:G38,"Fail")&gt;0,1,0))</f>
        <v/>
      </c>
      <c r="AA38" s="26">
        <f>IF(B38="","",IF(COUNTIF(H38:S38,"Fail")&gt;0,1,0))</f>
        <v/>
      </c>
      <c r="AB38" s="26">
        <f>IF(B38="","",IF(COUNTIF(T38:Y38,"Fail")&gt;0,1,0))</f>
        <v/>
      </c>
      <c r="AC38" s="27">
        <f>IF(B38="","",0.1*Z38+0.8*AA38+0.1*AB38)</f>
        <v/>
      </c>
      <c r="AD38" s="27">
        <f>IF(B38="","",IF(C38="Batch 1",0.3,0.2))</f>
        <v/>
      </c>
      <c r="AE38" s="19">
        <f>IF(B38="","",IF(AC38&lt;=AD38,"Đạt","Không đạt"))</f>
        <v/>
      </c>
      <c r="AF38" s="28" t="n"/>
    </row>
    <row r="39" ht="30" customHeight="1" s="36">
      <c r="A39" s="17" t="n">
        <v>37</v>
      </c>
      <c r="B39" s="18" t="n"/>
      <c r="C39" s="17" t="n"/>
      <c r="D39" s="17" t="n"/>
      <c r="E39" s="17" t="n"/>
      <c r="F39" s="26" t="n"/>
      <c r="G39" s="26" t="n"/>
      <c r="H39" s="26" t="n"/>
      <c r="I39" s="26" t="n"/>
      <c r="J39" s="26" t="n"/>
      <c r="K39" s="26" t="n"/>
      <c r="L39" s="26" t="n"/>
      <c r="M39" s="26" t="n"/>
      <c r="N39" s="26" t="n"/>
      <c r="O39" s="26" t="n"/>
      <c r="P39" s="26" t="n"/>
      <c r="Q39" s="26" t="n"/>
      <c r="R39" s="26" t="n"/>
      <c r="S39" s="26" t="n"/>
      <c r="T39" s="26" t="n"/>
      <c r="U39" s="26" t="n"/>
      <c r="V39" s="26" t="n"/>
      <c r="W39" s="26" t="n"/>
      <c r="X39" s="26" t="n"/>
      <c r="Y39" s="26" t="n"/>
      <c r="Z39" s="26">
        <f>IF(B39="","",IF(COUNTIF(F39:G39,"Fail")&gt;0,1,0))</f>
        <v/>
      </c>
      <c r="AA39" s="26">
        <f>IF(B39="","",IF(COUNTIF(H39:S39,"Fail")&gt;0,1,0))</f>
        <v/>
      </c>
      <c r="AB39" s="26">
        <f>IF(B39="","",IF(COUNTIF(T39:Y39,"Fail")&gt;0,1,0))</f>
        <v/>
      </c>
      <c r="AC39" s="27">
        <f>IF(B39="","",0.1*Z39+0.8*AA39+0.1*AB39)</f>
        <v/>
      </c>
      <c r="AD39" s="27">
        <f>IF(B39="","",IF(C39="Batch 1",0.3,0.2))</f>
        <v/>
      </c>
      <c r="AE39" s="19">
        <f>IF(B39="","",IF(AC39&lt;=AD39,"Đạt","Không đạt"))</f>
        <v/>
      </c>
      <c r="AF39" s="28" t="n"/>
    </row>
    <row r="40" ht="30" customHeight="1" s="36">
      <c r="A40" s="17" t="n">
        <v>38</v>
      </c>
      <c r="B40" s="18" t="n"/>
      <c r="C40" s="17" t="n"/>
      <c r="D40" s="17" t="n"/>
      <c r="E40" s="17" t="n"/>
      <c r="F40" s="26" t="n"/>
      <c r="G40" s="26" t="n"/>
      <c r="H40" s="26" t="n"/>
      <c r="I40" s="26" t="n"/>
      <c r="J40" s="26" t="n"/>
      <c r="K40" s="26" t="n"/>
      <c r="L40" s="26" t="n"/>
      <c r="M40" s="26" t="n"/>
      <c r="N40" s="26" t="n"/>
      <c r="O40" s="26" t="n"/>
      <c r="P40" s="26" t="n"/>
      <c r="Q40" s="26" t="n"/>
      <c r="R40" s="26" t="n"/>
      <c r="S40" s="26" t="n"/>
      <c r="T40" s="26" t="n"/>
      <c r="U40" s="26" t="n"/>
      <c r="V40" s="26" t="n"/>
      <c r="W40" s="26" t="n"/>
      <c r="X40" s="26" t="n"/>
      <c r="Y40" s="26" t="n"/>
      <c r="Z40" s="26">
        <f>IF(B40="","",IF(COUNTIF(F40:G40,"Fail")&gt;0,1,0))</f>
        <v/>
      </c>
      <c r="AA40" s="26">
        <f>IF(B40="","",IF(COUNTIF(H40:S40,"Fail")&gt;0,1,0))</f>
        <v/>
      </c>
      <c r="AB40" s="26">
        <f>IF(B40="","",IF(COUNTIF(T40:Y40,"Fail")&gt;0,1,0))</f>
        <v/>
      </c>
      <c r="AC40" s="27">
        <f>IF(B40="","",0.1*Z40+0.8*AA40+0.1*AB40)</f>
        <v/>
      </c>
      <c r="AD40" s="27">
        <f>IF(B40="","",IF(C40="Batch 1",0.3,0.2))</f>
        <v/>
      </c>
      <c r="AE40" s="19">
        <f>IF(B40="","",IF(AC40&lt;=AD40,"Đạt","Không đạt"))</f>
        <v/>
      </c>
      <c r="AF40" s="28" t="n"/>
    </row>
    <row r="41" ht="30" customHeight="1" s="36">
      <c r="A41" s="17" t="n">
        <v>39</v>
      </c>
      <c r="B41" s="18" t="n"/>
      <c r="C41" s="17" t="n"/>
      <c r="D41" s="17" t="n"/>
      <c r="E41" s="17" t="n"/>
      <c r="F41" s="26" t="n"/>
      <c r="G41" s="26" t="n"/>
      <c r="H41" s="26" t="n"/>
      <c r="I41" s="26" t="n"/>
      <c r="J41" s="26" t="n"/>
      <c r="K41" s="26" t="n"/>
      <c r="L41" s="26" t="n"/>
      <c r="M41" s="26" t="n"/>
      <c r="N41" s="26" t="n"/>
      <c r="O41" s="26" t="n"/>
      <c r="P41" s="26" t="n"/>
      <c r="Q41" s="26" t="n"/>
      <c r="R41" s="26" t="n"/>
      <c r="S41" s="26" t="n"/>
      <c r="T41" s="26" t="n"/>
      <c r="U41" s="26" t="n"/>
      <c r="V41" s="26" t="n"/>
      <c r="W41" s="26" t="n"/>
      <c r="X41" s="26" t="n"/>
      <c r="Y41" s="26" t="n"/>
      <c r="Z41" s="26">
        <f>IF(B41="","",IF(COUNTIF(F41:G41,"Fail")&gt;0,1,0))</f>
        <v/>
      </c>
      <c r="AA41" s="26">
        <f>IF(B41="","",IF(COUNTIF(H41:S41,"Fail")&gt;0,1,0))</f>
        <v/>
      </c>
      <c r="AB41" s="26">
        <f>IF(B41="","",IF(COUNTIF(T41:Y41,"Fail")&gt;0,1,0))</f>
        <v/>
      </c>
      <c r="AC41" s="27">
        <f>IF(B41="","",0.1*Z41+0.8*AA41+0.1*AB41)</f>
        <v/>
      </c>
      <c r="AD41" s="27">
        <f>IF(B41="","",IF(C41="Batch 1",0.3,0.2))</f>
        <v/>
      </c>
      <c r="AE41" s="19">
        <f>IF(B41="","",IF(AC41&lt;=AD41,"Đạt","Không đạt"))</f>
        <v/>
      </c>
      <c r="AF41" s="28" t="n"/>
    </row>
    <row r="42" ht="30" customHeight="1" s="36">
      <c r="A42" s="17" t="n">
        <v>40</v>
      </c>
      <c r="B42" s="18" t="n"/>
      <c r="C42" s="17" t="n"/>
      <c r="D42" s="17" t="n"/>
      <c r="E42" s="17" t="n"/>
      <c r="F42" s="26" t="n"/>
      <c r="G42" s="26" t="n"/>
      <c r="H42" s="26" t="n"/>
      <c r="I42" s="26" t="n"/>
      <c r="J42" s="26" t="n"/>
      <c r="K42" s="26" t="n"/>
      <c r="L42" s="26" t="n"/>
      <c r="M42" s="26" t="n"/>
      <c r="N42" s="26" t="n"/>
      <c r="O42" s="26" t="n"/>
      <c r="P42" s="26" t="n"/>
      <c r="Q42" s="26" t="n"/>
      <c r="R42" s="26" t="n"/>
      <c r="S42" s="26" t="n"/>
      <c r="T42" s="26" t="n"/>
      <c r="U42" s="26" t="n"/>
      <c r="V42" s="26" t="n"/>
      <c r="W42" s="26" t="n"/>
      <c r="X42" s="26" t="n"/>
      <c r="Y42" s="26" t="n"/>
      <c r="Z42" s="26">
        <f>IF(B42="","",IF(COUNTIF(F42:G42,"Fail")&gt;0,1,0))</f>
        <v/>
      </c>
      <c r="AA42" s="26">
        <f>IF(B42="","",IF(COUNTIF(H42:S42,"Fail")&gt;0,1,0))</f>
        <v/>
      </c>
      <c r="AB42" s="26">
        <f>IF(B42="","",IF(COUNTIF(T42:Y42,"Fail")&gt;0,1,0))</f>
        <v/>
      </c>
      <c r="AC42" s="27">
        <f>IF(B42="","",0.1*Z42+0.8*AA42+0.1*AB42)</f>
        <v/>
      </c>
      <c r="AD42" s="27">
        <f>IF(B42="","",IF(C42="Batch 1",0.3,0.2))</f>
        <v/>
      </c>
      <c r="AE42" s="19">
        <f>IF(B42="","",IF(AC42&lt;=AD42,"Đạt","Không đạt"))</f>
        <v/>
      </c>
      <c r="AF42" s="28" t="n"/>
    </row>
    <row r="43" ht="30" customHeight="1" s="36">
      <c r="A43" s="17" t="n">
        <v>41</v>
      </c>
      <c r="B43" s="18" t="n"/>
      <c r="C43" s="17" t="n"/>
      <c r="D43" s="17" t="n"/>
      <c r="E43" s="17" t="n"/>
      <c r="F43" s="26" t="n"/>
      <c r="G43" s="26" t="n"/>
      <c r="H43" s="26" t="n"/>
      <c r="I43" s="26" t="n"/>
      <c r="J43" s="26" t="n"/>
      <c r="K43" s="26" t="n"/>
      <c r="L43" s="26" t="n"/>
      <c r="M43" s="26" t="n"/>
      <c r="N43" s="26" t="n"/>
      <c r="O43" s="26" t="n"/>
      <c r="P43" s="26" t="n"/>
      <c r="Q43" s="26" t="n"/>
      <c r="R43" s="26" t="n"/>
      <c r="S43" s="26" t="n"/>
      <c r="T43" s="26" t="n"/>
      <c r="U43" s="26" t="n"/>
      <c r="V43" s="26" t="n"/>
      <c r="W43" s="26" t="n"/>
      <c r="X43" s="26" t="n"/>
      <c r="Y43" s="26" t="n"/>
      <c r="Z43" s="26">
        <f>IF(B43="","",IF(COUNTIF(F43:G43,"Fail")&gt;0,1,0))</f>
        <v/>
      </c>
      <c r="AA43" s="26">
        <f>IF(B43="","",IF(COUNTIF(H43:S43,"Fail")&gt;0,1,0))</f>
        <v/>
      </c>
      <c r="AB43" s="26">
        <f>IF(B43="","",IF(COUNTIF(T43:Y43,"Fail")&gt;0,1,0))</f>
        <v/>
      </c>
      <c r="AC43" s="27">
        <f>IF(B43="","",0.1*Z43+0.8*AA43+0.1*AB43)</f>
        <v/>
      </c>
      <c r="AD43" s="27">
        <f>IF(B43="","",IF(C43="Batch 1",0.3,0.2))</f>
        <v/>
      </c>
      <c r="AE43" s="19">
        <f>IF(B43="","",IF(AC43&lt;=AD43,"Đạt","Không đạt"))</f>
        <v/>
      </c>
      <c r="AF43" s="28" t="n"/>
    </row>
    <row r="44" ht="30" customHeight="1" s="36">
      <c r="A44" s="17" t="n">
        <v>42</v>
      </c>
      <c r="B44" s="18" t="n"/>
      <c r="C44" s="17" t="n"/>
      <c r="D44" s="17" t="n"/>
      <c r="E44" s="17" t="n"/>
      <c r="F44" s="26" t="n"/>
      <c r="G44" s="26" t="n"/>
      <c r="H44" s="26" t="n"/>
      <c r="I44" s="26" t="n"/>
      <c r="J44" s="26" t="n"/>
      <c r="K44" s="26" t="n"/>
      <c r="L44" s="26" t="n"/>
      <c r="M44" s="26" t="n"/>
      <c r="N44" s="26" t="n"/>
      <c r="O44" s="26" t="n"/>
      <c r="P44" s="26" t="n"/>
      <c r="Q44" s="26" t="n"/>
      <c r="R44" s="26" t="n"/>
      <c r="S44" s="26" t="n"/>
      <c r="T44" s="26" t="n"/>
      <c r="U44" s="26" t="n"/>
      <c r="V44" s="26" t="n"/>
      <c r="W44" s="26" t="n"/>
      <c r="X44" s="26" t="n"/>
      <c r="Y44" s="26" t="n"/>
      <c r="Z44" s="26">
        <f>IF(B44="","",IF(COUNTIF(F44:G44,"Fail")&gt;0,1,0))</f>
        <v/>
      </c>
      <c r="AA44" s="26">
        <f>IF(B44="","",IF(COUNTIF(H44:S44,"Fail")&gt;0,1,0))</f>
        <v/>
      </c>
      <c r="AB44" s="26">
        <f>IF(B44="","",IF(COUNTIF(T44:Y44,"Fail")&gt;0,1,0))</f>
        <v/>
      </c>
      <c r="AC44" s="27">
        <f>IF(B44="","",0.1*Z44+0.8*AA44+0.1*AB44)</f>
        <v/>
      </c>
      <c r="AD44" s="27">
        <f>IF(B44="","",IF(C44="Batch 1",0.3,0.2))</f>
        <v/>
      </c>
      <c r="AE44" s="19">
        <f>IF(B44="","",IF(AC44&lt;=AD44,"Đạt","Không đạt"))</f>
        <v/>
      </c>
      <c r="AF44" s="28" t="n"/>
    </row>
    <row r="45" ht="30" customHeight="1" s="36">
      <c r="A45" s="17" t="n">
        <v>43</v>
      </c>
      <c r="B45" s="18" t="n"/>
      <c r="C45" s="17" t="n"/>
      <c r="D45" s="17" t="n"/>
      <c r="E45" s="17" t="n"/>
      <c r="F45" s="26" t="n"/>
      <c r="G45" s="26" t="n"/>
      <c r="H45" s="26" t="n"/>
      <c r="I45" s="26" t="n"/>
      <c r="J45" s="26" t="n"/>
      <c r="K45" s="26" t="n"/>
      <c r="L45" s="26" t="n"/>
      <c r="M45" s="26" t="n"/>
      <c r="N45" s="26" t="n"/>
      <c r="O45" s="26" t="n"/>
      <c r="P45" s="26" t="n"/>
      <c r="Q45" s="26" t="n"/>
      <c r="R45" s="26" t="n"/>
      <c r="S45" s="26" t="n"/>
      <c r="T45" s="26" t="n"/>
      <c r="U45" s="26" t="n"/>
      <c r="V45" s="26" t="n"/>
      <c r="W45" s="26" t="n"/>
      <c r="X45" s="26" t="n"/>
      <c r="Y45" s="26" t="n"/>
      <c r="Z45" s="26">
        <f>IF(B45="","",IF(COUNTIF(F45:G45,"Fail")&gt;0,1,0))</f>
        <v/>
      </c>
      <c r="AA45" s="26">
        <f>IF(B45="","",IF(COUNTIF(H45:S45,"Fail")&gt;0,1,0))</f>
        <v/>
      </c>
      <c r="AB45" s="26">
        <f>IF(B45="","",IF(COUNTIF(T45:Y45,"Fail")&gt;0,1,0))</f>
        <v/>
      </c>
      <c r="AC45" s="27">
        <f>IF(B45="","",0.1*Z45+0.8*AA45+0.1*AB45)</f>
        <v/>
      </c>
      <c r="AD45" s="27">
        <f>IF(B45="","",IF(C45="Batch 1",0.3,0.2))</f>
        <v/>
      </c>
      <c r="AE45" s="19">
        <f>IF(B45="","",IF(AC45&lt;=AD45,"Đạt","Không đạt"))</f>
        <v/>
      </c>
      <c r="AF45" s="28" t="n"/>
    </row>
    <row r="46" ht="30" customHeight="1" s="36">
      <c r="A46" s="17" t="n">
        <v>44</v>
      </c>
      <c r="B46" s="18" t="n"/>
      <c r="C46" s="17" t="n"/>
      <c r="D46" s="17" t="n"/>
      <c r="E46" s="17" t="n"/>
      <c r="F46" s="26" t="n"/>
      <c r="G46" s="26" t="n"/>
      <c r="H46" s="26" t="n"/>
      <c r="I46" s="26" t="n"/>
      <c r="J46" s="26" t="n"/>
      <c r="K46" s="26" t="n"/>
      <c r="L46" s="26" t="n"/>
      <c r="M46" s="26" t="n"/>
      <c r="N46" s="26" t="n"/>
      <c r="O46" s="26" t="n"/>
      <c r="P46" s="26" t="n"/>
      <c r="Q46" s="26" t="n"/>
      <c r="R46" s="26" t="n"/>
      <c r="S46" s="26" t="n"/>
      <c r="T46" s="26" t="n"/>
      <c r="U46" s="26" t="n"/>
      <c r="V46" s="26" t="n"/>
      <c r="W46" s="26" t="n"/>
      <c r="X46" s="26" t="n"/>
      <c r="Y46" s="26" t="n"/>
      <c r="Z46" s="26">
        <f>IF(B46="","",IF(COUNTIF(F46:G46,"Fail")&gt;0,1,0))</f>
        <v/>
      </c>
      <c r="AA46" s="26">
        <f>IF(B46="","",IF(COUNTIF(H46:S46,"Fail")&gt;0,1,0))</f>
        <v/>
      </c>
      <c r="AB46" s="26">
        <f>IF(B46="","",IF(COUNTIF(T46:Y46,"Fail")&gt;0,1,0))</f>
        <v/>
      </c>
      <c r="AC46" s="27">
        <f>IF(B46="","",0.1*Z46+0.8*AA46+0.1*AB46)</f>
        <v/>
      </c>
      <c r="AD46" s="27">
        <f>IF(B46="","",IF(C46="Batch 1",0.3,0.2))</f>
        <v/>
      </c>
      <c r="AE46" s="19">
        <f>IF(B46="","",IF(AC46&lt;=AD46,"Đạt","Không đạt"))</f>
        <v/>
      </c>
      <c r="AF46" s="28" t="n"/>
    </row>
    <row r="47" ht="30" customHeight="1" s="36">
      <c r="A47" s="17" t="n">
        <v>45</v>
      </c>
      <c r="B47" s="18" t="n"/>
      <c r="C47" s="17" t="n"/>
      <c r="D47" s="17" t="n"/>
      <c r="E47" s="17" t="n"/>
      <c r="F47" s="26" t="n"/>
      <c r="G47" s="26" t="n"/>
      <c r="H47" s="26" t="n"/>
      <c r="I47" s="26" t="n"/>
      <c r="J47" s="26" t="n"/>
      <c r="K47" s="26" t="n"/>
      <c r="L47" s="26" t="n"/>
      <c r="M47" s="26" t="n"/>
      <c r="N47" s="26" t="n"/>
      <c r="O47" s="26" t="n"/>
      <c r="P47" s="26" t="n"/>
      <c r="Q47" s="26" t="n"/>
      <c r="R47" s="26" t="n"/>
      <c r="S47" s="26" t="n"/>
      <c r="T47" s="26" t="n"/>
      <c r="U47" s="26" t="n"/>
      <c r="V47" s="26" t="n"/>
      <c r="W47" s="26" t="n"/>
      <c r="X47" s="26" t="n"/>
      <c r="Y47" s="26" t="n"/>
      <c r="Z47" s="26">
        <f>IF(B47="","",IF(COUNTIF(F47:G47,"Fail")&gt;0,1,0))</f>
        <v/>
      </c>
      <c r="AA47" s="26">
        <f>IF(B47="","",IF(COUNTIF(H47:S47,"Fail")&gt;0,1,0))</f>
        <v/>
      </c>
      <c r="AB47" s="26">
        <f>IF(B47="","",IF(COUNTIF(T47:Y47,"Fail")&gt;0,1,0))</f>
        <v/>
      </c>
      <c r="AC47" s="27">
        <f>IF(B47="","",0.1*Z47+0.8*AA47+0.1*AB47)</f>
        <v/>
      </c>
      <c r="AD47" s="27">
        <f>IF(B47="","",IF(C47="Batch 1",0.3,0.2))</f>
        <v/>
      </c>
      <c r="AE47" s="19">
        <f>IF(B47="","",IF(AC47&lt;=AD47,"Đạt","Không đạt"))</f>
        <v/>
      </c>
      <c r="AF47" s="28" t="n"/>
    </row>
    <row r="48" ht="30" customHeight="1" s="36">
      <c r="A48" s="17" t="n">
        <v>46</v>
      </c>
      <c r="B48" s="18" t="n"/>
      <c r="C48" s="17" t="n"/>
      <c r="D48" s="17" t="n"/>
      <c r="E48" s="17" t="n"/>
      <c r="F48" s="26" t="n"/>
      <c r="G48" s="26" t="n"/>
      <c r="H48" s="26" t="n"/>
      <c r="I48" s="26" t="n"/>
      <c r="J48" s="26" t="n"/>
      <c r="K48" s="26" t="n"/>
      <c r="L48" s="26" t="n"/>
      <c r="M48" s="26" t="n"/>
      <c r="N48" s="26" t="n"/>
      <c r="O48" s="26" t="n"/>
      <c r="P48" s="26" t="n"/>
      <c r="Q48" s="26" t="n"/>
      <c r="R48" s="26" t="n"/>
      <c r="S48" s="26" t="n"/>
      <c r="T48" s="26" t="n"/>
      <c r="U48" s="26" t="n"/>
      <c r="V48" s="26" t="n"/>
      <c r="W48" s="26" t="n"/>
      <c r="X48" s="26" t="n"/>
      <c r="Y48" s="26" t="n"/>
      <c r="Z48" s="26">
        <f>IF(B48="","",IF(COUNTIF(F48:G48,"Fail")&gt;0,1,0))</f>
        <v/>
      </c>
      <c r="AA48" s="26">
        <f>IF(B48="","",IF(COUNTIF(H48:S48,"Fail")&gt;0,1,0))</f>
        <v/>
      </c>
      <c r="AB48" s="26">
        <f>IF(B48="","",IF(COUNTIF(T48:Y48,"Fail")&gt;0,1,0))</f>
        <v/>
      </c>
      <c r="AC48" s="27">
        <f>IF(B48="","",0.1*Z48+0.8*AA48+0.1*AB48)</f>
        <v/>
      </c>
      <c r="AD48" s="27">
        <f>IF(B48="","",IF(C48="Batch 1",0.3,0.2))</f>
        <v/>
      </c>
      <c r="AE48" s="19">
        <f>IF(B48="","",IF(AC48&lt;=AD48,"Đạt","Không đạt"))</f>
        <v/>
      </c>
      <c r="AF48" s="28" t="n"/>
    </row>
    <row r="49" ht="30" customHeight="1" s="36">
      <c r="A49" s="17" t="n">
        <v>47</v>
      </c>
      <c r="B49" s="18" t="n"/>
      <c r="C49" s="17" t="n"/>
      <c r="D49" s="17" t="n"/>
      <c r="E49" s="17" t="n"/>
      <c r="F49" s="26" t="n"/>
      <c r="G49" s="26" t="n"/>
      <c r="H49" s="26" t="n"/>
      <c r="I49" s="26" t="n"/>
      <c r="J49" s="26" t="n"/>
      <c r="K49" s="26" t="n"/>
      <c r="L49" s="26" t="n"/>
      <c r="M49" s="26" t="n"/>
      <c r="N49" s="26" t="n"/>
      <c r="O49" s="26" t="n"/>
      <c r="P49" s="26" t="n"/>
      <c r="Q49" s="26" t="n"/>
      <c r="R49" s="26" t="n"/>
      <c r="S49" s="26" t="n"/>
      <c r="T49" s="26" t="n"/>
      <c r="U49" s="26" t="n"/>
      <c r="V49" s="26" t="n"/>
      <c r="W49" s="26" t="n"/>
      <c r="X49" s="26" t="n"/>
      <c r="Y49" s="26" t="n"/>
      <c r="Z49" s="26">
        <f>IF(B49="","",IF(COUNTIF(F49:G49,"Fail")&gt;0,1,0))</f>
        <v/>
      </c>
      <c r="AA49" s="26">
        <f>IF(B49="","",IF(COUNTIF(H49:S49,"Fail")&gt;0,1,0))</f>
        <v/>
      </c>
      <c r="AB49" s="26">
        <f>IF(B49="","",IF(COUNTIF(T49:Y49,"Fail")&gt;0,1,0))</f>
        <v/>
      </c>
      <c r="AC49" s="27">
        <f>IF(B49="","",0.1*Z49+0.8*AA49+0.1*AB49)</f>
        <v/>
      </c>
      <c r="AD49" s="27">
        <f>IF(B49="","",IF(C49="Batch 1",0.3,0.2))</f>
        <v/>
      </c>
      <c r="AE49" s="19">
        <f>IF(B49="","",IF(AC49&lt;=AD49,"Đạt","Không đạt"))</f>
        <v/>
      </c>
      <c r="AF49" s="28" t="n"/>
    </row>
    <row r="50" ht="30" customHeight="1" s="36">
      <c r="A50" s="17" t="n">
        <v>48</v>
      </c>
      <c r="B50" s="18" t="n"/>
      <c r="C50" s="17" t="n"/>
      <c r="D50" s="17" t="n"/>
      <c r="E50" s="17" t="n"/>
      <c r="F50" s="26" t="n"/>
      <c r="G50" s="26" t="n"/>
      <c r="H50" s="26" t="n"/>
      <c r="I50" s="26" t="n"/>
      <c r="J50" s="26" t="n"/>
      <c r="K50" s="26" t="n"/>
      <c r="L50" s="26" t="n"/>
      <c r="M50" s="26" t="n"/>
      <c r="N50" s="26" t="n"/>
      <c r="O50" s="26" t="n"/>
      <c r="P50" s="26" t="n"/>
      <c r="Q50" s="26" t="n"/>
      <c r="R50" s="26" t="n"/>
      <c r="S50" s="26" t="n"/>
      <c r="T50" s="26" t="n"/>
      <c r="U50" s="26" t="n"/>
      <c r="V50" s="26" t="n"/>
      <c r="W50" s="26" t="n"/>
      <c r="X50" s="26" t="n"/>
      <c r="Y50" s="26" t="n"/>
      <c r="Z50" s="26">
        <f>IF(B50="","",IF(COUNTIF(F50:G50,"Fail")&gt;0,1,0))</f>
        <v/>
      </c>
      <c r="AA50" s="26">
        <f>IF(B50="","",IF(COUNTIF(H50:S50,"Fail")&gt;0,1,0))</f>
        <v/>
      </c>
      <c r="AB50" s="26">
        <f>IF(B50="","",IF(COUNTIF(T50:Y50,"Fail")&gt;0,1,0))</f>
        <v/>
      </c>
      <c r="AC50" s="27">
        <f>IF(B50="","",0.1*Z50+0.8*AA50+0.1*AB50)</f>
        <v/>
      </c>
      <c r="AD50" s="27">
        <f>IF(B50="","",IF(C50="Batch 1",0.3,0.2))</f>
        <v/>
      </c>
      <c r="AE50" s="19">
        <f>IF(B50="","",IF(AC50&lt;=AD50,"Đạt","Không đạt"))</f>
        <v/>
      </c>
      <c r="AF50" s="28" t="n"/>
    </row>
    <row r="51" ht="30" customHeight="1" s="36">
      <c r="A51" s="17" t="n">
        <v>49</v>
      </c>
      <c r="B51" s="18" t="n"/>
      <c r="C51" s="17" t="n"/>
      <c r="D51" s="17" t="n"/>
      <c r="E51" s="17" t="n"/>
      <c r="F51" s="26" t="n"/>
      <c r="G51" s="26" t="n"/>
      <c r="H51" s="26" t="n"/>
      <c r="I51" s="26" t="n"/>
      <c r="J51" s="26" t="n"/>
      <c r="K51" s="26" t="n"/>
      <c r="L51" s="26" t="n"/>
      <c r="M51" s="26" t="n"/>
      <c r="N51" s="26" t="n"/>
      <c r="O51" s="26" t="n"/>
      <c r="P51" s="26" t="n"/>
      <c r="Q51" s="26" t="n"/>
      <c r="R51" s="26" t="n"/>
      <c r="S51" s="26" t="n"/>
      <c r="T51" s="26" t="n"/>
      <c r="U51" s="26" t="n"/>
      <c r="V51" s="26" t="n"/>
      <c r="W51" s="26" t="n"/>
      <c r="X51" s="26" t="n"/>
      <c r="Y51" s="26" t="n"/>
      <c r="Z51" s="26">
        <f>IF(B51="","",IF(COUNTIF(F51:G51,"Fail")&gt;0,1,0))</f>
        <v/>
      </c>
      <c r="AA51" s="26">
        <f>IF(B51="","",IF(COUNTIF(H51:S51,"Fail")&gt;0,1,0))</f>
        <v/>
      </c>
      <c r="AB51" s="26">
        <f>IF(B51="","",IF(COUNTIF(T51:Y51,"Fail")&gt;0,1,0))</f>
        <v/>
      </c>
      <c r="AC51" s="27">
        <f>IF(B51="","",0.1*Z51+0.8*AA51+0.1*AB51)</f>
        <v/>
      </c>
      <c r="AD51" s="27">
        <f>IF(B51="","",IF(C51="Batch 1",0.3,0.2))</f>
        <v/>
      </c>
      <c r="AE51" s="19">
        <f>IF(B51="","",IF(AC51&lt;=AD51,"Đạt","Không đạt"))</f>
        <v/>
      </c>
      <c r="AF51" s="28" t="n"/>
    </row>
    <row r="52" ht="30" customHeight="1" s="36">
      <c r="A52" s="17" t="n">
        <v>50</v>
      </c>
      <c r="B52" s="18" t="n"/>
      <c r="C52" s="17" t="n"/>
      <c r="D52" s="17" t="n"/>
      <c r="E52" s="17" t="n"/>
      <c r="F52" s="26" t="n"/>
      <c r="G52" s="26" t="n"/>
      <c r="H52" s="26" t="n"/>
      <c r="I52" s="26" t="n"/>
      <c r="J52" s="26" t="n"/>
      <c r="K52" s="26" t="n"/>
      <c r="L52" s="26" t="n"/>
      <c r="M52" s="26" t="n"/>
      <c r="N52" s="26" t="n"/>
      <c r="O52" s="26" t="n"/>
      <c r="P52" s="26" t="n"/>
      <c r="Q52" s="26" t="n"/>
      <c r="R52" s="26" t="n"/>
      <c r="S52" s="26" t="n"/>
      <c r="T52" s="26" t="n"/>
      <c r="U52" s="26" t="n"/>
      <c r="V52" s="26" t="n"/>
      <c r="W52" s="26" t="n"/>
      <c r="X52" s="26" t="n"/>
      <c r="Y52" s="26" t="n"/>
      <c r="Z52" s="26">
        <f>IF(B52="","",IF(COUNTIF(F52:G52,"Fail")&gt;0,1,0))</f>
        <v/>
      </c>
      <c r="AA52" s="26">
        <f>IF(B52="","",IF(COUNTIF(H52:S52,"Fail")&gt;0,1,0))</f>
        <v/>
      </c>
      <c r="AB52" s="26">
        <f>IF(B52="","",IF(COUNTIF(T52:Y52,"Fail")&gt;0,1,0))</f>
        <v/>
      </c>
      <c r="AC52" s="27">
        <f>IF(B52="","",0.1*Z52+0.8*AA52+0.1*AB52)</f>
        <v/>
      </c>
      <c r="AD52" s="27">
        <f>IF(B52="","",IF(C52="Batch 1",0.3,0.2))</f>
        <v/>
      </c>
      <c r="AE52" s="19">
        <f>IF(B52="","",IF(AC52&lt;=AD52,"Đạt","Không đạt"))</f>
        <v/>
      </c>
      <c r="AF52" s="28" t="n"/>
    </row>
    <row r="53" ht="30" customHeight="1" s="36">
      <c r="A53" s="17" t="n">
        <v>51</v>
      </c>
      <c r="B53" s="18" t="n"/>
      <c r="C53" s="17" t="n"/>
      <c r="D53" s="17" t="n"/>
      <c r="E53" s="17" t="n"/>
      <c r="F53" s="26" t="n"/>
      <c r="G53" s="26" t="n"/>
      <c r="H53" s="26" t="n"/>
      <c r="I53" s="26" t="n"/>
      <c r="J53" s="26" t="n"/>
      <c r="K53" s="26" t="n"/>
      <c r="L53" s="26" t="n"/>
      <c r="M53" s="26" t="n"/>
      <c r="N53" s="26" t="n"/>
      <c r="O53" s="26" t="n"/>
      <c r="P53" s="26" t="n"/>
      <c r="Q53" s="26" t="n"/>
      <c r="R53" s="26" t="n"/>
      <c r="S53" s="26" t="n"/>
      <c r="T53" s="26" t="n"/>
      <c r="U53" s="26" t="n"/>
      <c r="V53" s="26" t="n"/>
      <c r="W53" s="26" t="n"/>
      <c r="X53" s="26" t="n"/>
      <c r="Y53" s="26" t="n"/>
      <c r="Z53" s="26">
        <f>IF(B53="","",IF(COUNTIF(F53:G53,"Fail")&gt;0,1,0))</f>
        <v/>
      </c>
      <c r="AA53" s="26">
        <f>IF(B53="","",IF(COUNTIF(H53:S53,"Fail")&gt;0,1,0))</f>
        <v/>
      </c>
      <c r="AB53" s="26">
        <f>IF(B53="","",IF(COUNTIF(T53:Y53,"Fail")&gt;0,1,0))</f>
        <v/>
      </c>
      <c r="AC53" s="27">
        <f>IF(B53="","",0.1*Z53+0.8*AA53+0.1*AB53)</f>
        <v/>
      </c>
      <c r="AD53" s="27">
        <f>IF(B53="","",IF(C53="Batch 1",0.3,0.2))</f>
        <v/>
      </c>
      <c r="AE53" s="19">
        <f>IF(B53="","",IF(AC53&lt;=AD53,"Đạt","Không đạt"))</f>
        <v/>
      </c>
      <c r="AF53" s="28" t="n"/>
    </row>
    <row r="54" ht="30" customHeight="1" s="36">
      <c r="A54" s="17" t="n">
        <v>52</v>
      </c>
      <c r="B54" s="18" t="n"/>
      <c r="C54" s="17" t="n"/>
      <c r="D54" s="17" t="n"/>
      <c r="E54" s="17" t="n"/>
      <c r="F54" s="26" t="n"/>
      <c r="G54" s="26" t="n"/>
      <c r="H54" s="26" t="n"/>
      <c r="I54" s="26" t="n"/>
      <c r="J54" s="26" t="n"/>
      <c r="K54" s="26" t="n"/>
      <c r="L54" s="26" t="n"/>
      <c r="M54" s="26" t="n"/>
      <c r="N54" s="26" t="n"/>
      <c r="O54" s="26" t="n"/>
      <c r="P54" s="26" t="n"/>
      <c r="Q54" s="26" t="n"/>
      <c r="R54" s="26" t="n"/>
      <c r="S54" s="26" t="n"/>
      <c r="T54" s="26" t="n"/>
      <c r="U54" s="26" t="n"/>
      <c r="V54" s="26" t="n"/>
      <c r="W54" s="26" t="n"/>
      <c r="X54" s="26" t="n"/>
      <c r="Y54" s="26" t="n"/>
      <c r="Z54" s="26">
        <f>IF(B54="","",IF(COUNTIF(F54:G54,"Fail")&gt;0,1,0))</f>
        <v/>
      </c>
      <c r="AA54" s="26">
        <f>IF(B54="","",IF(COUNTIF(H54:S54,"Fail")&gt;0,1,0))</f>
        <v/>
      </c>
      <c r="AB54" s="26">
        <f>IF(B54="","",IF(COUNTIF(T54:Y54,"Fail")&gt;0,1,0))</f>
        <v/>
      </c>
      <c r="AC54" s="27">
        <f>IF(B54="","",0.1*Z54+0.8*AA54+0.1*AB54)</f>
        <v/>
      </c>
      <c r="AD54" s="27">
        <f>IF(B54="","",IF(C54="Batch 1",0.3,0.2))</f>
        <v/>
      </c>
      <c r="AE54" s="19">
        <f>IF(B54="","",IF(AC54&lt;=AD54,"Đạt","Không đạt"))</f>
        <v/>
      </c>
      <c r="AF54" s="28" t="n"/>
    </row>
    <row r="55" ht="30" customHeight="1" s="36">
      <c r="A55" s="17" t="n">
        <v>53</v>
      </c>
      <c r="B55" s="18" t="n"/>
      <c r="C55" s="17" t="n"/>
      <c r="D55" s="17" t="n"/>
      <c r="E55" s="17" t="n"/>
      <c r="F55" s="26" t="n"/>
      <c r="G55" s="26" t="n"/>
      <c r="H55" s="26" t="n"/>
      <c r="I55" s="26" t="n"/>
      <c r="J55" s="26" t="n"/>
      <c r="K55" s="26" t="n"/>
      <c r="L55" s="26" t="n"/>
      <c r="M55" s="26" t="n"/>
      <c r="N55" s="26" t="n"/>
      <c r="O55" s="26" t="n"/>
      <c r="P55" s="26" t="n"/>
      <c r="Q55" s="26" t="n"/>
      <c r="R55" s="26" t="n"/>
      <c r="S55" s="26" t="n"/>
      <c r="T55" s="26" t="n"/>
      <c r="U55" s="26" t="n"/>
      <c r="V55" s="26" t="n"/>
      <c r="W55" s="26" t="n"/>
      <c r="X55" s="26" t="n"/>
      <c r="Y55" s="26" t="n"/>
      <c r="Z55" s="26">
        <f>IF(B55="","",IF(COUNTIF(F55:G55,"Fail")&gt;0,1,0))</f>
        <v/>
      </c>
      <c r="AA55" s="26">
        <f>IF(B55="","",IF(COUNTIF(H55:S55,"Fail")&gt;0,1,0))</f>
        <v/>
      </c>
      <c r="AB55" s="26">
        <f>IF(B55="","",IF(COUNTIF(T55:Y55,"Fail")&gt;0,1,0))</f>
        <v/>
      </c>
      <c r="AC55" s="27">
        <f>IF(B55="","",0.1*Z55+0.8*AA55+0.1*AB55)</f>
        <v/>
      </c>
      <c r="AD55" s="27">
        <f>IF(B55="","",IF(C55="Batch 1",0.3,0.2))</f>
        <v/>
      </c>
      <c r="AE55" s="19">
        <f>IF(B55="","",IF(AC55&lt;=AD55,"Đạt","Không đạt"))</f>
        <v/>
      </c>
      <c r="AF55" s="28" t="n"/>
    </row>
    <row r="56" ht="30" customHeight="1" s="36">
      <c r="A56" s="17" t="n">
        <v>54</v>
      </c>
      <c r="B56" s="18" t="n"/>
      <c r="C56" s="17" t="n"/>
      <c r="D56" s="17" t="n"/>
      <c r="E56" s="17" t="n"/>
      <c r="F56" s="26" t="n"/>
      <c r="G56" s="26" t="n"/>
      <c r="H56" s="26" t="n"/>
      <c r="I56" s="26" t="n"/>
      <c r="J56" s="26" t="n"/>
      <c r="K56" s="26" t="n"/>
      <c r="L56" s="26" t="n"/>
      <c r="M56" s="26" t="n"/>
      <c r="N56" s="26" t="n"/>
      <c r="O56" s="26" t="n"/>
      <c r="P56" s="26" t="n"/>
      <c r="Q56" s="26" t="n"/>
      <c r="R56" s="26" t="n"/>
      <c r="S56" s="26" t="n"/>
      <c r="T56" s="26" t="n"/>
      <c r="U56" s="26" t="n"/>
      <c r="V56" s="26" t="n"/>
      <c r="W56" s="26" t="n"/>
      <c r="X56" s="26" t="n"/>
      <c r="Y56" s="26" t="n"/>
      <c r="Z56" s="26">
        <f>IF(B56="","",IF(COUNTIF(F56:G56,"Fail")&gt;0,1,0))</f>
        <v/>
      </c>
      <c r="AA56" s="26">
        <f>IF(B56="","",IF(COUNTIF(H56:S56,"Fail")&gt;0,1,0))</f>
        <v/>
      </c>
      <c r="AB56" s="26">
        <f>IF(B56="","",IF(COUNTIF(T56:Y56,"Fail")&gt;0,1,0))</f>
        <v/>
      </c>
      <c r="AC56" s="27">
        <f>IF(B56="","",0.1*Z56+0.8*AA56+0.1*AB56)</f>
        <v/>
      </c>
      <c r="AD56" s="27">
        <f>IF(B56="","",IF(C56="Batch 1",0.3,0.2))</f>
        <v/>
      </c>
      <c r="AE56" s="19">
        <f>IF(B56="","",IF(AC56&lt;=AD56,"Đạt","Không đạt"))</f>
        <v/>
      </c>
      <c r="AF56" s="28" t="n"/>
    </row>
    <row r="57" ht="30" customHeight="1" s="36">
      <c r="A57" s="17" t="n">
        <v>55</v>
      </c>
      <c r="B57" s="18" t="n"/>
      <c r="C57" s="17" t="n"/>
      <c r="D57" s="17" t="n"/>
      <c r="E57" s="17" t="n"/>
      <c r="F57" s="26" t="n"/>
      <c r="G57" s="26" t="n"/>
      <c r="H57" s="26" t="n"/>
      <c r="I57" s="26" t="n"/>
      <c r="J57" s="26" t="n"/>
      <c r="K57" s="26" t="n"/>
      <c r="L57" s="26" t="n"/>
      <c r="M57" s="26" t="n"/>
      <c r="N57" s="26" t="n"/>
      <c r="O57" s="26" t="n"/>
      <c r="P57" s="26" t="n"/>
      <c r="Q57" s="26" t="n"/>
      <c r="R57" s="26" t="n"/>
      <c r="S57" s="26" t="n"/>
      <c r="T57" s="26" t="n"/>
      <c r="U57" s="26" t="n"/>
      <c r="V57" s="26" t="n"/>
      <c r="W57" s="26" t="n"/>
      <c r="X57" s="26" t="n"/>
      <c r="Y57" s="26" t="n"/>
      <c r="Z57" s="26">
        <f>IF(B57="","",IF(COUNTIF(F57:G57,"Fail")&gt;0,1,0))</f>
        <v/>
      </c>
      <c r="AA57" s="26">
        <f>IF(B57="","",IF(COUNTIF(H57:S57,"Fail")&gt;0,1,0))</f>
        <v/>
      </c>
      <c r="AB57" s="26">
        <f>IF(B57="","",IF(COUNTIF(T57:Y57,"Fail")&gt;0,1,0))</f>
        <v/>
      </c>
      <c r="AC57" s="27">
        <f>IF(B57="","",0.1*Z57+0.8*AA57+0.1*AB57)</f>
        <v/>
      </c>
      <c r="AD57" s="27">
        <f>IF(B57="","",IF(C57="Batch 1",0.3,0.2))</f>
        <v/>
      </c>
      <c r="AE57" s="19">
        <f>IF(B57="","",IF(AC57&lt;=AD57,"Đạt","Không đạt"))</f>
        <v/>
      </c>
      <c r="AF57" s="28" t="n"/>
    </row>
    <row r="58" ht="30" customHeight="1" s="36">
      <c r="A58" s="17" t="n">
        <v>56</v>
      </c>
      <c r="B58" s="18" t="n"/>
      <c r="C58" s="17" t="n"/>
      <c r="D58" s="17" t="n"/>
      <c r="E58" s="17" t="n"/>
      <c r="F58" s="26" t="n"/>
      <c r="G58" s="26" t="n"/>
      <c r="H58" s="26" t="n"/>
      <c r="I58" s="26" t="n"/>
      <c r="J58" s="26" t="n"/>
      <c r="K58" s="26" t="n"/>
      <c r="L58" s="26" t="n"/>
      <c r="M58" s="26" t="n"/>
      <c r="N58" s="26" t="n"/>
      <c r="O58" s="26" t="n"/>
      <c r="P58" s="26" t="n"/>
      <c r="Q58" s="26" t="n"/>
      <c r="R58" s="26" t="n"/>
      <c r="S58" s="26" t="n"/>
      <c r="T58" s="26" t="n"/>
      <c r="U58" s="26" t="n"/>
      <c r="V58" s="26" t="n"/>
      <c r="W58" s="26" t="n"/>
      <c r="X58" s="26" t="n"/>
      <c r="Y58" s="26" t="n"/>
      <c r="Z58" s="26">
        <f>IF(B58="","",IF(COUNTIF(F58:G58,"Fail")&gt;0,1,0))</f>
        <v/>
      </c>
      <c r="AA58" s="26">
        <f>IF(B58="","",IF(COUNTIF(H58:S58,"Fail")&gt;0,1,0))</f>
        <v/>
      </c>
      <c r="AB58" s="26">
        <f>IF(B58="","",IF(COUNTIF(T58:Y58,"Fail")&gt;0,1,0))</f>
        <v/>
      </c>
      <c r="AC58" s="27">
        <f>IF(B58="","",0.1*Z58+0.8*AA58+0.1*AB58)</f>
        <v/>
      </c>
      <c r="AD58" s="27">
        <f>IF(B58="","",IF(C58="Batch 1",0.3,0.2))</f>
        <v/>
      </c>
      <c r="AE58" s="19">
        <f>IF(B58="","",IF(AC58&lt;=AD58,"Đạt","Không đạt"))</f>
        <v/>
      </c>
      <c r="AF58" s="28" t="n"/>
    </row>
    <row r="59" ht="30" customHeight="1" s="36">
      <c r="A59" s="17" t="n">
        <v>57</v>
      </c>
      <c r="B59" s="18" t="n"/>
      <c r="C59" s="17" t="n"/>
      <c r="D59" s="17" t="n"/>
      <c r="E59" s="17" t="n"/>
      <c r="F59" s="26" t="n"/>
      <c r="G59" s="26" t="n"/>
      <c r="H59" s="26" t="n"/>
      <c r="I59" s="26" t="n"/>
      <c r="J59" s="26" t="n"/>
      <c r="K59" s="26" t="n"/>
      <c r="L59" s="26" t="n"/>
      <c r="M59" s="26" t="n"/>
      <c r="N59" s="26" t="n"/>
      <c r="O59" s="26" t="n"/>
      <c r="P59" s="26" t="n"/>
      <c r="Q59" s="26" t="n"/>
      <c r="R59" s="26" t="n"/>
      <c r="S59" s="26" t="n"/>
      <c r="T59" s="26" t="n"/>
      <c r="U59" s="26" t="n"/>
      <c r="V59" s="26" t="n"/>
      <c r="W59" s="26" t="n"/>
      <c r="X59" s="26" t="n"/>
      <c r="Y59" s="26" t="n"/>
      <c r="Z59" s="26">
        <f>IF(B59="","",IF(COUNTIF(F59:G59,"Fail")&gt;0,1,0))</f>
        <v/>
      </c>
      <c r="AA59" s="26">
        <f>IF(B59="","",IF(COUNTIF(H59:S59,"Fail")&gt;0,1,0))</f>
        <v/>
      </c>
      <c r="AB59" s="26">
        <f>IF(B59="","",IF(COUNTIF(T59:Y59,"Fail")&gt;0,1,0))</f>
        <v/>
      </c>
      <c r="AC59" s="27">
        <f>IF(B59="","",0.1*Z59+0.8*AA59+0.1*AB59)</f>
        <v/>
      </c>
      <c r="AD59" s="27">
        <f>IF(B59="","",IF(C59="Batch 1",0.3,0.2))</f>
        <v/>
      </c>
      <c r="AE59" s="19">
        <f>IF(B59="","",IF(AC59&lt;=AD59,"Đạt","Không đạt"))</f>
        <v/>
      </c>
      <c r="AF59" s="28" t="n"/>
    </row>
    <row r="60" ht="30" customHeight="1" s="36">
      <c r="A60" s="17" t="n">
        <v>58</v>
      </c>
      <c r="B60" s="18" t="n"/>
      <c r="C60" s="17" t="n"/>
      <c r="D60" s="17" t="n"/>
      <c r="E60" s="17" t="n"/>
      <c r="F60" s="26" t="n"/>
      <c r="G60" s="26" t="n"/>
      <c r="H60" s="26" t="n"/>
      <c r="I60" s="26" t="n"/>
      <c r="J60" s="26" t="n"/>
      <c r="K60" s="26" t="n"/>
      <c r="L60" s="26" t="n"/>
      <c r="M60" s="26" t="n"/>
      <c r="N60" s="26" t="n"/>
      <c r="O60" s="26" t="n"/>
      <c r="P60" s="26" t="n"/>
      <c r="Q60" s="26" t="n"/>
      <c r="R60" s="26" t="n"/>
      <c r="S60" s="26" t="n"/>
      <c r="T60" s="26" t="n"/>
      <c r="U60" s="26" t="n"/>
      <c r="V60" s="26" t="n"/>
      <c r="W60" s="26" t="n"/>
      <c r="X60" s="26" t="n"/>
      <c r="Y60" s="26" t="n"/>
      <c r="Z60" s="26">
        <f>IF(B60="","",IF(COUNTIF(F60:G60,"Fail")&gt;0,1,0))</f>
        <v/>
      </c>
      <c r="AA60" s="26">
        <f>IF(B60="","",IF(COUNTIF(H60:S60,"Fail")&gt;0,1,0))</f>
        <v/>
      </c>
      <c r="AB60" s="26">
        <f>IF(B60="","",IF(COUNTIF(T60:Y60,"Fail")&gt;0,1,0))</f>
        <v/>
      </c>
      <c r="AC60" s="27">
        <f>IF(B60="","",0.1*Z60+0.8*AA60+0.1*AB60)</f>
        <v/>
      </c>
      <c r="AD60" s="27">
        <f>IF(B60="","",IF(C60="Batch 1",0.3,0.2))</f>
        <v/>
      </c>
      <c r="AE60" s="19">
        <f>IF(B60="","",IF(AC60&lt;=AD60,"Đạt","Không đạt"))</f>
        <v/>
      </c>
      <c r="AF60" s="28" t="n"/>
    </row>
    <row r="61" ht="30" customHeight="1" s="36">
      <c r="A61" s="17" t="n">
        <v>59</v>
      </c>
      <c r="B61" s="18" t="n"/>
      <c r="C61" s="17" t="n"/>
      <c r="D61" s="17" t="n"/>
      <c r="E61" s="17" t="n"/>
      <c r="F61" s="26" t="n"/>
      <c r="G61" s="26" t="n"/>
      <c r="H61" s="26" t="n"/>
      <c r="I61" s="26" t="n"/>
      <c r="J61" s="26" t="n"/>
      <c r="K61" s="26" t="n"/>
      <c r="L61" s="26" t="n"/>
      <c r="M61" s="26" t="n"/>
      <c r="N61" s="26" t="n"/>
      <c r="O61" s="26" t="n"/>
      <c r="P61" s="26" t="n"/>
      <c r="Q61" s="26" t="n"/>
      <c r="R61" s="26" t="n"/>
      <c r="S61" s="26" t="n"/>
      <c r="T61" s="26" t="n"/>
      <c r="U61" s="26" t="n"/>
      <c r="V61" s="26" t="n"/>
      <c r="W61" s="26" t="n"/>
      <c r="X61" s="26" t="n"/>
      <c r="Y61" s="26" t="n"/>
      <c r="Z61" s="26">
        <f>IF(B61="","",IF(COUNTIF(F61:G61,"Fail")&gt;0,1,0))</f>
        <v/>
      </c>
      <c r="AA61" s="26">
        <f>IF(B61="","",IF(COUNTIF(H61:S61,"Fail")&gt;0,1,0))</f>
        <v/>
      </c>
      <c r="AB61" s="26">
        <f>IF(B61="","",IF(COUNTIF(T61:Y61,"Fail")&gt;0,1,0))</f>
        <v/>
      </c>
      <c r="AC61" s="27">
        <f>IF(B61="","",0.1*Z61+0.8*AA61+0.1*AB61)</f>
        <v/>
      </c>
      <c r="AD61" s="27">
        <f>IF(B61="","",IF(C61="Batch 1",0.3,0.2))</f>
        <v/>
      </c>
      <c r="AE61" s="19">
        <f>IF(B61="","",IF(AC61&lt;=AD61,"Đạt","Không đạt"))</f>
        <v/>
      </c>
      <c r="AF61" s="28" t="n"/>
    </row>
    <row r="62" ht="30" customHeight="1" s="36">
      <c r="A62" s="17" t="n">
        <v>60</v>
      </c>
      <c r="B62" s="18" t="n"/>
      <c r="C62" s="17" t="n"/>
      <c r="D62" s="17" t="n"/>
      <c r="E62" s="17" t="n"/>
      <c r="F62" s="26" t="n"/>
      <c r="G62" s="26" t="n"/>
      <c r="H62" s="26" t="n"/>
      <c r="I62" s="26" t="n"/>
      <c r="J62" s="26" t="n"/>
      <c r="K62" s="26" t="n"/>
      <c r="L62" s="26" t="n"/>
      <c r="M62" s="26" t="n"/>
      <c r="N62" s="26" t="n"/>
      <c r="O62" s="26" t="n"/>
      <c r="P62" s="26" t="n"/>
      <c r="Q62" s="26" t="n"/>
      <c r="R62" s="26" t="n"/>
      <c r="S62" s="26" t="n"/>
      <c r="T62" s="26" t="n"/>
      <c r="U62" s="26" t="n"/>
      <c r="V62" s="26" t="n"/>
      <c r="W62" s="26" t="n"/>
      <c r="X62" s="26" t="n"/>
      <c r="Y62" s="26" t="n"/>
      <c r="Z62" s="26">
        <f>IF(B62="","",IF(COUNTIF(F62:G62,"Fail")&gt;0,1,0))</f>
        <v/>
      </c>
      <c r="AA62" s="26">
        <f>IF(B62="","",IF(COUNTIF(H62:S62,"Fail")&gt;0,1,0))</f>
        <v/>
      </c>
      <c r="AB62" s="26">
        <f>IF(B62="","",IF(COUNTIF(T62:Y62,"Fail")&gt;0,1,0))</f>
        <v/>
      </c>
      <c r="AC62" s="27">
        <f>IF(B62="","",0.1*Z62+0.8*AA62+0.1*AB62)</f>
        <v/>
      </c>
      <c r="AD62" s="27">
        <f>IF(B62="","",IF(C62="Batch 1",0.3,0.2))</f>
        <v/>
      </c>
      <c r="AE62" s="19">
        <f>IF(B62="","",IF(AC62&lt;=AD62,"Đạt","Không đạt"))</f>
        <v/>
      </c>
      <c r="AF62" s="28" t="n"/>
    </row>
    <row r="63" ht="30" customHeight="1" s="36">
      <c r="A63" s="17" t="n">
        <v>61</v>
      </c>
      <c r="B63" s="18" t="n"/>
      <c r="C63" s="17" t="n"/>
      <c r="D63" s="17" t="n"/>
      <c r="E63" s="17" t="n"/>
      <c r="F63" s="26" t="n"/>
      <c r="G63" s="26" t="n"/>
      <c r="H63" s="26" t="n"/>
      <c r="I63" s="26" t="n"/>
      <c r="J63" s="26" t="n"/>
      <c r="K63" s="26" t="n"/>
      <c r="L63" s="26" t="n"/>
      <c r="M63" s="26" t="n"/>
      <c r="N63" s="26" t="n"/>
      <c r="O63" s="26" t="n"/>
      <c r="P63" s="26" t="n"/>
      <c r="Q63" s="26" t="n"/>
      <c r="R63" s="26" t="n"/>
      <c r="S63" s="26" t="n"/>
      <c r="T63" s="26" t="n"/>
      <c r="U63" s="26" t="n"/>
      <c r="V63" s="26" t="n"/>
      <c r="W63" s="26" t="n"/>
      <c r="X63" s="26" t="n"/>
      <c r="Y63" s="26" t="n"/>
      <c r="Z63" s="26">
        <f>IF(B63="","",IF(COUNTIF(F63:G63,"Fail")&gt;0,1,0))</f>
        <v/>
      </c>
      <c r="AA63" s="26">
        <f>IF(B63="","",IF(COUNTIF(H63:S63,"Fail")&gt;0,1,0))</f>
        <v/>
      </c>
      <c r="AB63" s="26">
        <f>IF(B63="","",IF(COUNTIF(T63:Y63,"Fail")&gt;0,1,0))</f>
        <v/>
      </c>
      <c r="AC63" s="27">
        <f>IF(B63="","",0.1*Z63+0.8*AA63+0.1*AB63)</f>
        <v/>
      </c>
      <c r="AD63" s="27">
        <f>IF(B63="","",IF(C63="Batch 1",0.3,0.2))</f>
        <v/>
      </c>
      <c r="AE63" s="19">
        <f>IF(B63="","",IF(AC63&lt;=AD63,"Đạt","Không đạt"))</f>
        <v/>
      </c>
      <c r="AF63" s="28" t="n"/>
    </row>
    <row r="64" ht="30" customHeight="1" s="36">
      <c r="A64" s="17" t="n">
        <v>62</v>
      </c>
      <c r="B64" s="18" t="n"/>
      <c r="C64" s="17" t="n"/>
      <c r="D64" s="17" t="n"/>
      <c r="E64" s="17" t="n"/>
      <c r="F64" s="26" t="n"/>
      <c r="G64" s="26" t="n"/>
      <c r="H64" s="26" t="n"/>
      <c r="I64" s="26" t="n"/>
      <c r="J64" s="26" t="n"/>
      <c r="K64" s="26" t="n"/>
      <c r="L64" s="26" t="n"/>
      <c r="M64" s="26" t="n"/>
      <c r="N64" s="26" t="n"/>
      <c r="O64" s="26" t="n"/>
      <c r="P64" s="26" t="n"/>
      <c r="Q64" s="26" t="n"/>
      <c r="R64" s="26" t="n"/>
      <c r="S64" s="26" t="n"/>
      <c r="T64" s="26" t="n"/>
      <c r="U64" s="26" t="n"/>
      <c r="V64" s="26" t="n"/>
      <c r="W64" s="26" t="n"/>
      <c r="X64" s="26" t="n"/>
      <c r="Y64" s="26" t="n"/>
      <c r="Z64" s="26">
        <f>IF(B64="","",IF(COUNTIF(F64:G64,"Fail")&gt;0,1,0))</f>
        <v/>
      </c>
      <c r="AA64" s="26">
        <f>IF(B64="","",IF(COUNTIF(H64:S64,"Fail")&gt;0,1,0))</f>
        <v/>
      </c>
      <c r="AB64" s="26">
        <f>IF(B64="","",IF(COUNTIF(T64:Y64,"Fail")&gt;0,1,0))</f>
        <v/>
      </c>
      <c r="AC64" s="27">
        <f>IF(B64="","",0.1*Z64+0.8*AA64+0.1*AB64)</f>
        <v/>
      </c>
      <c r="AD64" s="27">
        <f>IF(B64="","",IF(C64="Batch 1",0.3,0.2))</f>
        <v/>
      </c>
      <c r="AE64" s="19">
        <f>IF(B64="","",IF(AC64&lt;=AD64,"Đạt","Không đạt"))</f>
        <v/>
      </c>
      <c r="AF64" s="28" t="n"/>
    </row>
    <row r="65" ht="30" customHeight="1" s="36">
      <c r="A65" s="17" t="n">
        <v>63</v>
      </c>
      <c r="B65" s="18" t="n"/>
      <c r="C65" s="17" t="n"/>
      <c r="D65" s="17" t="n"/>
      <c r="E65" s="17" t="n"/>
      <c r="F65" s="26" t="n"/>
      <c r="G65" s="26" t="n"/>
      <c r="H65" s="26" t="n"/>
      <c r="I65" s="26" t="n"/>
      <c r="J65" s="26" t="n"/>
      <c r="K65" s="26" t="n"/>
      <c r="L65" s="26" t="n"/>
      <c r="M65" s="26" t="n"/>
      <c r="N65" s="26" t="n"/>
      <c r="O65" s="26" t="n"/>
      <c r="P65" s="26" t="n"/>
      <c r="Q65" s="26" t="n"/>
      <c r="R65" s="26" t="n"/>
      <c r="S65" s="26" t="n"/>
      <c r="T65" s="26" t="n"/>
      <c r="U65" s="26" t="n"/>
      <c r="V65" s="26" t="n"/>
      <c r="W65" s="26" t="n"/>
      <c r="X65" s="26" t="n"/>
      <c r="Y65" s="26" t="n"/>
      <c r="Z65" s="26">
        <f>IF(B65="","",IF(COUNTIF(F65:G65,"Fail")&gt;0,1,0))</f>
        <v/>
      </c>
      <c r="AA65" s="26">
        <f>IF(B65="","",IF(COUNTIF(H65:S65,"Fail")&gt;0,1,0))</f>
        <v/>
      </c>
      <c r="AB65" s="26">
        <f>IF(B65="","",IF(COUNTIF(T65:Y65,"Fail")&gt;0,1,0))</f>
        <v/>
      </c>
      <c r="AC65" s="27">
        <f>IF(B65="","",0.1*Z65+0.8*AA65+0.1*AB65)</f>
        <v/>
      </c>
      <c r="AD65" s="27">
        <f>IF(B65="","",IF(C65="Batch 1",0.3,0.2))</f>
        <v/>
      </c>
      <c r="AE65" s="19">
        <f>IF(B65="","",IF(AC65&lt;=AD65,"Đạt","Không đạt"))</f>
        <v/>
      </c>
      <c r="AF65" s="28" t="n"/>
    </row>
    <row r="66" ht="30" customHeight="1" s="36">
      <c r="A66" s="17" t="n">
        <v>64</v>
      </c>
      <c r="B66" s="18" t="n"/>
      <c r="C66" s="17" t="n"/>
      <c r="D66" s="17" t="n"/>
      <c r="E66" s="17" t="n"/>
      <c r="F66" s="26" t="n"/>
      <c r="G66" s="26" t="n"/>
      <c r="H66" s="26" t="n"/>
      <c r="I66" s="26" t="n"/>
      <c r="J66" s="26" t="n"/>
      <c r="K66" s="26" t="n"/>
      <c r="L66" s="26" t="n"/>
      <c r="M66" s="26" t="n"/>
      <c r="N66" s="26" t="n"/>
      <c r="O66" s="26" t="n"/>
      <c r="P66" s="26" t="n"/>
      <c r="Q66" s="26" t="n"/>
      <c r="R66" s="26" t="n"/>
      <c r="S66" s="26" t="n"/>
      <c r="T66" s="26" t="n"/>
      <c r="U66" s="26" t="n"/>
      <c r="V66" s="26" t="n"/>
      <c r="W66" s="26" t="n"/>
      <c r="X66" s="26" t="n"/>
      <c r="Y66" s="26" t="n"/>
      <c r="Z66" s="26">
        <f>IF(B66="","",IF(COUNTIF(F66:G66,"Fail")&gt;0,1,0))</f>
        <v/>
      </c>
      <c r="AA66" s="26">
        <f>IF(B66="","",IF(COUNTIF(H66:S66,"Fail")&gt;0,1,0))</f>
        <v/>
      </c>
      <c r="AB66" s="26">
        <f>IF(B66="","",IF(COUNTIF(T66:Y66,"Fail")&gt;0,1,0))</f>
        <v/>
      </c>
      <c r="AC66" s="27">
        <f>IF(B66="","",0.1*Z66+0.8*AA66+0.1*AB66)</f>
        <v/>
      </c>
      <c r="AD66" s="27">
        <f>IF(B66="","",IF(C66="Batch 1",0.3,0.2))</f>
        <v/>
      </c>
      <c r="AE66" s="19">
        <f>IF(B66="","",IF(AC66&lt;=AD66,"Đạt","Không đạt"))</f>
        <v/>
      </c>
      <c r="AF66" s="28" t="n"/>
    </row>
    <row r="67" ht="30" customHeight="1" s="36">
      <c r="A67" s="17" t="n">
        <v>65</v>
      </c>
      <c r="B67" s="18" t="n"/>
      <c r="C67" s="17" t="n"/>
      <c r="D67" s="17" t="n"/>
      <c r="E67" s="17" t="n"/>
      <c r="F67" s="26" t="n"/>
      <c r="G67" s="26" t="n"/>
      <c r="H67" s="26" t="n"/>
      <c r="I67" s="26" t="n"/>
      <c r="J67" s="26" t="n"/>
      <c r="K67" s="26" t="n"/>
      <c r="L67" s="26" t="n"/>
      <c r="M67" s="26" t="n"/>
      <c r="N67" s="26" t="n"/>
      <c r="O67" s="26" t="n"/>
      <c r="P67" s="26" t="n"/>
      <c r="Q67" s="26" t="n"/>
      <c r="R67" s="26" t="n"/>
      <c r="S67" s="26" t="n"/>
      <c r="T67" s="26" t="n"/>
      <c r="U67" s="26" t="n"/>
      <c r="V67" s="26" t="n"/>
      <c r="W67" s="26" t="n"/>
      <c r="X67" s="26" t="n"/>
      <c r="Y67" s="26" t="n"/>
      <c r="Z67" s="26">
        <f>IF(B67="","",IF(COUNTIF(F67:G67,"Fail")&gt;0,1,0))</f>
        <v/>
      </c>
      <c r="AA67" s="26">
        <f>IF(B67="","",IF(COUNTIF(H67:S67,"Fail")&gt;0,1,0))</f>
        <v/>
      </c>
      <c r="AB67" s="26">
        <f>IF(B67="","",IF(COUNTIF(T67:Y67,"Fail")&gt;0,1,0))</f>
        <v/>
      </c>
      <c r="AC67" s="27">
        <f>IF(B67="","",0.1*Z67+0.8*AA67+0.1*AB67)</f>
        <v/>
      </c>
      <c r="AD67" s="27">
        <f>IF(B67="","",IF(C67="Batch 1",0.3,0.2))</f>
        <v/>
      </c>
      <c r="AE67" s="19">
        <f>IF(B67="","",IF(AC67&lt;=AD67,"Đạt","Không đạt"))</f>
        <v/>
      </c>
      <c r="AF67" s="28" t="n"/>
    </row>
    <row r="68" ht="30" customHeight="1" s="36">
      <c r="A68" s="17" t="n">
        <v>66</v>
      </c>
      <c r="B68" s="18" t="n"/>
      <c r="C68" s="17" t="n"/>
      <c r="D68" s="17" t="n"/>
      <c r="E68" s="17" t="n"/>
      <c r="F68" s="26" t="n"/>
      <c r="G68" s="26" t="n"/>
      <c r="H68" s="26" t="n"/>
      <c r="I68" s="26" t="n"/>
      <c r="J68" s="26" t="n"/>
      <c r="K68" s="26" t="n"/>
      <c r="L68" s="26" t="n"/>
      <c r="M68" s="26" t="n"/>
      <c r="N68" s="26" t="n"/>
      <c r="O68" s="26" t="n"/>
      <c r="P68" s="26" t="n"/>
      <c r="Q68" s="26" t="n"/>
      <c r="R68" s="26" t="n"/>
      <c r="S68" s="26" t="n"/>
      <c r="T68" s="26" t="n"/>
      <c r="U68" s="26" t="n"/>
      <c r="V68" s="26" t="n"/>
      <c r="W68" s="26" t="n"/>
      <c r="X68" s="26" t="n"/>
      <c r="Y68" s="26" t="n"/>
      <c r="Z68" s="26">
        <f>IF(B68="","",IF(COUNTIF(F68:G68,"Fail")&gt;0,1,0))</f>
        <v/>
      </c>
      <c r="AA68" s="26">
        <f>IF(B68="","",IF(COUNTIF(H68:S68,"Fail")&gt;0,1,0))</f>
        <v/>
      </c>
      <c r="AB68" s="26">
        <f>IF(B68="","",IF(COUNTIF(T68:Y68,"Fail")&gt;0,1,0))</f>
        <v/>
      </c>
      <c r="AC68" s="27">
        <f>IF(B68="","",0.1*Z68+0.8*AA68+0.1*AB68)</f>
        <v/>
      </c>
      <c r="AD68" s="27">
        <f>IF(B68="","",IF(C68="Batch 1",0.3,0.2))</f>
        <v/>
      </c>
      <c r="AE68" s="19">
        <f>IF(B68="","",IF(AC68&lt;=AD68,"Đạt","Không đạt"))</f>
        <v/>
      </c>
      <c r="AF68" s="28" t="n"/>
    </row>
    <row r="69" ht="30" customHeight="1" s="36">
      <c r="A69" s="17" t="n">
        <v>67</v>
      </c>
      <c r="B69" s="18" t="n"/>
      <c r="C69" s="17" t="n"/>
      <c r="D69" s="17" t="n"/>
      <c r="E69" s="17" t="n"/>
      <c r="F69" s="26" t="n"/>
      <c r="G69" s="26" t="n"/>
      <c r="H69" s="26" t="n"/>
      <c r="I69" s="26" t="n"/>
      <c r="J69" s="26" t="n"/>
      <c r="K69" s="26" t="n"/>
      <c r="L69" s="26" t="n"/>
      <c r="M69" s="26" t="n"/>
      <c r="N69" s="26" t="n"/>
      <c r="O69" s="26" t="n"/>
      <c r="P69" s="26" t="n"/>
      <c r="Q69" s="26" t="n"/>
      <c r="R69" s="26" t="n"/>
      <c r="S69" s="26" t="n"/>
      <c r="T69" s="26" t="n"/>
      <c r="U69" s="26" t="n"/>
      <c r="V69" s="26" t="n"/>
      <c r="W69" s="26" t="n"/>
      <c r="X69" s="26" t="n"/>
      <c r="Y69" s="26" t="n"/>
      <c r="Z69" s="26">
        <f>IF(B69="","",IF(COUNTIF(F69:G69,"Fail")&gt;0,1,0))</f>
        <v/>
      </c>
      <c r="AA69" s="26">
        <f>IF(B69="","",IF(COUNTIF(H69:S69,"Fail")&gt;0,1,0))</f>
        <v/>
      </c>
      <c r="AB69" s="26">
        <f>IF(B69="","",IF(COUNTIF(T69:Y69,"Fail")&gt;0,1,0))</f>
        <v/>
      </c>
      <c r="AC69" s="27">
        <f>IF(B69="","",0.1*Z69+0.8*AA69+0.1*AB69)</f>
        <v/>
      </c>
      <c r="AD69" s="27">
        <f>IF(B69="","",IF(C69="Batch 1",0.3,0.2))</f>
        <v/>
      </c>
      <c r="AE69" s="19">
        <f>IF(B69="","",IF(AC69&lt;=AD69,"Đạt","Không đạt"))</f>
        <v/>
      </c>
      <c r="AF69" s="28" t="n"/>
    </row>
    <row r="70" ht="30" customHeight="1" s="36">
      <c r="A70" s="17" t="n">
        <v>68</v>
      </c>
      <c r="B70" s="18" t="n"/>
      <c r="C70" s="17" t="n"/>
      <c r="D70" s="17" t="n"/>
      <c r="E70" s="17" t="n"/>
      <c r="F70" s="26" t="n"/>
      <c r="G70" s="26" t="n"/>
      <c r="H70" s="26" t="n"/>
      <c r="I70" s="26" t="n"/>
      <c r="J70" s="26" t="n"/>
      <c r="K70" s="26" t="n"/>
      <c r="L70" s="26" t="n"/>
      <c r="M70" s="26" t="n"/>
      <c r="N70" s="26" t="n"/>
      <c r="O70" s="26" t="n"/>
      <c r="P70" s="26" t="n"/>
      <c r="Q70" s="26" t="n"/>
      <c r="R70" s="26" t="n"/>
      <c r="S70" s="26" t="n"/>
      <c r="T70" s="26" t="n"/>
      <c r="U70" s="26" t="n"/>
      <c r="V70" s="26" t="n"/>
      <c r="W70" s="26" t="n"/>
      <c r="X70" s="26" t="n"/>
      <c r="Y70" s="26" t="n"/>
      <c r="Z70" s="26">
        <f>IF(B70="","",IF(COUNTIF(F70:G70,"Fail")&gt;0,1,0))</f>
        <v/>
      </c>
      <c r="AA70" s="26">
        <f>IF(B70="","",IF(COUNTIF(H70:S70,"Fail")&gt;0,1,0))</f>
        <v/>
      </c>
      <c r="AB70" s="26">
        <f>IF(B70="","",IF(COUNTIF(T70:Y70,"Fail")&gt;0,1,0))</f>
        <v/>
      </c>
      <c r="AC70" s="27">
        <f>IF(B70="","",0.1*Z70+0.8*AA70+0.1*AB70)</f>
        <v/>
      </c>
      <c r="AD70" s="27">
        <f>IF(B70="","",IF(C70="Batch 1",0.3,0.2))</f>
        <v/>
      </c>
      <c r="AE70" s="19">
        <f>IF(B70="","",IF(AC70&lt;=AD70,"Đạt","Không đạt"))</f>
        <v/>
      </c>
      <c r="AF70" s="28" t="n"/>
    </row>
    <row r="71" ht="30" customHeight="1" s="36">
      <c r="A71" s="17" t="n">
        <v>69</v>
      </c>
      <c r="B71" s="18" t="n"/>
      <c r="C71" s="17" t="n"/>
      <c r="D71" s="17" t="n"/>
      <c r="E71" s="17" t="n"/>
      <c r="F71" s="26" t="n"/>
      <c r="G71" s="26" t="n"/>
      <c r="H71" s="26" t="n"/>
      <c r="I71" s="26" t="n"/>
      <c r="J71" s="26" t="n"/>
      <c r="K71" s="26" t="n"/>
      <c r="L71" s="26" t="n"/>
      <c r="M71" s="26" t="n"/>
      <c r="N71" s="26" t="n"/>
      <c r="O71" s="26" t="n"/>
      <c r="P71" s="26" t="n"/>
      <c r="Q71" s="26" t="n"/>
      <c r="R71" s="26" t="n"/>
      <c r="S71" s="26" t="n"/>
      <c r="T71" s="26" t="n"/>
      <c r="U71" s="26" t="n"/>
      <c r="V71" s="26" t="n"/>
      <c r="W71" s="26" t="n"/>
      <c r="X71" s="26" t="n"/>
      <c r="Y71" s="26" t="n"/>
      <c r="Z71" s="26">
        <f>IF(B71="","",IF(COUNTIF(F71:G71,"Fail")&gt;0,1,0))</f>
        <v/>
      </c>
      <c r="AA71" s="26">
        <f>IF(B71="","",IF(COUNTIF(H71:S71,"Fail")&gt;0,1,0))</f>
        <v/>
      </c>
      <c r="AB71" s="26">
        <f>IF(B71="","",IF(COUNTIF(T71:Y71,"Fail")&gt;0,1,0))</f>
        <v/>
      </c>
      <c r="AC71" s="27">
        <f>IF(B71="","",0.1*Z71+0.8*AA71+0.1*AB71)</f>
        <v/>
      </c>
      <c r="AD71" s="27">
        <f>IF(B71="","",IF(C71="Batch 1",0.3,0.2))</f>
        <v/>
      </c>
      <c r="AE71" s="19">
        <f>IF(B71="","",IF(AC71&lt;=AD71,"Đạt","Không đạt"))</f>
        <v/>
      </c>
      <c r="AF71" s="28" t="n"/>
    </row>
    <row r="72" ht="30" customHeight="1" s="36">
      <c r="A72" s="17" t="n">
        <v>70</v>
      </c>
      <c r="B72" s="18" t="n"/>
      <c r="C72" s="17" t="n"/>
      <c r="D72" s="17" t="n"/>
      <c r="E72" s="17" t="n"/>
      <c r="F72" s="26" t="n"/>
      <c r="G72" s="26" t="n"/>
      <c r="H72" s="26" t="n"/>
      <c r="I72" s="26" t="n"/>
      <c r="J72" s="26" t="n"/>
      <c r="K72" s="26" t="n"/>
      <c r="L72" s="26" t="n"/>
      <c r="M72" s="26" t="n"/>
      <c r="N72" s="26" t="n"/>
      <c r="O72" s="26" t="n"/>
      <c r="P72" s="26" t="n"/>
      <c r="Q72" s="26" t="n"/>
      <c r="R72" s="26" t="n"/>
      <c r="S72" s="26" t="n"/>
      <c r="T72" s="26" t="n"/>
      <c r="U72" s="26" t="n"/>
      <c r="V72" s="26" t="n"/>
      <c r="W72" s="26" t="n"/>
      <c r="X72" s="26" t="n"/>
      <c r="Y72" s="26" t="n"/>
      <c r="Z72" s="26">
        <f>IF(B72="","",IF(COUNTIF(F72:G72,"Fail")&gt;0,1,0))</f>
        <v/>
      </c>
      <c r="AA72" s="26">
        <f>IF(B72="","",IF(COUNTIF(H72:S72,"Fail")&gt;0,1,0))</f>
        <v/>
      </c>
      <c r="AB72" s="26">
        <f>IF(B72="","",IF(COUNTIF(T72:Y72,"Fail")&gt;0,1,0))</f>
        <v/>
      </c>
      <c r="AC72" s="27">
        <f>IF(B72="","",0.1*Z72+0.8*AA72+0.1*AB72)</f>
        <v/>
      </c>
      <c r="AD72" s="27">
        <f>IF(B72="","",IF(C72="Batch 1",0.3,0.2))</f>
        <v/>
      </c>
      <c r="AE72" s="19">
        <f>IF(B72="","",IF(AC72&lt;=AD72,"Đạt","Không đạt"))</f>
        <v/>
      </c>
      <c r="AF72" s="28" t="n"/>
    </row>
    <row r="73" ht="30" customHeight="1" s="36">
      <c r="A73" s="17" t="n">
        <v>71</v>
      </c>
      <c r="B73" s="18" t="n"/>
      <c r="C73" s="17" t="n"/>
      <c r="D73" s="17" t="n"/>
      <c r="E73" s="17" t="n"/>
      <c r="F73" s="26" t="n"/>
      <c r="G73" s="26" t="n"/>
      <c r="H73" s="26" t="n"/>
      <c r="I73" s="26" t="n"/>
      <c r="J73" s="26" t="n"/>
      <c r="K73" s="26" t="n"/>
      <c r="L73" s="26" t="n"/>
      <c r="M73" s="26" t="n"/>
      <c r="N73" s="26" t="n"/>
      <c r="O73" s="26" t="n"/>
      <c r="P73" s="26" t="n"/>
      <c r="Q73" s="26" t="n"/>
      <c r="R73" s="26" t="n"/>
      <c r="S73" s="26" t="n"/>
      <c r="T73" s="26" t="n"/>
      <c r="U73" s="26" t="n"/>
      <c r="V73" s="26" t="n"/>
      <c r="W73" s="26" t="n"/>
      <c r="X73" s="26" t="n"/>
      <c r="Y73" s="26" t="n"/>
      <c r="Z73" s="26">
        <f>IF(B73="","",IF(COUNTIF(F73:G73,"Fail")&gt;0,1,0))</f>
        <v/>
      </c>
      <c r="AA73" s="26">
        <f>IF(B73="","",IF(COUNTIF(H73:S73,"Fail")&gt;0,1,0))</f>
        <v/>
      </c>
      <c r="AB73" s="26">
        <f>IF(B73="","",IF(COUNTIF(T73:Y73,"Fail")&gt;0,1,0))</f>
        <v/>
      </c>
      <c r="AC73" s="27">
        <f>IF(B73="","",0.1*Z73+0.8*AA73+0.1*AB73)</f>
        <v/>
      </c>
      <c r="AD73" s="27">
        <f>IF(B73="","",IF(C73="Batch 1",0.3,0.2))</f>
        <v/>
      </c>
      <c r="AE73" s="19">
        <f>IF(B73="","",IF(AC73&lt;=AD73,"Đạt","Không đạt"))</f>
        <v/>
      </c>
      <c r="AF73" s="28" t="n"/>
    </row>
    <row r="74" ht="30" customHeight="1" s="36">
      <c r="A74" s="17" t="n">
        <v>72</v>
      </c>
      <c r="B74" s="18" t="n"/>
      <c r="C74" s="17" t="n"/>
      <c r="D74" s="17" t="n"/>
      <c r="E74" s="17" t="n"/>
      <c r="F74" s="26" t="n"/>
      <c r="G74" s="26" t="n"/>
      <c r="H74" s="26" t="n"/>
      <c r="I74" s="26" t="n"/>
      <c r="J74" s="26" t="n"/>
      <c r="K74" s="26" t="n"/>
      <c r="L74" s="26" t="n"/>
      <c r="M74" s="26" t="n"/>
      <c r="N74" s="26" t="n"/>
      <c r="O74" s="26" t="n"/>
      <c r="P74" s="26" t="n"/>
      <c r="Q74" s="26" t="n"/>
      <c r="R74" s="26" t="n"/>
      <c r="S74" s="26" t="n"/>
      <c r="T74" s="26" t="n"/>
      <c r="U74" s="26" t="n"/>
      <c r="V74" s="26" t="n"/>
      <c r="W74" s="26" t="n"/>
      <c r="X74" s="26" t="n"/>
      <c r="Y74" s="26" t="n"/>
      <c r="Z74" s="26">
        <f>IF(B74="","",IF(COUNTIF(F74:G74,"Fail")&gt;0,1,0))</f>
        <v/>
      </c>
      <c r="AA74" s="26">
        <f>IF(B74="","",IF(COUNTIF(H74:S74,"Fail")&gt;0,1,0))</f>
        <v/>
      </c>
      <c r="AB74" s="26">
        <f>IF(B74="","",IF(COUNTIF(T74:Y74,"Fail")&gt;0,1,0))</f>
        <v/>
      </c>
      <c r="AC74" s="27">
        <f>IF(B74="","",0.1*Z74+0.8*AA74+0.1*AB74)</f>
        <v/>
      </c>
      <c r="AD74" s="27">
        <f>IF(B74="","",IF(C74="Batch 1",0.3,0.2))</f>
        <v/>
      </c>
      <c r="AE74" s="19">
        <f>IF(B74="","",IF(AC74&lt;=AD74,"Đạt","Không đạt"))</f>
        <v/>
      </c>
      <c r="AF74" s="28" t="n"/>
    </row>
    <row r="75" ht="30" customHeight="1" s="36">
      <c r="A75" s="17" t="n">
        <v>73</v>
      </c>
      <c r="B75" s="18" t="n"/>
      <c r="C75" s="17" t="n"/>
      <c r="D75" s="17" t="n"/>
      <c r="E75" s="17" t="n"/>
      <c r="F75" s="26" t="n"/>
      <c r="G75" s="26" t="n"/>
      <c r="H75" s="26" t="n"/>
      <c r="I75" s="26" t="n"/>
      <c r="J75" s="26" t="n"/>
      <c r="K75" s="26" t="n"/>
      <c r="L75" s="26" t="n"/>
      <c r="M75" s="26" t="n"/>
      <c r="N75" s="26" t="n"/>
      <c r="O75" s="26" t="n"/>
      <c r="P75" s="26" t="n"/>
      <c r="Q75" s="26" t="n"/>
      <c r="R75" s="26" t="n"/>
      <c r="S75" s="26" t="n"/>
      <c r="T75" s="26" t="n"/>
      <c r="U75" s="26" t="n"/>
      <c r="V75" s="26" t="n"/>
      <c r="W75" s="26" t="n"/>
      <c r="X75" s="26" t="n"/>
      <c r="Y75" s="26" t="n"/>
      <c r="Z75" s="26">
        <f>IF(B75="","",IF(COUNTIF(F75:G75,"Fail")&gt;0,1,0))</f>
        <v/>
      </c>
      <c r="AA75" s="26">
        <f>IF(B75="","",IF(COUNTIF(H75:S75,"Fail")&gt;0,1,0))</f>
        <v/>
      </c>
      <c r="AB75" s="26">
        <f>IF(B75="","",IF(COUNTIF(T75:Y75,"Fail")&gt;0,1,0))</f>
        <v/>
      </c>
      <c r="AC75" s="27">
        <f>IF(B75="","",0.1*Z75+0.8*AA75+0.1*AB75)</f>
        <v/>
      </c>
      <c r="AD75" s="27">
        <f>IF(B75="","",IF(C75="Batch 1",0.3,0.2))</f>
        <v/>
      </c>
      <c r="AE75" s="19">
        <f>IF(B75="","",IF(AC75&lt;=AD75,"Đạt","Không đạt"))</f>
        <v/>
      </c>
      <c r="AF75" s="28" t="n"/>
    </row>
    <row r="76" ht="30" customHeight="1" s="36">
      <c r="A76" s="17" t="n">
        <v>74</v>
      </c>
      <c r="B76" s="18" t="n"/>
      <c r="C76" s="17" t="n"/>
      <c r="D76" s="17" t="n"/>
      <c r="E76" s="17" t="n"/>
      <c r="F76" s="26" t="n"/>
      <c r="G76" s="26" t="n"/>
      <c r="H76" s="26" t="n"/>
      <c r="I76" s="26" t="n"/>
      <c r="J76" s="26" t="n"/>
      <c r="K76" s="26" t="n"/>
      <c r="L76" s="26" t="n"/>
      <c r="M76" s="26" t="n"/>
      <c r="N76" s="26" t="n"/>
      <c r="O76" s="26" t="n"/>
      <c r="P76" s="26" t="n"/>
      <c r="Q76" s="26" t="n"/>
      <c r="R76" s="26" t="n"/>
      <c r="S76" s="26" t="n"/>
      <c r="T76" s="26" t="n"/>
      <c r="U76" s="26" t="n"/>
      <c r="V76" s="26" t="n"/>
      <c r="W76" s="26" t="n"/>
      <c r="X76" s="26" t="n"/>
      <c r="Y76" s="26" t="n"/>
      <c r="Z76" s="26">
        <f>IF(B76="","",IF(COUNTIF(F76:G76,"Fail")&gt;0,1,0))</f>
        <v/>
      </c>
      <c r="AA76" s="26">
        <f>IF(B76="","",IF(COUNTIF(H76:S76,"Fail")&gt;0,1,0))</f>
        <v/>
      </c>
      <c r="AB76" s="26">
        <f>IF(B76="","",IF(COUNTIF(T76:Y76,"Fail")&gt;0,1,0))</f>
        <v/>
      </c>
      <c r="AC76" s="27">
        <f>IF(B76="","",0.1*Z76+0.8*AA76+0.1*AB76)</f>
        <v/>
      </c>
      <c r="AD76" s="27">
        <f>IF(B76="","",IF(C76="Batch 1",0.3,0.2))</f>
        <v/>
      </c>
      <c r="AE76" s="19">
        <f>IF(B76="","",IF(AC76&lt;=AD76,"Đạt","Không đạt"))</f>
        <v/>
      </c>
      <c r="AF76" s="28" t="n"/>
    </row>
    <row r="77" ht="30" customHeight="1" s="36">
      <c r="A77" s="17" t="n">
        <v>75</v>
      </c>
      <c r="B77" s="18" t="n"/>
      <c r="C77" s="17" t="n"/>
      <c r="D77" s="17" t="n"/>
      <c r="E77" s="17" t="n"/>
      <c r="F77" s="26" t="n"/>
      <c r="G77" s="26" t="n"/>
      <c r="H77" s="26" t="n"/>
      <c r="I77" s="26" t="n"/>
      <c r="J77" s="26" t="n"/>
      <c r="K77" s="26" t="n"/>
      <c r="L77" s="26" t="n"/>
      <c r="M77" s="26" t="n"/>
      <c r="N77" s="26" t="n"/>
      <c r="O77" s="26" t="n"/>
      <c r="P77" s="26" t="n"/>
      <c r="Q77" s="26" t="n"/>
      <c r="R77" s="26" t="n"/>
      <c r="S77" s="26" t="n"/>
      <c r="T77" s="26" t="n"/>
      <c r="U77" s="26" t="n"/>
      <c r="V77" s="26" t="n"/>
      <c r="W77" s="26" t="n"/>
      <c r="X77" s="26" t="n"/>
      <c r="Y77" s="26" t="n"/>
      <c r="Z77" s="26">
        <f>IF(B77="","",IF(COUNTIF(F77:G77,"Fail")&gt;0,1,0))</f>
        <v/>
      </c>
      <c r="AA77" s="26">
        <f>IF(B77="","",IF(COUNTIF(H77:S77,"Fail")&gt;0,1,0))</f>
        <v/>
      </c>
      <c r="AB77" s="26">
        <f>IF(B77="","",IF(COUNTIF(T77:Y77,"Fail")&gt;0,1,0))</f>
        <v/>
      </c>
      <c r="AC77" s="27">
        <f>IF(B77="","",0.1*Z77+0.8*AA77+0.1*AB77)</f>
        <v/>
      </c>
      <c r="AD77" s="27">
        <f>IF(B77="","",IF(C77="Batch 1",0.3,0.2))</f>
        <v/>
      </c>
      <c r="AE77" s="19">
        <f>IF(B77="","",IF(AC77&lt;=AD77,"Đạt","Không đạt"))</f>
        <v/>
      </c>
      <c r="AF77" s="28" t="n"/>
    </row>
    <row r="78" ht="30" customHeight="1" s="36">
      <c r="A78" s="17" t="n">
        <v>76</v>
      </c>
      <c r="B78" s="18" t="n"/>
      <c r="C78" s="17" t="n"/>
      <c r="D78" s="17" t="n"/>
      <c r="E78" s="17" t="n"/>
      <c r="F78" s="26" t="n"/>
      <c r="G78" s="26" t="n"/>
      <c r="H78" s="26" t="n"/>
      <c r="I78" s="26" t="n"/>
      <c r="J78" s="26" t="n"/>
      <c r="K78" s="26" t="n"/>
      <c r="L78" s="26" t="n"/>
      <c r="M78" s="26" t="n"/>
      <c r="N78" s="26" t="n"/>
      <c r="O78" s="26" t="n"/>
      <c r="P78" s="26" t="n"/>
      <c r="Q78" s="26" t="n"/>
      <c r="R78" s="26" t="n"/>
      <c r="S78" s="26" t="n"/>
      <c r="T78" s="26" t="n"/>
      <c r="U78" s="26" t="n"/>
      <c r="V78" s="26" t="n"/>
      <c r="W78" s="26" t="n"/>
      <c r="X78" s="26" t="n"/>
      <c r="Y78" s="26" t="n"/>
      <c r="Z78" s="26">
        <f>IF(B78="","",IF(COUNTIF(F78:G78,"Fail")&gt;0,1,0))</f>
        <v/>
      </c>
      <c r="AA78" s="26">
        <f>IF(B78="","",IF(COUNTIF(H78:S78,"Fail")&gt;0,1,0))</f>
        <v/>
      </c>
      <c r="AB78" s="26">
        <f>IF(B78="","",IF(COUNTIF(T78:Y78,"Fail")&gt;0,1,0))</f>
        <v/>
      </c>
      <c r="AC78" s="27">
        <f>IF(B78="","",0.1*Z78+0.8*AA78+0.1*AB78)</f>
        <v/>
      </c>
      <c r="AD78" s="27">
        <f>IF(B78="","",IF(C78="Batch 1",0.3,0.2))</f>
        <v/>
      </c>
      <c r="AE78" s="19">
        <f>IF(B78="","",IF(AC78&lt;=AD78,"Đạt","Không đạt"))</f>
        <v/>
      </c>
      <c r="AF78" s="28" t="n"/>
    </row>
    <row r="79" ht="30" customHeight="1" s="36">
      <c r="A79" s="17" t="n">
        <v>77</v>
      </c>
      <c r="B79" s="18" t="n"/>
      <c r="C79" s="17" t="n"/>
      <c r="D79" s="17" t="n"/>
      <c r="E79" s="17" t="n"/>
      <c r="F79" s="26" t="n"/>
      <c r="G79" s="26" t="n"/>
      <c r="H79" s="26" t="n"/>
      <c r="I79" s="26" t="n"/>
      <c r="J79" s="26" t="n"/>
      <c r="K79" s="26" t="n"/>
      <c r="L79" s="26" t="n"/>
      <c r="M79" s="26" t="n"/>
      <c r="N79" s="26" t="n"/>
      <c r="O79" s="26" t="n"/>
      <c r="P79" s="26" t="n"/>
      <c r="Q79" s="26" t="n"/>
      <c r="R79" s="26" t="n"/>
      <c r="S79" s="26" t="n"/>
      <c r="T79" s="26" t="n"/>
      <c r="U79" s="26" t="n"/>
      <c r="V79" s="26" t="n"/>
      <c r="W79" s="26" t="n"/>
      <c r="X79" s="26" t="n"/>
      <c r="Y79" s="26" t="n"/>
      <c r="Z79" s="26">
        <f>IF(B79="","",IF(COUNTIF(F79:G79,"Fail")&gt;0,1,0))</f>
        <v/>
      </c>
      <c r="AA79" s="26">
        <f>IF(B79="","",IF(COUNTIF(H79:S79,"Fail")&gt;0,1,0))</f>
        <v/>
      </c>
      <c r="AB79" s="26">
        <f>IF(B79="","",IF(COUNTIF(T79:Y79,"Fail")&gt;0,1,0))</f>
        <v/>
      </c>
      <c r="AC79" s="27">
        <f>IF(B79="","",0.1*Z79+0.8*AA79+0.1*AB79)</f>
        <v/>
      </c>
      <c r="AD79" s="27">
        <f>IF(B79="","",IF(C79="Batch 1",0.3,0.2))</f>
        <v/>
      </c>
      <c r="AE79" s="19">
        <f>IF(B79="","",IF(AC79&lt;=AD79,"Đạt","Không đạt"))</f>
        <v/>
      </c>
      <c r="AF79" s="28" t="n"/>
    </row>
    <row r="80" ht="30" customHeight="1" s="36">
      <c r="A80" s="17" t="n">
        <v>78</v>
      </c>
      <c r="B80" s="18" t="n"/>
      <c r="C80" s="17" t="n"/>
      <c r="D80" s="17" t="n"/>
      <c r="E80" s="17" t="n"/>
      <c r="F80" s="26" t="n"/>
      <c r="G80" s="26" t="n"/>
      <c r="H80" s="26" t="n"/>
      <c r="I80" s="26" t="n"/>
      <c r="J80" s="26" t="n"/>
      <c r="K80" s="26" t="n"/>
      <c r="L80" s="26" t="n"/>
      <c r="M80" s="26" t="n"/>
      <c r="N80" s="26" t="n"/>
      <c r="O80" s="26" t="n"/>
      <c r="P80" s="26" t="n"/>
      <c r="Q80" s="26" t="n"/>
      <c r="R80" s="26" t="n"/>
      <c r="S80" s="26" t="n"/>
      <c r="T80" s="26" t="n"/>
      <c r="U80" s="26" t="n"/>
      <c r="V80" s="26" t="n"/>
      <c r="W80" s="26" t="n"/>
      <c r="X80" s="26" t="n"/>
      <c r="Y80" s="26" t="n"/>
      <c r="Z80" s="26">
        <f>IF(B80="","",IF(COUNTIF(F80:G80,"Fail")&gt;0,1,0))</f>
        <v/>
      </c>
      <c r="AA80" s="26">
        <f>IF(B80="","",IF(COUNTIF(H80:S80,"Fail")&gt;0,1,0))</f>
        <v/>
      </c>
      <c r="AB80" s="26">
        <f>IF(B80="","",IF(COUNTIF(T80:Y80,"Fail")&gt;0,1,0))</f>
        <v/>
      </c>
      <c r="AC80" s="27">
        <f>IF(B80="","",0.1*Z80+0.8*AA80+0.1*AB80)</f>
        <v/>
      </c>
      <c r="AD80" s="27">
        <f>IF(B80="","",IF(C80="Batch 1",0.3,0.2))</f>
        <v/>
      </c>
      <c r="AE80" s="19">
        <f>IF(B80="","",IF(AC80&lt;=AD80,"Đạt","Không đạt"))</f>
        <v/>
      </c>
      <c r="AF80" s="28" t="n"/>
    </row>
    <row r="81" ht="30" customHeight="1" s="36">
      <c r="A81" s="17" t="n">
        <v>79</v>
      </c>
      <c r="B81" s="18" t="n"/>
      <c r="C81" s="17" t="n"/>
      <c r="D81" s="17" t="n"/>
      <c r="E81" s="17" t="n"/>
      <c r="F81" s="26" t="n"/>
      <c r="G81" s="26" t="n"/>
      <c r="H81" s="26" t="n"/>
      <c r="I81" s="26" t="n"/>
      <c r="J81" s="26" t="n"/>
      <c r="K81" s="26" t="n"/>
      <c r="L81" s="26" t="n"/>
      <c r="M81" s="26" t="n"/>
      <c r="N81" s="26" t="n"/>
      <c r="O81" s="26" t="n"/>
      <c r="P81" s="26" t="n"/>
      <c r="Q81" s="26" t="n"/>
      <c r="R81" s="26" t="n"/>
      <c r="S81" s="26" t="n"/>
      <c r="T81" s="26" t="n"/>
      <c r="U81" s="26" t="n"/>
      <c r="V81" s="26" t="n"/>
      <c r="W81" s="26" t="n"/>
      <c r="X81" s="26" t="n"/>
      <c r="Y81" s="26" t="n"/>
      <c r="Z81" s="26">
        <f>IF(B81="","",IF(COUNTIF(F81:G81,"Fail")&gt;0,1,0))</f>
        <v/>
      </c>
      <c r="AA81" s="26">
        <f>IF(B81="","",IF(COUNTIF(H81:S81,"Fail")&gt;0,1,0))</f>
        <v/>
      </c>
      <c r="AB81" s="26">
        <f>IF(B81="","",IF(COUNTIF(T81:Y81,"Fail")&gt;0,1,0))</f>
        <v/>
      </c>
      <c r="AC81" s="27">
        <f>IF(B81="","",0.1*Z81+0.8*AA81+0.1*AB81)</f>
        <v/>
      </c>
      <c r="AD81" s="27">
        <f>IF(B81="","",IF(C81="Batch 1",0.3,0.2))</f>
        <v/>
      </c>
      <c r="AE81" s="19">
        <f>IF(B81="","",IF(AC81&lt;=AD81,"Đạt","Không đạt"))</f>
        <v/>
      </c>
      <c r="AF81" s="28" t="n"/>
    </row>
    <row r="82" ht="30" customHeight="1" s="36">
      <c r="A82" s="17" t="n">
        <v>80</v>
      </c>
      <c r="B82" s="18" t="n"/>
      <c r="C82" s="17" t="n"/>
      <c r="D82" s="17" t="n"/>
      <c r="E82" s="17" t="n"/>
      <c r="F82" s="26" t="n"/>
      <c r="G82" s="26" t="n"/>
      <c r="H82" s="26" t="n"/>
      <c r="I82" s="26" t="n"/>
      <c r="J82" s="26" t="n"/>
      <c r="K82" s="26" t="n"/>
      <c r="L82" s="26" t="n"/>
      <c r="M82" s="26" t="n"/>
      <c r="N82" s="26" t="n"/>
      <c r="O82" s="26" t="n"/>
      <c r="P82" s="26" t="n"/>
      <c r="Q82" s="26" t="n"/>
      <c r="R82" s="26" t="n"/>
      <c r="S82" s="26" t="n"/>
      <c r="T82" s="26" t="n"/>
      <c r="U82" s="26" t="n"/>
      <c r="V82" s="26" t="n"/>
      <c r="W82" s="26" t="n"/>
      <c r="X82" s="26" t="n"/>
      <c r="Y82" s="26" t="n"/>
      <c r="Z82" s="26">
        <f>IF(B82="","",IF(COUNTIF(F82:G82,"Fail")&gt;0,1,0))</f>
        <v/>
      </c>
      <c r="AA82" s="26">
        <f>IF(B82="","",IF(COUNTIF(H82:S82,"Fail")&gt;0,1,0))</f>
        <v/>
      </c>
      <c r="AB82" s="26">
        <f>IF(B82="","",IF(COUNTIF(T82:Y82,"Fail")&gt;0,1,0))</f>
        <v/>
      </c>
      <c r="AC82" s="27">
        <f>IF(B82="","",0.1*Z82+0.8*AA82+0.1*AB82)</f>
        <v/>
      </c>
      <c r="AD82" s="27">
        <f>IF(B82="","",IF(C82="Batch 1",0.3,0.2))</f>
        <v/>
      </c>
      <c r="AE82" s="19">
        <f>IF(B82="","",IF(AC82&lt;=AD82,"Đạt","Không đạt"))</f>
        <v/>
      </c>
      <c r="AF82" s="28" t="n"/>
    </row>
    <row r="83" ht="30" customHeight="1" s="36">
      <c r="A83" s="17" t="n">
        <v>81</v>
      </c>
      <c r="B83" s="18" t="n"/>
      <c r="C83" s="17" t="n"/>
      <c r="D83" s="17" t="n"/>
      <c r="E83" s="17" t="n"/>
      <c r="F83" s="26" t="n"/>
      <c r="G83" s="26" t="n"/>
      <c r="H83" s="26" t="n"/>
      <c r="I83" s="26" t="n"/>
      <c r="J83" s="26" t="n"/>
      <c r="K83" s="26" t="n"/>
      <c r="L83" s="26" t="n"/>
      <c r="M83" s="26" t="n"/>
      <c r="N83" s="26" t="n"/>
      <c r="O83" s="26" t="n"/>
      <c r="P83" s="26" t="n"/>
      <c r="Q83" s="26" t="n"/>
      <c r="R83" s="26" t="n"/>
      <c r="S83" s="26" t="n"/>
      <c r="T83" s="26" t="n"/>
      <c r="U83" s="26" t="n"/>
      <c r="V83" s="26" t="n"/>
      <c r="W83" s="26" t="n"/>
      <c r="X83" s="26" t="n"/>
      <c r="Y83" s="26" t="n"/>
      <c r="Z83" s="26">
        <f>IF(B83="","",IF(COUNTIF(F83:G83,"Fail")&gt;0,1,0))</f>
        <v/>
      </c>
      <c r="AA83" s="26">
        <f>IF(B83="","",IF(COUNTIF(H83:S83,"Fail")&gt;0,1,0))</f>
        <v/>
      </c>
      <c r="AB83" s="26">
        <f>IF(B83="","",IF(COUNTIF(T83:Y83,"Fail")&gt;0,1,0))</f>
        <v/>
      </c>
      <c r="AC83" s="27">
        <f>IF(B83="","",0.1*Z83+0.8*AA83+0.1*AB83)</f>
        <v/>
      </c>
      <c r="AD83" s="27">
        <f>IF(B83="","",IF(C83="Batch 1",0.3,0.2))</f>
        <v/>
      </c>
      <c r="AE83" s="19">
        <f>IF(B83="","",IF(AC83&lt;=AD83,"Đạt","Không đạt"))</f>
        <v/>
      </c>
      <c r="AF83" s="28" t="n"/>
    </row>
    <row r="84" ht="30" customHeight="1" s="36">
      <c r="A84" s="17" t="n">
        <v>82</v>
      </c>
      <c r="B84" s="18" t="n"/>
      <c r="C84" s="17" t="n"/>
      <c r="D84" s="17" t="n"/>
      <c r="E84" s="17" t="n"/>
      <c r="F84" s="26" t="n"/>
      <c r="G84" s="26" t="n"/>
      <c r="H84" s="26" t="n"/>
      <c r="I84" s="26" t="n"/>
      <c r="J84" s="26" t="n"/>
      <c r="K84" s="26" t="n"/>
      <c r="L84" s="26" t="n"/>
      <c r="M84" s="26" t="n"/>
      <c r="N84" s="26" t="n"/>
      <c r="O84" s="26" t="n"/>
      <c r="P84" s="26" t="n"/>
      <c r="Q84" s="26" t="n"/>
      <c r="R84" s="26" t="n"/>
      <c r="S84" s="26" t="n"/>
      <c r="T84" s="26" t="n"/>
      <c r="U84" s="26" t="n"/>
      <c r="V84" s="26" t="n"/>
      <c r="W84" s="26" t="n"/>
      <c r="X84" s="26" t="n"/>
      <c r="Y84" s="26" t="n"/>
      <c r="Z84" s="26">
        <f>IF(B84="","",IF(COUNTIF(F84:G84,"Fail")&gt;0,1,0))</f>
        <v/>
      </c>
      <c r="AA84" s="26">
        <f>IF(B84="","",IF(COUNTIF(H84:S84,"Fail")&gt;0,1,0))</f>
        <v/>
      </c>
      <c r="AB84" s="26">
        <f>IF(B84="","",IF(COUNTIF(T84:Y84,"Fail")&gt;0,1,0))</f>
        <v/>
      </c>
      <c r="AC84" s="27">
        <f>IF(B84="","",0.1*Z84+0.8*AA84+0.1*AB84)</f>
        <v/>
      </c>
      <c r="AD84" s="27">
        <f>IF(B84="","",IF(C84="Batch 1",0.3,0.2))</f>
        <v/>
      </c>
      <c r="AE84" s="19">
        <f>IF(B84="","",IF(AC84&lt;=AD84,"Đạt","Không đạt"))</f>
        <v/>
      </c>
      <c r="AF84" s="28" t="n"/>
    </row>
    <row r="85" ht="30" customHeight="1" s="36">
      <c r="A85" s="17" t="n">
        <v>83</v>
      </c>
      <c r="B85" s="18" t="n"/>
      <c r="C85" s="17" t="n"/>
      <c r="D85" s="17" t="n"/>
      <c r="E85" s="17" t="n"/>
      <c r="F85" s="26" t="n"/>
      <c r="G85" s="26" t="n"/>
      <c r="H85" s="26" t="n"/>
      <c r="I85" s="26" t="n"/>
      <c r="J85" s="26" t="n"/>
      <c r="K85" s="26" t="n"/>
      <c r="L85" s="26" t="n"/>
      <c r="M85" s="26" t="n"/>
      <c r="N85" s="26" t="n"/>
      <c r="O85" s="26" t="n"/>
      <c r="P85" s="26" t="n"/>
      <c r="Q85" s="26" t="n"/>
      <c r="R85" s="26" t="n"/>
      <c r="S85" s="26" t="n"/>
      <c r="T85" s="26" t="n"/>
      <c r="U85" s="26" t="n"/>
      <c r="V85" s="26" t="n"/>
      <c r="W85" s="26" t="n"/>
      <c r="X85" s="26" t="n"/>
      <c r="Y85" s="26" t="n"/>
      <c r="Z85" s="26">
        <f>IF(B85="","",IF(COUNTIF(F85:G85,"Fail")&gt;0,1,0))</f>
        <v/>
      </c>
      <c r="AA85" s="26">
        <f>IF(B85="","",IF(COUNTIF(H85:S85,"Fail")&gt;0,1,0))</f>
        <v/>
      </c>
      <c r="AB85" s="26">
        <f>IF(B85="","",IF(COUNTIF(T85:Y85,"Fail")&gt;0,1,0))</f>
        <v/>
      </c>
      <c r="AC85" s="27">
        <f>IF(B85="","",0.1*Z85+0.8*AA85+0.1*AB85)</f>
        <v/>
      </c>
      <c r="AD85" s="27">
        <f>IF(B85="","",IF(C85="Batch 1",0.3,0.2))</f>
        <v/>
      </c>
      <c r="AE85" s="19">
        <f>IF(B85="","",IF(AC85&lt;=AD85,"Đạt","Không đạt"))</f>
        <v/>
      </c>
      <c r="AF85" s="28" t="n"/>
    </row>
    <row r="86" ht="30" customHeight="1" s="36">
      <c r="A86" s="17" t="n">
        <v>84</v>
      </c>
      <c r="B86" s="18" t="n"/>
      <c r="C86" s="17" t="n"/>
      <c r="D86" s="17" t="n"/>
      <c r="E86" s="17" t="n"/>
      <c r="F86" s="26" t="n"/>
      <c r="G86" s="26" t="n"/>
      <c r="H86" s="26" t="n"/>
      <c r="I86" s="26" t="n"/>
      <c r="J86" s="26" t="n"/>
      <c r="K86" s="26" t="n"/>
      <c r="L86" s="26" t="n"/>
      <c r="M86" s="26" t="n"/>
      <c r="N86" s="26" t="n"/>
      <c r="O86" s="26" t="n"/>
      <c r="P86" s="26" t="n"/>
      <c r="Q86" s="26" t="n"/>
      <c r="R86" s="26" t="n"/>
      <c r="S86" s="26" t="n"/>
      <c r="T86" s="26" t="n"/>
      <c r="U86" s="26" t="n"/>
      <c r="V86" s="26" t="n"/>
      <c r="W86" s="26" t="n"/>
      <c r="X86" s="26" t="n"/>
      <c r="Y86" s="26" t="n"/>
      <c r="Z86" s="26">
        <f>IF(B86="","",IF(COUNTIF(F86:G86,"Fail")&gt;0,1,0))</f>
        <v/>
      </c>
      <c r="AA86" s="26">
        <f>IF(B86="","",IF(COUNTIF(H86:S86,"Fail")&gt;0,1,0))</f>
        <v/>
      </c>
      <c r="AB86" s="26">
        <f>IF(B86="","",IF(COUNTIF(T86:Y86,"Fail")&gt;0,1,0))</f>
        <v/>
      </c>
      <c r="AC86" s="27">
        <f>IF(B86="","",0.1*Z86+0.8*AA86+0.1*AB86)</f>
        <v/>
      </c>
      <c r="AD86" s="27">
        <f>IF(B86="","",IF(C86="Batch 1",0.3,0.2))</f>
        <v/>
      </c>
      <c r="AE86" s="19">
        <f>IF(B86="","",IF(AC86&lt;=AD86,"Đạt","Không đạt"))</f>
        <v/>
      </c>
      <c r="AF86" s="28" t="n"/>
    </row>
    <row r="87" ht="30" customHeight="1" s="36">
      <c r="A87" s="17" t="n">
        <v>85</v>
      </c>
      <c r="B87" s="18" t="n"/>
      <c r="C87" s="17" t="n"/>
      <c r="D87" s="17" t="n"/>
      <c r="E87" s="17" t="n"/>
      <c r="F87" s="26" t="n"/>
      <c r="G87" s="26" t="n"/>
      <c r="H87" s="26" t="n"/>
      <c r="I87" s="26" t="n"/>
      <c r="J87" s="26" t="n"/>
      <c r="K87" s="26" t="n"/>
      <c r="L87" s="26" t="n"/>
      <c r="M87" s="26" t="n"/>
      <c r="N87" s="26" t="n"/>
      <c r="O87" s="26" t="n"/>
      <c r="P87" s="26" t="n"/>
      <c r="Q87" s="26" t="n"/>
      <c r="R87" s="26" t="n"/>
      <c r="S87" s="26" t="n"/>
      <c r="T87" s="26" t="n"/>
      <c r="U87" s="26" t="n"/>
      <c r="V87" s="26" t="n"/>
      <c r="W87" s="26" t="n"/>
      <c r="X87" s="26" t="n"/>
      <c r="Y87" s="26" t="n"/>
      <c r="Z87" s="26">
        <f>IF(B87="","",IF(COUNTIF(F87:G87,"Fail")&gt;0,1,0))</f>
        <v/>
      </c>
      <c r="AA87" s="26">
        <f>IF(B87="","",IF(COUNTIF(H87:S87,"Fail")&gt;0,1,0))</f>
        <v/>
      </c>
      <c r="AB87" s="26">
        <f>IF(B87="","",IF(COUNTIF(T87:Y87,"Fail")&gt;0,1,0))</f>
        <v/>
      </c>
      <c r="AC87" s="27">
        <f>IF(B87="","",0.1*Z87+0.8*AA87+0.1*AB87)</f>
        <v/>
      </c>
      <c r="AD87" s="27">
        <f>IF(B87="","",IF(C87="Batch 1",0.3,0.2))</f>
        <v/>
      </c>
      <c r="AE87" s="19">
        <f>IF(B87="","",IF(AC87&lt;=AD87,"Đạt","Không đạt"))</f>
        <v/>
      </c>
      <c r="AF87" s="28" t="n"/>
    </row>
    <row r="88" ht="30" customHeight="1" s="36">
      <c r="A88" s="17" t="n">
        <v>86</v>
      </c>
      <c r="B88" s="18" t="n"/>
      <c r="C88" s="17" t="n"/>
      <c r="D88" s="17" t="n"/>
      <c r="E88" s="17" t="n"/>
      <c r="F88" s="26" t="n"/>
      <c r="G88" s="26" t="n"/>
      <c r="H88" s="26" t="n"/>
      <c r="I88" s="26" t="n"/>
      <c r="J88" s="26" t="n"/>
      <c r="K88" s="26" t="n"/>
      <c r="L88" s="26" t="n"/>
      <c r="M88" s="26" t="n"/>
      <c r="N88" s="26" t="n"/>
      <c r="O88" s="26" t="n"/>
      <c r="P88" s="26" t="n"/>
      <c r="Q88" s="26" t="n"/>
      <c r="R88" s="26" t="n"/>
      <c r="S88" s="26" t="n"/>
      <c r="T88" s="26" t="n"/>
      <c r="U88" s="26" t="n"/>
      <c r="V88" s="26" t="n"/>
      <c r="W88" s="26" t="n"/>
      <c r="X88" s="26" t="n"/>
      <c r="Y88" s="26" t="n"/>
      <c r="Z88" s="26">
        <f>IF(B88="","",IF(COUNTIF(F88:G88,"Fail")&gt;0,1,0))</f>
        <v/>
      </c>
      <c r="AA88" s="26">
        <f>IF(B88="","",IF(COUNTIF(H88:S88,"Fail")&gt;0,1,0))</f>
        <v/>
      </c>
      <c r="AB88" s="26">
        <f>IF(B88="","",IF(COUNTIF(T88:Y88,"Fail")&gt;0,1,0))</f>
        <v/>
      </c>
      <c r="AC88" s="27">
        <f>IF(B88="","",0.1*Z88+0.8*AA88+0.1*AB88)</f>
        <v/>
      </c>
      <c r="AD88" s="27">
        <f>IF(B88="","",IF(C88="Batch 1",0.3,0.2))</f>
        <v/>
      </c>
      <c r="AE88" s="19">
        <f>IF(B88="","",IF(AC88&lt;=AD88,"Đạt","Không đạt"))</f>
        <v/>
      </c>
      <c r="AF88" s="28" t="n"/>
    </row>
    <row r="89" ht="30" customHeight="1" s="36">
      <c r="A89" s="17" t="n">
        <v>87</v>
      </c>
      <c r="B89" s="18" t="n"/>
      <c r="C89" s="17" t="n"/>
      <c r="D89" s="17" t="n"/>
      <c r="E89" s="17" t="n"/>
      <c r="F89" s="26" t="n"/>
      <c r="G89" s="26" t="n"/>
      <c r="H89" s="26" t="n"/>
      <c r="I89" s="26" t="n"/>
      <c r="J89" s="26" t="n"/>
      <c r="K89" s="26" t="n"/>
      <c r="L89" s="26" t="n"/>
      <c r="M89" s="26" t="n"/>
      <c r="N89" s="26" t="n"/>
      <c r="O89" s="26" t="n"/>
      <c r="P89" s="26" t="n"/>
      <c r="Q89" s="26" t="n"/>
      <c r="R89" s="26" t="n"/>
      <c r="S89" s="26" t="n"/>
      <c r="T89" s="26" t="n"/>
      <c r="U89" s="26" t="n"/>
      <c r="V89" s="26" t="n"/>
      <c r="W89" s="26" t="n"/>
      <c r="X89" s="26" t="n"/>
      <c r="Y89" s="26" t="n"/>
      <c r="Z89" s="26">
        <f>IF(B89="","",IF(COUNTIF(F89:G89,"Fail")&gt;0,1,0))</f>
        <v/>
      </c>
      <c r="AA89" s="26">
        <f>IF(B89="","",IF(COUNTIF(H89:S89,"Fail")&gt;0,1,0))</f>
        <v/>
      </c>
      <c r="AB89" s="26">
        <f>IF(B89="","",IF(COUNTIF(T89:Y89,"Fail")&gt;0,1,0))</f>
        <v/>
      </c>
      <c r="AC89" s="27">
        <f>IF(B89="","",0.1*Z89+0.8*AA89+0.1*AB89)</f>
        <v/>
      </c>
      <c r="AD89" s="27">
        <f>IF(B89="","",IF(C89="Batch 1",0.3,0.2))</f>
        <v/>
      </c>
      <c r="AE89" s="19">
        <f>IF(B89="","",IF(AC89&lt;=AD89,"Đạt","Không đạt"))</f>
        <v/>
      </c>
      <c r="AF89" s="28" t="n"/>
    </row>
    <row r="90" ht="30" customHeight="1" s="36">
      <c r="A90" s="17" t="n">
        <v>88</v>
      </c>
      <c r="B90" s="18" t="n"/>
      <c r="C90" s="17" t="n"/>
      <c r="D90" s="17" t="n"/>
      <c r="E90" s="17" t="n"/>
      <c r="F90" s="26" t="n"/>
      <c r="G90" s="26" t="n"/>
      <c r="H90" s="26" t="n"/>
      <c r="I90" s="26" t="n"/>
      <c r="J90" s="26" t="n"/>
      <c r="K90" s="26" t="n"/>
      <c r="L90" s="26" t="n"/>
      <c r="M90" s="26" t="n"/>
      <c r="N90" s="26" t="n"/>
      <c r="O90" s="26" t="n"/>
      <c r="P90" s="26" t="n"/>
      <c r="Q90" s="26" t="n"/>
      <c r="R90" s="26" t="n"/>
      <c r="S90" s="26" t="n"/>
      <c r="T90" s="26" t="n"/>
      <c r="U90" s="26" t="n"/>
      <c r="V90" s="26" t="n"/>
      <c r="W90" s="26" t="n"/>
      <c r="X90" s="26" t="n"/>
      <c r="Y90" s="26" t="n"/>
      <c r="Z90" s="26">
        <f>IF(B90="","",IF(COUNTIF(F90:G90,"Fail")&gt;0,1,0))</f>
        <v/>
      </c>
      <c r="AA90" s="26">
        <f>IF(B90="","",IF(COUNTIF(H90:S90,"Fail")&gt;0,1,0))</f>
        <v/>
      </c>
      <c r="AB90" s="26">
        <f>IF(B90="","",IF(COUNTIF(T90:Y90,"Fail")&gt;0,1,0))</f>
        <v/>
      </c>
      <c r="AC90" s="27">
        <f>IF(B90="","",0.1*Z90+0.8*AA90+0.1*AB90)</f>
        <v/>
      </c>
      <c r="AD90" s="27">
        <f>IF(B90="","",IF(C90="Batch 1",0.3,0.2))</f>
        <v/>
      </c>
      <c r="AE90" s="19">
        <f>IF(B90="","",IF(AC90&lt;=AD90,"Đạt","Không đạt"))</f>
        <v/>
      </c>
      <c r="AF90" s="28" t="n"/>
    </row>
    <row r="91" ht="30" customHeight="1" s="36">
      <c r="A91" s="17" t="n">
        <v>89</v>
      </c>
      <c r="B91" s="18" t="n"/>
      <c r="C91" s="17" t="n"/>
      <c r="D91" s="17" t="n"/>
      <c r="E91" s="17" t="n"/>
      <c r="F91" s="26" t="n"/>
      <c r="G91" s="26" t="n"/>
      <c r="H91" s="26" t="n"/>
      <c r="I91" s="26" t="n"/>
      <c r="J91" s="26" t="n"/>
      <c r="K91" s="26" t="n"/>
      <c r="L91" s="26" t="n"/>
      <c r="M91" s="26" t="n"/>
      <c r="N91" s="26" t="n"/>
      <c r="O91" s="26" t="n"/>
      <c r="P91" s="26" t="n"/>
      <c r="Q91" s="26" t="n"/>
      <c r="R91" s="26" t="n"/>
      <c r="S91" s="26" t="n"/>
      <c r="T91" s="26" t="n"/>
      <c r="U91" s="26" t="n"/>
      <c r="V91" s="26" t="n"/>
      <c r="W91" s="26" t="n"/>
      <c r="X91" s="26" t="n"/>
      <c r="Y91" s="26" t="n"/>
      <c r="Z91" s="26">
        <f>IF(B91="","",IF(COUNTIF(F91:G91,"Fail")&gt;0,1,0))</f>
        <v/>
      </c>
      <c r="AA91" s="26">
        <f>IF(B91="","",IF(COUNTIF(H91:S91,"Fail")&gt;0,1,0))</f>
        <v/>
      </c>
      <c r="AB91" s="26">
        <f>IF(B91="","",IF(COUNTIF(T91:Y91,"Fail")&gt;0,1,0))</f>
        <v/>
      </c>
      <c r="AC91" s="27">
        <f>IF(B91="","",0.1*Z91+0.8*AA91+0.1*AB91)</f>
        <v/>
      </c>
      <c r="AD91" s="27">
        <f>IF(B91="","",IF(C91="Batch 1",0.3,0.2))</f>
        <v/>
      </c>
      <c r="AE91" s="19">
        <f>IF(B91="","",IF(AC91&lt;=AD91,"Đạt","Không đạt"))</f>
        <v/>
      </c>
      <c r="AF91" s="28" t="n"/>
    </row>
    <row r="92" ht="30" customHeight="1" s="36">
      <c r="A92" s="17" t="n">
        <v>90</v>
      </c>
      <c r="B92" s="18" t="n"/>
      <c r="C92" s="17" t="n"/>
      <c r="D92" s="17" t="n"/>
      <c r="E92" s="17" t="n"/>
      <c r="F92" s="26" t="n"/>
      <c r="G92" s="26" t="n"/>
      <c r="H92" s="26" t="n"/>
      <c r="I92" s="26" t="n"/>
      <c r="J92" s="26" t="n"/>
      <c r="K92" s="26" t="n"/>
      <c r="L92" s="26" t="n"/>
      <c r="M92" s="26" t="n"/>
      <c r="N92" s="26" t="n"/>
      <c r="O92" s="26" t="n"/>
      <c r="P92" s="26" t="n"/>
      <c r="Q92" s="26" t="n"/>
      <c r="R92" s="26" t="n"/>
      <c r="S92" s="26" t="n"/>
      <c r="T92" s="26" t="n"/>
      <c r="U92" s="26" t="n"/>
      <c r="V92" s="26" t="n"/>
      <c r="W92" s="26" t="n"/>
      <c r="X92" s="26" t="n"/>
      <c r="Y92" s="26" t="n"/>
      <c r="Z92" s="26">
        <f>IF(B92="","",IF(COUNTIF(F92:G92,"Fail")&gt;0,1,0))</f>
        <v/>
      </c>
      <c r="AA92" s="26">
        <f>IF(B92="","",IF(COUNTIF(H92:S92,"Fail")&gt;0,1,0))</f>
        <v/>
      </c>
      <c r="AB92" s="26">
        <f>IF(B92="","",IF(COUNTIF(T92:Y92,"Fail")&gt;0,1,0))</f>
        <v/>
      </c>
      <c r="AC92" s="27">
        <f>IF(B92="","",0.1*Z92+0.8*AA92+0.1*AB92)</f>
        <v/>
      </c>
      <c r="AD92" s="27">
        <f>IF(B92="","",IF(C92="Batch 1",0.3,0.2))</f>
        <v/>
      </c>
      <c r="AE92" s="19">
        <f>IF(B92="","",IF(AC92&lt;=AD92,"Đạt","Không đạt"))</f>
        <v/>
      </c>
      <c r="AF92" s="28" t="n"/>
    </row>
    <row r="93" ht="30" customHeight="1" s="36">
      <c r="A93" s="17" t="n">
        <v>91</v>
      </c>
      <c r="B93" s="18" t="n"/>
      <c r="C93" s="17" t="n"/>
      <c r="D93" s="17" t="n"/>
      <c r="E93" s="17" t="n"/>
      <c r="F93" s="26" t="n"/>
      <c r="G93" s="26" t="n"/>
      <c r="H93" s="26" t="n"/>
      <c r="I93" s="26" t="n"/>
      <c r="J93" s="26" t="n"/>
      <c r="K93" s="26" t="n"/>
      <c r="L93" s="26" t="n"/>
      <c r="M93" s="26" t="n"/>
      <c r="N93" s="26" t="n"/>
      <c r="O93" s="26" t="n"/>
      <c r="P93" s="26" t="n"/>
      <c r="Q93" s="26" t="n"/>
      <c r="R93" s="26" t="n"/>
      <c r="S93" s="26" t="n"/>
      <c r="T93" s="26" t="n"/>
      <c r="U93" s="26" t="n"/>
      <c r="V93" s="26" t="n"/>
      <c r="W93" s="26" t="n"/>
      <c r="X93" s="26" t="n"/>
      <c r="Y93" s="26" t="n"/>
      <c r="Z93" s="26">
        <f>IF(B93="","",IF(COUNTIF(F93:G93,"Fail")&gt;0,1,0))</f>
        <v/>
      </c>
      <c r="AA93" s="26">
        <f>IF(B93="","",IF(COUNTIF(H93:S93,"Fail")&gt;0,1,0))</f>
        <v/>
      </c>
      <c r="AB93" s="26">
        <f>IF(B93="","",IF(COUNTIF(T93:Y93,"Fail")&gt;0,1,0))</f>
        <v/>
      </c>
      <c r="AC93" s="27">
        <f>IF(B93="","",0.1*Z93+0.8*AA93+0.1*AB93)</f>
        <v/>
      </c>
      <c r="AD93" s="27">
        <f>IF(B93="","",IF(C93="Batch 1",0.3,0.2))</f>
        <v/>
      </c>
      <c r="AE93" s="19">
        <f>IF(B93="","",IF(AC93&lt;=AD93,"Đạt","Không đạt"))</f>
        <v/>
      </c>
      <c r="AF93" s="28" t="n"/>
    </row>
    <row r="94" ht="30" customHeight="1" s="36">
      <c r="A94" s="17" t="n">
        <v>92</v>
      </c>
      <c r="B94" s="18" t="n"/>
      <c r="C94" s="17" t="n"/>
      <c r="D94" s="17" t="n"/>
      <c r="E94" s="17" t="n"/>
      <c r="F94" s="26" t="n"/>
      <c r="G94" s="26" t="n"/>
      <c r="H94" s="26" t="n"/>
      <c r="I94" s="26" t="n"/>
      <c r="J94" s="26" t="n"/>
      <c r="K94" s="26" t="n"/>
      <c r="L94" s="26" t="n"/>
      <c r="M94" s="26" t="n"/>
      <c r="N94" s="26" t="n"/>
      <c r="O94" s="26" t="n"/>
      <c r="P94" s="26" t="n"/>
      <c r="Q94" s="26" t="n"/>
      <c r="R94" s="26" t="n"/>
      <c r="S94" s="26" t="n"/>
      <c r="T94" s="26" t="n"/>
      <c r="U94" s="26" t="n"/>
      <c r="V94" s="26" t="n"/>
      <c r="W94" s="26" t="n"/>
      <c r="X94" s="26" t="n"/>
      <c r="Y94" s="26" t="n"/>
      <c r="Z94" s="26">
        <f>IF(B94="","",IF(COUNTIF(F94:G94,"Fail")&gt;0,1,0))</f>
        <v/>
      </c>
      <c r="AA94" s="26">
        <f>IF(B94="","",IF(COUNTIF(H94:S94,"Fail")&gt;0,1,0))</f>
        <v/>
      </c>
      <c r="AB94" s="26">
        <f>IF(B94="","",IF(COUNTIF(T94:Y94,"Fail")&gt;0,1,0))</f>
        <v/>
      </c>
      <c r="AC94" s="27">
        <f>IF(B94="","",0.1*Z94+0.8*AA94+0.1*AB94)</f>
        <v/>
      </c>
      <c r="AD94" s="27">
        <f>IF(B94="","",IF(C94="Batch 1",0.3,0.2))</f>
        <v/>
      </c>
      <c r="AE94" s="19">
        <f>IF(B94="","",IF(AC94&lt;=AD94,"Đạt","Không đạt"))</f>
        <v/>
      </c>
      <c r="AF94" s="28" t="n"/>
    </row>
    <row r="95" ht="30" customHeight="1" s="36">
      <c r="A95" s="17" t="n">
        <v>93</v>
      </c>
      <c r="B95" s="18" t="n"/>
      <c r="C95" s="17" t="n"/>
      <c r="D95" s="17" t="n"/>
      <c r="E95" s="17" t="n"/>
      <c r="F95" s="26" t="n"/>
      <c r="G95" s="26" t="n"/>
      <c r="H95" s="26" t="n"/>
      <c r="I95" s="26" t="n"/>
      <c r="J95" s="26" t="n"/>
      <c r="K95" s="26" t="n"/>
      <c r="L95" s="26" t="n"/>
      <c r="M95" s="26" t="n"/>
      <c r="N95" s="26" t="n"/>
      <c r="O95" s="26" t="n"/>
      <c r="P95" s="26" t="n"/>
      <c r="Q95" s="26" t="n"/>
      <c r="R95" s="26" t="n"/>
      <c r="S95" s="26" t="n"/>
      <c r="T95" s="26" t="n"/>
      <c r="U95" s="26" t="n"/>
      <c r="V95" s="26" t="n"/>
      <c r="W95" s="26" t="n"/>
      <c r="X95" s="26" t="n"/>
      <c r="Y95" s="26" t="n"/>
      <c r="Z95" s="26">
        <f>IF(B95="","",IF(COUNTIF(F95:G95,"Fail")&gt;0,1,0))</f>
        <v/>
      </c>
      <c r="AA95" s="26">
        <f>IF(B95="","",IF(COUNTIF(H95:S95,"Fail")&gt;0,1,0))</f>
        <v/>
      </c>
      <c r="AB95" s="26">
        <f>IF(B95="","",IF(COUNTIF(T95:Y95,"Fail")&gt;0,1,0))</f>
        <v/>
      </c>
      <c r="AC95" s="27">
        <f>IF(B95="","",0.1*Z95+0.8*AA95+0.1*AB95)</f>
        <v/>
      </c>
      <c r="AD95" s="27">
        <f>IF(B95="","",IF(C95="Batch 1",0.3,0.2))</f>
        <v/>
      </c>
      <c r="AE95" s="19">
        <f>IF(B95="","",IF(AC95&lt;=AD95,"Đạt","Không đạt"))</f>
        <v/>
      </c>
      <c r="AF95" s="28" t="n"/>
    </row>
    <row r="96" ht="30" customHeight="1" s="36">
      <c r="A96" s="17" t="n">
        <v>94</v>
      </c>
      <c r="B96" s="18" t="n"/>
      <c r="C96" s="17" t="n"/>
      <c r="D96" s="17" t="n"/>
      <c r="E96" s="17" t="n"/>
      <c r="F96" s="26" t="n"/>
      <c r="G96" s="26" t="n"/>
      <c r="H96" s="26" t="n"/>
      <c r="I96" s="26" t="n"/>
      <c r="J96" s="26" t="n"/>
      <c r="K96" s="26" t="n"/>
      <c r="L96" s="26" t="n"/>
      <c r="M96" s="26" t="n"/>
      <c r="N96" s="26" t="n"/>
      <c r="O96" s="26" t="n"/>
      <c r="P96" s="26" t="n"/>
      <c r="Q96" s="26" t="n"/>
      <c r="R96" s="26" t="n"/>
      <c r="S96" s="26" t="n"/>
      <c r="T96" s="26" t="n"/>
      <c r="U96" s="26" t="n"/>
      <c r="V96" s="26" t="n"/>
      <c r="W96" s="26" t="n"/>
      <c r="X96" s="26" t="n"/>
      <c r="Y96" s="26" t="n"/>
      <c r="Z96" s="26">
        <f>IF(B96="","",IF(COUNTIF(F96:G96,"Fail")&gt;0,1,0))</f>
        <v/>
      </c>
      <c r="AA96" s="26">
        <f>IF(B96="","",IF(COUNTIF(H96:S96,"Fail")&gt;0,1,0))</f>
        <v/>
      </c>
      <c r="AB96" s="26">
        <f>IF(B96="","",IF(COUNTIF(T96:Y96,"Fail")&gt;0,1,0))</f>
        <v/>
      </c>
      <c r="AC96" s="27">
        <f>IF(B96="","",0.1*Z96+0.8*AA96+0.1*AB96)</f>
        <v/>
      </c>
      <c r="AD96" s="27">
        <f>IF(B96="","",IF(C96="Batch 1",0.3,0.2))</f>
        <v/>
      </c>
      <c r="AE96" s="19">
        <f>IF(B96="","",IF(AC96&lt;=AD96,"Đạt","Không đạt"))</f>
        <v/>
      </c>
      <c r="AF96" s="28" t="n"/>
    </row>
    <row r="97" ht="30" customHeight="1" s="36">
      <c r="A97" s="17" t="n">
        <v>95</v>
      </c>
      <c r="B97" s="18" t="n"/>
      <c r="C97" s="17" t="n"/>
      <c r="D97" s="17" t="n"/>
      <c r="E97" s="17" t="n"/>
      <c r="F97" s="26" t="n"/>
      <c r="G97" s="26" t="n"/>
      <c r="H97" s="26" t="n"/>
      <c r="I97" s="26" t="n"/>
      <c r="J97" s="26" t="n"/>
      <c r="K97" s="26" t="n"/>
      <c r="L97" s="26" t="n"/>
      <c r="M97" s="26" t="n"/>
      <c r="N97" s="26" t="n"/>
      <c r="O97" s="26" t="n"/>
      <c r="P97" s="26" t="n"/>
      <c r="Q97" s="26" t="n"/>
      <c r="R97" s="26" t="n"/>
      <c r="S97" s="26" t="n"/>
      <c r="T97" s="26" t="n"/>
      <c r="U97" s="26" t="n"/>
      <c r="V97" s="26" t="n"/>
      <c r="W97" s="26" t="n"/>
      <c r="X97" s="26" t="n"/>
      <c r="Y97" s="26" t="n"/>
      <c r="Z97" s="26">
        <f>IF(B97="","",IF(COUNTIF(F97:G97,"Fail")&gt;0,1,0))</f>
        <v/>
      </c>
      <c r="AA97" s="26">
        <f>IF(B97="","",IF(COUNTIF(H97:S97,"Fail")&gt;0,1,0))</f>
        <v/>
      </c>
      <c r="AB97" s="26">
        <f>IF(B97="","",IF(COUNTIF(T97:Y97,"Fail")&gt;0,1,0))</f>
        <v/>
      </c>
      <c r="AC97" s="27">
        <f>IF(B97="","",0.1*Z97+0.8*AA97+0.1*AB97)</f>
        <v/>
      </c>
      <c r="AD97" s="27">
        <f>IF(B97="","",IF(C97="Batch 1",0.3,0.2))</f>
        <v/>
      </c>
      <c r="AE97" s="19">
        <f>IF(B97="","",IF(AC97&lt;=AD97,"Đạt","Không đạt"))</f>
        <v/>
      </c>
      <c r="AF97" s="28" t="n"/>
    </row>
    <row r="98" ht="30" customHeight="1" s="36">
      <c r="A98" s="17" t="n">
        <v>96</v>
      </c>
      <c r="B98" s="18" t="n"/>
      <c r="C98" s="17" t="n"/>
      <c r="D98" s="17" t="n"/>
      <c r="E98" s="17" t="n"/>
      <c r="F98" s="26" t="n"/>
      <c r="G98" s="26" t="n"/>
      <c r="H98" s="26" t="n"/>
      <c r="I98" s="26" t="n"/>
      <c r="J98" s="26" t="n"/>
      <c r="K98" s="26" t="n"/>
      <c r="L98" s="26" t="n"/>
      <c r="M98" s="26" t="n"/>
      <c r="N98" s="26" t="n"/>
      <c r="O98" s="26" t="n"/>
      <c r="P98" s="26" t="n"/>
      <c r="Q98" s="26" t="n"/>
      <c r="R98" s="26" t="n"/>
      <c r="S98" s="26" t="n"/>
      <c r="T98" s="26" t="n"/>
      <c r="U98" s="26" t="n"/>
      <c r="V98" s="26" t="n"/>
      <c r="W98" s="26" t="n"/>
      <c r="X98" s="26" t="n"/>
      <c r="Y98" s="26" t="n"/>
      <c r="Z98" s="26">
        <f>IF(B98="","",IF(COUNTIF(F98:G98,"Fail")&gt;0,1,0))</f>
        <v/>
      </c>
      <c r="AA98" s="26">
        <f>IF(B98="","",IF(COUNTIF(H98:S98,"Fail")&gt;0,1,0))</f>
        <v/>
      </c>
      <c r="AB98" s="26">
        <f>IF(B98="","",IF(COUNTIF(T98:Y98,"Fail")&gt;0,1,0))</f>
        <v/>
      </c>
      <c r="AC98" s="27">
        <f>IF(B98="","",0.1*Z98+0.8*AA98+0.1*AB98)</f>
        <v/>
      </c>
      <c r="AD98" s="27">
        <f>IF(B98="","",IF(C98="Batch 1",0.3,0.2))</f>
        <v/>
      </c>
      <c r="AE98" s="19">
        <f>IF(B98="","",IF(AC98&lt;=AD98,"Đạt","Không đạt"))</f>
        <v/>
      </c>
      <c r="AF98" s="28" t="n"/>
    </row>
    <row r="99" ht="30" customHeight="1" s="36">
      <c r="A99" s="17" t="n">
        <v>97</v>
      </c>
      <c r="B99" s="18" t="n"/>
      <c r="C99" s="17" t="n"/>
      <c r="D99" s="17" t="n"/>
      <c r="E99" s="17" t="n"/>
      <c r="F99" s="26" t="n"/>
      <c r="G99" s="26" t="n"/>
      <c r="H99" s="26" t="n"/>
      <c r="I99" s="26" t="n"/>
      <c r="J99" s="26" t="n"/>
      <c r="K99" s="26" t="n"/>
      <c r="L99" s="26" t="n"/>
      <c r="M99" s="26" t="n"/>
      <c r="N99" s="26" t="n"/>
      <c r="O99" s="26" t="n"/>
      <c r="P99" s="26" t="n"/>
      <c r="Q99" s="26" t="n"/>
      <c r="R99" s="26" t="n"/>
      <c r="S99" s="26" t="n"/>
      <c r="T99" s="26" t="n"/>
      <c r="U99" s="26" t="n"/>
      <c r="V99" s="26" t="n"/>
      <c r="W99" s="26" t="n"/>
      <c r="X99" s="26" t="n"/>
      <c r="Y99" s="26" t="n"/>
      <c r="Z99" s="26">
        <f>IF(B99="","",IF(COUNTIF(F99:G99,"Fail")&gt;0,1,0))</f>
        <v/>
      </c>
      <c r="AA99" s="26">
        <f>IF(B99="","",IF(COUNTIF(H99:S99,"Fail")&gt;0,1,0))</f>
        <v/>
      </c>
      <c r="AB99" s="26">
        <f>IF(B99="","",IF(COUNTIF(T99:Y99,"Fail")&gt;0,1,0))</f>
        <v/>
      </c>
      <c r="AC99" s="27">
        <f>IF(B99="","",0.1*Z99+0.8*AA99+0.1*AB99)</f>
        <v/>
      </c>
      <c r="AD99" s="27">
        <f>IF(B99="","",IF(C99="Batch 1",0.3,0.2))</f>
        <v/>
      </c>
      <c r="AE99" s="19">
        <f>IF(B99="","",IF(AC99&lt;=AD99,"Đạt","Không đạt"))</f>
        <v/>
      </c>
      <c r="AF99" s="28" t="n"/>
    </row>
    <row r="100" ht="30" customHeight="1" s="36">
      <c r="A100" s="17" t="n">
        <v>98</v>
      </c>
      <c r="B100" s="18" t="n"/>
      <c r="C100" s="17" t="n"/>
      <c r="D100" s="17" t="n"/>
      <c r="E100" s="17" t="n"/>
      <c r="F100" s="26" t="n"/>
      <c r="G100" s="26" t="n"/>
      <c r="H100" s="26" t="n"/>
      <c r="I100" s="26" t="n"/>
      <c r="J100" s="26" t="n"/>
      <c r="K100" s="26" t="n"/>
      <c r="L100" s="26" t="n"/>
      <c r="M100" s="26" t="n"/>
      <c r="N100" s="26" t="n"/>
      <c r="O100" s="26" t="n"/>
      <c r="P100" s="26" t="n"/>
      <c r="Q100" s="26" t="n"/>
      <c r="R100" s="26" t="n"/>
      <c r="S100" s="26" t="n"/>
      <c r="T100" s="26" t="n"/>
      <c r="U100" s="26" t="n"/>
      <c r="V100" s="26" t="n"/>
      <c r="W100" s="26" t="n"/>
      <c r="X100" s="26" t="n"/>
      <c r="Y100" s="26" t="n"/>
      <c r="Z100" s="26">
        <f>IF(B100="","",IF(COUNTIF(F100:G100,"Fail")&gt;0,1,0))</f>
        <v/>
      </c>
      <c r="AA100" s="26">
        <f>IF(B100="","",IF(COUNTIF(H100:S100,"Fail")&gt;0,1,0))</f>
        <v/>
      </c>
      <c r="AB100" s="26">
        <f>IF(B100="","",IF(COUNTIF(T100:Y100,"Fail")&gt;0,1,0))</f>
        <v/>
      </c>
      <c r="AC100" s="27">
        <f>IF(B100="","",0.1*Z100+0.8*AA100+0.1*AB100)</f>
        <v/>
      </c>
      <c r="AD100" s="27">
        <f>IF(B100="","",IF(C100="Batch 1",0.3,0.2))</f>
        <v/>
      </c>
      <c r="AE100" s="19">
        <f>IF(B100="","",IF(AC100&lt;=AD100,"Đạt","Không đạt"))</f>
        <v/>
      </c>
      <c r="AF100" s="28" t="n"/>
    </row>
    <row r="101" ht="30" customHeight="1" s="36">
      <c r="A101" s="17" t="n">
        <v>99</v>
      </c>
      <c r="B101" s="18" t="n"/>
      <c r="C101" s="17" t="n"/>
      <c r="D101" s="17" t="n"/>
      <c r="E101" s="17" t="n"/>
      <c r="F101" s="26" t="n"/>
      <c r="G101" s="26" t="n"/>
      <c r="H101" s="26" t="n"/>
      <c r="I101" s="26" t="n"/>
      <c r="J101" s="26" t="n"/>
      <c r="K101" s="26" t="n"/>
      <c r="L101" s="26" t="n"/>
      <c r="M101" s="26" t="n"/>
      <c r="N101" s="26" t="n"/>
      <c r="O101" s="26" t="n"/>
      <c r="P101" s="26" t="n"/>
      <c r="Q101" s="26" t="n"/>
      <c r="R101" s="26" t="n"/>
      <c r="S101" s="26" t="n"/>
      <c r="T101" s="26" t="n"/>
      <c r="U101" s="26" t="n"/>
      <c r="V101" s="26" t="n"/>
      <c r="W101" s="26" t="n"/>
      <c r="X101" s="26" t="n"/>
      <c r="Y101" s="26" t="n"/>
      <c r="Z101" s="26">
        <f>IF(B101="","",IF(COUNTIF(F101:G101,"Fail")&gt;0,1,0))</f>
        <v/>
      </c>
      <c r="AA101" s="26">
        <f>IF(B101="","",IF(COUNTIF(H101:S101,"Fail")&gt;0,1,0))</f>
        <v/>
      </c>
      <c r="AB101" s="26">
        <f>IF(B101="","",IF(COUNTIF(T101:Y101,"Fail")&gt;0,1,0))</f>
        <v/>
      </c>
      <c r="AC101" s="27">
        <f>IF(B101="","",0.1*Z101+0.8*AA101+0.1*AB101)</f>
        <v/>
      </c>
      <c r="AD101" s="27">
        <f>IF(B101="","",IF(C101="Batch 1",0.3,0.2))</f>
        <v/>
      </c>
      <c r="AE101" s="19">
        <f>IF(B101="","",IF(AC101&lt;=AD101,"Đạt","Không đạt"))</f>
        <v/>
      </c>
      <c r="AF101" s="28" t="n"/>
    </row>
    <row r="102" ht="30" customHeight="1" s="36">
      <c r="A102" s="17" t="n">
        <v>100</v>
      </c>
      <c r="B102" s="18" t="n"/>
      <c r="C102" s="17" t="n"/>
      <c r="D102" s="17" t="n"/>
      <c r="E102" s="17" t="n"/>
      <c r="F102" s="26" t="n"/>
      <c r="G102" s="26" t="n"/>
      <c r="H102" s="26" t="n"/>
      <c r="I102" s="26" t="n"/>
      <c r="J102" s="26" t="n"/>
      <c r="K102" s="26" t="n"/>
      <c r="L102" s="26" t="n"/>
      <c r="M102" s="26" t="n"/>
      <c r="N102" s="26" t="n"/>
      <c r="O102" s="26" t="n"/>
      <c r="P102" s="26" t="n"/>
      <c r="Q102" s="26" t="n"/>
      <c r="R102" s="26" t="n"/>
      <c r="S102" s="26" t="n"/>
      <c r="T102" s="26" t="n"/>
      <c r="U102" s="26" t="n"/>
      <c r="V102" s="26" t="n"/>
      <c r="W102" s="26" t="n"/>
      <c r="X102" s="26" t="n"/>
      <c r="Y102" s="26" t="n"/>
      <c r="Z102" s="26">
        <f>IF(B102="","",IF(COUNTIF(F102:G102,"Fail")&gt;0,1,0))</f>
        <v/>
      </c>
      <c r="AA102" s="26">
        <f>IF(B102="","",IF(COUNTIF(H102:S102,"Fail")&gt;0,1,0))</f>
        <v/>
      </c>
      <c r="AB102" s="26">
        <f>IF(B102="","",IF(COUNTIF(T102:Y102,"Fail")&gt;0,1,0))</f>
        <v/>
      </c>
      <c r="AC102" s="27">
        <f>IF(B102="","",0.1*Z102+0.8*AA102+0.1*AB102)</f>
        <v/>
      </c>
      <c r="AD102" s="27">
        <f>IF(B102="","",IF(C102="Batch 1",0.3,0.2))</f>
        <v/>
      </c>
      <c r="AE102" s="19">
        <f>IF(B102="","",IF(AC102&lt;=AD102,"Đạt","Không đạt"))</f>
        <v/>
      </c>
      <c r="AF102" s="28" t="n"/>
    </row>
    <row r="103" ht="30" customHeight="1" s="36">
      <c r="A103" s="17" t="n">
        <v>101</v>
      </c>
      <c r="B103" s="18" t="n"/>
      <c r="C103" s="17" t="n"/>
      <c r="D103" s="17" t="n"/>
      <c r="E103" s="17" t="n"/>
      <c r="F103" s="26" t="n"/>
      <c r="G103" s="26" t="n"/>
      <c r="H103" s="26" t="n"/>
      <c r="I103" s="26" t="n"/>
      <c r="J103" s="26" t="n"/>
      <c r="K103" s="26" t="n"/>
      <c r="L103" s="26" t="n"/>
      <c r="M103" s="26" t="n"/>
      <c r="N103" s="26" t="n"/>
      <c r="O103" s="26" t="n"/>
      <c r="P103" s="26" t="n"/>
      <c r="Q103" s="26" t="n"/>
      <c r="R103" s="26" t="n"/>
      <c r="S103" s="26" t="n"/>
      <c r="T103" s="26" t="n"/>
      <c r="U103" s="26" t="n"/>
      <c r="V103" s="26" t="n"/>
      <c r="W103" s="26" t="n"/>
      <c r="X103" s="26" t="n"/>
      <c r="Y103" s="26" t="n"/>
      <c r="Z103" s="26">
        <f>IF(B103="","",IF(COUNTIF(F103:G103,"Fail")&gt;0,1,0))</f>
        <v/>
      </c>
      <c r="AA103" s="26">
        <f>IF(B103="","",IF(COUNTIF(H103:S103,"Fail")&gt;0,1,0))</f>
        <v/>
      </c>
      <c r="AB103" s="26">
        <f>IF(B103="","",IF(COUNTIF(T103:Y103,"Fail")&gt;0,1,0))</f>
        <v/>
      </c>
      <c r="AC103" s="27">
        <f>IF(B103="","",0.1*Z103+0.8*AA103+0.1*AB103)</f>
        <v/>
      </c>
      <c r="AD103" s="27">
        <f>IF(B103="","",IF(C103="Batch 1",0.3,0.2))</f>
        <v/>
      </c>
      <c r="AE103" s="19">
        <f>IF(B103="","",IF(AC103&lt;=AD103,"Đạt","Không đạt"))</f>
        <v/>
      </c>
      <c r="AF103" s="28" t="n"/>
    </row>
    <row r="104" ht="30" customHeight="1" s="36">
      <c r="A104" s="17" t="n">
        <v>102</v>
      </c>
      <c r="B104" s="18" t="n"/>
      <c r="C104" s="17" t="n"/>
      <c r="D104" s="17" t="n"/>
      <c r="E104" s="17" t="n"/>
      <c r="F104" s="26" t="n"/>
      <c r="G104" s="26" t="n"/>
      <c r="H104" s="26" t="n"/>
      <c r="I104" s="26" t="n"/>
      <c r="J104" s="26" t="n"/>
      <c r="K104" s="26" t="n"/>
      <c r="L104" s="26" t="n"/>
      <c r="M104" s="26" t="n"/>
      <c r="N104" s="26" t="n"/>
      <c r="O104" s="26" t="n"/>
      <c r="P104" s="26" t="n"/>
      <c r="Q104" s="26" t="n"/>
      <c r="R104" s="26" t="n"/>
      <c r="S104" s="26" t="n"/>
      <c r="T104" s="26" t="n"/>
      <c r="U104" s="26" t="n"/>
      <c r="V104" s="26" t="n"/>
      <c r="W104" s="26" t="n"/>
      <c r="X104" s="26" t="n"/>
      <c r="Y104" s="26" t="n"/>
      <c r="Z104" s="26">
        <f>IF(B104="","",IF(COUNTIF(F104:G104,"Fail")&gt;0,1,0))</f>
        <v/>
      </c>
      <c r="AA104" s="26">
        <f>IF(B104="","",IF(COUNTIF(H104:S104,"Fail")&gt;0,1,0))</f>
        <v/>
      </c>
      <c r="AB104" s="26">
        <f>IF(B104="","",IF(COUNTIF(T104:Y104,"Fail")&gt;0,1,0))</f>
        <v/>
      </c>
      <c r="AC104" s="27">
        <f>IF(B104="","",0.1*Z104+0.8*AA104+0.1*AB104)</f>
        <v/>
      </c>
      <c r="AD104" s="27">
        <f>IF(B104="","",IF(C104="Batch 1",0.3,0.2))</f>
        <v/>
      </c>
      <c r="AE104" s="19">
        <f>IF(B104="","",IF(AC104&lt;=AD104,"Đạt","Không đạt"))</f>
        <v/>
      </c>
      <c r="AF104" s="28" t="n"/>
    </row>
    <row r="105" ht="30" customHeight="1" s="36">
      <c r="A105" s="17" t="n">
        <v>103</v>
      </c>
      <c r="B105" s="18" t="n"/>
      <c r="C105" s="17" t="n"/>
      <c r="D105" s="17" t="n"/>
      <c r="E105" s="17" t="n"/>
      <c r="F105" s="26" t="n"/>
      <c r="G105" s="26" t="n"/>
      <c r="H105" s="26" t="n"/>
      <c r="I105" s="26" t="n"/>
      <c r="J105" s="26" t="n"/>
      <c r="K105" s="26" t="n"/>
      <c r="L105" s="26" t="n"/>
      <c r="M105" s="26" t="n"/>
      <c r="N105" s="26" t="n"/>
      <c r="O105" s="26" t="n"/>
      <c r="P105" s="26" t="n"/>
      <c r="Q105" s="26" t="n"/>
      <c r="R105" s="26" t="n"/>
      <c r="S105" s="26" t="n"/>
      <c r="T105" s="26" t="n"/>
      <c r="U105" s="26" t="n"/>
      <c r="V105" s="26" t="n"/>
      <c r="W105" s="26" t="n"/>
      <c r="X105" s="26" t="n"/>
      <c r="Y105" s="26" t="n"/>
      <c r="Z105" s="26">
        <f>IF(B105="","",IF(COUNTIF(F105:G105,"Fail")&gt;0,1,0))</f>
        <v/>
      </c>
      <c r="AA105" s="26">
        <f>IF(B105="","",IF(COUNTIF(H105:S105,"Fail")&gt;0,1,0))</f>
        <v/>
      </c>
      <c r="AB105" s="26">
        <f>IF(B105="","",IF(COUNTIF(T105:Y105,"Fail")&gt;0,1,0))</f>
        <v/>
      </c>
      <c r="AC105" s="27">
        <f>IF(B105="","",0.1*Z105+0.8*AA105+0.1*AB105)</f>
        <v/>
      </c>
      <c r="AD105" s="27">
        <f>IF(B105="","",IF(C105="Batch 1",0.3,0.2))</f>
        <v/>
      </c>
      <c r="AE105" s="19">
        <f>IF(B105="","",IF(AC105&lt;=AD105,"Đạt","Không đạt"))</f>
        <v/>
      </c>
      <c r="AF105" s="28" t="n"/>
    </row>
    <row r="106" ht="30" customHeight="1" s="36">
      <c r="A106" s="17" t="n">
        <v>104</v>
      </c>
      <c r="B106" s="18" t="n"/>
      <c r="C106" s="17" t="n"/>
      <c r="D106" s="17" t="n"/>
      <c r="E106" s="17" t="n"/>
      <c r="F106" s="26" t="n"/>
      <c r="G106" s="26" t="n"/>
      <c r="H106" s="26" t="n"/>
      <c r="I106" s="26" t="n"/>
      <c r="J106" s="26" t="n"/>
      <c r="K106" s="26" t="n"/>
      <c r="L106" s="26" t="n"/>
      <c r="M106" s="26" t="n"/>
      <c r="N106" s="26" t="n"/>
      <c r="O106" s="26" t="n"/>
      <c r="P106" s="26" t="n"/>
      <c r="Q106" s="26" t="n"/>
      <c r="R106" s="26" t="n"/>
      <c r="S106" s="26" t="n"/>
      <c r="T106" s="26" t="n"/>
      <c r="U106" s="26" t="n"/>
      <c r="V106" s="26" t="n"/>
      <c r="W106" s="26" t="n"/>
      <c r="X106" s="26" t="n"/>
      <c r="Y106" s="26" t="n"/>
      <c r="Z106" s="26">
        <f>IF(B106="","",IF(COUNTIF(F106:G106,"Fail")&gt;0,1,0))</f>
        <v/>
      </c>
      <c r="AA106" s="26">
        <f>IF(B106="","",IF(COUNTIF(H106:S106,"Fail")&gt;0,1,0))</f>
        <v/>
      </c>
      <c r="AB106" s="26">
        <f>IF(B106="","",IF(COUNTIF(T106:Y106,"Fail")&gt;0,1,0))</f>
        <v/>
      </c>
      <c r="AC106" s="27">
        <f>IF(B106="","",0.1*Z106+0.8*AA106+0.1*AB106)</f>
        <v/>
      </c>
      <c r="AD106" s="27">
        <f>IF(B106="","",IF(C106="Batch 1",0.3,0.2))</f>
        <v/>
      </c>
      <c r="AE106" s="19">
        <f>IF(B106="","",IF(AC106&lt;=AD106,"Đạt","Không đạt"))</f>
        <v/>
      </c>
      <c r="AF106" s="28" t="n"/>
    </row>
    <row r="107" ht="30" customHeight="1" s="36">
      <c r="A107" s="17" t="n">
        <v>105</v>
      </c>
      <c r="B107" s="18" t="n"/>
      <c r="C107" s="17" t="n"/>
      <c r="D107" s="17" t="n"/>
      <c r="E107" s="17" t="n"/>
      <c r="F107" s="26" t="n"/>
      <c r="G107" s="26" t="n"/>
      <c r="H107" s="26" t="n"/>
      <c r="I107" s="26" t="n"/>
      <c r="J107" s="26" t="n"/>
      <c r="K107" s="26" t="n"/>
      <c r="L107" s="26" t="n"/>
      <c r="M107" s="26" t="n"/>
      <c r="N107" s="26" t="n"/>
      <c r="O107" s="26" t="n"/>
      <c r="P107" s="26" t="n"/>
      <c r="Q107" s="26" t="n"/>
      <c r="R107" s="26" t="n"/>
      <c r="S107" s="26" t="n"/>
      <c r="T107" s="26" t="n"/>
      <c r="U107" s="26" t="n"/>
      <c r="V107" s="26" t="n"/>
      <c r="W107" s="26" t="n"/>
      <c r="X107" s="26" t="n"/>
      <c r="Y107" s="26" t="n"/>
      <c r="Z107" s="26">
        <f>IF(B107="","",IF(COUNTIF(F107:G107,"Fail")&gt;0,1,0))</f>
        <v/>
      </c>
      <c r="AA107" s="26">
        <f>IF(B107="","",IF(COUNTIF(H107:S107,"Fail")&gt;0,1,0))</f>
        <v/>
      </c>
      <c r="AB107" s="26">
        <f>IF(B107="","",IF(COUNTIF(T107:Y107,"Fail")&gt;0,1,0))</f>
        <v/>
      </c>
      <c r="AC107" s="27">
        <f>IF(B107="","",0.1*Z107+0.8*AA107+0.1*AB107)</f>
        <v/>
      </c>
      <c r="AD107" s="27">
        <f>IF(B107="","",IF(C107="Batch 1",0.3,0.2))</f>
        <v/>
      </c>
      <c r="AE107" s="19">
        <f>IF(B107="","",IF(AC107&lt;=AD107,"Đạt","Không đạt"))</f>
        <v/>
      </c>
      <c r="AF107" s="28" t="n"/>
    </row>
    <row r="108" ht="30" customHeight="1" s="36">
      <c r="A108" s="17" t="n">
        <v>106</v>
      </c>
      <c r="B108" s="18" t="n"/>
      <c r="C108" s="17" t="n"/>
      <c r="D108" s="17" t="n"/>
      <c r="E108" s="17" t="n"/>
      <c r="F108" s="26" t="n"/>
      <c r="G108" s="26" t="n"/>
      <c r="H108" s="26" t="n"/>
      <c r="I108" s="26" t="n"/>
      <c r="J108" s="26" t="n"/>
      <c r="K108" s="26" t="n"/>
      <c r="L108" s="26" t="n"/>
      <c r="M108" s="26" t="n"/>
      <c r="N108" s="26" t="n"/>
      <c r="O108" s="26" t="n"/>
      <c r="P108" s="26" t="n"/>
      <c r="Q108" s="26" t="n"/>
      <c r="R108" s="26" t="n"/>
      <c r="S108" s="26" t="n"/>
      <c r="T108" s="26" t="n"/>
      <c r="U108" s="26" t="n"/>
      <c r="V108" s="26" t="n"/>
      <c r="W108" s="26" t="n"/>
      <c r="X108" s="26" t="n"/>
      <c r="Y108" s="26" t="n"/>
      <c r="Z108" s="26">
        <f>IF(B108="","",IF(COUNTIF(F108:G108,"Fail")&gt;0,1,0))</f>
        <v/>
      </c>
      <c r="AA108" s="26">
        <f>IF(B108="","",IF(COUNTIF(H108:S108,"Fail")&gt;0,1,0))</f>
        <v/>
      </c>
      <c r="AB108" s="26">
        <f>IF(B108="","",IF(COUNTIF(T108:Y108,"Fail")&gt;0,1,0))</f>
        <v/>
      </c>
      <c r="AC108" s="27">
        <f>IF(B108="","",0.1*Z108+0.8*AA108+0.1*AB108)</f>
        <v/>
      </c>
      <c r="AD108" s="27">
        <f>IF(B108="","",IF(C108="Batch 1",0.3,0.2))</f>
        <v/>
      </c>
      <c r="AE108" s="19">
        <f>IF(B108="","",IF(AC108&lt;=AD108,"Đạt","Không đạt"))</f>
        <v/>
      </c>
      <c r="AF108" s="28" t="n"/>
    </row>
    <row r="109" ht="30" customHeight="1" s="36">
      <c r="A109" s="17" t="n">
        <v>107</v>
      </c>
      <c r="B109" s="18" t="n"/>
      <c r="C109" s="17" t="n"/>
      <c r="D109" s="17" t="n"/>
      <c r="E109" s="17" t="n"/>
      <c r="F109" s="26" t="n"/>
      <c r="G109" s="26" t="n"/>
      <c r="H109" s="26" t="n"/>
      <c r="I109" s="26" t="n"/>
      <c r="J109" s="26" t="n"/>
      <c r="K109" s="26" t="n"/>
      <c r="L109" s="26" t="n"/>
      <c r="M109" s="26" t="n"/>
      <c r="N109" s="26" t="n"/>
      <c r="O109" s="26" t="n"/>
      <c r="P109" s="26" t="n"/>
      <c r="Q109" s="26" t="n"/>
      <c r="R109" s="26" t="n"/>
      <c r="S109" s="26" t="n"/>
      <c r="T109" s="26" t="n"/>
      <c r="U109" s="26" t="n"/>
      <c r="V109" s="26" t="n"/>
      <c r="W109" s="26" t="n"/>
      <c r="X109" s="26" t="n"/>
      <c r="Y109" s="26" t="n"/>
      <c r="Z109" s="26">
        <f>IF(B109="","",IF(COUNTIF(F109:G109,"Fail")&gt;0,1,0))</f>
        <v/>
      </c>
      <c r="AA109" s="26">
        <f>IF(B109="","",IF(COUNTIF(H109:S109,"Fail")&gt;0,1,0))</f>
        <v/>
      </c>
      <c r="AB109" s="26">
        <f>IF(B109="","",IF(COUNTIF(T109:Y109,"Fail")&gt;0,1,0))</f>
        <v/>
      </c>
      <c r="AC109" s="27">
        <f>IF(B109="","",0.1*Z109+0.8*AA109+0.1*AB109)</f>
        <v/>
      </c>
      <c r="AD109" s="27">
        <f>IF(B109="","",IF(C109="Batch 1",0.3,0.2))</f>
        <v/>
      </c>
      <c r="AE109" s="19">
        <f>IF(B109="","",IF(AC109&lt;=AD109,"Đạt","Không đạt"))</f>
        <v/>
      </c>
      <c r="AF109" s="28" t="n"/>
    </row>
    <row r="110" ht="30" customHeight="1" s="36">
      <c r="A110" s="17" t="n">
        <v>108</v>
      </c>
      <c r="B110" s="18" t="n"/>
      <c r="C110" s="17" t="n"/>
      <c r="D110" s="17" t="n"/>
      <c r="E110" s="17" t="n"/>
      <c r="F110" s="26" t="n"/>
      <c r="G110" s="26" t="n"/>
      <c r="H110" s="26" t="n"/>
      <c r="I110" s="26" t="n"/>
      <c r="J110" s="26" t="n"/>
      <c r="K110" s="26" t="n"/>
      <c r="L110" s="26" t="n"/>
      <c r="M110" s="26" t="n"/>
      <c r="N110" s="26" t="n"/>
      <c r="O110" s="26" t="n"/>
      <c r="P110" s="26" t="n"/>
      <c r="Q110" s="26" t="n"/>
      <c r="R110" s="26" t="n"/>
      <c r="S110" s="26" t="n"/>
      <c r="T110" s="26" t="n"/>
      <c r="U110" s="26" t="n"/>
      <c r="V110" s="26" t="n"/>
      <c r="W110" s="26" t="n"/>
      <c r="X110" s="26" t="n"/>
      <c r="Y110" s="26" t="n"/>
      <c r="Z110" s="26">
        <f>IF(B110="","",IF(COUNTIF(F110:G110,"Fail")&gt;0,1,0))</f>
        <v/>
      </c>
      <c r="AA110" s="26">
        <f>IF(B110="","",IF(COUNTIF(H110:S110,"Fail")&gt;0,1,0))</f>
        <v/>
      </c>
      <c r="AB110" s="26">
        <f>IF(B110="","",IF(COUNTIF(T110:Y110,"Fail")&gt;0,1,0))</f>
        <v/>
      </c>
      <c r="AC110" s="27">
        <f>IF(B110="","",0.1*Z110+0.8*AA110+0.1*AB110)</f>
        <v/>
      </c>
      <c r="AD110" s="27">
        <f>IF(B110="","",IF(C110="Batch 1",0.3,0.2))</f>
        <v/>
      </c>
      <c r="AE110" s="19">
        <f>IF(B110="","",IF(AC110&lt;=AD110,"Đạt","Không đạt"))</f>
        <v/>
      </c>
      <c r="AF110" s="28" t="n"/>
    </row>
    <row r="111" ht="30" customHeight="1" s="36">
      <c r="A111" s="17" t="n">
        <v>109</v>
      </c>
      <c r="B111" s="18" t="n"/>
      <c r="C111" s="17" t="n"/>
      <c r="D111" s="17" t="n"/>
      <c r="E111" s="17" t="n"/>
      <c r="F111" s="26" t="n"/>
      <c r="G111" s="26" t="n"/>
      <c r="H111" s="26" t="n"/>
      <c r="I111" s="26" t="n"/>
      <c r="J111" s="26" t="n"/>
      <c r="K111" s="26" t="n"/>
      <c r="L111" s="26" t="n"/>
      <c r="M111" s="26" t="n"/>
      <c r="N111" s="26" t="n"/>
      <c r="O111" s="26" t="n"/>
      <c r="P111" s="26" t="n"/>
      <c r="Q111" s="26" t="n"/>
      <c r="R111" s="26" t="n"/>
      <c r="S111" s="26" t="n"/>
      <c r="T111" s="26" t="n"/>
      <c r="U111" s="26" t="n"/>
      <c r="V111" s="26" t="n"/>
      <c r="W111" s="26" t="n"/>
      <c r="X111" s="26" t="n"/>
      <c r="Y111" s="26" t="n"/>
      <c r="Z111" s="26">
        <f>IF(B111="","",IF(COUNTIF(F111:G111,"Fail")&gt;0,1,0))</f>
        <v/>
      </c>
      <c r="AA111" s="26">
        <f>IF(B111="","",IF(COUNTIF(H111:S111,"Fail")&gt;0,1,0))</f>
        <v/>
      </c>
      <c r="AB111" s="26">
        <f>IF(B111="","",IF(COUNTIF(T111:Y111,"Fail")&gt;0,1,0))</f>
        <v/>
      </c>
      <c r="AC111" s="27">
        <f>IF(B111="","",0.1*Z111+0.8*AA111+0.1*AB111)</f>
        <v/>
      </c>
      <c r="AD111" s="27">
        <f>IF(B111="","",IF(C111="Batch 1",0.3,0.2))</f>
        <v/>
      </c>
      <c r="AE111" s="19">
        <f>IF(B111="","",IF(AC111&lt;=AD111,"Đạt","Không đạt"))</f>
        <v/>
      </c>
      <c r="AF111" s="28" t="n"/>
    </row>
    <row r="112" ht="30" customHeight="1" s="36">
      <c r="A112" s="17" t="n">
        <v>110</v>
      </c>
      <c r="B112" s="18" t="n"/>
      <c r="C112" s="17" t="n"/>
      <c r="D112" s="17" t="n"/>
      <c r="E112" s="17" t="n"/>
      <c r="F112" s="26" t="n"/>
      <c r="G112" s="26" t="n"/>
      <c r="H112" s="26" t="n"/>
      <c r="I112" s="26" t="n"/>
      <c r="J112" s="26" t="n"/>
      <c r="K112" s="26" t="n"/>
      <c r="L112" s="26" t="n"/>
      <c r="M112" s="26" t="n"/>
      <c r="N112" s="26" t="n"/>
      <c r="O112" s="26" t="n"/>
      <c r="P112" s="26" t="n"/>
      <c r="Q112" s="26" t="n"/>
      <c r="R112" s="26" t="n"/>
      <c r="S112" s="26" t="n"/>
      <c r="T112" s="26" t="n"/>
      <c r="U112" s="26" t="n"/>
      <c r="V112" s="26" t="n"/>
      <c r="W112" s="26" t="n"/>
      <c r="X112" s="26" t="n"/>
      <c r="Y112" s="26" t="n"/>
      <c r="Z112" s="26">
        <f>IF(B112="","",IF(COUNTIF(F112:G112,"Fail")&gt;0,1,0))</f>
        <v/>
      </c>
      <c r="AA112" s="26">
        <f>IF(B112="","",IF(COUNTIF(H112:S112,"Fail")&gt;0,1,0))</f>
        <v/>
      </c>
      <c r="AB112" s="26">
        <f>IF(B112="","",IF(COUNTIF(T112:Y112,"Fail")&gt;0,1,0))</f>
        <v/>
      </c>
      <c r="AC112" s="27">
        <f>IF(B112="","",0.1*Z112+0.8*AA112+0.1*AB112)</f>
        <v/>
      </c>
      <c r="AD112" s="27">
        <f>IF(B112="","",IF(C112="Batch 1",0.3,0.2))</f>
        <v/>
      </c>
      <c r="AE112" s="19">
        <f>IF(B112="","",IF(AC112&lt;=AD112,"Đạt","Không đạt"))</f>
        <v/>
      </c>
      <c r="AF112" s="28" t="n"/>
    </row>
    <row r="113" ht="30" customHeight="1" s="36">
      <c r="A113" s="17" t="n">
        <v>111</v>
      </c>
      <c r="B113" s="18" t="n"/>
      <c r="C113" s="17" t="n"/>
      <c r="D113" s="17" t="n"/>
      <c r="E113" s="17" t="n"/>
      <c r="F113" s="26" t="n"/>
      <c r="G113" s="26" t="n"/>
      <c r="H113" s="26" t="n"/>
      <c r="I113" s="26" t="n"/>
      <c r="J113" s="26" t="n"/>
      <c r="K113" s="26" t="n"/>
      <c r="L113" s="26" t="n"/>
      <c r="M113" s="26" t="n"/>
      <c r="N113" s="26" t="n"/>
      <c r="O113" s="26" t="n"/>
      <c r="P113" s="26" t="n"/>
      <c r="Q113" s="26" t="n"/>
      <c r="R113" s="26" t="n"/>
      <c r="S113" s="26" t="n"/>
      <c r="T113" s="26" t="n"/>
      <c r="U113" s="26" t="n"/>
      <c r="V113" s="26" t="n"/>
      <c r="W113" s="26" t="n"/>
      <c r="X113" s="26" t="n"/>
      <c r="Y113" s="26" t="n"/>
      <c r="Z113" s="26">
        <f>IF(B113="","",IF(COUNTIF(F113:G113,"Fail")&gt;0,1,0))</f>
        <v/>
      </c>
      <c r="AA113" s="26">
        <f>IF(B113="","",IF(COUNTIF(H113:S113,"Fail")&gt;0,1,0))</f>
        <v/>
      </c>
      <c r="AB113" s="26">
        <f>IF(B113="","",IF(COUNTIF(T113:Y113,"Fail")&gt;0,1,0))</f>
        <v/>
      </c>
      <c r="AC113" s="27">
        <f>IF(B113="","",0.1*Z113+0.8*AA113+0.1*AB113)</f>
        <v/>
      </c>
      <c r="AD113" s="27">
        <f>IF(B113="","",IF(C113="Batch 1",0.3,0.2))</f>
        <v/>
      </c>
      <c r="AE113" s="19">
        <f>IF(B113="","",IF(AC113&lt;=AD113,"Đạt","Không đạt"))</f>
        <v/>
      </c>
      <c r="AF113" s="28" t="n"/>
    </row>
    <row r="114" ht="30" customHeight="1" s="36">
      <c r="A114" s="17" t="n">
        <v>112</v>
      </c>
      <c r="B114" s="18" t="n"/>
      <c r="C114" s="17" t="n"/>
      <c r="D114" s="17" t="n"/>
      <c r="E114" s="17" t="n"/>
      <c r="F114" s="26" t="n"/>
      <c r="G114" s="26" t="n"/>
      <c r="H114" s="26" t="n"/>
      <c r="I114" s="26" t="n"/>
      <c r="J114" s="26" t="n"/>
      <c r="K114" s="26" t="n"/>
      <c r="L114" s="26" t="n"/>
      <c r="M114" s="26" t="n"/>
      <c r="N114" s="26" t="n"/>
      <c r="O114" s="26" t="n"/>
      <c r="P114" s="26" t="n"/>
      <c r="Q114" s="26" t="n"/>
      <c r="R114" s="26" t="n"/>
      <c r="S114" s="26" t="n"/>
      <c r="T114" s="26" t="n"/>
      <c r="U114" s="26" t="n"/>
      <c r="V114" s="26" t="n"/>
      <c r="W114" s="26" t="n"/>
      <c r="X114" s="26" t="n"/>
      <c r="Y114" s="26" t="n"/>
      <c r="Z114" s="26">
        <f>IF(B114="","",IF(COUNTIF(F114:G114,"Fail")&gt;0,1,0))</f>
        <v/>
      </c>
      <c r="AA114" s="26">
        <f>IF(B114="","",IF(COUNTIF(H114:S114,"Fail")&gt;0,1,0))</f>
        <v/>
      </c>
      <c r="AB114" s="26">
        <f>IF(B114="","",IF(COUNTIF(T114:Y114,"Fail")&gt;0,1,0))</f>
        <v/>
      </c>
      <c r="AC114" s="27">
        <f>IF(B114="","",0.1*Z114+0.8*AA114+0.1*AB114)</f>
        <v/>
      </c>
      <c r="AD114" s="27">
        <f>IF(B114="","",IF(C114="Batch 1",0.3,0.2))</f>
        <v/>
      </c>
      <c r="AE114" s="19">
        <f>IF(B114="","",IF(AC114&lt;=AD114,"Đạt","Không đạt"))</f>
        <v/>
      </c>
      <c r="AF114" s="28" t="n"/>
    </row>
    <row r="115" ht="30" customHeight="1" s="36">
      <c r="A115" s="17" t="n">
        <v>113</v>
      </c>
      <c r="B115" s="18" t="n"/>
      <c r="C115" s="17" t="n"/>
      <c r="D115" s="17" t="n"/>
      <c r="E115" s="17" t="n"/>
      <c r="F115" s="26" t="n"/>
      <c r="G115" s="26" t="n"/>
      <c r="H115" s="26" t="n"/>
      <c r="I115" s="26" t="n"/>
      <c r="J115" s="26" t="n"/>
      <c r="K115" s="26" t="n"/>
      <c r="L115" s="26" t="n"/>
      <c r="M115" s="26" t="n"/>
      <c r="N115" s="26" t="n"/>
      <c r="O115" s="26" t="n"/>
      <c r="P115" s="26" t="n"/>
      <c r="Q115" s="26" t="n"/>
      <c r="R115" s="26" t="n"/>
      <c r="S115" s="26" t="n"/>
      <c r="T115" s="26" t="n"/>
      <c r="U115" s="26" t="n"/>
      <c r="V115" s="26" t="n"/>
      <c r="W115" s="26" t="n"/>
      <c r="X115" s="26" t="n"/>
      <c r="Y115" s="26" t="n"/>
      <c r="Z115" s="26">
        <f>IF(B115="","",IF(COUNTIF(F115:G115,"Fail")&gt;0,1,0))</f>
        <v/>
      </c>
      <c r="AA115" s="26">
        <f>IF(B115="","",IF(COUNTIF(H115:S115,"Fail")&gt;0,1,0))</f>
        <v/>
      </c>
      <c r="AB115" s="26">
        <f>IF(B115="","",IF(COUNTIF(T115:Y115,"Fail")&gt;0,1,0))</f>
        <v/>
      </c>
      <c r="AC115" s="27">
        <f>IF(B115="","",0.1*Z115+0.8*AA115+0.1*AB115)</f>
        <v/>
      </c>
      <c r="AD115" s="27">
        <f>IF(B115="","",IF(C115="Batch 1",0.3,0.2))</f>
        <v/>
      </c>
      <c r="AE115" s="19">
        <f>IF(B115="","",IF(AC115&lt;=AD115,"Đạt","Không đạt"))</f>
        <v/>
      </c>
      <c r="AF115" s="28" t="n"/>
    </row>
    <row r="116" ht="30" customHeight="1" s="36">
      <c r="A116" s="17" t="n">
        <v>114</v>
      </c>
      <c r="B116" s="18" t="n"/>
      <c r="C116" s="17" t="n"/>
      <c r="D116" s="17" t="n"/>
      <c r="E116" s="17" t="n"/>
      <c r="F116" s="26" t="n"/>
      <c r="G116" s="26" t="n"/>
      <c r="H116" s="26" t="n"/>
      <c r="I116" s="26" t="n"/>
      <c r="J116" s="26" t="n"/>
      <c r="K116" s="26" t="n"/>
      <c r="L116" s="26" t="n"/>
      <c r="M116" s="26" t="n"/>
      <c r="N116" s="26" t="n"/>
      <c r="O116" s="26" t="n"/>
      <c r="P116" s="26" t="n"/>
      <c r="Q116" s="26" t="n"/>
      <c r="R116" s="26" t="n"/>
      <c r="S116" s="26" t="n"/>
      <c r="T116" s="26" t="n"/>
      <c r="U116" s="26" t="n"/>
      <c r="V116" s="26" t="n"/>
      <c r="W116" s="26" t="n"/>
      <c r="X116" s="26" t="n"/>
      <c r="Y116" s="26" t="n"/>
      <c r="Z116" s="26">
        <f>IF(B116="","",IF(COUNTIF(F116:G116,"Fail")&gt;0,1,0))</f>
        <v/>
      </c>
      <c r="AA116" s="26">
        <f>IF(B116="","",IF(COUNTIF(H116:S116,"Fail")&gt;0,1,0))</f>
        <v/>
      </c>
      <c r="AB116" s="26">
        <f>IF(B116="","",IF(COUNTIF(T116:Y116,"Fail")&gt;0,1,0))</f>
        <v/>
      </c>
      <c r="AC116" s="27">
        <f>IF(B116="","",0.1*Z116+0.8*AA116+0.1*AB116)</f>
        <v/>
      </c>
      <c r="AD116" s="27">
        <f>IF(B116="","",IF(C116="Batch 1",0.3,0.2))</f>
        <v/>
      </c>
      <c r="AE116" s="19">
        <f>IF(B116="","",IF(AC116&lt;=AD116,"Đạt","Không đạt"))</f>
        <v/>
      </c>
      <c r="AF116" s="28" t="n"/>
    </row>
    <row r="117" ht="30" customHeight="1" s="36">
      <c r="A117" s="17" t="n">
        <v>115</v>
      </c>
      <c r="B117" s="18" t="n"/>
      <c r="C117" s="17" t="n"/>
      <c r="D117" s="17" t="n"/>
      <c r="E117" s="17" t="n"/>
      <c r="F117" s="26" t="n"/>
      <c r="G117" s="26" t="n"/>
      <c r="H117" s="26" t="n"/>
      <c r="I117" s="26" t="n"/>
      <c r="J117" s="26" t="n"/>
      <c r="K117" s="26" t="n"/>
      <c r="L117" s="26" t="n"/>
      <c r="M117" s="26" t="n"/>
      <c r="N117" s="26" t="n"/>
      <c r="O117" s="26" t="n"/>
      <c r="P117" s="26" t="n"/>
      <c r="Q117" s="26" t="n"/>
      <c r="R117" s="26" t="n"/>
      <c r="S117" s="26" t="n"/>
      <c r="T117" s="26" t="n"/>
      <c r="U117" s="26" t="n"/>
      <c r="V117" s="26" t="n"/>
      <c r="W117" s="26" t="n"/>
      <c r="X117" s="26" t="n"/>
      <c r="Y117" s="26" t="n"/>
      <c r="Z117" s="26">
        <f>IF(B117="","",IF(COUNTIF(F117:G117,"Fail")&gt;0,1,0))</f>
        <v/>
      </c>
      <c r="AA117" s="26">
        <f>IF(B117="","",IF(COUNTIF(H117:S117,"Fail")&gt;0,1,0))</f>
        <v/>
      </c>
      <c r="AB117" s="26">
        <f>IF(B117="","",IF(COUNTIF(T117:Y117,"Fail")&gt;0,1,0))</f>
        <v/>
      </c>
      <c r="AC117" s="27">
        <f>IF(B117="","",0.1*Z117+0.8*AA117+0.1*AB117)</f>
        <v/>
      </c>
      <c r="AD117" s="27">
        <f>IF(B117="","",IF(C117="Batch 1",0.3,0.2))</f>
        <v/>
      </c>
      <c r="AE117" s="19">
        <f>IF(B117="","",IF(AC117&lt;=AD117,"Đạt","Không đạt"))</f>
        <v/>
      </c>
      <c r="AF117" s="28" t="n"/>
    </row>
    <row r="118" ht="30" customHeight="1" s="36">
      <c r="A118" s="17" t="n">
        <v>116</v>
      </c>
      <c r="B118" s="18" t="n"/>
      <c r="C118" s="17" t="n"/>
      <c r="D118" s="17" t="n"/>
      <c r="E118" s="17" t="n"/>
      <c r="F118" s="26" t="n"/>
      <c r="G118" s="26" t="n"/>
      <c r="H118" s="26" t="n"/>
      <c r="I118" s="26" t="n"/>
      <c r="J118" s="26" t="n"/>
      <c r="K118" s="26" t="n"/>
      <c r="L118" s="26" t="n"/>
      <c r="M118" s="26" t="n"/>
      <c r="N118" s="26" t="n"/>
      <c r="O118" s="26" t="n"/>
      <c r="P118" s="26" t="n"/>
      <c r="Q118" s="26" t="n"/>
      <c r="R118" s="26" t="n"/>
      <c r="S118" s="26" t="n"/>
      <c r="T118" s="26" t="n"/>
      <c r="U118" s="26" t="n"/>
      <c r="V118" s="26" t="n"/>
      <c r="W118" s="26" t="n"/>
      <c r="X118" s="26" t="n"/>
      <c r="Y118" s="26" t="n"/>
      <c r="Z118" s="26">
        <f>IF(B118="","",IF(COUNTIF(F118:G118,"Fail")&gt;0,1,0))</f>
        <v/>
      </c>
      <c r="AA118" s="26">
        <f>IF(B118="","",IF(COUNTIF(H118:S118,"Fail")&gt;0,1,0))</f>
        <v/>
      </c>
      <c r="AB118" s="26">
        <f>IF(B118="","",IF(COUNTIF(T118:Y118,"Fail")&gt;0,1,0))</f>
        <v/>
      </c>
      <c r="AC118" s="27">
        <f>IF(B118="","",0.1*Z118+0.8*AA118+0.1*AB118)</f>
        <v/>
      </c>
      <c r="AD118" s="27">
        <f>IF(B118="","",IF(C118="Batch 1",0.3,0.2))</f>
        <v/>
      </c>
      <c r="AE118" s="19">
        <f>IF(B118="","",IF(AC118&lt;=AD118,"Đạt","Không đạt"))</f>
        <v/>
      </c>
      <c r="AF118" s="28" t="n"/>
    </row>
    <row r="119" ht="30" customHeight="1" s="36">
      <c r="A119" s="17" t="n">
        <v>117</v>
      </c>
      <c r="B119" s="18" t="n"/>
      <c r="C119" s="17" t="n"/>
      <c r="D119" s="17" t="n"/>
      <c r="E119" s="17" t="n"/>
      <c r="F119" s="26" t="n"/>
      <c r="G119" s="26" t="n"/>
      <c r="H119" s="26" t="n"/>
      <c r="I119" s="26" t="n"/>
      <c r="J119" s="26" t="n"/>
      <c r="K119" s="26" t="n"/>
      <c r="L119" s="26" t="n"/>
      <c r="M119" s="26" t="n"/>
      <c r="N119" s="26" t="n"/>
      <c r="O119" s="26" t="n"/>
      <c r="P119" s="26" t="n"/>
      <c r="Q119" s="26" t="n"/>
      <c r="R119" s="26" t="n"/>
      <c r="S119" s="26" t="n"/>
      <c r="T119" s="26" t="n"/>
      <c r="U119" s="26" t="n"/>
      <c r="V119" s="26" t="n"/>
      <c r="W119" s="26" t="n"/>
      <c r="X119" s="26" t="n"/>
      <c r="Y119" s="26" t="n"/>
      <c r="Z119" s="26">
        <f>IF(B119="","",IF(COUNTIF(F119:G119,"Fail")&gt;0,1,0))</f>
        <v/>
      </c>
      <c r="AA119" s="26">
        <f>IF(B119="","",IF(COUNTIF(H119:S119,"Fail")&gt;0,1,0))</f>
        <v/>
      </c>
      <c r="AB119" s="26">
        <f>IF(B119="","",IF(COUNTIF(T119:Y119,"Fail")&gt;0,1,0))</f>
        <v/>
      </c>
      <c r="AC119" s="27">
        <f>IF(B119="","",0.1*Z119+0.8*AA119+0.1*AB119)</f>
        <v/>
      </c>
      <c r="AD119" s="27">
        <f>IF(B119="","",IF(C119="Batch 1",0.3,0.2))</f>
        <v/>
      </c>
      <c r="AE119" s="19">
        <f>IF(B119="","",IF(AC119&lt;=AD119,"Đạt","Không đạt"))</f>
        <v/>
      </c>
      <c r="AF119" s="28" t="n"/>
    </row>
    <row r="120" ht="30" customHeight="1" s="36">
      <c r="A120" s="17" t="n">
        <v>118</v>
      </c>
      <c r="B120" s="18" t="n"/>
      <c r="C120" s="17" t="n"/>
      <c r="D120" s="17" t="n"/>
      <c r="E120" s="17" t="n"/>
      <c r="F120" s="26" t="n"/>
      <c r="G120" s="26" t="n"/>
      <c r="H120" s="26" t="n"/>
      <c r="I120" s="26" t="n"/>
      <c r="J120" s="26" t="n"/>
      <c r="K120" s="26" t="n"/>
      <c r="L120" s="26" t="n"/>
      <c r="M120" s="26" t="n"/>
      <c r="N120" s="26" t="n"/>
      <c r="O120" s="26" t="n"/>
      <c r="P120" s="26" t="n"/>
      <c r="Q120" s="26" t="n"/>
      <c r="R120" s="26" t="n"/>
      <c r="S120" s="26" t="n"/>
      <c r="T120" s="26" t="n"/>
      <c r="U120" s="26" t="n"/>
      <c r="V120" s="26" t="n"/>
      <c r="W120" s="26" t="n"/>
      <c r="X120" s="26" t="n"/>
      <c r="Y120" s="26" t="n"/>
      <c r="Z120" s="26">
        <f>IF(B120="","",IF(COUNTIF(F120:G120,"Fail")&gt;0,1,0))</f>
        <v/>
      </c>
      <c r="AA120" s="26">
        <f>IF(B120="","",IF(COUNTIF(H120:S120,"Fail")&gt;0,1,0))</f>
        <v/>
      </c>
      <c r="AB120" s="26">
        <f>IF(B120="","",IF(COUNTIF(T120:Y120,"Fail")&gt;0,1,0))</f>
        <v/>
      </c>
      <c r="AC120" s="27">
        <f>IF(B120="","",0.1*Z120+0.8*AA120+0.1*AB120)</f>
        <v/>
      </c>
      <c r="AD120" s="27">
        <f>IF(B120="","",IF(C120="Batch 1",0.3,0.2))</f>
        <v/>
      </c>
      <c r="AE120" s="19">
        <f>IF(B120="","",IF(AC120&lt;=AD120,"Đạt","Không đạt"))</f>
        <v/>
      </c>
      <c r="AF120" s="28" t="n"/>
    </row>
    <row r="121" ht="30" customHeight="1" s="36">
      <c r="A121" s="17" t="n">
        <v>119</v>
      </c>
      <c r="B121" s="18" t="n"/>
      <c r="C121" s="17" t="n"/>
      <c r="D121" s="17" t="n"/>
      <c r="E121" s="17" t="n"/>
      <c r="F121" s="26" t="n"/>
      <c r="G121" s="26" t="n"/>
      <c r="H121" s="26" t="n"/>
      <c r="I121" s="26" t="n"/>
      <c r="J121" s="26" t="n"/>
      <c r="K121" s="26" t="n"/>
      <c r="L121" s="26" t="n"/>
      <c r="M121" s="26" t="n"/>
      <c r="N121" s="26" t="n"/>
      <c r="O121" s="26" t="n"/>
      <c r="P121" s="26" t="n"/>
      <c r="Q121" s="26" t="n"/>
      <c r="R121" s="26" t="n"/>
      <c r="S121" s="26" t="n"/>
      <c r="T121" s="26" t="n"/>
      <c r="U121" s="26" t="n"/>
      <c r="V121" s="26" t="n"/>
      <c r="W121" s="26" t="n"/>
      <c r="X121" s="26" t="n"/>
      <c r="Y121" s="26" t="n"/>
      <c r="Z121" s="26">
        <f>IF(B121="","",IF(COUNTIF(F121:G121,"Fail")&gt;0,1,0))</f>
        <v/>
      </c>
      <c r="AA121" s="26">
        <f>IF(B121="","",IF(COUNTIF(H121:S121,"Fail")&gt;0,1,0))</f>
        <v/>
      </c>
      <c r="AB121" s="26">
        <f>IF(B121="","",IF(COUNTIF(T121:Y121,"Fail")&gt;0,1,0))</f>
        <v/>
      </c>
      <c r="AC121" s="27">
        <f>IF(B121="","",0.1*Z121+0.8*AA121+0.1*AB121)</f>
        <v/>
      </c>
      <c r="AD121" s="27">
        <f>IF(B121="","",IF(C121="Batch 1",0.3,0.2))</f>
        <v/>
      </c>
      <c r="AE121" s="19">
        <f>IF(B121="","",IF(AC121&lt;=AD121,"Đạt","Không đạt"))</f>
        <v/>
      </c>
      <c r="AF121" s="28" t="n"/>
    </row>
    <row r="122" ht="30" customHeight="1" s="36">
      <c r="A122" s="17" t="n">
        <v>120</v>
      </c>
      <c r="B122" s="18" t="n"/>
      <c r="C122" s="17" t="n"/>
      <c r="D122" s="17" t="n"/>
      <c r="E122" s="17" t="n"/>
      <c r="F122" s="26" t="n"/>
      <c r="G122" s="26" t="n"/>
      <c r="H122" s="26" t="n"/>
      <c r="I122" s="26" t="n"/>
      <c r="J122" s="26" t="n"/>
      <c r="K122" s="26" t="n"/>
      <c r="L122" s="26" t="n"/>
      <c r="M122" s="26" t="n"/>
      <c r="N122" s="26" t="n"/>
      <c r="O122" s="26" t="n"/>
      <c r="P122" s="26" t="n"/>
      <c r="Q122" s="26" t="n"/>
      <c r="R122" s="26" t="n"/>
      <c r="S122" s="26" t="n"/>
      <c r="T122" s="26" t="n"/>
      <c r="U122" s="26" t="n"/>
      <c r="V122" s="26" t="n"/>
      <c r="W122" s="26" t="n"/>
      <c r="X122" s="26" t="n"/>
      <c r="Y122" s="26" t="n"/>
      <c r="Z122" s="26">
        <f>IF(B122="","",IF(COUNTIF(F122:G122,"Fail")&gt;0,1,0))</f>
        <v/>
      </c>
      <c r="AA122" s="26">
        <f>IF(B122="","",IF(COUNTIF(H122:S122,"Fail")&gt;0,1,0))</f>
        <v/>
      </c>
      <c r="AB122" s="26">
        <f>IF(B122="","",IF(COUNTIF(T122:Y122,"Fail")&gt;0,1,0))</f>
        <v/>
      </c>
      <c r="AC122" s="27">
        <f>IF(B122="","",0.1*Z122+0.8*AA122+0.1*AB122)</f>
        <v/>
      </c>
      <c r="AD122" s="27">
        <f>IF(B122="","",IF(C122="Batch 1",0.3,0.2))</f>
        <v/>
      </c>
      <c r="AE122" s="19">
        <f>IF(B122="","",IF(AC122&lt;=AD122,"Đạt","Không đạt"))</f>
        <v/>
      </c>
      <c r="AF122" s="28" t="n"/>
    </row>
    <row r="123" ht="30" customHeight="1" s="36">
      <c r="A123" s="17" t="n">
        <v>121</v>
      </c>
      <c r="B123" s="18" t="n"/>
      <c r="C123" s="17" t="n"/>
      <c r="D123" s="17" t="n"/>
      <c r="E123" s="17" t="n"/>
      <c r="F123" s="26" t="n"/>
      <c r="G123" s="26" t="n"/>
      <c r="H123" s="26" t="n"/>
      <c r="I123" s="26" t="n"/>
      <c r="J123" s="26" t="n"/>
      <c r="K123" s="26" t="n"/>
      <c r="L123" s="26" t="n"/>
      <c r="M123" s="26" t="n"/>
      <c r="N123" s="26" t="n"/>
      <c r="O123" s="26" t="n"/>
      <c r="P123" s="26" t="n"/>
      <c r="Q123" s="26" t="n"/>
      <c r="R123" s="26" t="n"/>
      <c r="S123" s="26" t="n"/>
      <c r="T123" s="26" t="n"/>
      <c r="U123" s="26" t="n"/>
      <c r="V123" s="26" t="n"/>
      <c r="W123" s="26" t="n"/>
      <c r="X123" s="26" t="n"/>
      <c r="Y123" s="26" t="n"/>
      <c r="Z123" s="26">
        <f>IF(B123="","",IF(COUNTIF(F123:G123,"Fail")&gt;0,1,0))</f>
        <v/>
      </c>
      <c r="AA123" s="26">
        <f>IF(B123="","",IF(COUNTIF(H123:S123,"Fail")&gt;0,1,0))</f>
        <v/>
      </c>
      <c r="AB123" s="26">
        <f>IF(B123="","",IF(COUNTIF(T123:Y123,"Fail")&gt;0,1,0))</f>
        <v/>
      </c>
      <c r="AC123" s="27">
        <f>IF(B123="","",0.1*Z123+0.8*AA123+0.1*AB123)</f>
        <v/>
      </c>
      <c r="AD123" s="27">
        <f>IF(B123="","",IF(C123="Batch 1",0.3,0.2))</f>
        <v/>
      </c>
      <c r="AE123" s="19">
        <f>IF(B123="","",IF(AC123&lt;=AD123,"Đạt","Không đạt"))</f>
        <v/>
      </c>
      <c r="AF123" s="28" t="n"/>
    </row>
    <row r="124" ht="30" customHeight="1" s="36">
      <c r="A124" s="17" t="n">
        <v>122</v>
      </c>
      <c r="B124" s="18" t="n"/>
      <c r="C124" s="17" t="n"/>
      <c r="D124" s="17" t="n"/>
      <c r="E124" s="17" t="n"/>
      <c r="F124" s="26" t="n"/>
      <c r="G124" s="26" t="n"/>
      <c r="H124" s="26" t="n"/>
      <c r="I124" s="26" t="n"/>
      <c r="J124" s="26" t="n"/>
      <c r="K124" s="26" t="n"/>
      <c r="L124" s="26" t="n"/>
      <c r="M124" s="26" t="n"/>
      <c r="N124" s="26" t="n"/>
      <c r="O124" s="26" t="n"/>
      <c r="P124" s="26" t="n"/>
      <c r="Q124" s="26" t="n"/>
      <c r="R124" s="26" t="n"/>
      <c r="S124" s="26" t="n"/>
      <c r="T124" s="26" t="n"/>
      <c r="U124" s="26" t="n"/>
      <c r="V124" s="26" t="n"/>
      <c r="W124" s="26" t="n"/>
      <c r="X124" s="26" t="n"/>
      <c r="Y124" s="26" t="n"/>
      <c r="Z124" s="26">
        <f>IF(B124="","",IF(COUNTIF(F124:G124,"Fail")&gt;0,1,0))</f>
        <v/>
      </c>
      <c r="AA124" s="26">
        <f>IF(B124="","",IF(COUNTIF(H124:S124,"Fail")&gt;0,1,0))</f>
        <v/>
      </c>
      <c r="AB124" s="26">
        <f>IF(B124="","",IF(COUNTIF(T124:Y124,"Fail")&gt;0,1,0))</f>
        <v/>
      </c>
      <c r="AC124" s="27">
        <f>IF(B124="","",0.1*Z124+0.8*AA124+0.1*AB124)</f>
        <v/>
      </c>
      <c r="AD124" s="27">
        <f>IF(B124="","",IF(C124="Batch 1",0.3,0.2))</f>
        <v/>
      </c>
      <c r="AE124" s="19">
        <f>IF(B124="","",IF(AC124&lt;=AD124,"Đạt","Không đạt"))</f>
        <v/>
      </c>
      <c r="AF124" s="28" t="n"/>
    </row>
    <row r="125" ht="30" customHeight="1" s="36">
      <c r="A125" s="17" t="n">
        <v>123</v>
      </c>
      <c r="B125" s="18" t="n"/>
      <c r="C125" s="17" t="n"/>
      <c r="D125" s="17" t="n"/>
      <c r="E125" s="17" t="n"/>
      <c r="F125" s="26" t="n"/>
      <c r="G125" s="26" t="n"/>
      <c r="H125" s="26" t="n"/>
      <c r="I125" s="26" t="n"/>
      <c r="J125" s="26" t="n"/>
      <c r="K125" s="26" t="n"/>
      <c r="L125" s="26" t="n"/>
      <c r="M125" s="26" t="n"/>
      <c r="N125" s="26" t="n"/>
      <c r="O125" s="26" t="n"/>
      <c r="P125" s="26" t="n"/>
      <c r="Q125" s="26" t="n"/>
      <c r="R125" s="26" t="n"/>
      <c r="S125" s="26" t="n"/>
      <c r="T125" s="26" t="n"/>
      <c r="U125" s="26" t="n"/>
      <c r="V125" s="26" t="n"/>
      <c r="W125" s="26" t="n"/>
      <c r="X125" s="26" t="n"/>
      <c r="Y125" s="26" t="n"/>
      <c r="Z125" s="26">
        <f>IF(B125="","",IF(COUNTIF(F125:G125,"Fail")&gt;0,1,0))</f>
        <v/>
      </c>
      <c r="AA125" s="26">
        <f>IF(B125="","",IF(COUNTIF(H125:S125,"Fail")&gt;0,1,0))</f>
        <v/>
      </c>
      <c r="AB125" s="26">
        <f>IF(B125="","",IF(COUNTIF(T125:Y125,"Fail")&gt;0,1,0))</f>
        <v/>
      </c>
      <c r="AC125" s="27">
        <f>IF(B125="","",0.1*Z125+0.8*AA125+0.1*AB125)</f>
        <v/>
      </c>
      <c r="AD125" s="27">
        <f>IF(B125="","",IF(C125="Batch 1",0.3,0.2))</f>
        <v/>
      </c>
      <c r="AE125" s="19">
        <f>IF(B125="","",IF(AC125&lt;=AD125,"Đạt","Không đạt"))</f>
        <v/>
      </c>
      <c r="AF125" s="28" t="n"/>
    </row>
    <row r="126" ht="30" customHeight="1" s="36">
      <c r="A126" s="17" t="n">
        <v>124</v>
      </c>
      <c r="B126" s="18" t="n"/>
      <c r="C126" s="17" t="n"/>
      <c r="D126" s="17" t="n"/>
      <c r="E126" s="17" t="n"/>
      <c r="F126" s="26" t="n"/>
      <c r="G126" s="26" t="n"/>
      <c r="H126" s="26" t="n"/>
      <c r="I126" s="26" t="n"/>
      <c r="J126" s="26" t="n"/>
      <c r="K126" s="26" t="n"/>
      <c r="L126" s="26" t="n"/>
      <c r="M126" s="26" t="n"/>
      <c r="N126" s="26" t="n"/>
      <c r="O126" s="26" t="n"/>
      <c r="P126" s="26" t="n"/>
      <c r="Q126" s="26" t="n"/>
      <c r="R126" s="26" t="n"/>
      <c r="S126" s="26" t="n"/>
      <c r="T126" s="26" t="n"/>
      <c r="U126" s="26" t="n"/>
      <c r="V126" s="26" t="n"/>
      <c r="W126" s="26" t="n"/>
      <c r="X126" s="26" t="n"/>
      <c r="Y126" s="26" t="n"/>
      <c r="Z126" s="26">
        <f>IF(B126="","",IF(COUNTIF(F126:G126,"Fail")&gt;0,1,0))</f>
        <v/>
      </c>
      <c r="AA126" s="26">
        <f>IF(B126="","",IF(COUNTIF(H126:S126,"Fail")&gt;0,1,0))</f>
        <v/>
      </c>
      <c r="AB126" s="26">
        <f>IF(B126="","",IF(COUNTIF(T126:Y126,"Fail")&gt;0,1,0))</f>
        <v/>
      </c>
      <c r="AC126" s="27">
        <f>IF(B126="","",0.1*Z126+0.8*AA126+0.1*AB126)</f>
        <v/>
      </c>
      <c r="AD126" s="27">
        <f>IF(B126="","",IF(C126="Batch 1",0.3,0.2))</f>
        <v/>
      </c>
      <c r="AE126" s="19">
        <f>IF(B126="","",IF(AC126&lt;=AD126,"Đạt","Không đạt"))</f>
        <v/>
      </c>
      <c r="AF126" s="28" t="n"/>
    </row>
    <row r="127" ht="30" customHeight="1" s="36">
      <c r="A127" s="17" t="n">
        <v>125</v>
      </c>
      <c r="B127" s="18" t="n"/>
      <c r="C127" s="17" t="n"/>
      <c r="D127" s="17" t="n"/>
      <c r="E127" s="17" t="n"/>
      <c r="F127" s="26" t="n"/>
      <c r="G127" s="26" t="n"/>
      <c r="H127" s="26" t="n"/>
      <c r="I127" s="26" t="n"/>
      <c r="J127" s="26" t="n"/>
      <c r="K127" s="26" t="n"/>
      <c r="L127" s="26" t="n"/>
      <c r="M127" s="26" t="n"/>
      <c r="N127" s="26" t="n"/>
      <c r="O127" s="26" t="n"/>
      <c r="P127" s="26" t="n"/>
      <c r="Q127" s="26" t="n"/>
      <c r="R127" s="26" t="n"/>
      <c r="S127" s="26" t="n"/>
      <c r="T127" s="26" t="n"/>
      <c r="U127" s="26" t="n"/>
      <c r="V127" s="26" t="n"/>
      <c r="W127" s="26" t="n"/>
      <c r="X127" s="26" t="n"/>
      <c r="Y127" s="26" t="n"/>
      <c r="Z127" s="26">
        <f>IF(B127="","",IF(COUNTIF(F127:G127,"Fail")&gt;0,1,0))</f>
        <v/>
      </c>
      <c r="AA127" s="26">
        <f>IF(B127="","",IF(COUNTIF(H127:S127,"Fail")&gt;0,1,0))</f>
        <v/>
      </c>
      <c r="AB127" s="26">
        <f>IF(B127="","",IF(COUNTIF(T127:Y127,"Fail")&gt;0,1,0))</f>
        <v/>
      </c>
      <c r="AC127" s="27">
        <f>IF(B127="","",0.1*Z127+0.8*AA127+0.1*AB127)</f>
        <v/>
      </c>
      <c r="AD127" s="27">
        <f>IF(B127="","",IF(C127="Batch 1",0.3,0.2))</f>
        <v/>
      </c>
      <c r="AE127" s="19">
        <f>IF(B127="","",IF(AC127&lt;=AD127,"Đạt","Không đạt"))</f>
        <v/>
      </c>
      <c r="AF127" s="28" t="n"/>
    </row>
    <row r="128" ht="30" customHeight="1" s="36">
      <c r="A128" s="17" t="n">
        <v>126</v>
      </c>
      <c r="B128" s="18" t="n"/>
      <c r="C128" s="17" t="n"/>
      <c r="D128" s="17" t="n"/>
      <c r="E128" s="17" t="n"/>
      <c r="F128" s="26" t="n"/>
      <c r="G128" s="26" t="n"/>
      <c r="H128" s="26" t="n"/>
      <c r="I128" s="26" t="n"/>
      <c r="J128" s="26" t="n"/>
      <c r="K128" s="26" t="n"/>
      <c r="L128" s="26" t="n"/>
      <c r="M128" s="26" t="n"/>
      <c r="N128" s="26" t="n"/>
      <c r="O128" s="26" t="n"/>
      <c r="P128" s="26" t="n"/>
      <c r="Q128" s="26" t="n"/>
      <c r="R128" s="26" t="n"/>
      <c r="S128" s="26" t="n"/>
      <c r="T128" s="26" t="n"/>
      <c r="U128" s="26" t="n"/>
      <c r="V128" s="26" t="n"/>
      <c r="W128" s="26" t="n"/>
      <c r="X128" s="26" t="n"/>
      <c r="Y128" s="26" t="n"/>
      <c r="Z128" s="26">
        <f>IF(B128="","",IF(COUNTIF(F128:G128,"Fail")&gt;0,1,0))</f>
        <v/>
      </c>
      <c r="AA128" s="26">
        <f>IF(B128="","",IF(COUNTIF(H128:S128,"Fail")&gt;0,1,0))</f>
        <v/>
      </c>
      <c r="AB128" s="26">
        <f>IF(B128="","",IF(COUNTIF(T128:Y128,"Fail")&gt;0,1,0))</f>
        <v/>
      </c>
      <c r="AC128" s="27">
        <f>IF(B128="","",0.1*Z128+0.8*AA128+0.1*AB128)</f>
        <v/>
      </c>
      <c r="AD128" s="27">
        <f>IF(B128="","",IF(C128="Batch 1",0.3,0.2))</f>
        <v/>
      </c>
      <c r="AE128" s="19">
        <f>IF(B128="","",IF(AC128&lt;=AD128,"Đạt","Không đạt"))</f>
        <v/>
      </c>
      <c r="AF128" s="28" t="n"/>
    </row>
    <row r="129" ht="30" customHeight="1" s="36">
      <c r="A129" s="17" t="n">
        <v>127</v>
      </c>
      <c r="B129" s="18" t="n"/>
      <c r="C129" s="17" t="n"/>
      <c r="D129" s="17" t="n"/>
      <c r="E129" s="17" t="n"/>
      <c r="F129" s="26" t="n"/>
      <c r="G129" s="26" t="n"/>
      <c r="H129" s="26" t="n"/>
      <c r="I129" s="26" t="n"/>
      <c r="J129" s="26" t="n"/>
      <c r="K129" s="26" t="n"/>
      <c r="L129" s="26" t="n"/>
      <c r="M129" s="26" t="n"/>
      <c r="N129" s="26" t="n"/>
      <c r="O129" s="26" t="n"/>
      <c r="P129" s="26" t="n"/>
      <c r="Q129" s="26" t="n"/>
      <c r="R129" s="26" t="n"/>
      <c r="S129" s="26" t="n"/>
      <c r="T129" s="26" t="n"/>
      <c r="U129" s="26" t="n"/>
      <c r="V129" s="26" t="n"/>
      <c r="W129" s="26" t="n"/>
      <c r="X129" s="26" t="n"/>
      <c r="Y129" s="26" t="n"/>
      <c r="Z129" s="26">
        <f>IF(B129="","",IF(COUNTIF(F129:G129,"Fail")&gt;0,1,0))</f>
        <v/>
      </c>
      <c r="AA129" s="26">
        <f>IF(B129="","",IF(COUNTIF(H129:S129,"Fail")&gt;0,1,0))</f>
        <v/>
      </c>
      <c r="AB129" s="26">
        <f>IF(B129="","",IF(COUNTIF(T129:Y129,"Fail")&gt;0,1,0))</f>
        <v/>
      </c>
      <c r="AC129" s="27">
        <f>IF(B129="","",0.1*Z129+0.8*AA129+0.1*AB129)</f>
        <v/>
      </c>
      <c r="AD129" s="27">
        <f>IF(B129="","",IF(C129="Batch 1",0.3,0.2))</f>
        <v/>
      </c>
      <c r="AE129" s="19">
        <f>IF(B129="","",IF(AC129&lt;=AD129,"Đạt","Không đạt"))</f>
        <v/>
      </c>
      <c r="AF129" s="28" t="n"/>
    </row>
    <row r="130" ht="30" customHeight="1" s="36">
      <c r="A130" s="17" t="n">
        <v>128</v>
      </c>
      <c r="B130" s="18" t="n"/>
      <c r="C130" s="17" t="n"/>
      <c r="D130" s="17" t="n"/>
      <c r="E130" s="17" t="n"/>
      <c r="F130" s="26" t="n"/>
      <c r="G130" s="26" t="n"/>
      <c r="H130" s="26" t="n"/>
      <c r="I130" s="26" t="n"/>
      <c r="J130" s="26" t="n"/>
      <c r="K130" s="26" t="n"/>
      <c r="L130" s="26" t="n"/>
      <c r="M130" s="26" t="n"/>
      <c r="N130" s="26" t="n"/>
      <c r="O130" s="26" t="n"/>
      <c r="P130" s="26" t="n"/>
      <c r="Q130" s="26" t="n"/>
      <c r="R130" s="26" t="n"/>
      <c r="S130" s="26" t="n"/>
      <c r="T130" s="26" t="n"/>
      <c r="U130" s="26" t="n"/>
      <c r="V130" s="26" t="n"/>
      <c r="W130" s="26" t="n"/>
      <c r="X130" s="26" t="n"/>
      <c r="Y130" s="26" t="n"/>
      <c r="Z130" s="26">
        <f>IF(B130="","",IF(COUNTIF(F130:G130,"Fail")&gt;0,1,0))</f>
        <v/>
      </c>
      <c r="AA130" s="26">
        <f>IF(B130="","",IF(COUNTIF(H130:S130,"Fail")&gt;0,1,0))</f>
        <v/>
      </c>
      <c r="AB130" s="26">
        <f>IF(B130="","",IF(COUNTIF(T130:Y130,"Fail")&gt;0,1,0))</f>
        <v/>
      </c>
      <c r="AC130" s="27">
        <f>IF(B130="","",0.1*Z130+0.8*AA130+0.1*AB130)</f>
        <v/>
      </c>
      <c r="AD130" s="27">
        <f>IF(B130="","",IF(C130="Batch 1",0.3,0.2))</f>
        <v/>
      </c>
      <c r="AE130" s="19">
        <f>IF(B130="","",IF(AC130&lt;=AD130,"Đạt","Không đạt"))</f>
        <v/>
      </c>
      <c r="AF130" s="28" t="n"/>
    </row>
    <row r="131" ht="30" customHeight="1" s="36">
      <c r="A131" s="17" t="n">
        <v>129</v>
      </c>
      <c r="B131" s="18" t="n"/>
      <c r="C131" s="17" t="n"/>
      <c r="D131" s="17" t="n"/>
      <c r="E131" s="17" t="n"/>
      <c r="F131" s="26" t="n"/>
      <c r="G131" s="26" t="n"/>
      <c r="H131" s="26" t="n"/>
      <c r="I131" s="26" t="n"/>
      <c r="J131" s="26" t="n"/>
      <c r="K131" s="26" t="n"/>
      <c r="L131" s="26" t="n"/>
      <c r="M131" s="26" t="n"/>
      <c r="N131" s="26" t="n"/>
      <c r="O131" s="26" t="n"/>
      <c r="P131" s="26" t="n"/>
      <c r="Q131" s="26" t="n"/>
      <c r="R131" s="26" t="n"/>
      <c r="S131" s="26" t="n"/>
      <c r="T131" s="26" t="n"/>
      <c r="U131" s="26" t="n"/>
      <c r="V131" s="26" t="n"/>
      <c r="W131" s="26" t="n"/>
      <c r="X131" s="26" t="n"/>
      <c r="Y131" s="26" t="n"/>
      <c r="Z131" s="26">
        <f>IF(B131="","",IF(COUNTIF(F131:G131,"Fail")&gt;0,1,0))</f>
        <v/>
      </c>
      <c r="AA131" s="26">
        <f>IF(B131="","",IF(COUNTIF(H131:S131,"Fail")&gt;0,1,0))</f>
        <v/>
      </c>
      <c r="AB131" s="26">
        <f>IF(B131="","",IF(COUNTIF(T131:Y131,"Fail")&gt;0,1,0))</f>
        <v/>
      </c>
      <c r="AC131" s="27">
        <f>IF(B131="","",0.1*Z131+0.8*AA131+0.1*AB131)</f>
        <v/>
      </c>
      <c r="AD131" s="27">
        <f>IF(B131="","",IF(C131="Batch 1",0.3,0.2))</f>
        <v/>
      </c>
      <c r="AE131" s="19">
        <f>IF(B131="","",IF(AC131&lt;=AD131,"Đạt","Không đạt"))</f>
        <v/>
      </c>
      <c r="AF131" s="28" t="n"/>
    </row>
    <row r="132" ht="30" customHeight="1" s="36">
      <c r="A132" s="17" t="n">
        <v>130</v>
      </c>
      <c r="B132" s="18" t="n"/>
      <c r="C132" s="17" t="n"/>
      <c r="D132" s="17" t="n"/>
      <c r="E132" s="17" t="n"/>
      <c r="F132" s="26" t="n"/>
      <c r="G132" s="26" t="n"/>
      <c r="H132" s="26" t="n"/>
      <c r="I132" s="26" t="n"/>
      <c r="J132" s="26" t="n"/>
      <c r="K132" s="26" t="n"/>
      <c r="L132" s="26" t="n"/>
      <c r="M132" s="26" t="n"/>
      <c r="N132" s="26" t="n"/>
      <c r="O132" s="26" t="n"/>
      <c r="P132" s="26" t="n"/>
      <c r="Q132" s="26" t="n"/>
      <c r="R132" s="26" t="n"/>
      <c r="S132" s="26" t="n"/>
      <c r="T132" s="26" t="n"/>
      <c r="U132" s="26" t="n"/>
      <c r="V132" s="26" t="n"/>
      <c r="W132" s="26" t="n"/>
      <c r="X132" s="26" t="n"/>
      <c r="Y132" s="26" t="n"/>
      <c r="Z132" s="26">
        <f>IF(B132="","",IF(COUNTIF(F132:G132,"Fail")&gt;0,1,0))</f>
        <v/>
      </c>
      <c r="AA132" s="26">
        <f>IF(B132="","",IF(COUNTIF(H132:S132,"Fail")&gt;0,1,0))</f>
        <v/>
      </c>
      <c r="AB132" s="26">
        <f>IF(B132="","",IF(COUNTIF(T132:Y132,"Fail")&gt;0,1,0))</f>
        <v/>
      </c>
      <c r="AC132" s="27">
        <f>IF(B132="","",0.1*Z132+0.8*AA132+0.1*AB132)</f>
        <v/>
      </c>
      <c r="AD132" s="27">
        <f>IF(B132="","",IF(C132="Batch 1",0.3,0.2))</f>
        <v/>
      </c>
      <c r="AE132" s="19">
        <f>IF(B132="","",IF(AC132&lt;=AD132,"Đạt","Không đạt"))</f>
        <v/>
      </c>
      <c r="AF132" s="28" t="n"/>
    </row>
    <row r="133" ht="30" customHeight="1" s="36">
      <c r="A133" s="17" t="n">
        <v>131</v>
      </c>
      <c r="B133" s="18" t="n"/>
      <c r="C133" s="17" t="n"/>
      <c r="D133" s="17" t="n"/>
      <c r="E133" s="17" t="n"/>
      <c r="F133" s="26" t="n"/>
      <c r="G133" s="26" t="n"/>
      <c r="H133" s="26" t="n"/>
      <c r="I133" s="26" t="n"/>
      <c r="J133" s="26" t="n"/>
      <c r="K133" s="26" t="n"/>
      <c r="L133" s="26" t="n"/>
      <c r="M133" s="26" t="n"/>
      <c r="N133" s="26" t="n"/>
      <c r="O133" s="26" t="n"/>
      <c r="P133" s="26" t="n"/>
      <c r="Q133" s="26" t="n"/>
      <c r="R133" s="26" t="n"/>
      <c r="S133" s="26" t="n"/>
      <c r="T133" s="26" t="n"/>
      <c r="U133" s="26" t="n"/>
      <c r="V133" s="26" t="n"/>
      <c r="W133" s="26" t="n"/>
      <c r="X133" s="26" t="n"/>
      <c r="Y133" s="26" t="n"/>
      <c r="Z133" s="26">
        <f>IF(B133="","",IF(COUNTIF(F133:G133,"Fail")&gt;0,1,0))</f>
        <v/>
      </c>
      <c r="AA133" s="26">
        <f>IF(B133="","",IF(COUNTIF(H133:S133,"Fail")&gt;0,1,0))</f>
        <v/>
      </c>
      <c r="AB133" s="26">
        <f>IF(B133="","",IF(COUNTIF(T133:Y133,"Fail")&gt;0,1,0))</f>
        <v/>
      </c>
      <c r="AC133" s="27">
        <f>IF(B133="","",0.1*Z133+0.8*AA133+0.1*AB133)</f>
        <v/>
      </c>
      <c r="AD133" s="27">
        <f>IF(B133="","",IF(C133="Batch 1",0.3,0.2))</f>
        <v/>
      </c>
      <c r="AE133" s="19">
        <f>IF(B133="","",IF(AC133&lt;=AD133,"Đạt","Không đạt"))</f>
        <v/>
      </c>
      <c r="AF133" s="28" t="n"/>
    </row>
    <row r="134" ht="30" customHeight="1" s="36">
      <c r="A134" s="17" t="n">
        <v>132</v>
      </c>
      <c r="B134" s="18" t="n"/>
      <c r="C134" s="17" t="n"/>
      <c r="D134" s="17" t="n"/>
      <c r="E134" s="17" t="n"/>
      <c r="F134" s="26" t="n"/>
      <c r="G134" s="26" t="n"/>
      <c r="H134" s="26" t="n"/>
      <c r="I134" s="26" t="n"/>
      <c r="J134" s="26" t="n"/>
      <c r="K134" s="26" t="n"/>
      <c r="L134" s="26" t="n"/>
      <c r="M134" s="26" t="n"/>
      <c r="N134" s="26" t="n"/>
      <c r="O134" s="26" t="n"/>
      <c r="P134" s="26" t="n"/>
      <c r="Q134" s="26" t="n"/>
      <c r="R134" s="26" t="n"/>
      <c r="S134" s="26" t="n"/>
      <c r="T134" s="26" t="n"/>
      <c r="U134" s="26" t="n"/>
      <c r="V134" s="26" t="n"/>
      <c r="W134" s="26" t="n"/>
      <c r="X134" s="26" t="n"/>
      <c r="Y134" s="26" t="n"/>
      <c r="Z134" s="26">
        <f>IF(B134="","",IF(COUNTIF(F134:G134,"Fail")&gt;0,1,0))</f>
        <v/>
      </c>
      <c r="AA134" s="26">
        <f>IF(B134="","",IF(COUNTIF(H134:S134,"Fail")&gt;0,1,0))</f>
        <v/>
      </c>
      <c r="AB134" s="26">
        <f>IF(B134="","",IF(COUNTIF(T134:Y134,"Fail")&gt;0,1,0))</f>
        <v/>
      </c>
      <c r="AC134" s="27">
        <f>IF(B134="","",0.1*Z134+0.8*AA134+0.1*AB134)</f>
        <v/>
      </c>
      <c r="AD134" s="27">
        <f>IF(B134="","",IF(C134="Batch 1",0.3,0.2))</f>
        <v/>
      </c>
      <c r="AE134" s="19">
        <f>IF(B134="","",IF(AC134&lt;=AD134,"Đạt","Không đạt"))</f>
        <v/>
      </c>
      <c r="AF134" s="28" t="n"/>
    </row>
    <row r="135" ht="30" customHeight="1" s="36">
      <c r="A135" s="17" t="n">
        <v>133</v>
      </c>
      <c r="B135" s="18" t="n"/>
      <c r="C135" s="17" t="n"/>
      <c r="D135" s="17" t="n"/>
      <c r="E135" s="17" t="n"/>
      <c r="F135" s="26" t="n"/>
      <c r="G135" s="26" t="n"/>
      <c r="H135" s="26" t="n"/>
      <c r="I135" s="26" t="n"/>
      <c r="J135" s="26" t="n"/>
      <c r="K135" s="26" t="n"/>
      <c r="L135" s="26" t="n"/>
      <c r="M135" s="26" t="n"/>
      <c r="N135" s="26" t="n"/>
      <c r="O135" s="26" t="n"/>
      <c r="P135" s="26" t="n"/>
      <c r="Q135" s="26" t="n"/>
      <c r="R135" s="26" t="n"/>
      <c r="S135" s="26" t="n"/>
      <c r="T135" s="26" t="n"/>
      <c r="U135" s="26" t="n"/>
      <c r="V135" s="26" t="n"/>
      <c r="W135" s="26" t="n"/>
      <c r="X135" s="26" t="n"/>
      <c r="Y135" s="26" t="n"/>
      <c r="Z135" s="26">
        <f>IF(B135="","",IF(COUNTIF(F135:G135,"Fail")&gt;0,1,0))</f>
        <v/>
      </c>
      <c r="AA135" s="26">
        <f>IF(B135="","",IF(COUNTIF(H135:S135,"Fail")&gt;0,1,0))</f>
        <v/>
      </c>
      <c r="AB135" s="26">
        <f>IF(B135="","",IF(COUNTIF(T135:Y135,"Fail")&gt;0,1,0))</f>
        <v/>
      </c>
      <c r="AC135" s="27">
        <f>IF(B135="","",0.1*Z135+0.8*AA135+0.1*AB135)</f>
        <v/>
      </c>
      <c r="AD135" s="27">
        <f>IF(B135="","",IF(C135="Batch 1",0.3,0.2))</f>
        <v/>
      </c>
      <c r="AE135" s="19">
        <f>IF(B135="","",IF(AC135&lt;=AD135,"Đạt","Không đạt"))</f>
        <v/>
      </c>
      <c r="AF135" s="28" t="n"/>
    </row>
    <row r="136" ht="30" customHeight="1" s="36">
      <c r="A136" s="17" t="n">
        <v>134</v>
      </c>
      <c r="B136" s="18" t="n"/>
      <c r="C136" s="17" t="n"/>
      <c r="D136" s="17" t="n"/>
      <c r="E136" s="17" t="n"/>
      <c r="F136" s="26" t="n"/>
      <c r="G136" s="26" t="n"/>
      <c r="H136" s="26" t="n"/>
      <c r="I136" s="26" t="n"/>
      <c r="J136" s="26" t="n"/>
      <c r="K136" s="26" t="n"/>
      <c r="L136" s="26" t="n"/>
      <c r="M136" s="26" t="n"/>
      <c r="N136" s="26" t="n"/>
      <c r="O136" s="26" t="n"/>
      <c r="P136" s="26" t="n"/>
      <c r="Q136" s="26" t="n"/>
      <c r="R136" s="26" t="n"/>
      <c r="S136" s="26" t="n"/>
      <c r="T136" s="26" t="n"/>
      <c r="U136" s="26" t="n"/>
      <c r="V136" s="26" t="n"/>
      <c r="W136" s="26" t="n"/>
      <c r="X136" s="26" t="n"/>
      <c r="Y136" s="26" t="n"/>
      <c r="Z136" s="26">
        <f>IF(B136="","",IF(COUNTIF(F136:G136,"Fail")&gt;0,1,0))</f>
        <v/>
      </c>
      <c r="AA136" s="26">
        <f>IF(B136="","",IF(COUNTIF(H136:S136,"Fail")&gt;0,1,0))</f>
        <v/>
      </c>
      <c r="AB136" s="26">
        <f>IF(B136="","",IF(COUNTIF(T136:Y136,"Fail")&gt;0,1,0))</f>
        <v/>
      </c>
      <c r="AC136" s="27">
        <f>IF(B136="","",0.1*Z136+0.8*AA136+0.1*AB136)</f>
        <v/>
      </c>
      <c r="AD136" s="27">
        <f>IF(B136="","",IF(C136="Batch 1",0.3,0.2))</f>
        <v/>
      </c>
      <c r="AE136" s="19">
        <f>IF(B136="","",IF(AC136&lt;=AD136,"Đạt","Không đạt"))</f>
        <v/>
      </c>
      <c r="AF136" s="28" t="n"/>
    </row>
    <row r="137" ht="30" customHeight="1" s="36">
      <c r="A137" s="17" t="n">
        <v>135</v>
      </c>
      <c r="B137" s="18" t="n"/>
      <c r="C137" s="17" t="n"/>
      <c r="D137" s="17" t="n"/>
      <c r="E137" s="17" t="n"/>
      <c r="F137" s="26" t="n"/>
      <c r="G137" s="26" t="n"/>
      <c r="H137" s="26" t="n"/>
      <c r="I137" s="26" t="n"/>
      <c r="J137" s="26" t="n"/>
      <c r="K137" s="26" t="n"/>
      <c r="L137" s="26" t="n"/>
      <c r="M137" s="26" t="n"/>
      <c r="N137" s="26" t="n"/>
      <c r="O137" s="26" t="n"/>
      <c r="P137" s="26" t="n"/>
      <c r="Q137" s="26" t="n"/>
      <c r="R137" s="26" t="n"/>
      <c r="S137" s="26" t="n"/>
      <c r="T137" s="26" t="n"/>
      <c r="U137" s="26" t="n"/>
      <c r="V137" s="26" t="n"/>
      <c r="W137" s="26" t="n"/>
      <c r="X137" s="26" t="n"/>
      <c r="Y137" s="26" t="n"/>
      <c r="Z137" s="26">
        <f>IF(B137="","",IF(COUNTIF(F137:G137,"Fail")&gt;0,1,0))</f>
        <v/>
      </c>
      <c r="AA137" s="26">
        <f>IF(B137="","",IF(COUNTIF(H137:S137,"Fail")&gt;0,1,0))</f>
        <v/>
      </c>
      <c r="AB137" s="26">
        <f>IF(B137="","",IF(COUNTIF(T137:Y137,"Fail")&gt;0,1,0))</f>
        <v/>
      </c>
      <c r="AC137" s="27">
        <f>IF(B137="","",0.1*Z137+0.8*AA137+0.1*AB137)</f>
        <v/>
      </c>
      <c r="AD137" s="27">
        <f>IF(B137="","",IF(C137="Batch 1",0.3,0.2))</f>
        <v/>
      </c>
      <c r="AE137" s="19">
        <f>IF(B137="","",IF(AC137&lt;=AD137,"Đạt","Không đạt"))</f>
        <v/>
      </c>
      <c r="AF137" s="28" t="n"/>
    </row>
    <row r="138" ht="30" customHeight="1" s="36">
      <c r="A138" s="17" t="n">
        <v>136</v>
      </c>
      <c r="B138" s="18" t="n"/>
      <c r="C138" s="17" t="n"/>
      <c r="D138" s="17" t="n"/>
      <c r="E138" s="17" t="n"/>
      <c r="F138" s="26" t="n"/>
      <c r="G138" s="26" t="n"/>
      <c r="H138" s="26" t="n"/>
      <c r="I138" s="26" t="n"/>
      <c r="J138" s="26" t="n"/>
      <c r="K138" s="26" t="n"/>
      <c r="L138" s="26" t="n"/>
      <c r="M138" s="26" t="n"/>
      <c r="N138" s="26" t="n"/>
      <c r="O138" s="26" t="n"/>
      <c r="P138" s="26" t="n"/>
      <c r="Q138" s="26" t="n"/>
      <c r="R138" s="26" t="n"/>
      <c r="S138" s="26" t="n"/>
      <c r="T138" s="26" t="n"/>
      <c r="U138" s="26" t="n"/>
      <c r="V138" s="26" t="n"/>
      <c r="W138" s="26" t="n"/>
      <c r="X138" s="26" t="n"/>
      <c r="Y138" s="26" t="n"/>
      <c r="Z138" s="26">
        <f>IF(B138="","",IF(COUNTIF(F138:G138,"Fail")&gt;0,1,0))</f>
        <v/>
      </c>
      <c r="AA138" s="26">
        <f>IF(B138="","",IF(COUNTIF(H138:S138,"Fail")&gt;0,1,0))</f>
        <v/>
      </c>
      <c r="AB138" s="26">
        <f>IF(B138="","",IF(COUNTIF(T138:Y138,"Fail")&gt;0,1,0))</f>
        <v/>
      </c>
      <c r="AC138" s="27">
        <f>IF(B138="","",0.1*Z138+0.8*AA138+0.1*AB138)</f>
        <v/>
      </c>
      <c r="AD138" s="27">
        <f>IF(B138="","",IF(C138="Batch 1",0.3,0.2))</f>
        <v/>
      </c>
      <c r="AE138" s="19">
        <f>IF(B138="","",IF(AC138&lt;=AD138,"Đạt","Không đạt"))</f>
        <v/>
      </c>
      <c r="AF138" s="28" t="n"/>
    </row>
    <row r="139" ht="30" customHeight="1" s="36">
      <c r="A139" s="17" t="n">
        <v>137</v>
      </c>
      <c r="B139" s="18" t="n"/>
      <c r="C139" s="17" t="n"/>
      <c r="D139" s="17" t="n"/>
      <c r="E139" s="17" t="n"/>
      <c r="F139" s="26" t="n"/>
      <c r="G139" s="26" t="n"/>
      <c r="H139" s="26" t="n"/>
      <c r="I139" s="26" t="n"/>
      <c r="J139" s="26" t="n"/>
      <c r="K139" s="26" t="n"/>
      <c r="L139" s="26" t="n"/>
      <c r="M139" s="26" t="n"/>
      <c r="N139" s="26" t="n"/>
      <c r="O139" s="26" t="n"/>
      <c r="P139" s="26" t="n"/>
      <c r="Q139" s="26" t="n"/>
      <c r="R139" s="26" t="n"/>
      <c r="S139" s="26" t="n"/>
      <c r="T139" s="26" t="n"/>
      <c r="U139" s="26" t="n"/>
      <c r="V139" s="26" t="n"/>
      <c r="W139" s="26" t="n"/>
      <c r="X139" s="26" t="n"/>
      <c r="Y139" s="26" t="n"/>
      <c r="Z139" s="26">
        <f>IF(B139="","",IF(COUNTIF(F139:G139,"Fail")&gt;0,1,0))</f>
        <v/>
      </c>
      <c r="AA139" s="26">
        <f>IF(B139="","",IF(COUNTIF(H139:S139,"Fail")&gt;0,1,0))</f>
        <v/>
      </c>
      <c r="AB139" s="26">
        <f>IF(B139="","",IF(COUNTIF(T139:Y139,"Fail")&gt;0,1,0))</f>
        <v/>
      </c>
      <c r="AC139" s="27">
        <f>IF(B139="","",0.1*Z139+0.8*AA139+0.1*AB139)</f>
        <v/>
      </c>
      <c r="AD139" s="27">
        <f>IF(B139="","",IF(C139="Batch 1",0.3,0.2))</f>
        <v/>
      </c>
      <c r="AE139" s="19">
        <f>IF(B139="","",IF(AC139&lt;=AD139,"Đạt","Không đạt"))</f>
        <v/>
      </c>
      <c r="AF139" s="28" t="n"/>
    </row>
    <row r="140" ht="30" customHeight="1" s="36">
      <c r="A140" s="17" t="n">
        <v>138</v>
      </c>
      <c r="B140" s="18" t="n"/>
      <c r="C140" s="17" t="n"/>
      <c r="D140" s="17" t="n"/>
      <c r="E140" s="17" t="n"/>
      <c r="F140" s="26" t="n"/>
      <c r="G140" s="26" t="n"/>
      <c r="H140" s="26" t="n"/>
      <c r="I140" s="26" t="n"/>
      <c r="J140" s="26" t="n"/>
      <c r="K140" s="26" t="n"/>
      <c r="L140" s="26" t="n"/>
      <c r="M140" s="26" t="n"/>
      <c r="N140" s="26" t="n"/>
      <c r="O140" s="26" t="n"/>
      <c r="P140" s="26" t="n"/>
      <c r="Q140" s="26" t="n"/>
      <c r="R140" s="26" t="n"/>
      <c r="S140" s="26" t="n"/>
      <c r="T140" s="26" t="n"/>
      <c r="U140" s="26" t="n"/>
      <c r="V140" s="26" t="n"/>
      <c r="W140" s="26" t="n"/>
      <c r="X140" s="26" t="n"/>
      <c r="Y140" s="26" t="n"/>
      <c r="Z140" s="26">
        <f>IF(B140="","",IF(COUNTIF(F140:G140,"Fail")&gt;0,1,0))</f>
        <v/>
      </c>
      <c r="AA140" s="26">
        <f>IF(B140="","",IF(COUNTIF(H140:S140,"Fail")&gt;0,1,0))</f>
        <v/>
      </c>
      <c r="AB140" s="26">
        <f>IF(B140="","",IF(COUNTIF(T140:Y140,"Fail")&gt;0,1,0))</f>
        <v/>
      </c>
      <c r="AC140" s="27">
        <f>IF(B140="","",0.1*Z140+0.8*AA140+0.1*AB140)</f>
        <v/>
      </c>
      <c r="AD140" s="27">
        <f>IF(B140="","",IF(C140="Batch 1",0.3,0.2))</f>
        <v/>
      </c>
      <c r="AE140" s="19">
        <f>IF(B140="","",IF(AC140&lt;=AD140,"Đạt","Không đạt"))</f>
        <v/>
      </c>
      <c r="AF140" s="28" t="n"/>
    </row>
    <row r="141" ht="30" customHeight="1" s="36">
      <c r="A141" s="17" t="n">
        <v>139</v>
      </c>
      <c r="B141" s="18" t="n"/>
      <c r="C141" s="17" t="n"/>
      <c r="D141" s="17" t="n"/>
      <c r="E141" s="17" t="n"/>
      <c r="F141" s="26" t="n"/>
      <c r="G141" s="26" t="n"/>
      <c r="H141" s="26" t="n"/>
      <c r="I141" s="26" t="n"/>
      <c r="J141" s="26" t="n"/>
      <c r="K141" s="26" t="n"/>
      <c r="L141" s="26" t="n"/>
      <c r="M141" s="26" t="n"/>
      <c r="N141" s="26" t="n"/>
      <c r="O141" s="26" t="n"/>
      <c r="P141" s="26" t="n"/>
      <c r="Q141" s="26" t="n"/>
      <c r="R141" s="26" t="n"/>
      <c r="S141" s="26" t="n"/>
      <c r="T141" s="26" t="n"/>
      <c r="U141" s="26" t="n"/>
      <c r="V141" s="26" t="n"/>
      <c r="W141" s="26" t="n"/>
      <c r="X141" s="26" t="n"/>
      <c r="Y141" s="26" t="n"/>
      <c r="Z141" s="26">
        <f>IF(B141="","",IF(COUNTIF(F141:G141,"Fail")&gt;0,1,0))</f>
        <v/>
      </c>
      <c r="AA141" s="26">
        <f>IF(B141="","",IF(COUNTIF(H141:S141,"Fail")&gt;0,1,0))</f>
        <v/>
      </c>
      <c r="AB141" s="26">
        <f>IF(B141="","",IF(COUNTIF(T141:Y141,"Fail")&gt;0,1,0))</f>
        <v/>
      </c>
      <c r="AC141" s="27">
        <f>IF(B141="","",0.1*Z141+0.8*AA141+0.1*AB141)</f>
        <v/>
      </c>
      <c r="AD141" s="27">
        <f>IF(B141="","",IF(C141="Batch 1",0.3,0.2))</f>
        <v/>
      </c>
      <c r="AE141" s="19">
        <f>IF(B141="","",IF(AC141&lt;=AD141,"Đạt","Không đạt"))</f>
        <v/>
      </c>
      <c r="AF141" s="28" t="n"/>
    </row>
    <row r="142" ht="30" customHeight="1" s="36">
      <c r="A142" s="17" t="n">
        <v>140</v>
      </c>
      <c r="B142" s="18" t="n"/>
      <c r="C142" s="17" t="n"/>
      <c r="D142" s="17" t="n"/>
      <c r="E142" s="17" t="n"/>
      <c r="F142" s="26" t="n"/>
      <c r="G142" s="26" t="n"/>
      <c r="H142" s="26" t="n"/>
      <c r="I142" s="26" t="n"/>
      <c r="J142" s="26" t="n"/>
      <c r="K142" s="26" t="n"/>
      <c r="L142" s="26" t="n"/>
      <c r="M142" s="26" t="n"/>
      <c r="N142" s="26" t="n"/>
      <c r="O142" s="26" t="n"/>
      <c r="P142" s="26" t="n"/>
      <c r="Q142" s="26" t="n"/>
      <c r="R142" s="26" t="n"/>
      <c r="S142" s="26" t="n"/>
      <c r="T142" s="26" t="n"/>
      <c r="U142" s="26" t="n"/>
      <c r="V142" s="26" t="n"/>
      <c r="W142" s="26" t="n"/>
      <c r="X142" s="26" t="n"/>
      <c r="Y142" s="26" t="n"/>
      <c r="Z142" s="26">
        <f>IF(B142="","",IF(COUNTIF(F142:G142,"Fail")&gt;0,1,0))</f>
        <v/>
      </c>
      <c r="AA142" s="26">
        <f>IF(B142="","",IF(COUNTIF(H142:S142,"Fail")&gt;0,1,0))</f>
        <v/>
      </c>
      <c r="AB142" s="26">
        <f>IF(B142="","",IF(COUNTIF(T142:Y142,"Fail")&gt;0,1,0))</f>
        <v/>
      </c>
      <c r="AC142" s="27">
        <f>IF(B142="","",0.1*Z142+0.8*AA142+0.1*AB142)</f>
        <v/>
      </c>
      <c r="AD142" s="27">
        <f>IF(B142="","",IF(C142="Batch 1",0.3,0.2))</f>
        <v/>
      </c>
      <c r="AE142" s="19">
        <f>IF(B142="","",IF(AC142&lt;=AD142,"Đạt","Không đạt"))</f>
        <v/>
      </c>
      <c r="AF142" s="28" t="n"/>
    </row>
    <row r="143" ht="30" customHeight="1" s="36">
      <c r="A143" s="17" t="n">
        <v>141</v>
      </c>
      <c r="B143" s="18" t="n"/>
      <c r="C143" s="17" t="n"/>
      <c r="D143" s="17" t="n"/>
      <c r="E143" s="17" t="n"/>
      <c r="F143" s="26" t="n"/>
      <c r="G143" s="26" t="n"/>
      <c r="H143" s="26" t="n"/>
      <c r="I143" s="26" t="n"/>
      <c r="J143" s="26" t="n"/>
      <c r="K143" s="26" t="n"/>
      <c r="L143" s="26" t="n"/>
      <c r="M143" s="26" t="n"/>
      <c r="N143" s="26" t="n"/>
      <c r="O143" s="26" t="n"/>
      <c r="P143" s="26" t="n"/>
      <c r="Q143" s="26" t="n"/>
      <c r="R143" s="26" t="n"/>
      <c r="S143" s="26" t="n"/>
      <c r="T143" s="26" t="n"/>
      <c r="U143" s="26" t="n"/>
      <c r="V143" s="26" t="n"/>
      <c r="W143" s="26" t="n"/>
      <c r="X143" s="26" t="n"/>
      <c r="Y143" s="26" t="n"/>
      <c r="Z143" s="26">
        <f>IF(B143="","",IF(COUNTIF(F143:G143,"Fail")&gt;0,1,0))</f>
        <v/>
      </c>
      <c r="AA143" s="26">
        <f>IF(B143="","",IF(COUNTIF(H143:S143,"Fail")&gt;0,1,0))</f>
        <v/>
      </c>
      <c r="AB143" s="26">
        <f>IF(B143="","",IF(COUNTIF(T143:Y143,"Fail")&gt;0,1,0))</f>
        <v/>
      </c>
      <c r="AC143" s="27">
        <f>IF(B143="","",0.1*Z143+0.8*AA143+0.1*AB143)</f>
        <v/>
      </c>
      <c r="AD143" s="27">
        <f>IF(B143="","",IF(C143="Batch 1",0.3,0.2))</f>
        <v/>
      </c>
      <c r="AE143" s="19">
        <f>IF(B143="","",IF(AC143&lt;=AD143,"Đạt","Không đạt"))</f>
        <v/>
      </c>
      <c r="AF143" s="28" t="n"/>
    </row>
    <row r="144" ht="30" customHeight="1" s="36">
      <c r="A144" s="17" t="n">
        <v>142</v>
      </c>
      <c r="B144" s="18" t="n"/>
      <c r="C144" s="17" t="n"/>
      <c r="D144" s="17" t="n"/>
      <c r="E144" s="17" t="n"/>
      <c r="F144" s="26" t="n"/>
      <c r="G144" s="26" t="n"/>
      <c r="H144" s="26" t="n"/>
      <c r="I144" s="26" t="n"/>
      <c r="J144" s="26" t="n"/>
      <c r="K144" s="26" t="n"/>
      <c r="L144" s="26" t="n"/>
      <c r="M144" s="26" t="n"/>
      <c r="N144" s="26" t="n"/>
      <c r="O144" s="26" t="n"/>
      <c r="P144" s="26" t="n"/>
      <c r="Q144" s="26" t="n"/>
      <c r="R144" s="26" t="n"/>
      <c r="S144" s="26" t="n"/>
      <c r="T144" s="26" t="n"/>
      <c r="U144" s="26" t="n"/>
      <c r="V144" s="26" t="n"/>
      <c r="W144" s="26" t="n"/>
      <c r="X144" s="26" t="n"/>
      <c r="Y144" s="26" t="n"/>
      <c r="Z144" s="26">
        <f>IF(B144="","",IF(COUNTIF(F144:G144,"Fail")&gt;0,1,0))</f>
        <v/>
      </c>
      <c r="AA144" s="26">
        <f>IF(B144="","",IF(COUNTIF(H144:S144,"Fail")&gt;0,1,0))</f>
        <v/>
      </c>
      <c r="AB144" s="26">
        <f>IF(B144="","",IF(COUNTIF(T144:Y144,"Fail")&gt;0,1,0))</f>
        <v/>
      </c>
      <c r="AC144" s="27">
        <f>IF(B144="","",0.1*Z144+0.8*AA144+0.1*AB144)</f>
        <v/>
      </c>
      <c r="AD144" s="27">
        <f>IF(B144="","",IF(C144="Batch 1",0.3,0.2))</f>
        <v/>
      </c>
      <c r="AE144" s="19">
        <f>IF(B144="","",IF(AC144&lt;=AD144,"Đạt","Không đạt"))</f>
        <v/>
      </c>
      <c r="AF144" s="28" t="n"/>
    </row>
    <row r="145" ht="30" customHeight="1" s="36">
      <c r="A145" s="17" t="n">
        <v>143</v>
      </c>
      <c r="B145" s="18" t="n"/>
      <c r="C145" s="17" t="n"/>
      <c r="D145" s="17" t="n"/>
      <c r="E145" s="17" t="n"/>
      <c r="F145" s="26" t="n"/>
      <c r="G145" s="26" t="n"/>
      <c r="H145" s="26" t="n"/>
      <c r="I145" s="26" t="n"/>
      <c r="J145" s="26" t="n"/>
      <c r="K145" s="26" t="n"/>
      <c r="L145" s="26" t="n"/>
      <c r="M145" s="26" t="n"/>
      <c r="N145" s="26" t="n"/>
      <c r="O145" s="26" t="n"/>
      <c r="P145" s="26" t="n"/>
      <c r="Q145" s="26" t="n"/>
      <c r="R145" s="26" t="n"/>
      <c r="S145" s="26" t="n"/>
      <c r="T145" s="26" t="n"/>
      <c r="U145" s="26" t="n"/>
      <c r="V145" s="26" t="n"/>
      <c r="W145" s="26" t="n"/>
      <c r="X145" s="26" t="n"/>
      <c r="Y145" s="26" t="n"/>
      <c r="Z145" s="26">
        <f>IF(B145="","",IF(COUNTIF(F145:G145,"Fail")&gt;0,1,0))</f>
        <v/>
      </c>
      <c r="AA145" s="26">
        <f>IF(B145="","",IF(COUNTIF(H145:S145,"Fail")&gt;0,1,0))</f>
        <v/>
      </c>
      <c r="AB145" s="26">
        <f>IF(B145="","",IF(COUNTIF(T145:Y145,"Fail")&gt;0,1,0))</f>
        <v/>
      </c>
      <c r="AC145" s="27">
        <f>IF(B145="","",0.1*Z145+0.8*AA145+0.1*AB145)</f>
        <v/>
      </c>
      <c r="AD145" s="27">
        <f>IF(B145="","",IF(C145="Batch 1",0.3,0.2))</f>
        <v/>
      </c>
      <c r="AE145" s="19">
        <f>IF(B145="","",IF(AC145&lt;=AD145,"Đạt","Không đạt"))</f>
        <v/>
      </c>
      <c r="AF145" s="28" t="n"/>
    </row>
    <row r="146" ht="30" customHeight="1" s="36">
      <c r="A146" s="17" t="n">
        <v>144</v>
      </c>
      <c r="B146" s="18" t="n"/>
      <c r="C146" s="17" t="n"/>
      <c r="D146" s="17" t="n"/>
      <c r="E146" s="17" t="n"/>
      <c r="F146" s="26" t="n"/>
      <c r="G146" s="26" t="n"/>
      <c r="H146" s="26" t="n"/>
      <c r="I146" s="26" t="n"/>
      <c r="J146" s="26" t="n"/>
      <c r="K146" s="26" t="n"/>
      <c r="L146" s="26" t="n"/>
      <c r="M146" s="26" t="n"/>
      <c r="N146" s="26" t="n"/>
      <c r="O146" s="26" t="n"/>
      <c r="P146" s="26" t="n"/>
      <c r="Q146" s="26" t="n"/>
      <c r="R146" s="26" t="n"/>
      <c r="S146" s="26" t="n"/>
      <c r="T146" s="26" t="n"/>
      <c r="U146" s="26" t="n"/>
      <c r="V146" s="26" t="n"/>
      <c r="W146" s="26" t="n"/>
      <c r="X146" s="26" t="n"/>
      <c r="Y146" s="26" t="n"/>
      <c r="Z146" s="26">
        <f>IF(B146="","",IF(COUNTIF(F146:G146,"Fail")&gt;0,1,0))</f>
        <v/>
      </c>
      <c r="AA146" s="26">
        <f>IF(B146="","",IF(COUNTIF(H146:S146,"Fail")&gt;0,1,0))</f>
        <v/>
      </c>
      <c r="AB146" s="26">
        <f>IF(B146="","",IF(COUNTIF(T146:Y146,"Fail")&gt;0,1,0))</f>
        <v/>
      </c>
      <c r="AC146" s="27">
        <f>IF(B146="","",0.1*Z146+0.8*AA146+0.1*AB146)</f>
        <v/>
      </c>
      <c r="AD146" s="27">
        <f>IF(B146="","",IF(C146="Batch 1",0.3,0.2))</f>
        <v/>
      </c>
      <c r="AE146" s="19">
        <f>IF(B146="","",IF(AC146&lt;=AD146,"Đạt","Không đạt"))</f>
        <v/>
      </c>
      <c r="AF146" s="28" t="n"/>
    </row>
    <row r="147" ht="30" customHeight="1" s="36">
      <c r="A147" s="17" t="n">
        <v>145</v>
      </c>
      <c r="B147" s="18" t="n"/>
      <c r="C147" s="17" t="n"/>
      <c r="D147" s="17" t="n"/>
      <c r="E147" s="17" t="n"/>
      <c r="F147" s="26" t="n"/>
      <c r="G147" s="26" t="n"/>
      <c r="H147" s="26" t="n"/>
      <c r="I147" s="26" t="n"/>
      <c r="J147" s="26" t="n"/>
      <c r="K147" s="26" t="n"/>
      <c r="L147" s="26" t="n"/>
      <c r="M147" s="26" t="n"/>
      <c r="N147" s="26" t="n"/>
      <c r="O147" s="26" t="n"/>
      <c r="P147" s="26" t="n"/>
      <c r="Q147" s="26" t="n"/>
      <c r="R147" s="26" t="n"/>
      <c r="S147" s="26" t="n"/>
      <c r="T147" s="26" t="n"/>
      <c r="U147" s="26" t="n"/>
      <c r="V147" s="26" t="n"/>
      <c r="W147" s="26" t="n"/>
      <c r="X147" s="26" t="n"/>
      <c r="Y147" s="26" t="n"/>
      <c r="Z147" s="26">
        <f>IF(B147="","",IF(COUNTIF(F147:G147,"Fail")&gt;0,1,0))</f>
        <v/>
      </c>
      <c r="AA147" s="26">
        <f>IF(B147="","",IF(COUNTIF(H147:S147,"Fail")&gt;0,1,0))</f>
        <v/>
      </c>
      <c r="AB147" s="26">
        <f>IF(B147="","",IF(COUNTIF(T147:Y147,"Fail")&gt;0,1,0))</f>
        <v/>
      </c>
      <c r="AC147" s="27">
        <f>IF(B147="","",0.1*Z147+0.8*AA147+0.1*AB147)</f>
        <v/>
      </c>
      <c r="AD147" s="27">
        <f>IF(B147="","",IF(C147="Batch 1",0.3,0.2))</f>
        <v/>
      </c>
      <c r="AE147" s="19">
        <f>IF(B147="","",IF(AC147&lt;=AD147,"Đạt","Không đạt"))</f>
        <v/>
      </c>
      <c r="AF147" s="28" t="n"/>
    </row>
    <row r="148" ht="30" customHeight="1" s="36">
      <c r="A148" s="17" t="n">
        <v>146</v>
      </c>
      <c r="B148" s="18" t="n"/>
      <c r="C148" s="17" t="n"/>
      <c r="D148" s="17" t="n"/>
      <c r="E148" s="17" t="n"/>
      <c r="F148" s="26" t="n"/>
      <c r="G148" s="26" t="n"/>
      <c r="H148" s="26" t="n"/>
      <c r="I148" s="26" t="n"/>
      <c r="J148" s="26" t="n"/>
      <c r="K148" s="26" t="n"/>
      <c r="L148" s="26" t="n"/>
      <c r="M148" s="26" t="n"/>
      <c r="N148" s="26" t="n"/>
      <c r="O148" s="26" t="n"/>
      <c r="P148" s="26" t="n"/>
      <c r="Q148" s="26" t="n"/>
      <c r="R148" s="26" t="n"/>
      <c r="S148" s="26" t="n"/>
      <c r="T148" s="26" t="n"/>
      <c r="U148" s="26" t="n"/>
      <c r="V148" s="26" t="n"/>
      <c r="W148" s="26" t="n"/>
      <c r="X148" s="26" t="n"/>
      <c r="Y148" s="26" t="n"/>
      <c r="Z148" s="26">
        <f>IF(B148="","",IF(COUNTIF(F148:G148,"Fail")&gt;0,1,0))</f>
        <v/>
      </c>
      <c r="AA148" s="26">
        <f>IF(B148="","",IF(COUNTIF(H148:S148,"Fail")&gt;0,1,0))</f>
        <v/>
      </c>
      <c r="AB148" s="26">
        <f>IF(B148="","",IF(COUNTIF(T148:Y148,"Fail")&gt;0,1,0))</f>
        <v/>
      </c>
      <c r="AC148" s="27">
        <f>IF(B148="","",0.1*Z148+0.8*AA148+0.1*AB148)</f>
        <v/>
      </c>
      <c r="AD148" s="27">
        <f>IF(B148="","",IF(C148="Batch 1",0.3,0.2))</f>
        <v/>
      </c>
      <c r="AE148" s="19">
        <f>IF(B148="","",IF(AC148&lt;=AD148,"Đạt","Không đạt"))</f>
        <v/>
      </c>
      <c r="AF148" s="28" t="n"/>
    </row>
    <row r="149" ht="30" customHeight="1" s="36">
      <c r="A149" s="17" t="n">
        <v>147</v>
      </c>
      <c r="B149" s="18" t="n"/>
      <c r="C149" s="17" t="n"/>
      <c r="D149" s="17" t="n"/>
      <c r="E149" s="17" t="n"/>
      <c r="F149" s="26" t="n"/>
      <c r="G149" s="26" t="n"/>
      <c r="H149" s="26" t="n"/>
      <c r="I149" s="26" t="n"/>
      <c r="J149" s="26" t="n"/>
      <c r="K149" s="26" t="n"/>
      <c r="L149" s="26" t="n"/>
      <c r="M149" s="26" t="n"/>
      <c r="N149" s="26" t="n"/>
      <c r="O149" s="26" t="n"/>
      <c r="P149" s="26" t="n"/>
      <c r="Q149" s="26" t="n"/>
      <c r="R149" s="26" t="n"/>
      <c r="S149" s="26" t="n"/>
      <c r="T149" s="26" t="n"/>
      <c r="U149" s="26" t="n"/>
      <c r="V149" s="26" t="n"/>
      <c r="W149" s="26" t="n"/>
      <c r="X149" s="26" t="n"/>
      <c r="Y149" s="26" t="n"/>
      <c r="Z149" s="26">
        <f>IF(B149="","",IF(COUNTIF(F149:G149,"Fail")&gt;0,1,0))</f>
        <v/>
      </c>
      <c r="AA149" s="26">
        <f>IF(B149="","",IF(COUNTIF(H149:S149,"Fail")&gt;0,1,0))</f>
        <v/>
      </c>
      <c r="AB149" s="26">
        <f>IF(B149="","",IF(COUNTIF(T149:Y149,"Fail")&gt;0,1,0))</f>
        <v/>
      </c>
      <c r="AC149" s="27">
        <f>IF(B149="","",0.1*Z149+0.8*AA149+0.1*AB149)</f>
        <v/>
      </c>
      <c r="AD149" s="27">
        <f>IF(B149="","",IF(C149="Batch 1",0.3,0.2))</f>
        <v/>
      </c>
      <c r="AE149" s="19">
        <f>IF(B149="","",IF(AC149&lt;=AD149,"Đạt","Không đạt"))</f>
        <v/>
      </c>
      <c r="AF149" s="28" t="n"/>
    </row>
    <row r="150" ht="30" customHeight="1" s="36">
      <c r="A150" s="17" t="n">
        <v>148</v>
      </c>
      <c r="B150" s="18" t="n"/>
      <c r="C150" s="17" t="n"/>
      <c r="D150" s="17" t="n"/>
      <c r="E150" s="17" t="n"/>
      <c r="F150" s="26" t="n"/>
      <c r="G150" s="26" t="n"/>
      <c r="H150" s="26" t="n"/>
      <c r="I150" s="26" t="n"/>
      <c r="J150" s="26" t="n"/>
      <c r="K150" s="26" t="n"/>
      <c r="L150" s="26" t="n"/>
      <c r="M150" s="26" t="n"/>
      <c r="N150" s="26" t="n"/>
      <c r="O150" s="26" t="n"/>
      <c r="P150" s="26" t="n"/>
      <c r="Q150" s="26" t="n"/>
      <c r="R150" s="26" t="n"/>
      <c r="S150" s="26" t="n"/>
      <c r="T150" s="26" t="n"/>
      <c r="U150" s="26" t="n"/>
      <c r="V150" s="26" t="n"/>
      <c r="W150" s="26" t="n"/>
      <c r="X150" s="26" t="n"/>
      <c r="Y150" s="26" t="n"/>
      <c r="Z150" s="26">
        <f>IF(B150="","",IF(COUNTIF(F150:G150,"Fail")&gt;0,1,0))</f>
        <v/>
      </c>
      <c r="AA150" s="26">
        <f>IF(B150="","",IF(COUNTIF(H150:S150,"Fail")&gt;0,1,0))</f>
        <v/>
      </c>
      <c r="AB150" s="26">
        <f>IF(B150="","",IF(COUNTIF(T150:Y150,"Fail")&gt;0,1,0))</f>
        <v/>
      </c>
      <c r="AC150" s="27">
        <f>IF(B150="","",0.1*Z150+0.8*AA150+0.1*AB150)</f>
        <v/>
      </c>
      <c r="AD150" s="27">
        <f>IF(B150="","",IF(C150="Batch 1",0.3,0.2))</f>
        <v/>
      </c>
      <c r="AE150" s="19">
        <f>IF(B150="","",IF(AC150&lt;=AD150,"Đạt","Không đạt"))</f>
        <v/>
      </c>
      <c r="AF150" s="28" t="n"/>
    </row>
    <row r="151" ht="30" customHeight="1" s="36">
      <c r="A151" s="17" t="n">
        <v>149</v>
      </c>
      <c r="B151" s="18" t="n"/>
      <c r="C151" s="17" t="n"/>
      <c r="D151" s="17" t="n"/>
      <c r="E151" s="17" t="n"/>
      <c r="F151" s="26" t="n"/>
      <c r="G151" s="26" t="n"/>
      <c r="H151" s="26" t="n"/>
      <c r="I151" s="26" t="n"/>
      <c r="J151" s="26" t="n"/>
      <c r="K151" s="26" t="n"/>
      <c r="L151" s="26" t="n"/>
      <c r="M151" s="26" t="n"/>
      <c r="N151" s="26" t="n"/>
      <c r="O151" s="26" t="n"/>
      <c r="P151" s="26" t="n"/>
      <c r="Q151" s="26" t="n"/>
      <c r="R151" s="26" t="n"/>
      <c r="S151" s="26" t="n"/>
      <c r="T151" s="26" t="n"/>
      <c r="U151" s="26" t="n"/>
      <c r="V151" s="26" t="n"/>
      <c r="W151" s="26" t="n"/>
      <c r="X151" s="26" t="n"/>
      <c r="Y151" s="26" t="n"/>
      <c r="Z151" s="26">
        <f>IF(B151="","",IF(COUNTIF(F151:G151,"Fail")&gt;0,1,0))</f>
        <v/>
      </c>
      <c r="AA151" s="26">
        <f>IF(B151="","",IF(COUNTIF(H151:S151,"Fail")&gt;0,1,0))</f>
        <v/>
      </c>
      <c r="AB151" s="26">
        <f>IF(B151="","",IF(COUNTIF(T151:Y151,"Fail")&gt;0,1,0))</f>
        <v/>
      </c>
      <c r="AC151" s="27">
        <f>IF(B151="","",0.1*Z151+0.8*AA151+0.1*AB151)</f>
        <v/>
      </c>
      <c r="AD151" s="27">
        <f>IF(B151="","",IF(C151="Batch 1",0.3,0.2))</f>
        <v/>
      </c>
      <c r="AE151" s="19">
        <f>IF(B151="","",IF(AC151&lt;=AD151,"Đạt","Không đạt"))</f>
        <v/>
      </c>
      <c r="AF151" s="28" t="n"/>
    </row>
    <row r="152" ht="30" customHeight="1" s="36">
      <c r="A152" s="17" t="n">
        <v>150</v>
      </c>
      <c r="B152" s="18" t="n"/>
      <c r="C152" s="17" t="n"/>
      <c r="D152" s="17" t="n"/>
      <c r="E152" s="17" t="n"/>
      <c r="F152" s="26" t="n"/>
      <c r="G152" s="26" t="n"/>
      <c r="H152" s="26" t="n"/>
      <c r="I152" s="26" t="n"/>
      <c r="J152" s="26" t="n"/>
      <c r="K152" s="26" t="n"/>
      <c r="L152" s="26" t="n"/>
      <c r="M152" s="26" t="n"/>
      <c r="N152" s="26" t="n"/>
      <c r="O152" s="26" t="n"/>
      <c r="P152" s="26" t="n"/>
      <c r="Q152" s="26" t="n"/>
      <c r="R152" s="26" t="n"/>
      <c r="S152" s="26" t="n"/>
      <c r="T152" s="26" t="n"/>
      <c r="U152" s="26" t="n"/>
      <c r="V152" s="26" t="n"/>
      <c r="W152" s="26" t="n"/>
      <c r="X152" s="26" t="n"/>
      <c r="Y152" s="26" t="n"/>
      <c r="Z152" s="26">
        <f>IF(B152="","",IF(COUNTIF(F152:G152,"Fail")&gt;0,1,0))</f>
        <v/>
      </c>
      <c r="AA152" s="26">
        <f>IF(B152="","",IF(COUNTIF(H152:S152,"Fail")&gt;0,1,0))</f>
        <v/>
      </c>
      <c r="AB152" s="26">
        <f>IF(B152="","",IF(COUNTIF(T152:Y152,"Fail")&gt;0,1,0))</f>
        <v/>
      </c>
      <c r="AC152" s="27">
        <f>IF(B152="","",0.1*Z152+0.8*AA152+0.1*AB152)</f>
        <v/>
      </c>
      <c r="AD152" s="27">
        <f>IF(B152="","",IF(C152="Batch 1",0.3,0.2))</f>
        <v/>
      </c>
      <c r="AE152" s="19">
        <f>IF(B152="","",IF(AC152&lt;=AD152,"Đạt","Không đạt"))</f>
        <v/>
      </c>
      <c r="AF152" s="28" t="n"/>
    </row>
    <row r="153" ht="30" customHeight="1" s="36">
      <c r="A153" s="17" t="n">
        <v>151</v>
      </c>
      <c r="B153" s="18" t="n"/>
      <c r="C153" s="17" t="n"/>
      <c r="D153" s="17" t="n"/>
      <c r="E153" s="17" t="n"/>
      <c r="F153" s="26" t="n"/>
      <c r="G153" s="26" t="n"/>
      <c r="H153" s="26" t="n"/>
      <c r="I153" s="26" t="n"/>
      <c r="J153" s="26" t="n"/>
      <c r="K153" s="26" t="n"/>
      <c r="L153" s="26" t="n"/>
      <c r="M153" s="26" t="n"/>
      <c r="N153" s="26" t="n"/>
      <c r="O153" s="26" t="n"/>
      <c r="P153" s="26" t="n"/>
      <c r="Q153" s="26" t="n"/>
      <c r="R153" s="26" t="n"/>
      <c r="S153" s="26" t="n"/>
      <c r="T153" s="26" t="n"/>
      <c r="U153" s="26" t="n"/>
      <c r="V153" s="26" t="n"/>
      <c r="W153" s="26" t="n"/>
      <c r="X153" s="26" t="n"/>
      <c r="Y153" s="26" t="n"/>
      <c r="Z153" s="26">
        <f>IF(B153="","",IF(COUNTIF(F153:G153,"Fail")&gt;0,1,0))</f>
        <v/>
      </c>
      <c r="AA153" s="26">
        <f>IF(B153="","",IF(COUNTIF(H153:S153,"Fail")&gt;0,1,0))</f>
        <v/>
      </c>
      <c r="AB153" s="26">
        <f>IF(B153="","",IF(COUNTIF(T153:Y153,"Fail")&gt;0,1,0))</f>
        <v/>
      </c>
      <c r="AC153" s="27">
        <f>IF(B153="","",0.1*Z153+0.8*AA153+0.1*AB153)</f>
        <v/>
      </c>
      <c r="AD153" s="27">
        <f>IF(B153="","",IF(C153="Batch 1",0.3,0.2))</f>
        <v/>
      </c>
      <c r="AE153" s="19">
        <f>IF(B153="","",IF(AC153&lt;=AD153,"Đạt","Không đạt"))</f>
        <v/>
      </c>
      <c r="AF153" s="28" t="n"/>
    </row>
    <row r="154" ht="30" customHeight="1" s="36">
      <c r="A154" s="17" t="n">
        <v>152</v>
      </c>
      <c r="B154" s="18" t="n"/>
      <c r="C154" s="17" t="n"/>
      <c r="D154" s="17" t="n"/>
      <c r="E154" s="17" t="n"/>
      <c r="F154" s="26" t="n"/>
      <c r="G154" s="26" t="n"/>
      <c r="H154" s="26" t="n"/>
      <c r="I154" s="26" t="n"/>
      <c r="J154" s="26" t="n"/>
      <c r="K154" s="26" t="n"/>
      <c r="L154" s="26" t="n"/>
      <c r="M154" s="26" t="n"/>
      <c r="N154" s="26" t="n"/>
      <c r="O154" s="26" t="n"/>
      <c r="P154" s="26" t="n"/>
      <c r="Q154" s="26" t="n"/>
      <c r="R154" s="26" t="n"/>
      <c r="S154" s="26" t="n"/>
      <c r="T154" s="26" t="n"/>
      <c r="U154" s="26" t="n"/>
      <c r="V154" s="26" t="n"/>
      <c r="W154" s="26" t="n"/>
      <c r="X154" s="26" t="n"/>
      <c r="Y154" s="26" t="n"/>
      <c r="Z154" s="26">
        <f>IF(B154="","",IF(COUNTIF(F154:G154,"Fail")&gt;0,1,0))</f>
        <v/>
      </c>
      <c r="AA154" s="26">
        <f>IF(B154="","",IF(COUNTIF(H154:S154,"Fail")&gt;0,1,0))</f>
        <v/>
      </c>
      <c r="AB154" s="26">
        <f>IF(B154="","",IF(COUNTIF(T154:Y154,"Fail")&gt;0,1,0))</f>
        <v/>
      </c>
      <c r="AC154" s="27">
        <f>IF(B154="","",0.1*Z154+0.8*AA154+0.1*AB154)</f>
        <v/>
      </c>
      <c r="AD154" s="27">
        <f>IF(B154="","",IF(C154="Batch 1",0.3,0.2))</f>
        <v/>
      </c>
      <c r="AE154" s="19">
        <f>IF(B154="","",IF(AC154&lt;=AD154,"Đạt","Không đạt"))</f>
        <v/>
      </c>
      <c r="AF154" s="28" t="n"/>
    </row>
    <row r="155" ht="30" customHeight="1" s="36">
      <c r="A155" s="17" t="n">
        <v>153</v>
      </c>
      <c r="B155" s="18" t="n"/>
      <c r="C155" s="17" t="n"/>
      <c r="D155" s="17" t="n"/>
      <c r="E155" s="17" t="n"/>
      <c r="F155" s="26" t="n"/>
      <c r="G155" s="26" t="n"/>
      <c r="H155" s="26" t="n"/>
      <c r="I155" s="26" t="n"/>
      <c r="J155" s="26" t="n"/>
      <c r="K155" s="26" t="n"/>
      <c r="L155" s="26" t="n"/>
      <c r="M155" s="26" t="n"/>
      <c r="N155" s="26" t="n"/>
      <c r="O155" s="26" t="n"/>
      <c r="P155" s="26" t="n"/>
      <c r="Q155" s="26" t="n"/>
      <c r="R155" s="26" t="n"/>
      <c r="S155" s="26" t="n"/>
      <c r="T155" s="26" t="n"/>
      <c r="U155" s="26" t="n"/>
      <c r="V155" s="26" t="n"/>
      <c r="W155" s="26" t="n"/>
      <c r="X155" s="26" t="n"/>
      <c r="Y155" s="26" t="n"/>
      <c r="Z155" s="26">
        <f>IF(B155="","",IF(COUNTIF(F155:G155,"Fail")&gt;0,1,0))</f>
        <v/>
      </c>
      <c r="AA155" s="26">
        <f>IF(B155="","",IF(COUNTIF(H155:S155,"Fail")&gt;0,1,0))</f>
        <v/>
      </c>
      <c r="AB155" s="26">
        <f>IF(B155="","",IF(COUNTIF(T155:Y155,"Fail")&gt;0,1,0))</f>
        <v/>
      </c>
      <c r="AC155" s="27">
        <f>IF(B155="","",0.1*Z155+0.8*AA155+0.1*AB155)</f>
        <v/>
      </c>
      <c r="AD155" s="27">
        <f>IF(B155="","",IF(C155="Batch 1",0.3,0.2))</f>
        <v/>
      </c>
      <c r="AE155" s="19">
        <f>IF(B155="","",IF(AC155&lt;=AD155,"Đạt","Không đạt"))</f>
        <v/>
      </c>
      <c r="AF155" s="28" t="n"/>
    </row>
    <row r="156" ht="30" customHeight="1" s="36">
      <c r="A156" s="17" t="n">
        <v>154</v>
      </c>
      <c r="B156" s="18" t="n"/>
      <c r="C156" s="17" t="n"/>
      <c r="D156" s="17" t="n"/>
      <c r="E156" s="17" t="n"/>
      <c r="F156" s="26" t="n"/>
      <c r="G156" s="26" t="n"/>
      <c r="H156" s="26" t="n"/>
      <c r="I156" s="26" t="n"/>
      <c r="J156" s="26" t="n"/>
      <c r="K156" s="26" t="n"/>
      <c r="L156" s="26" t="n"/>
      <c r="M156" s="26" t="n"/>
      <c r="N156" s="26" t="n"/>
      <c r="O156" s="26" t="n"/>
      <c r="P156" s="26" t="n"/>
      <c r="Q156" s="26" t="n"/>
      <c r="R156" s="26" t="n"/>
      <c r="S156" s="26" t="n"/>
      <c r="T156" s="26" t="n"/>
      <c r="U156" s="26" t="n"/>
      <c r="V156" s="26" t="n"/>
      <c r="W156" s="26" t="n"/>
      <c r="X156" s="26" t="n"/>
      <c r="Y156" s="26" t="n"/>
      <c r="Z156" s="26">
        <f>IF(B156="","",IF(COUNTIF(F156:G156,"Fail")&gt;0,1,0))</f>
        <v/>
      </c>
      <c r="AA156" s="26">
        <f>IF(B156="","",IF(COUNTIF(H156:S156,"Fail")&gt;0,1,0))</f>
        <v/>
      </c>
      <c r="AB156" s="26">
        <f>IF(B156="","",IF(COUNTIF(T156:Y156,"Fail")&gt;0,1,0))</f>
        <v/>
      </c>
      <c r="AC156" s="27">
        <f>IF(B156="","",0.1*Z156+0.8*AA156+0.1*AB156)</f>
        <v/>
      </c>
      <c r="AD156" s="27">
        <f>IF(B156="","",IF(C156="Batch 1",0.3,0.2))</f>
        <v/>
      </c>
      <c r="AE156" s="19">
        <f>IF(B156="","",IF(AC156&lt;=AD156,"Đạt","Không đạt"))</f>
        <v/>
      </c>
      <c r="AF156" s="28" t="n"/>
    </row>
    <row r="157" ht="30" customHeight="1" s="36">
      <c r="A157" s="17" t="n">
        <v>155</v>
      </c>
      <c r="B157" s="18" t="n"/>
      <c r="C157" s="17" t="n"/>
      <c r="D157" s="17" t="n"/>
      <c r="E157" s="17" t="n"/>
      <c r="F157" s="26" t="n"/>
      <c r="G157" s="26" t="n"/>
      <c r="H157" s="26" t="n"/>
      <c r="I157" s="26" t="n"/>
      <c r="J157" s="26" t="n"/>
      <c r="K157" s="26" t="n"/>
      <c r="L157" s="26" t="n"/>
      <c r="M157" s="26" t="n"/>
      <c r="N157" s="26" t="n"/>
      <c r="O157" s="26" t="n"/>
      <c r="P157" s="26" t="n"/>
      <c r="Q157" s="26" t="n"/>
      <c r="R157" s="26" t="n"/>
      <c r="S157" s="26" t="n"/>
      <c r="T157" s="26" t="n"/>
      <c r="U157" s="26" t="n"/>
      <c r="V157" s="26" t="n"/>
      <c r="W157" s="26" t="n"/>
      <c r="X157" s="26" t="n"/>
      <c r="Y157" s="26" t="n"/>
      <c r="Z157" s="26">
        <f>IF(B157="","",IF(COUNTIF(F157:G157,"Fail")&gt;0,1,0))</f>
        <v/>
      </c>
      <c r="AA157" s="26">
        <f>IF(B157="","",IF(COUNTIF(H157:S157,"Fail")&gt;0,1,0))</f>
        <v/>
      </c>
      <c r="AB157" s="26">
        <f>IF(B157="","",IF(COUNTIF(T157:Y157,"Fail")&gt;0,1,0))</f>
        <v/>
      </c>
      <c r="AC157" s="27">
        <f>IF(B157="","",0.1*Z157+0.8*AA157+0.1*AB157)</f>
        <v/>
      </c>
      <c r="AD157" s="27">
        <f>IF(B157="","",IF(C157="Batch 1",0.3,0.2))</f>
        <v/>
      </c>
      <c r="AE157" s="19">
        <f>IF(B157="","",IF(AC157&lt;=AD157,"Đạt","Không đạt"))</f>
        <v/>
      </c>
      <c r="AF157" s="28" t="n"/>
    </row>
    <row r="158" ht="30" customHeight="1" s="36">
      <c r="A158" s="17" t="n">
        <v>156</v>
      </c>
      <c r="B158" s="18" t="n"/>
      <c r="C158" s="17" t="n"/>
      <c r="D158" s="17" t="n"/>
      <c r="E158" s="17" t="n"/>
      <c r="F158" s="26" t="n"/>
      <c r="G158" s="26" t="n"/>
      <c r="H158" s="26" t="n"/>
      <c r="I158" s="26" t="n"/>
      <c r="J158" s="26" t="n"/>
      <c r="K158" s="26" t="n"/>
      <c r="L158" s="26" t="n"/>
      <c r="M158" s="26" t="n"/>
      <c r="N158" s="26" t="n"/>
      <c r="O158" s="26" t="n"/>
      <c r="P158" s="26" t="n"/>
      <c r="Q158" s="26" t="n"/>
      <c r="R158" s="26" t="n"/>
      <c r="S158" s="26" t="n"/>
      <c r="T158" s="26" t="n"/>
      <c r="U158" s="26" t="n"/>
      <c r="V158" s="26" t="n"/>
      <c r="W158" s="26" t="n"/>
      <c r="X158" s="26" t="n"/>
      <c r="Y158" s="26" t="n"/>
      <c r="Z158" s="26">
        <f>IF(B158="","",IF(COUNTIF(F158:G158,"Fail")&gt;0,1,0))</f>
        <v/>
      </c>
      <c r="AA158" s="26">
        <f>IF(B158="","",IF(COUNTIF(H158:S158,"Fail")&gt;0,1,0))</f>
        <v/>
      </c>
      <c r="AB158" s="26">
        <f>IF(B158="","",IF(COUNTIF(T158:Y158,"Fail")&gt;0,1,0))</f>
        <v/>
      </c>
      <c r="AC158" s="27">
        <f>IF(B158="","",0.1*Z158+0.8*AA158+0.1*AB158)</f>
        <v/>
      </c>
      <c r="AD158" s="27">
        <f>IF(B158="","",IF(C158="Batch 1",0.3,0.2))</f>
        <v/>
      </c>
      <c r="AE158" s="19">
        <f>IF(B158="","",IF(AC158&lt;=AD158,"Đạt","Không đạt"))</f>
        <v/>
      </c>
      <c r="AF158" s="28" t="n"/>
    </row>
    <row r="159" ht="30" customHeight="1" s="36">
      <c r="A159" s="17" t="n">
        <v>157</v>
      </c>
      <c r="B159" s="18" t="n"/>
      <c r="C159" s="17" t="n"/>
      <c r="D159" s="17" t="n"/>
      <c r="E159" s="17" t="n"/>
      <c r="F159" s="26" t="n"/>
      <c r="G159" s="26" t="n"/>
      <c r="H159" s="26" t="n"/>
      <c r="I159" s="26" t="n"/>
      <c r="J159" s="26" t="n"/>
      <c r="K159" s="26" t="n"/>
      <c r="L159" s="26" t="n"/>
      <c r="M159" s="26" t="n"/>
      <c r="N159" s="26" t="n"/>
      <c r="O159" s="26" t="n"/>
      <c r="P159" s="26" t="n"/>
      <c r="Q159" s="26" t="n"/>
      <c r="R159" s="26" t="n"/>
      <c r="S159" s="26" t="n"/>
      <c r="T159" s="26" t="n"/>
      <c r="U159" s="26" t="n"/>
      <c r="V159" s="26" t="n"/>
      <c r="W159" s="26" t="n"/>
      <c r="X159" s="26" t="n"/>
      <c r="Y159" s="26" t="n"/>
      <c r="Z159" s="26">
        <f>IF(B159="","",IF(COUNTIF(F159:G159,"Fail")&gt;0,1,0))</f>
        <v/>
      </c>
      <c r="AA159" s="26">
        <f>IF(B159="","",IF(COUNTIF(H159:S159,"Fail")&gt;0,1,0))</f>
        <v/>
      </c>
      <c r="AB159" s="26">
        <f>IF(B159="","",IF(COUNTIF(T159:Y159,"Fail")&gt;0,1,0))</f>
        <v/>
      </c>
      <c r="AC159" s="27">
        <f>IF(B159="","",0.1*Z159+0.8*AA159+0.1*AB159)</f>
        <v/>
      </c>
      <c r="AD159" s="27">
        <f>IF(B159="","",IF(C159="Batch 1",0.3,0.2))</f>
        <v/>
      </c>
      <c r="AE159" s="19">
        <f>IF(B159="","",IF(AC159&lt;=AD159,"Đạt","Không đạt"))</f>
        <v/>
      </c>
      <c r="AF159" s="28" t="n"/>
    </row>
    <row r="160" ht="30" customHeight="1" s="36">
      <c r="A160" s="17" t="n">
        <v>158</v>
      </c>
      <c r="B160" s="18" t="n"/>
      <c r="C160" s="17" t="n"/>
      <c r="D160" s="17" t="n"/>
      <c r="E160" s="17" t="n"/>
      <c r="F160" s="26" t="n"/>
      <c r="G160" s="26" t="n"/>
      <c r="H160" s="26" t="n"/>
      <c r="I160" s="26" t="n"/>
      <c r="J160" s="26" t="n"/>
      <c r="K160" s="26" t="n"/>
      <c r="L160" s="26" t="n"/>
      <c r="M160" s="26" t="n"/>
      <c r="N160" s="26" t="n"/>
      <c r="O160" s="26" t="n"/>
      <c r="P160" s="26" t="n"/>
      <c r="Q160" s="26" t="n"/>
      <c r="R160" s="26" t="n"/>
      <c r="S160" s="26" t="n"/>
      <c r="T160" s="26" t="n"/>
      <c r="U160" s="26" t="n"/>
      <c r="V160" s="26" t="n"/>
      <c r="W160" s="26" t="n"/>
      <c r="X160" s="26" t="n"/>
      <c r="Y160" s="26" t="n"/>
      <c r="Z160" s="26">
        <f>IF(B160="","",IF(COUNTIF(F160:G160,"Fail")&gt;0,1,0))</f>
        <v/>
      </c>
      <c r="AA160" s="26">
        <f>IF(B160="","",IF(COUNTIF(H160:S160,"Fail")&gt;0,1,0))</f>
        <v/>
      </c>
      <c r="AB160" s="26">
        <f>IF(B160="","",IF(COUNTIF(T160:Y160,"Fail")&gt;0,1,0))</f>
        <v/>
      </c>
      <c r="AC160" s="27">
        <f>IF(B160="","",0.1*Z160+0.8*AA160+0.1*AB160)</f>
        <v/>
      </c>
      <c r="AD160" s="27">
        <f>IF(B160="","",IF(C160="Batch 1",0.3,0.2))</f>
        <v/>
      </c>
      <c r="AE160" s="19">
        <f>IF(B160="","",IF(AC160&lt;=AD160,"Đạt","Không đạt"))</f>
        <v/>
      </c>
      <c r="AF160" s="28" t="n"/>
    </row>
    <row r="161" ht="30" customHeight="1" s="36">
      <c r="A161" s="17" t="n">
        <v>159</v>
      </c>
      <c r="B161" s="18" t="n"/>
      <c r="C161" s="17" t="n"/>
      <c r="D161" s="17" t="n"/>
      <c r="E161" s="17" t="n"/>
      <c r="F161" s="26" t="n"/>
      <c r="G161" s="26" t="n"/>
      <c r="H161" s="26" t="n"/>
      <c r="I161" s="26" t="n"/>
      <c r="J161" s="26" t="n"/>
      <c r="K161" s="26" t="n"/>
      <c r="L161" s="26" t="n"/>
      <c r="M161" s="26" t="n"/>
      <c r="N161" s="26" t="n"/>
      <c r="O161" s="26" t="n"/>
      <c r="P161" s="26" t="n"/>
      <c r="Q161" s="26" t="n"/>
      <c r="R161" s="26" t="n"/>
      <c r="S161" s="26" t="n"/>
      <c r="T161" s="26" t="n"/>
      <c r="U161" s="26" t="n"/>
      <c r="V161" s="26" t="n"/>
      <c r="W161" s="26" t="n"/>
      <c r="X161" s="26" t="n"/>
      <c r="Y161" s="26" t="n"/>
      <c r="Z161" s="26">
        <f>IF(B161="","",IF(COUNTIF(F161:G161,"Fail")&gt;0,1,0))</f>
        <v/>
      </c>
      <c r="AA161" s="26">
        <f>IF(B161="","",IF(COUNTIF(H161:S161,"Fail")&gt;0,1,0))</f>
        <v/>
      </c>
      <c r="AB161" s="26">
        <f>IF(B161="","",IF(COUNTIF(T161:Y161,"Fail")&gt;0,1,0))</f>
        <v/>
      </c>
      <c r="AC161" s="27">
        <f>IF(B161="","",0.1*Z161+0.8*AA161+0.1*AB161)</f>
        <v/>
      </c>
      <c r="AD161" s="27">
        <f>IF(B161="","",IF(C161="Batch 1",0.3,0.2))</f>
        <v/>
      </c>
      <c r="AE161" s="19">
        <f>IF(B161="","",IF(AC161&lt;=AD161,"Đạt","Không đạt"))</f>
        <v/>
      </c>
      <c r="AF161" s="28" t="n"/>
    </row>
    <row r="162" ht="30" customHeight="1" s="36">
      <c r="A162" s="17" t="n">
        <v>160</v>
      </c>
      <c r="B162" s="18" t="n"/>
      <c r="C162" s="17" t="n"/>
      <c r="D162" s="17" t="n"/>
      <c r="E162" s="17" t="n"/>
      <c r="F162" s="26" t="n"/>
      <c r="G162" s="26" t="n"/>
      <c r="H162" s="26" t="n"/>
      <c r="I162" s="26" t="n"/>
      <c r="J162" s="26" t="n"/>
      <c r="K162" s="26" t="n"/>
      <c r="L162" s="26" t="n"/>
      <c r="M162" s="26" t="n"/>
      <c r="N162" s="26" t="n"/>
      <c r="O162" s="26" t="n"/>
      <c r="P162" s="26" t="n"/>
      <c r="Q162" s="26" t="n"/>
      <c r="R162" s="26" t="n"/>
      <c r="S162" s="26" t="n"/>
      <c r="T162" s="26" t="n"/>
      <c r="U162" s="26" t="n"/>
      <c r="V162" s="26" t="n"/>
      <c r="W162" s="26" t="n"/>
      <c r="X162" s="26" t="n"/>
      <c r="Y162" s="26" t="n"/>
      <c r="Z162" s="26">
        <f>IF(B162="","",IF(COUNTIF(F162:G162,"Fail")&gt;0,1,0))</f>
        <v/>
      </c>
      <c r="AA162" s="26">
        <f>IF(B162="","",IF(COUNTIF(H162:S162,"Fail")&gt;0,1,0))</f>
        <v/>
      </c>
      <c r="AB162" s="26">
        <f>IF(B162="","",IF(COUNTIF(T162:Y162,"Fail")&gt;0,1,0))</f>
        <v/>
      </c>
      <c r="AC162" s="27">
        <f>IF(B162="","",0.1*Z162+0.8*AA162+0.1*AB162)</f>
        <v/>
      </c>
      <c r="AD162" s="27">
        <f>IF(B162="","",IF(C162="Batch 1",0.3,0.2))</f>
        <v/>
      </c>
      <c r="AE162" s="19">
        <f>IF(B162="","",IF(AC162&lt;=AD162,"Đạt","Không đạt"))</f>
        <v/>
      </c>
      <c r="AF162" s="28" t="n"/>
    </row>
    <row r="163" ht="30" customHeight="1" s="36">
      <c r="A163" s="17" t="n">
        <v>161</v>
      </c>
      <c r="B163" s="18" t="n"/>
      <c r="C163" s="17" t="n"/>
      <c r="D163" s="17" t="n"/>
      <c r="E163" s="17" t="n"/>
      <c r="F163" s="26" t="n"/>
      <c r="G163" s="26" t="n"/>
      <c r="H163" s="26" t="n"/>
      <c r="I163" s="26" t="n"/>
      <c r="J163" s="26" t="n"/>
      <c r="K163" s="26" t="n"/>
      <c r="L163" s="26" t="n"/>
      <c r="M163" s="26" t="n"/>
      <c r="N163" s="26" t="n"/>
      <c r="O163" s="26" t="n"/>
      <c r="P163" s="26" t="n"/>
      <c r="Q163" s="26" t="n"/>
      <c r="R163" s="26" t="n"/>
      <c r="S163" s="26" t="n"/>
      <c r="T163" s="26" t="n"/>
      <c r="U163" s="26" t="n"/>
      <c r="V163" s="26" t="n"/>
      <c r="W163" s="26" t="n"/>
      <c r="X163" s="26" t="n"/>
      <c r="Y163" s="26" t="n"/>
      <c r="Z163" s="26">
        <f>IF(B163="","",IF(COUNTIF(F163:G163,"Fail")&gt;0,1,0))</f>
        <v/>
      </c>
      <c r="AA163" s="26">
        <f>IF(B163="","",IF(COUNTIF(H163:S163,"Fail")&gt;0,1,0))</f>
        <v/>
      </c>
      <c r="AB163" s="26">
        <f>IF(B163="","",IF(COUNTIF(T163:Y163,"Fail")&gt;0,1,0))</f>
        <v/>
      </c>
      <c r="AC163" s="27">
        <f>IF(B163="","",0.1*Z163+0.8*AA163+0.1*AB163)</f>
        <v/>
      </c>
      <c r="AD163" s="27">
        <f>IF(B163="","",IF(C163="Batch 1",0.3,0.2))</f>
        <v/>
      </c>
      <c r="AE163" s="19">
        <f>IF(B163="","",IF(AC163&lt;=AD163,"Đạt","Không đạt"))</f>
        <v/>
      </c>
      <c r="AF163" s="28" t="n"/>
    </row>
    <row r="164" ht="30" customHeight="1" s="36">
      <c r="A164" s="17" t="n">
        <v>162</v>
      </c>
      <c r="B164" s="18" t="n"/>
      <c r="C164" s="17" t="n"/>
      <c r="D164" s="17" t="n"/>
      <c r="E164" s="17" t="n"/>
      <c r="F164" s="26" t="n"/>
      <c r="G164" s="26" t="n"/>
      <c r="H164" s="26" t="n"/>
      <c r="I164" s="26" t="n"/>
      <c r="J164" s="26" t="n"/>
      <c r="K164" s="26" t="n"/>
      <c r="L164" s="26" t="n"/>
      <c r="M164" s="26" t="n"/>
      <c r="N164" s="26" t="n"/>
      <c r="O164" s="26" t="n"/>
      <c r="P164" s="26" t="n"/>
      <c r="Q164" s="26" t="n"/>
      <c r="R164" s="26" t="n"/>
      <c r="S164" s="26" t="n"/>
      <c r="T164" s="26" t="n"/>
      <c r="U164" s="26" t="n"/>
      <c r="V164" s="26" t="n"/>
      <c r="W164" s="26" t="n"/>
      <c r="X164" s="26" t="n"/>
      <c r="Y164" s="26" t="n"/>
      <c r="Z164" s="26">
        <f>IF(B164="","",IF(COUNTIF(F164:G164,"Fail")&gt;0,1,0))</f>
        <v/>
      </c>
      <c r="AA164" s="26">
        <f>IF(B164="","",IF(COUNTIF(H164:S164,"Fail")&gt;0,1,0))</f>
        <v/>
      </c>
      <c r="AB164" s="26">
        <f>IF(B164="","",IF(COUNTIF(T164:Y164,"Fail")&gt;0,1,0))</f>
        <v/>
      </c>
      <c r="AC164" s="27">
        <f>IF(B164="","",0.1*Z164+0.8*AA164+0.1*AB164)</f>
        <v/>
      </c>
      <c r="AD164" s="27">
        <f>IF(B164="","",IF(C164="Batch 1",0.3,0.2))</f>
        <v/>
      </c>
      <c r="AE164" s="19">
        <f>IF(B164="","",IF(AC164&lt;=AD164,"Đạt","Không đạt"))</f>
        <v/>
      </c>
      <c r="AF164" s="28" t="n"/>
    </row>
    <row r="165" ht="30" customHeight="1" s="36">
      <c r="A165" s="17" t="n">
        <v>163</v>
      </c>
      <c r="B165" s="18" t="n"/>
      <c r="C165" s="17" t="n"/>
      <c r="D165" s="17" t="n"/>
      <c r="E165" s="17" t="n"/>
      <c r="F165" s="26" t="n"/>
      <c r="G165" s="26" t="n"/>
      <c r="H165" s="26" t="n"/>
      <c r="I165" s="26" t="n"/>
      <c r="J165" s="26" t="n"/>
      <c r="K165" s="26" t="n"/>
      <c r="L165" s="26" t="n"/>
      <c r="M165" s="26" t="n"/>
      <c r="N165" s="26" t="n"/>
      <c r="O165" s="26" t="n"/>
      <c r="P165" s="26" t="n"/>
      <c r="Q165" s="26" t="n"/>
      <c r="R165" s="26" t="n"/>
      <c r="S165" s="26" t="n"/>
      <c r="T165" s="26" t="n"/>
      <c r="U165" s="26" t="n"/>
      <c r="V165" s="26" t="n"/>
      <c r="W165" s="26" t="n"/>
      <c r="X165" s="26" t="n"/>
      <c r="Y165" s="26" t="n"/>
      <c r="Z165" s="26">
        <f>IF(B165="","",IF(COUNTIF(F165:G165,"Fail")&gt;0,1,0))</f>
        <v/>
      </c>
      <c r="AA165" s="26">
        <f>IF(B165="","",IF(COUNTIF(H165:S165,"Fail")&gt;0,1,0))</f>
        <v/>
      </c>
      <c r="AB165" s="26">
        <f>IF(B165="","",IF(COUNTIF(T165:Y165,"Fail")&gt;0,1,0))</f>
        <v/>
      </c>
      <c r="AC165" s="27">
        <f>IF(B165="","",0.1*Z165+0.8*AA165+0.1*AB165)</f>
        <v/>
      </c>
      <c r="AD165" s="27">
        <f>IF(B165="","",IF(C165="Batch 1",0.3,0.2))</f>
        <v/>
      </c>
      <c r="AE165" s="19">
        <f>IF(B165="","",IF(AC165&lt;=AD165,"Đạt","Không đạt"))</f>
        <v/>
      </c>
      <c r="AF165" s="28" t="n"/>
    </row>
    <row r="166" ht="30" customHeight="1" s="36">
      <c r="A166" s="17" t="n">
        <v>164</v>
      </c>
      <c r="B166" s="18" t="n"/>
      <c r="C166" s="17" t="n"/>
      <c r="D166" s="17" t="n"/>
      <c r="E166" s="17" t="n"/>
      <c r="F166" s="26" t="n"/>
      <c r="G166" s="26" t="n"/>
      <c r="H166" s="26" t="n"/>
      <c r="I166" s="26" t="n"/>
      <c r="J166" s="26" t="n"/>
      <c r="K166" s="26" t="n"/>
      <c r="L166" s="26" t="n"/>
      <c r="M166" s="26" t="n"/>
      <c r="N166" s="26" t="n"/>
      <c r="O166" s="26" t="n"/>
      <c r="P166" s="26" t="n"/>
      <c r="Q166" s="26" t="n"/>
      <c r="R166" s="26" t="n"/>
      <c r="S166" s="26" t="n"/>
      <c r="T166" s="26" t="n"/>
      <c r="U166" s="26" t="n"/>
      <c r="V166" s="26" t="n"/>
      <c r="W166" s="26" t="n"/>
      <c r="X166" s="26" t="n"/>
      <c r="Y166" s="26" t="n"/>
      <c r="Z166" s="26">
        <f>IF(B166="","",IF(COUNTIF(F166:G166,"Fail")&gt;0,1,0))</f>
        <v/>
      </c>
      <c r="AA166" s="26">
        <f>IF(B166="","",IF(COUNTIF(H166:S166,"Fail")&gt;0,1,0))</f>
        <v/>
      </c>
      <c r="AB166" s="26">
        <f>IF(B166="","",IF(COUNTIF(T166:Y166,"Fail")&gt;0,1,0))</f>
        <v/>
      </c>
      <c r="AC166" s="27">
        <f>IF(B166="","",0.1*Z166+0.8*AA166+0.1*AB166)</f>
        <v/>
      </c>
      <c r="AD166" s="27">
        <f>IF(B166="","",IF(C166="Batch 1",0.3,0.2))</f>
        <v/>
      </c>
      <c r="AE166" s="19">
        <f>IF(B166="","",IF(AC166&lt;=AD166,"Đạt","Không đạt"))</f>
        <v/>
      </c>
      <c r="AF166" s="28" t="n"/>
    </row>
    <row r="167" ht="30" customHeight="1" s="36">
      <c r="A167" s="17" t="n">
        <v>165</v>
      </c>
      <c r="B167" s="18" t="n"/>
      <c r="C167" s="17" t="n"/>
      <c r="D167" s="17" t="n"/>
      <c r="E167" s="17" t="n"/>
      <c r="F167" s="26" t="n"/>
      <c r="G167" s="26" t="n"/>
      <c r="H167" s="26" t="n"/>
      <c r="I167" s="26" t="n"/>
      <c r="J167" s="26" t="n"/>
      <c r="K167" s="26" t="n"/>
      <c r="L167" s="26" t="n"/>
      <c r="M167" s="26" t="n"/>
      <c r="N167" s="26" t="n"/>
      <c r="O167" s="26" t="n"/>
      <c r="P167" s="26" t="n"/>
      <c r="Q167" s="26" t="n"/>
      <c r="R167" s="26" t="n"/>
      <c r="S167" s="26" t="n"/>
      <c r="T167" s="26" t="n"/>
      <c r="U167" s="26" t="n"/>
      <c r="V167" s="26" t="n"/>
      <c r="W167" s="26" t="n"/>
      <c r="X167" s="26" t="n"/>
      <c r="Y167" s="26" t="n"/>
      <c r="Z167" s="26">
        <f>IF(B167="","",IF(COUNTIF(F167:G167,"Fail")&gt;0,1,0))</f>
        <v/>
      </c>
      <c r="AA167" s="26">
        <f>IF(B167="","",IF(COUNTIF(H167:S167,"Fail")&gt;0,1,0))</f>
        <v/>
      </c>
      <c r="AB167" s="26">
        <f>IF(B167="","",IF(COUNTIF(T167:Y167,"Fail")&gt;0,1,0))</f>
        <v/>
      </c>
      <c r="AC167" s="27">
        <f>IF(B167="","",0.1*Z167+0.8*AA167+0.1*AB167)</f>
        <v/>
      </c>
      <c r="AD167" s="27">
        <f>IF(B167="","",IF(C167="Batch 1",0.3,0.2))</f>
        <v/>
      </c>
      <c r="AE167" s="19">
        <f>IF(B167="","",IF(AC167&lt;=AD167,"Đạt","Không đạt"))</f>
        <v/>
      </c>
      <c r="AF167" s="28" t="n"/>
    </row>
    <row r="168" ht="30" customHeight="1" s="36">
      <c r="A168" s="17" t="n">
        <v>166</v>
      </c>
      <c r="B168" s="18" t="n"/>
      <c r="C168" s="17" t="n"/>
      <c r="D168" s="17" t="n"/>
      <c r="E168" s="17" t="n"/>
      <c r="F168" s="26" t="n"/>
      <c r="G168" s="26" t="n"/>
      <c r="H168" s="26" t="n"/>
      <c r="I168" s="26" t="n"/>
      <c r="J168" s="26" t="n"/>
      <c r="K168" s="26" t="n"/>
      <c r="L168" s="26" t="n"/>
      <c r="M168" s="26" t="n"/>
      <c r="N168" s="26" t="n"/>
      <c r="O168" s="26" t="n"/>
      <c r="P168" s="26" t="n"/>
      <c r="Q168" s="26" t="n"/>
      <c r="R168" s="26" t="n"/>
      <c r="S168" s="26" t="n"/>
      <c r="T168" s="26" t="n"/>
      <c r="U168" s="26" t="n"/>
      <c r="V168" s="26" t="n"/>
      <c r="W168" s="26" t="n"/>
      <c r="X168" s="26" t="n"/>
      <c r="Y168" s="26" t="n"/>
      <c r="Z168" s="26">
        <f>IF(B168="","",IF(COUNTIF(F168:G168,"Fail")&gt;0,1,0))</f>
        <v/>
      </c>
      <c r="AA168" s="26">
        <f>IF(B168="","",IF(COUNTIF(H168:S168,"Fail")&gt;0,1,0))</f>
        <v/>
      </c>
      <c r="AB168" s="26">
        <f>IF(B168="","",IF(COUNTIF(T168:Y168,"Fail")&gt;0,1,0))</f>
        <v/>
      </c>
      <c r="AC168" s="27">
        <f>IF(B168="","",0.1*Z168+0.8*AA168+0.1*AB168)</f>
        <v/>
      </c>
      <c r="AD168" s="27">
        <f>IF(B168="","",IF(C168="Batch 1",0.3,0.2))</f>
        <v/>
      </c>
      <c r="AE168" s="19">
        <f>IF(B168="","",IF(AC168&lt;=AD168,"Đạt","Không đạt"))</f>
        <v/>
      </c>
      <c r="AF168" s="28" t="n"/>
    </row>
    <row r="169" ht="30" customHeight="1" s="36">
      <c r="A169" s="17" t="n">
        <v>167</v>
      </c>
      <c r="B169" s="18" t="n"/>
      <c r="C169" s="17" t="n"/>
      <c r="D169" s="17" t="n"/>
      <c r="E169" s="17" t="n"/>
      <c r="F169" s="26" t="n"/>
      <c r="G169" s="26" t="n"/>
      <c r="H169" s="26" t="n"/>
      <c r="I169" s="26" t="n"/>
      <c r="J169" s="26" t="n"/>
      <c r="K169" s="26" t="n"/>
      <c r="L169" s="26" t="n"/>
      <c r="M169" s="26" t="n"/>
      <c r="N169" s="26" t="n"/>
      <c r="O169" s="26" t="n"/>
      <c r="P169" s="26" t="n"/>
      <c r="Q169" s="26" t="n"/>
      <c r="R169" s="26" t="n"/>
      <c r="S169" s="26" t="n"/>
      <c r="T169" s="26" t="n"/>
      <c r="U169" s="26" t="n"/>
      <c r="V169" s="26" t="n"/>
      <c r="W169" s="26" t="n"/>
      <c r="X169" s="26" t="n"/>
      <c r="Y169" s="26" t="n"/>
      <c r="Z169" s="26">
        <f>IF(B169="","",IF(COUNTIF(F169:G169,"Fail")&gt;0,1,0))</f>
        <v/>
      </c>
      <c r="AA169" s="26">
        <f>IF(B169="","",IF(COUNTIF(H169:S169,"Fail")&gt;0,1,0))</f>
        <v/>
      </c>
      <c r="AB169" s="26">
        <f>IF(B169="","",IF(COUNTIF(T169:Y169,"Fail")&gt;0,1,0))</f>
        <v/>
      </c>
      <c r="AC169" s="27">
        <f>IF(B169="","",0.1*Z169+0.8*AA169+0.1*AB169)</f>
        <v/>
      </c>
      <c r="AD169" s="27">
        <f>IF(B169="","",IF(C169="Batch 1",0.3,0.2))</f>
        <v/>
      </c>
      <c r="AE169" s="19">
        <f>IF(B169="","",IF(AC169&lt;=AD169,"Đạt","Không đạt"))</f>
        <v/>
      </c>
      <c r="AF169" s="28" t="n"/>
    </row>
    <row r="170" ht="30" customHeight="1" s="36">
      <c r="A170" s="17" t="n">
        <v>168</v>
      </c>
      <c r="B170" s="18" t="n"/>
      <c r="C170" s="17" t="n"/>
      <c r="D170" s="17" t="n"/>
      <c r="E170" s="17" t="n"/>
      <c r="F170" s="26" t="n"/>
      <c r="G170" s="26" t="n"/>
      <c r="H170" s="26" t="n"/>
      <c r="I170" s="26" t="n"/>
      <c r="J170" s="26" t="n"/>
      <c r="K170" s="26" t="n"/>
      <c r="L170" s="26" t="n"/>
      <c r="M170" s="26" t="n"/>
      <c r="N170" s="26" t="n"/>
      <c r="O170" s="26" t="n"/>
      <c r="P170" s="26" t="n"/>
      <c r="Q170" s="26" t="n"/>
      <c r="R170" s="26" t="n"/>
      <c r="S170" s="26" t="n"/>
      <c r="T170" s="26" t="n"/>
      <c r="U170" s="26" t="n"/>
      <c r="V170" s="26" t="n"/>
      <c r="W170" s="26" t="n"/>
      <c r="X170" s="26" t="n"/>
      <c r="Y170" s="26" t="n"/>
      <c r="Z170" s="26">
        <f>IF(B170="","",IF(COUNTIF(F170:G170,"Fail")&gt;0,1,0))</f>
        <v/>
      </c>
      <c r="AA170" s="26">
        <f>IF(B170="","",IF(COUNTIF(H170:S170,"Fail")&gt;0,1,0))</f>
        <v/>
      </c>
      <c r="AB170" s="26">
        <f>IF(B170="","",IF(COUNTIF(T170:Y170,"Fail")&gt;0,1,0))</f>
        <v/>
      </c>
      <c r="AC170" s="27">
        <f>IF(B170="","",0.1*Z170+0.8*AA170+0.1*AB170)</f>
        <v/>
      </c>
      <c r="AD170" s="27">
        <f>IF(B170="","",IF(C170="Batch 1",0.3,0.2))</f>
        <v/>
      </c>
      <c r="AE170" s="19">
        <f>IF(B170="","",IF(AC170&lt;=AD170,"Đạt","Không đạt"))</f>
        <v/>
      </c>
      <c r="AF170" s="28" t="n"/>
    </row>
    <row r="171" ht="30" customHeight="1" s="36">
      <c r="A171" s="17" t="n">
        <v>169</v>
      </c>
      <c r="B171" s="18" t="n"/>
      <c r="C171" s="17" t="n"/>
      <c r="D171" s="17" t="n"/>
      <c r="E171" s="17" t="n"/>
      <c r="F171" s="26" t="n"/>
      <c r="G171" s="26" t="n"/>
      <c r="H171" s="26" t="n"/>
      <c r="I171" s="26" t="n"/>
      <c r="J171" s="26" t="n"/>
      <c r="K171" s="26" t="n"/>
      <c r="L171" s="26" t="n"/>
      <c r="M171" s="26" t="n"/>
      <c r="N171" s="26" t="n"/>
      <c r="O171" s="26" t="n"/>
      <c r="P171" s="26" t="n"/>
      <c r="Q171" s="26" t="n"/>
      <c r="R171" s="26" t="n"/>
      <c r="S171" s="26" t="n"/>
      <c r="T171" s="26" t="n"/>
      <c r="U171" s="26" t="n"/>
      <c r="V171" s="26" t="n"/>
      <c r="W171" s="26" t="n"/>
      <c r="X171" s="26" t="n"/>
      <c r="Y171" s="26" t="n"/>
      <c r="Z171" s="26">
        <f>IF(B171="","",IF(COUNTIF(F171:G171,"Fail")&gt;0,1,0))</f>
        <v/>
      </c>
      <c r="AA171" s="26">
        <f>IF(B171="","",IF(COUNTIF(H171:S171,"Fail")&gt;0,1,0))</f>
        <v/>
      </c>
      <c r="AB171" s="26">
        <f>IF(B171="","",IF(COUNTIF(T171:Y171,"Fail")&gt;0,1,0))</f>
        <v/>
      </c>
      <c r="AC171" s="27">
        <f>IF(B171="","",0.1*Z171+0.8*AA171+0.1*AB171)</f>
        <v/>
      </c>
      <c r="AD171" s="27">
        <f>IF(B171="","",IF(C171="Batch 1",0.3,0.2))</f>
        <v/>
      </c>
      <c r="AE171" s="19">
        <f>IF(B171="","",IF(AC171&lt;=AD171,"Đạt","Không đạt"))</f>
        <v/>
      </c>
      <c r="AF171" s="28" t="n"/>
    </row>
    <row r="172" ht="30" customHeight="1" s="36">
      <c r="A172" s="17" t="n">
        <v>170</v>
      </c>
      <c r="B172" s="18" t="n"/>
      <c r="C172" s="17" t="n"/>
      <c r="D172" s="17" t="n"/>
      <c r="E172" s="17" t="n"/>
      <c r="F172" s="26" t="n"/>
      <c r="G172" s="26" t="n"/>
      <c r="H172" s="26" t="n"/>
      <c r="I172" s="26" t="n"/>
      <c r="J172" s="26" t="n"/>
      <c r="K172" s="26" t="n"/>
      <c r="L172" s="26" t="n"/>
      <c r="M172" s="26" t="n"/>
      <c r="N172" s="26" t="n"/>
      <c r="O172" s="26" t="n"/>
      <c r="P172" s="26" t="n"/>
      <c r="Q172" s="26" t="n"/>
      <c r="R172" s="26" t="n"/>
      <c r="S172" s="26" t="n"/>
      <c r="T172" s="26" t="n"/>
      <c r="U172" s="26" t="n"/>
      <c r="V172" s="26" t="n"/>
      <c r="W172" s="26" t="n"/>
      <c r="X172" s="26" t="n"/>
      <c r="Y172" s="26" t="n"/>
      <c r="Z172" s="26">
        <f>IF(B172="","",IF(COUNTIF(F172:G172,"Fail")&gt;0,1,0))</f>
        <v/>
      </c>
      <c r="AA172" s="26">
        <f>IF(B172="","",IF(COUNTIF(H172:S172,"Fail")&gt;0,1,0))</f>
        <v/>
      </c>
      <c r="AB172" s="26">
        <f>IF(B172="","",IF(COUNTIF(T172:Y172,"Fail")&gt;0,1,0))</f>
        <v/>
      </c>
      <c r="AC172" s="27">
        <f>IF(B172="","",0.1*Z172+0.8*AA172+0.1*AB172)</f>
        <v/>
      </c>
      <c r="AD172" s="27">
        <f>IF(B172="","",IF(C172="Batch 1",0.3,0.2))</f>
        <v/>
      </c>
      <c r="AE172" s="19">
        <f>IF(B172="","",IF(AC172&lt;=AD172,"Đạt","Không đạt"))</f>
        <v/>
      </c>
      <c r="AF172" s="28" t="n"/>
    </row>
    <row r="173" ht="30" customHeight="1" s="36">
      <c r="A173" s="17" t="n">
        <v>171</v>
      </c>
      <c r="B173" s="18" t="n"/>
      <c r="C173" s="17" t="n"/>
      <c r="D173" s="17" t="n"/>
      <c r="E173" s="17" t="n"/>
      <c r="F173" s="26" t="n"/>
      <c r="G173" s="26" t="n"/>
      <c r="H173" s="26" t="n"/>
      <c r="I173" s="26" t="n"/>
      <c r="J173" s="26" t="n"/>
      <c r="K173" s="26" t="n"/>
      <c r="L173" s="26" t="n"/>
      <c r="M173" s="26" t="n"/>
      <c r="N173" s="26" t="n"/>
      <c r="O173" s="26" t="n"/>
      <c r="P173" s="26" t="n"/>
      <c r="Q173" s="26" t="n"/>
      <c r="R173" s="26" t="n"/>
      <c r="S173" s="26" t="n"/>
      <c r="T173" s="26" t="n"/>
      <c r="U173" s="26" t="n"/>
      <c r="V173" s="26" t="n"/>
      <c r="W173" s="26" t="n"/>
      <c r="X173" s="26" t="n"/>
      <c r="Y173" s="26" t="n"/>
      <c r="Z173" s="26">
        <f>IF(B173="","",IF(COUNTIF(F173:G173,"Fail")&gt;0,1,0))</f>
        <v/>
      </c>
      <c r="AA173" s="26">
        <f>IF(B173="","",IF(COUNTIF(H173:S173,"Fail")&gt;0,1,0))</f>
        <v/>
      </c>
      <c r="AB173" s="26">
        <f>IF(B173="","",IF(COUNTIF(T173:Y173,"Fail")&gt;0,1,0))</f>
        <v/>
      </c>
      <c r="AC173" s="27">
        <f>IF(B173="","",0.1*Z173+0.8*AA173+0.1*AB173)</f>
        <v/>
      </c>
      <c r="AD173" s="27">
        <f>IF(B173="","",IF(C173="Batch 1",0.3,0.2))</f>
        <v/>
      </c>
      <c r="AE173" s="19">
        <f>IF(B173="","",IF(AC173&lt;=AD173,"Đạt","Không đạt"))</f>
        <v/>
      </c>
      <c r="AF173" s="28" t="n"/>
    </row>
    <row r="174" ht="30" customHeight="1" s="36">
      <c r="A174" s="17" t="n">
        <v>172</v>
      </c>
      <c r="B174" s="18" t="n"/>
      <c r="C174" s="17" t="n"/>
      <c r="D174" s="17" t="n"/>
      <c r="E174" s="17" t="n"/>
      <c r="F174" s="26" t="n"/>
      <c r="G174" s="26" t="n"/>
      <c r="H174" s="26" t="n"/>
      <c r="I174" s="26" t="n"/>
      <c r="J174" s="26" t="n"/>
      <c r="K174" s="26" t="n"/>
      <c r="L174" s="26" t="n"/>
      <c r="M174" s="26" t="n"/>
      <c r="N174" s="26" t="n"/>
      <c r="O174" s="26" t="n"/>
      <c r="P174" s="26" t="n"/>
      <c r="Q174" s="26" t="n"/>
      <c r="R174" s="26" t="n"/>
      <c r="S174" s="26" t="n"/>
      <c r="T174" s="26" t="n"/>
      <c r="U174" s="26" t="n"/>
      <c r="V174" s="26" t="n"/>
      <c r="W174" s="26" t="n"/>
      <c r="X174" s="26" t="n"/>
      <c r="Y174" s="26" t="n"/>
      <c r="Z174" s="26">
        <f>IF(B174="","",IF(COUNTIF(F174:G174,"Fail")&gt;0,1,0))</f>
        <v/>
      </c>
      <c r="AA174" s="26">
        <f>IF(B174="","",IF(COUNTIF(H174:S174,"Fail")&gt;0,1,0))</f>
        <v/>
      </c>
      <c r="AB174" s="26">
        <f>IF(B174="","",IF(COUNTIF(T174:Y174,"Fail")&gt;0,1,0))</f>
        <v/>
      </c>
      <c r="AC174" s="27">
        <f>IF(B174="","",0.1*Z174+0.8*AA174+0.1*AB174)</f>
        <v/>
      </c>
      <c r="AD174" s="27">
        <f>IF(B174="","",IF(C174="Batch 1",0.3,0.2))</f>
        <v/>
      </c>
      <c r="AE174" s="19">
        <f>IF(B174="","",IF(AC174&lt;=AD174,"Đạt","Không đạt"))</f>
        <v/>
      </c>
      <c r="AF174" s="28" t="n"/>
    </row>
    <row r="175" ht="30" customHeight="1" s="36">
      <c r="A175" s="17" t="n">
        <v>173</v>
      </c>
      <c r="B175" s="18" t="n"/>
      <c r="C175" s="17" t="n"/>
      <c r="D175" s="17" t="n"/>
      <c r="E175" s="17" t="n"/>
      <c r="F175" s="26" t="n"/>
      <c r="G175" s="26" t="n"/>
      <c r="H175" s="26" t="n"/>
      <c r="I175" s="26" t="n"/>
      <c r="J175" s="26" t="n"/>
      <c r="K175" s="26" t="n"/>
      <c r="L175" s="26" t="n"/>
      <c r="M175" s="26" t="n"/>
      <c r="N175" s="26" t="n"/>
      <c r="O175" s="26" t="n"/>
      <c r="P175" s="26" t="n"/>
      <c r="Q175" s="26" t="n"/>
      <c r="R175" s="26" t="n"/>
      <c r="S175" s="26" t="n"/>
      <c r="T175" s="26" t="n"/>
      <c r="U175" s="26" t="n"/>
      <c r="V175" s="26" t="n"/>
      <c r="W175" s="26" t="n"/>
      <c r="X175" s="26" t="n"/>
      <c r="Y175" s="26" t="n"/>
      <c r="Z175" s="26">
        <f>IF(B175="","",IF(COUNTIF(F175:G175,"Fail")&gt;0,1,0))</f>
        <v/>
      </c>
      <c r="AA175" s="26">
        <f>IF(B175="","",IF(COUNTIF(H175:S175,"Fail")&gt;0,1,0))</f>
        <v/>
      </c>
      <c r="AB175" s="26">
        <f>IF(B175="","",IF(COUNTIF(T175:Y175,"Fail")&gt;0,1,0))</f>
        <v/>
      </c>
      <c r="AC175" s="27">
        <f>IF(B175="","",0.1*Z175+0.8*AA175+0.1*AB175)</f>
        <v/>
      </c>
      <c r="AD175" s="27">
        <f>IF(B175="","",IF(C175="Batch 1",0.3,0.2))</f>
        <v/>
      </c>
      <c r="AE175" s="19">
        <f>IF(B175="","",IF(AC175&lt;=AD175,"Đạt","Không đạt"))</f>
        <v/>
      </c>
      <c r="AF175" s="28" t="n"/>
    </row>
    <row r="176" ht="30" customHeight="1" s="36">
      <c r="A176" s="17" t="n">
        <v>174</v>
      </c>
      <c r="B176" s="18" t="n"/>
      <c r="C176" s="17" t="n"/>
      <c r="D176" s="17" t="n"/>
      <c r="E176" s="17" t="n"/>
      <c r="F176" s="26" t="n"/>
      <c r="G176" s="26" t="n"/>
      <c r="H176" s="26" t="n"/>
      <c r="I176" s="26" t="n"/>
      <c r="J176" s="26" t="n"/>
      <c r="K176" s="26" t="n"/>
      <c r="L176" s="26" t="n"/>
      <c r="M176" s="26" t="n"/>
      <c r="N176" s="26" t="n"/>
      <c r="O176" s="26" t="n"/>
      <c r="P176" s="26" t="n"/>
      <c r="Q176" s="26" t="n"/>
      <c r="R176" s="26" t="n"/>
      <c r="S176" s="26" t="n"/>
      <c r="T176" s="26" t="n"/>
      <c r="U176" s="26" t="n"/>
      <c r="V176" s="26" t="n"/>
      <c r="W176" s="26" t="n"/>
      <c r="X176" s="26" t="n"/>
      <c r="Y176" s="26" t="n"/>
      <c r="Z176" s="26">
        <f>IF(B176="","",IF(COUNTIF(F176:G176,"Fail")&gt;0,1,0))</f>
        <v/>
      </c>
      <c r="AA176" s="26">
        <f>IF(B176="","",IF(COUNTIF(H176:S176,"Fail")&gt;0,1,0))</f>
        <v/>
      </c>
      <c r="AB176" s="26">
        <f>IF(B176="","",IF(COUNTIF(T176:Y176,"Fail")&gt;0,1,0))</f>
        <v/>
      </c>
      <c r="AC176" s="27">
        <f>IF(B176="","",0.1*Z176+0.8*AA176+0.1*AB176)</f>
        <v/>
      </c>
      <c r="AD176" s="27">
        <f>IF(B176="","",IF(C176="Batch 1",0.3,0.2))</f>
        <v/>
      </c>
      <c r="AE176" s="19">
        <f>IF(B176="","",IF(AC176&lt;=AD176,"Đạt","Không đạt"))</f>
        <v/>
      </c>
      <c r="AF176" s="28" t="n"/>
    </row>
    <row r="177" ht="30" customHeight="1" s="36">
      <c r="A177" s="17" t="n">
        <v>175</v>
      </c>
      <c r="B177" s="18" t="n"/>
      <c r="C177" s="17" t="n"/>
      <c r="D177" s="17" t="n"/>
      <c r="E177" s="17" t="n"/>
      <c r="F177" s="26" t="n"/>
      <c r="G177" s="26" t="n"/>
      <c r="H177" s="26" t="n"/>
      <c r="I177" s="26" t="n"/>
      <c r="J177" s="26" t="n"/>
      <c r="K177" s="26" t="n"/>
      <c r="L177" s="26" t="n"/>
      <c r="M177" s="26" t="n"/>
      <c r="N177" s="26" t="n"/>
      <c r="O177" s="26" t="n"/>
      <c r="P177" s="26" t="n"/>
      <c r="Q177" s="26" t="n"/>
      <c r="R177" s="26" t="n"/>
      <c r="S177" s="26" t="n"/>
      <c r="T177" s="26" t="n"/>
      <c r="U177" s="26" t="n"/>
      <c r="V177" s="26" t="n"/>
      <c r="W177" s="26" t="n"/>
      <c r="X177" s="26" t="n"/>
      <c r="Y177" s="26" t="n"/>
      <c r="Z177" s="26">
        <f>IF(B177="","",IF(COUNTIF(F177:G177,"Fail")&gt;0,1,0))</f>
        <v/>
      </c>
      <c r="AA177" s="26">
        <f>IF(B177="","",IF(COUNTIF(H177:S177,"Fail")&gt;0,1,0))</f>
        <v/>
      </c>
      <c r="AB177" s="26">
        <f>IF(B177="","",IF(COUNTIF(T177:Y177,"Fail")&gt;0,1,0))</f>
        <v/>
      </c>
      <c r="AC177" s="27">
        <f>IF(B177="","",0.1*Z177+0.8*AA177+0.1*AB177)</f>
        <v/>
      </c>
      <c r="AD177" s="27">
        <f>IF(B177="","",IF(C177="Batch 1",0.3,0.2))</f>
        <v/>
      </c>
      <c r="AE177" s="19">
        <f>IF(B177="","",IF(AC177&lt;=AD177,"Đạt","Không đạt"))</f>
        <v/>
      </c>
      <c r="AF177" s="28" t="n"/>
    </row>
    <row r="178" ht="30" customHeight="1" s="36">
      <c r="A178" s="17" t="n">
        <v>176</v>
      </c>
      <c r="B178" s="18" t="n"/>
      <c r="C178" s="17" t="n"/>
      <c r="D178" s="17" t="n"/>
      <c r="E178" s="17" t="n"/>
      <c r="F178" s="26" t="n"/>
      <c r="G178" s="26" t="n"/>
      <c r="H178" s="26" t="n"/>
      <c r="I178" s="26" t="n"/>
      <c r="J178" s="26" t="n"/>
      <c r="K178" s="26" t="n"/>
      <c r="L178" s="26" t="n"/>
      <c r="M178" s="26" t="n"/>
      <c r="N178" s="26" t="n"/>
      <c r="O178" s="26" t="n"/>
      <c r="P178" s="26" t="n"/>
      <c r="Q178" s="26" t="n"/>
      <c r="R178" s="26" t="n"/>
      <c r="S178" s="26" t="n"/>
      <c r="T178" s="26" t="n"/>
      <c r="U178" s="26" t="n"/>
      <c r="V178" s="26" t="n"/>
      <c r="W178" s="26" t="n"/>
      <c r="X178" s="26" t="n"/>
      <c r="Y178" s="26" t="n"/>
      <c r="Z178" s="26">
        <f>IF(B178="","",IF(COUNTIF(F178:G178,"Fail")&gt;0,1,0))</f>
        <v/>
      </c>
      <c r="AA178" s="26">
        <f>IF(B178="","",IF(COUNTIF(H178:S178,"Fail")&gt;0,1,0))</f>
        <v/>
      </c>
      <c r="AB178" s="26">
        <f>IF(B178="","",IF(COUNTIF(T178:Y178,"Fail")&gt;0,1,0))</f>
        <v/>
      </c>
      <c r="AC178" s="27">
        <f>IF(B178="","",0.1*Z178+0.8*AA178+0.1*AB178)</f>
        <v/>
      </c>
      <c r="AD178" s="27">
        <f>IF(B178="","",IF(C178="Batch 1",0.3,0.2))</f>
        <v/>
      </c>
      <c r="AE178" s="19">
        <f>IF(B178="","",IF(AC178&lt;=AD178,"Đạt","Không đạt"))</f>
        <v/>
      </c>
      <c r="AF178" s="28" t="n"/>
    </row>
    <row r="179" ht="30" customHeight="1" s="36">
      <c r="A179" s="17" t="n">
        <v>177</v>
      </c>
      <c r="B179" s="18" t="n"/>
      <c r="C179" s="17" t="n"/>
      <c r="D179" s="17" t="n"/>
      <c r="E179" s="17" t="n"/>
      <c r="F179" s="26" t="n"/>
      <c r="G179" s="26" t="n"/>
      <c r="H179" s="26" t="n"/>
      <c r="I179" s="26" t="n"/>
      <c r="J179" s="26" t="n"/>
      <c r="K179" s="26" t="n"/>
      <c r="L179" s="26" t="n"/>
      <c r="M179" s="26" t="n"/>
      <c r="N179" s="26" t="n"/>
      <c r="O179" s="26" t="n"/>
      <c r="P179" s="26" t="n"/>
      <c r="Q179" s="26" t="n"/>
      <c r="R179" s="26" t="n"/>
      <c r="S179" s="26" t="n"/>
      <c r="T179" s="26" t="n"/>
      <c r="U179" s="26" t="n"/>
      <c r="V179" s="26" t="n"/>
      <c r="W179" s="26" t="n"/>
      <c r="X179" s="26" t="n"/>
      <c r="Y179" s="26" t="n"/>
      <c r="Z179" s="26">
        <f>IF(B179="","",IF(COUNTIF(F179:G179,"Fail")&gt;0,1,0))</f>
        <v/>
      </c>
      <c r="AA179" s="26">
        <f>IF(B179="","",IF(COUNTIF(H179:S179,"Fail")&gt;0,1,0))</f>
        <v/>
      </c>
      <c r="AB179" s="26">
        <f>IF(B179="","",IF(COUNTIF(T179:Y179,"Fail")&gt;0,1,0))</f>
        <v/>
      </c>
      <c r="AC179" s="27">
        <f>IF(B179="","",0.1*Z179+0.8*AA179+0.1*AB179)</f>
        <v/>
      </c>
      <c r="AD179" s="27">
        <f>IF(B179="","",IF(C179="Batch 1",0.3,0.2))</f>
        <v/>
      </c>
      <c r="AE179" s="19">
        <f>IF(B179="","",IF(AC179&lt;=AD179,"Đạt","Không đạt"))</f>
        <v/>
      </c>
      <c r="AF179" s="28" t="n"/>
    </row>
    <row r="180" ht="30" customHeight="1" s="36">
      <c r="A180" s="17" t="n">
        <v>178</v>
      </c>
      <c r="B180" s="18" t="n"/>
      <c r="C180" s="17" t="n"/>
      <c r="D180" s="17" t="n"/>
      <c r="E180" s="17" t="n"/>
      <c r="F180" s="26" t="n"/>
      <c r="G180" s="26" t="n"/>
      <c r="H180" s="26" t="n"/>
      <c r="I180" s="26" t="n"/>
      <c r="J180" s="26" t="n"/>
      <c r="K180" s="26" t="n"/>
      <c r="L180" s="26" t="n"/>
      <c r="M180" s="26" t="n"/>
      <c r="N180" s="26" t="n"/>
      <c r="O180" s="26" t="n"/>
      <c r="P180" s="26" t="n"/>
      <c r="Q180" s="26" t="n"/>
      <c r="R180" s="26" t="n"/>
      <c r="S180" s="26" t="n"/>
      <c r="T180" s="26" t="n"/>
      <c r="U180" s="26" t="n"/>
      <c r="V180" s="26" t="n"/>
      <c r="W180" s="26" t="n"/>
      <c r="X180" s="26" t="n"/>
      <c r="Y180" s="26" t="n"/>
      <c r="Z180" s="26">
        <f>IF(B180="","",IF(COUNTIF(F180:G180,"Fail")&gt;0,1,0))</f>
        <v/>
      </c>
      <c r="AA180" s="26">
        <f>IF(B180="","",IF(COUNTIF(H180:S180,"Fail")&gt;0,1,0))</f>
        <v/>
      </c>
      <c r="AB180" s="26">
        <f>IF(B180="","",IF(COUNTIF(T180:Y180,"Fail")&gt;0,1,0))</f>
        <v/>
      </c>
      <c r="AC180" s="27">
        <f>IF(B180="","",0.1*Z180+0.8*AA180+0.1*AB180)</f>
        <v/>
      </c>
      <c r="AD180" s="27">
        <f>IF(B180="","",IF(C180="Batch 1",0.3,0.2))</f>
        <v/>
      </c>
      <c r="AE180" s="19">
        <f>IF(B180="","",IF(AC180&lt;=AD180,"Đạt","Không đạt"))</f>
        <v/>
      </c>
      <c r="AF180" s="28" t="n"/>
    </row>
    <row r="181" ht="30" customHeight="1" s="36">
      <c r="A181" s="17" t="n">
        <v>179</v>
      </c>
      <c r="B181" s="18" t="n"/>
      <c r="C181" s="17" t="n"/>
      <c r="D181" s="17" t="n"/>
      <c r="E181" s="17" t="n"/>
      <c r="F181" s="26" t="n"/>
      <c r="G181" s="26" t="n"/>
      <c r="H181" s="26" t="n"/>
      <c r="I181" s="26" t="n"/>
      <c r="J181" s="26" t="n"/>
      <c r="K181" s="26" t="n"/>
      <c r="L181" s="26" t="n"/>
      <c r="M181" s="26" t="n"/>
      <c r="N181" s="26" t="n"/>
      <c r="O181" s="26" t="n"/>
      <c r="P181" s="26" t="n"/>
      <c r="Q181" s="26" t="n"/>
      <c r="R181" s="26" t="n"/>
      <c r="S181" s="26" t="n"/>
      <c r="T181" s="26" t="n"/>
      <c r="U181" s="26" t="n"/>
      <c r="V181" s="26" t="n"/>
      <c r="W181" s="26" t="n"/>
      <c r="X181" s="26" t="n"/>
      <c r="Y181" s="26" t="n"/>
      <c r="Z181" s="26">
        <f>IF(B181="","",IF(COUNTIF(F181:G181,"Fail")&gt;0,1,0))</f>
        <v/>
      </c>
      <c r="AA181" s="26">
        <f>IF(B181="","",IF(COUNTIF(H181:S181,"Fail")&gt;0,1,0))</f>
        <v/>
      </c>
      <c r="AB181" s="26">
        <f>IF(B181="","",IF(COUNTIF(T181:Y181,"Fail")&gt;0,1,0))</f>
        <v/>
      </c>
      <c r="AC181" s="27">
        <f>IF(B181="","",0.1*Z181+0.8*AA181+0.1*AB181)</f>
        <v/>
      </c>
      <c r="AD181" s="27">
        <f>IF(B181="","",IF(C181="Batch 1",0.3,0.2))</f>
        <v/>
      </c>
      <c r="AE181" s="19">
        <f>IF(B181="","",IF(AC181&lt;=AD181,"Đạt","Không đạt"))</f>
        <v/>
      </c>
      <c r="AF181" s="28" t="n"/>
    </row>
    <row r="182" ht="30" customHeight="1" s="36">
      <c r="A182" s="17" t="n">
        <v>180</v>
      </c>
      <c r="B182" s="18" t="n"/>
      <c r="C182" s="17" t="n"/>
      <c r="D182" s="17" t="n"/>
      <c r="E182" s="17" t="n"/>
      <c r="F182" s="26" t="n"/>
      <c r="G182" s="26" t="n"/>
      <c r="H182" s="26" t="n"/>
      <c r="I182" s="26" t="n"/>
      <c r="J182" s="26" t="n"/>
      <c r="K182" s="26" t="n"/>
      <c r="L182" s="26" t="n"/>
      <c r="M182" s="26" t="n"/>
      <c r="N182" s="26" t="n"/>
      <c r="O182" s="26" t="n"/>
      <c r="P182" s="26" t="n"/>
      <c r="Q182" s="26" t="n"/>
      <c r="R182" s="26" t="n"/>
      <c r="S182" s="26" t="n"/>
      <c r="T182" s="26" t="n"/>
      <c r="U182" s="26" t="n"/>
      <c r="V182" s="26" t="n"/>
      <c r="W182" s="26" t="n"/>
      <c r="X182" s="26" t="n"/>
      <c r="Y182" s="26" t="n"/>
      <c r="Z182" s="26">
        <f>IF(B182="","",IF(COUNTIF(F182:G182,"Fail")&gt;0,1,0))</f>
        <v/>
      </c>
      <c r="AA182" s="26">
        <f>IF(B182="","",IF(COUNTIF(H182:S182,"Fail")&gt;0,1,0))</f>
        <v/>
      </c>
      <c r="AB182" s="26">
        <f>IF(B182="","",IF(COUNTIF(T182:Y182,"Fail")&gt;0,1,0))</f>
        <v/>
      </c>
      <c r="AC182" s="27">
        <f>IF(B182="","",0.1*Z182+0.8*AA182+0.1*AB182)</f>
        <v/>
      </c>
      <c r="AD182" s="27">
        <f>IF(B182="","",IF(C182="Batch 1",0.3,0.2))</f>
        <v/>
      </c>
      <c r="AE182" s="19">
        <f>IF(B182="","",IF(AC182&lt;=AD182,"Đạt","Không đạt"))</f>
        <v/>
      </c>
      <c r="AF182" s="28" t="n"/>
    </row>
    <row r="183" ht="30" customHeight="1" s="36">
      <c r="A183" s="17" t="n">
        <v>181</v>
      </c>
      <c r="B183" s="18" t="n"/>
      <c r="C183" s="17" t="n"/>
      <c r="D183" s="17" t="n"/>
      <c r="E183" s="17" t="n"/>
      <c r="F183" s="26" t="n"/>
      <c r="G183" s="26" t="n"/>
      <c r="H183" s="26" t="n"/>
      <c r="I183" s="26" t="n"/>
      <c r="J183" s="26" t="n"/>
      <c r="K183" s="26" t="n"/>
      <c r="L183" s="26" t="n"/>
      <c r="M183" s="26" t="n"/>
      <c r="N183" s="26" t="n"/>
      <c r="O183" s="26" t="n"/>
      <c r="P183" s="26" t="n"/>
      <c r="Q183" s="26" t="n"/>
      <c r="R183" s="26" t="n"/>
      <c r="S183" s="26" t="n"/>
      <c r="T183" s="26" t="n"/>
      <c r="U183" s="26" t="n"/>
      <c r="V183" s="26" t="n"/>
      <c r="W183" s="26" t="n"/>
      <c r="X183" s="26" t="n"/>
      <c r="Y183" s="26" t="n"/>
      <c r="Z183" s="26">
        <f>IF(B183="","",IF(COUNTIF(F183:G183,"Fail")&gt;0,1,0))</f>
        <v/>
      </c>
      <c r="AA183" s="26">
        <f>IF(B183="","",IF(COUNTIF(H183:S183,"Fail")&gt;0,1,0))</f>
        <v/>
      </c>
      <c r="AB183" s="26">
        <f>IF(B183="","",IF(COUNTIF(T183:Y183,"Fail")&gt;0,1,0))</f>
        <v/>
      </c>
      <c r="AC183" s="27">
        <f>IF(B183="","",0.1*Z183+0.8*AA183+0.1*AB183)</f>
        <v/>
      </c>
      <c r="AD183" s="27">
        <f>IF(B183="","",IF(C183="Batch 1",0.3,0.2))</f>
        <v/>
      </c>
      <c r="AE183" s="19">
        <f>IF(B183="","",IF(AC183&lt;=AD183,"Đạt","Không đạt"))</f>
        <v/>
      </c>
      <c r="AF183" s="28" t="n"/>
    </row>
    <row r="184" ht="30" customHeight="1" s="36">
      <c r="A184" s="17" t="n">
        <v>182</v>
      </c>
      <c r="B184" s="18" t="n"/>
      <c r="C184" s="17" t="n"/>
      <c r="D184" s="17" t="n"/>
      <c r="E184" s="17" t="n"/>
      <c r="F184" s="26" t="n"/>
      <c r="G184" s="26" t="n"/>
      <c r="H184" s="26" t="n"/>
      <c r="I184" s="26" t="n"/>
      <c r="J184" s="26" t="n"/>
      <c r="K184" s="26" t="n"/>
      <c r="L184" s="26" t="n"/>
      <c r="M184" s="26" t="n"/>
      <c r="N184" s="26" t="n"/>
      <c r="O184" s="26" t="n"/>
      <c r="P184" s="26" t="n"/>
      <c r="Q184" s="26" t="n"/>
      <c r="R184" s="26" t="n"/>
      <c r="S184" s="26" t="n"/>
      <c r="T184" s="26" t="n"/>
      <c r="U184" s="26" t="n"/>
      <c r="V184" s="26" t="n"/>
      <c r="W184" s="26" t="n"/>
      <c r="X184" s="26" t="n"/>
      <c r="Y184" s="26" t="n"/>
      <c r="Z184" s="26">
        <f>IF(B184="","",IF(COUNTIF(F184:G184,"Fail")&gt;0,1,0))</f>
        <v/>
      </c>
      <c r="AA184" s="26">
        <f>IF(B184="","",IF(COUNTIF(H184:S184,"Fail")&gt;0,1,0))</f>
        <v/>
      </c>
      <c r="AB184" s="26">
        <f>IF(B184="","",IF(COUNTIF(T184:Y184,"Fail")&gt;0,1,0))</f>
        <v/>
      </c>
      <c r="AC184" s="27">
        <f>IF(B184="","",0.1*Z184+0.8*AA184+0.1*AB184)</f>
        <v/>
      </c>
      <c r="AD184" s="27">
        <f>IF(B184="","",IF(C184="Batch 1",0.3,0.2))</f>
        <v/>
      </c>
      <c r="AE184" s="19">
        <f>IF(B184="","",IF(AC184&lt;=AD184,"Đạt","Không đạt"))</f>
        <v/>
      </c>
      <c r="AF184" s="28" t="n"/>
    </row>
    <row r="185" ht="30" customHeight="1" s="36">
      <c r="A185" s="17" t="n">
        <v>183</v>
      </c>
      <c r="B185" s="18" t="n"/>
      <c r="C185" s="17" t="n"/>
      <c r="D185" s="17" t="n"/>
      <c r="E185" s="17" t="n"/>
      <c r="F185" s="26" t="n"/>
      <c r="G185" s="26" t="n"/>
      <c r="H185" s="26" t="n"/>
      <c r="I185" s="26" t="n"/>
      <c r="J185" s="26" t="n"/>
      <c r="K185" s="26" t="n"/>
      <c r="L185" s="26" t="n"/>
      <c r="M185" s="26" t="n"/>
      <c r="N185" s="26" t="n"/>
      <c r="O185" s="26" t="n"/>
      <c r="P185" s="26" t="n"/>
      <c r="Q185" s="26" t="n"/>
      <c r="R185" s="26" t="n"/>
      <c r="S185" s="26" t="n"/>
      <c r="T185" s="26" t="n"/>
      <c r="U185" s="26" t="n"/>
      <c r="V185" s="26" t="n"/>
      <c r="W185" s="26" t="n"/>
      <c r="X185" s="26" t="n"/>
      <c r="Y185" s="26" t="n"/>
      <c r="Z185" s="26">
        <f>IF(B185="","",IF(COUNTIF(F185:G185,"Fail")&gt;0,1,0))</f>
        <v/>
      </c>
      <c r="AA185" s="26">
        <f>IF(B185="","",IF(COUNTIF(H185:S185,"Fail")&gt;0,1,0))</f>
        <v/>
      </c>
      <c r="AB185" s="26">
        <f>IF(B185="","",IF(COUNTIF(T185:Y185,"Fail")&gt;0,1,0))</f>
        <v/>
      </c>
      <c r="AC185" s="27">
        <f>IF(B185="","",0.1*Z185+0.8*AA185+0.1*AB185)</f>
        <v/>
      </c>
      <c r="AD185" s="27">
        <f>IF(B185="","",IF(C185="Batch 1",0.3,0.2))</f>
        <v/>
      </c>
      <c r="AE185" s="19">
        <f>IF(B185="","",IF(AC185&lt;=AD185,"Đạt","Không đạt"))</f>
        <v/>
      </c>
      <c r="AF185" s="28" t="n"/>
    </row>
    <row r="186" ht="30" customHeight="1" s="36">
      <c r="A186" s="17" t="n">
        <v>184</v>
      </c>
      <c r="B186" s="18" t="n"/>
      <c r="C186" s="17" t="n"/>
      <c r="D186" s="17" t="n"/>
      <c r="E186" s="17" t="n"/>
      <c r="F186" s="26" t="n"/>
      <c r="G186" s="26" t="n"/>
      <c r="H186" s="26" t="n"/>
      <c r="I186" s="26" t="n"/>
      <c r="J186" s="26" t="n"/>
      <c r="K186" s="26" t="n"/>
      <c r="L186" s="26" t="n"/>
      <c r="M186" s="26" t="n"/>
      <c r="N186" s="26" t="n"/>
      <c r="O186" s="26" t="n"/>
      <c r="P186" s="26" t="n"/>
      <c r="Q186" s="26" t="n"/>
      <c r="R186" s="26" t="n"/>
      <c r="S186" s="26" t="n"/>
      <c r="T186" s="26" t="n"/>
      <c r="U186" s="26" t="n"/>
      <c r="V186" s="26" t="n"/>
      <c r="W186" s="26" t="n"/>
      <c r="X186" s="26" t="n"/>
      <c r="Y186" s="26" t="n"/>
      <c r="Z186" s="26">
        <f>IF(B186="","",IF(COUNTIF(F186:G186,"Fail")&gt;0,1,0))</f>
        <v/>
      </c>
      <c r="AA186" s="26">
        <f>IF(B186="","",IF(COUNTIF(H186:S186,"Fail")&gt;0,1,0))</f>
        <v/>
      </c>
      <c r="AB186" s="26">
        <f>IF(B186="","",IF(COUNTIF(T186:Y186,"Fail")&gt;0,1,0))</f>
        <v/>
      </c>
      <c r="AC186" s="27">
        <f>IF(B186="","",0.1*Z186+0.8*AA186+0.1*AB186)</f>
        <v/>
      </c>
      <c r="AD186" s="27">
        <f>IF(B186="","",IF(C186="Batch 1",0.3,0.2))</f>
        <v/>
      </c>
      <c r="AE186" s="19">
        <f>IF(B186="","",IF(AC186&lt;=AD186,"Đạt","Không đạt"))</f>
        <v/>
      </c>
      <c r="AF186" s="28" t="n"/>
    </row>
    <row r="187" ht="30" customHeight="1" s="36">
      <c r="A187" s="17" t="n">
        <v>185</v>
      </c>
      <c r="B187" s="18" t="n"/>
      <c r="C187" s="17" t="n"/>
      <c r="D187" s="17" t="n"/>
      <c r="E187" s="17" t="n"/>
      <c r="F187" s="26" t="n"/>
      <c r="G187" s="26" t="n"/>
      <c r="H187" s="26" t="n"/>
      <c r="I187" s="26" t="n"/>
      <c r="J187" s="26" t="n"/>
      <c r="K187" s="26" t="n"/>
      <c r="L187" s="26" t="n"/>
      <c r="M187" s="26" t="n"/>
      <c r="N187" s="26" t="n"/>
      <c r="O187" s="26" t="n"/>
      <c r="P187" s="26" t="n"/>
      <c r="Q187" s="26" t="n"/>
      <c r="R187" s="26" t="n"/>
      <c r="S187" s="26" t="n"/>
      <c r="T187" s="26" t="n"/>
      <c r="U187" s="26" t="n"/>
      <c r="V187" s="26" t="n"/>
      <c r="W187" s="26" t="n"/>
      <c r="X187" s="26" t="n"/>
      <c r="Y187" s="26" t="n"/>
      <c r="Z187" s="26">
        <f>IF(B187="","",IF(COUNTIF(F187:G187,"Fail")&gt;0,1,0))</f>
        <v/>
      </c>
      <c r="AA187" s="26">
        <f>IF(B187="","",IF(COUNTIF(H187:S187,"Fail")&gt;0,1,0))</f>
        <v/>
      </c>
      <c r="AB187" s="26">
        <f>IF(B187="","",IF(COUNTIF(T187:Y187,"Fail")&gt;0,1,0))</f>
        <v/>
      </c>
      <c r="AC187" s="27">
        <f>IF(B187="","",0.1*Z187+0.8*AA187+0.1*AB187)</f>
        <v/>
      </c>
      <c r="AD187" s="27">
        <f>IF(B187="","",IF(C187="Batch 1",0.3,0.2))</f>
        <v/>
      </c>
      <c r="AE187" s="19">
        <f>IF(B187="","",IF(AC187&lt;=AD187,"Đạt","Không đạt"))</f>
        <v/>
      </c>
      <c r="AF187" s="28" t="n"/>
    </row>
    <row r="188" ht="30" customHeight="1" s="36">
      <c r="A188" s="17" t="n">
        <v>186</v>
      </c>
      <c r="B188" s="18" t="n"/>
      <c r="C188" s="17" t="n"/>
      <c r="D188" s="17" t="n"/>
      <c r="E188" s="17" t="n"/>
      <c r="F188" s="26" t="n"/>
      <c r="G188" s="26" t="n"/>
      <c r="H188" s="26" t="n"/>
      <c r="I188" s="26" t="n"/>
      <c r="J188" s="26" t="n"/>
      <c r="K188" s="26" t="n"/>
      <c r="L188" s="26" t="n"/>
      <c r="M188" s="26" t="n"/>
      <c r="N188" s="26" t="n"/>
      <c r="O188" s="26" t="n"/>
      <c r="P188" s="26" t="n"/>
      <c r="Q188" s="26" t="n"/>
      <c r="R188" s="26" t="n"/>
      <c r="S188" s="26" t="n"/>
      <c r="T188" s="26" t="n"/>
      <c r="U188" s="26" t="n"/>
      <c r="V188" s="26" t="n"/>
      <c r="W188" s="26" t="n"/>
      <c r="X188" s="26" t="n"/>
      <c r="Y188" s="26" t="n"/>
      <c r="Z188" s="26">
        <f>IF(B188="","",IF(COUNTIF(F188:G188,"Fail")&gt;0,1,0))</f>
        <v/>
      </c>
      <c r="AA188" s="26">
        <f>IF(B188="","",IF(COUNTIF(H188:S188,"Fail")&gt;0,1,0))</f>
        <v/>
      </c>
      <c r="AB188" s="26">
        <f>IF(B188="","",IF(COUNTIF(T188:Y188,"Fail")&gt;0,1,0))</f>
        <v/>
      </c>
      <c r="AC188" s="27">
        <f>IF(B188="","",0.1*Z188+0.8*AA188+0.1*AB188)</f>
        <v/>
      </c>
      <c r="AD188" s="27">
        <f>IF(B188="","",IF(C188="Batch 1",0.3,0.2))</f>
        <v/>
      </c>
      <c r="AE188" s="19">
        <f>IF(B188="","",IF(AC188&lt;=AD188,"Đạt","Không đạt"))</f>
        <v/>
      </c>
      <c r="AF188" s="28" t="n"/>
    </row>
    <row r="189" ht="30" customHeight="1" s="36">
      <c r="A189" s="17" t="n">
        <v>187</v>
      </c>
      <c r="B189" s="18" t="n"/>
      <c r="C189" s="17" t="n"/>
      <c r="D189" s="17" t="n"/>
      <c r="E189" s="17" t="n"/>
      <c r="F189" s="26" t="n"/>
      <c r="G189" s="26" t="n"/>
      <c r="H189" s="26" t="n"/>
      <c r="I189" s="26" t="n"/>
      <c r="J189" s="26" t="n"/>
      <c r="K189" s="26" t="n"/>
      <c r="L189" s="26" t="n"/>
      <c r="M189" s="26" t="n"/>
      <c r="N189" s="26" t="n"/>
      <c r="O189" s="26" t="n"/>
      <c r="P189" s="26" t="n"/>
      <c r="Q189" s="26" t="n"/>
      <c r="R189" s="26" t="n"/>
      <c r="S189" s="26" t="n"/>
      <c r="T189" s="26" t="n"/>
      <c r="U189" s="26" t="n"/>
      <c r="V189" s="26" t="n"/>
      <c r="W189" s="26" t="n"/>
      <c r="X189" s="26" t="n"/>
      <c r="Y189" s="26" t="n"/>
      <c r="Z189" s="26">
        <f>IF(B189="","",IF(COUNTIF(F189:G189,"Fail")&gt;0,1,0))</f>
        <v/>
      </c>
      <c r="AA189" s="26">
        <f>IF(B189="","",IF(COUNTIF(H189:S189,"Fail")&gt;0,1,0))</f>
        <v/>
      </c>
      <c r="AB189" s="26">
        <f>IF(B189="","",IF(COUNTIF(T189:Y189,"Fail")&gt;0,1,0))</f>
        <v/>
      </c>
      <c r="AC189" s="27">
        <f>IF(B189="","",0.1*Z189+0.8*AA189+0.1*AB189)</f>
        <v/>
      </c>
      <c r="AD189" s="27">
        <f>IF(B189="","",IF(C189="Batch 1",0.3,0.2))</f>
        <v/>
      </c>
      <c r="AE189" s="19">
        <f>IF(B189="","",IF(AC189&lt;=AD189,"Đạt","Không đạt"))</f>
        <v/>
      </c>
      <c r="AF189" s="28" t="n"/>
    </row>
    <row r="190" ht="30" customHeight="1" s="36">
      <c r="A190" s="17" t="n">
        <v>188</v>
      </c>
      <c r="B190" s="18" t="n"/>
      <c r="C190" s="17" t="n"/>
      <c r="D190" s="17" t="n"/>
      <c r="E190" s="17" t="n"/>
      <c r="F190" s="26" t="n"/>
      <c r="G190" s="26" t="n"/>
      <c r="H190" s="26" t="n"/>
      <c r="I190" s="26" t="n"/>
      <c r="J190" s="26" t="n"/>
      <c r="K190" s="26" t="n"/>
      <c r="L190" s="26" t="n"/>
      <c r="M190" s="26" t="n"/>
      <c r="N190" s="26" t="n"/>
      <c r="O190" s="26" t="n"/>
      <c r="P190" s="26" t="n"/>
      <c r="Q190" s="26" t="n"/>
      <c r="R190" s="26" t="n"/>
      <c r="S190" s="26" t="n"/>
      <c r="T190" s="26" t="n"/>
      <c r="U190" s="26" t="n"/>
      <c r="V190" s="26" t="n"/>
      <c r="W190" s="26" t="n"/>
      <c r="X190" s="26" t="n"/>
      <c r="Y190" s="26" t="n"/>
      <c r="Z190" s="26">
        <f>IF(B190="","",IF(COUNTIF(F190:G190,"Fail")&gt;0,1,0))</f>
        <v/>
      </c>
      <c r="AA190" s="26">
        <f>IF(B190="","",IF(COUNTIF(H190:S190,"Fail")&gt;0,1,0))</f>
        <v/>
      </c>
      <c r="AB190" s="26">
        <f>IF(B190="","",IF(COUNTIF(T190:Y190,"Fail")&gt;0,1,0))</f>
        <v/>
      </c>
      <c r="AC190" s="27">
        <f>IF(B190="","",0.1*Z190+0.8*AA190+0.1*AB190)</f>
        <v/>
      </c>
      <c r="AD190" s="27">
        <f>IF(B190="","",IF(C190="Batch 1",0.3,0.2))</f>
        <v/>
      </c>
      <c r="AE190" s="19">
        <f>IF(B190="","",IF(AC190&lt;=AD190,"Đạt","Không đạt"))</f>
        <v/>
      </c>
      <c r="AF190" s="28" t="n"/>
    </row>
    <row r="191" ht="30" customHeight="1" s="36">
      <c r="A191" s="17" t="n">
        <v>189</v>
      </c>
      <c r="B191" s="18" t="n"/>
      <c r="C191" s="17" t="n"/>
      <c r="D191" s="17" t="n"/>
      <c r="E191" s="17" t="n"/>
      <c r="F191" s="26" t="n"/>
      <c r="G191" s="26" t="n"/>
      <c r="H191" s="26" t="n"/>
      <c r="I191" s="26" t="n"/>
      <c r="J191" s="26" t="n"/>
      <c r="K191" s="26" t="n"/>
      <c r="L191" s="26" t="n"/>
      <c r="M191" s="26" t="n"/>
      <c r="N191" s="26" t="n"/>
      <c r="O191" s="26" t="n"/>
      <c r="P191" s="26" t="n"/>
      <c r="Q191" s="26" t="n"/>
      <c r="R191" s="26" t="n"/>
      <c r="S191" s="26" t="n"/>
      <c r="T191" s="26" t="n"/>
      <c r="U191" s="26" t="n"/>
      <c r="V191" s="26" t="n"/>
      <c r="W191" s="26" t="n"/>
      <c r="X191" s="26" t="n"/>
      <c r="Y191" s="26" t="n"/>
      <c r="Z191" s="26">
        <f>IF(B191="","",IF(COUNTIF(F191:G191,"Fail")&gt;0,1,0))</f>
        <v/>
      </c>
      <c r="AA191" s="26">
        <f>IF(B191="","",IF(COUNTIF(H191:S191,"Fail")&gt;0,1,0))</f>
        <v/>
      </c>
      <c r="AB191" s="26">
        <f>IF(B191="","",IF(COUNTIF(T191:Y191,"Fail")&gt;0,1,0))</f>
        <v/>
      </c>
      <c r="AC191" s="27">
        <f>IF(B191="","",0.1*Z191+0.8*AA191+0.1*AB191)</f>
        <v/>
      </c>
      <c r="AD191" s="27">
        <f>IF(B191="","",IF(C191="Batch 1",0.3,0.2))</f>
        <v/>
      </c>
      <c r="AE191" s="19">
        <f>IF(B191="","",IF(AC191&lt;=AD191,"Đạt","Không đạt"))</f>
        <v/>
      </c>
      <c r="AF191" s="28" t="n"/>
    </row>
    <row r="192" ht="30" customHeight="1" s="36">
      <c r="A192" s="17" t="n">
        <v>190</v>
      </c>
      <c r="B192" s="18" t="n"/>
      <c r="C192" s="17" t="n"/>
      <c r="D192" s="17" t="n"/>
      <c r="E192" s="17" t="n"/>
      <c r="F192" s="26" t="n"/>
      <c r="G192" s="26" t="n"/>
      <c r="H192" s="26" t="n"/>
      <c r="I192" s="26" t="n"/>
      <c r="J192" s="26" t="n"/>
      <c r="K192" s="26" t="n"/>
      <c r="L192" s="26" t="n"/>
      <c r="M192" s="26" t="n"/>
      <c r="N192" s="26" t="n"/>
      <c r="O192" s="26" t="n"/>
      <c r="P192" s="26" t="n"/>
      <c r="Q192" s="26" t="n"/>
      <c r="R192" s="26" t="n"/>
      <c r="S192" s="26" t="n"/>
      <c r="T192" s="26" t="n"/>
      <c r="U192" s="26" t="n"/>
      <c r="V192" s="26" t="n"/>
      <c r="W192" s="26" t="n"/>
      <c r="X192" s="26" t="n"/>
      <c r="Y192" s="26" t="n"/>
      <c r="Z192" s="26">
        <f>IF(B192="","",IF(COUNTIF(F192:G192,"Fail")&gt;0,1,0))</f>
        <v/>
      </c>
      <c r="AA192" s="26">
        <f>IF(B192="","",IF(COUNTIF(H192:S192,"Fail")&gt;0,1,0))</f>
        <v/>
      </c>
      <c r="AB192" s="26">
        <f>IF(B192="","",IF(COUNTIF(T192:Y192,"Fail")&gt;0,1,0))</f>
        <v/>
      </c>
      <c r="AC192" s="27">
        <f>IF(B192="","",0.1*Z192+0.8*AA192+0.1*AB192)</f>
        <v/>
      </c>
      <c r="AD192" s="27">
        <f>IF(B192="","",IF(C192="Batch 1",0.3,0.2))</f>
        <v/>
      </c>
      <c r="AE192" s="19">
        <f>IF(B192="","",IF(AC192&lt;=AD192,"Đạt","Không đạt"))</f>
        <v/>
      </c>
      <c r="AF192" s="28" t="n"/>
    </row>
    <row r="193" ht="30" customHeight="1" s="36">
      <c r="A193" s="17" t="n">
        <v>191</v>
      </c>
      <c r="B193" s="18" t="n"/>
      <c r="C193" s="17" t="n"/>
      <c r="D193" s="17" t="n"/>
      <c r="E193" s="17" t="n"/>
      <c r="F193" s="26" t="n"/>
      <c r="G193" s="26" t="n"/>
      <c r="H193" s="26" t="n"/>
      <c r="I193" s="26" t="n"/>
      <c r="J193" s="26" t="n"/>
      <c r="K193" s="26" t="n"/>
      <c r="L193" s="26" t="n"/>
      <c r="M193" s="26" t="n"/>
      <c r="N193" s="26" t="n"/>
      <c r="O193" s="26" t="n"/>
      <c r="P193" s="26" t="n"/>
      <c r="Q193" s="26" t="n"/>
      <c r="R193" s="26" t="n"/>
      <c r="S193" s="26" t="n"/>
      <c r="T193" s="26" t="n"/>
      <c r="U193" s="26" t="n"/>
      <c r="V193" s="26" t="n"/>
      <c r="W193" s="26" t="n"/>
      <c r="X193" s="26" t="n"/>
      <c r="Y193" s="26" t="n"/>
      <c r="Z193" s="26">
        <f>IF(B193="","",IF(COUNTIF(F193:G193,"Fail")&gt;0,1,0))</f>
        <v/>
      </c>
      <c r="AA193" s="26">
        <f>IF(B193="","",IF(COUNTIF(H193:S193,"Fail")&gt;0,1,0))</f>
        <v/>
      </c>
      <c r="AB193" s="26">
        <f>IF(B193="","",IF(COUNTIF(T193:Y193,"Fail")&gt;0,1,0))</f>
        <v/>
      </c>
      <c r="AC193" s="27">
        <f>IF(B193="","",0.1*Z193+0.8*AA193+0.1*AB193)</f>
        <v/>
      </c>
      <c r="AD193" s="27">
        <f>IF(B193="","",IF(C193="Batch 1",0.3,0.2))</f>
        <v/>
      </c>
      <c r="AE193" s="19">
        <f>IF(B193="","",IF(AC193&lt;=AD193,"Đạt","Không đạt"))</f>
        <v/>
      </c>
      <c r="AF193" s="28" t="n"/>
    </row>
    <row r="194" ht="30" customHeight="1" s="36">
      <c r="A194" s="17" t="n">
        <v>192</v>
      </c>
      <c r="B194" s="18" t="n"/>
      <c r="C194" s="17" t="n"/>
      <c r="D194" s="17" t="n"/>
      <c r="E194" s="17" t="n"/>
      <c r="F194" s="26" t="n"/>
      <c r="G194" s="26" t="n"/>
      <c r="H194" s="26" t="n"/>
      <c r="I194" s="26" t="n"/>
      <c r="J194" s="26" t="n"/>
      <c r="K194" s="26" t="n"/>
      <c r="L194" s="26" t="n"/>
      <c r="M194" s="26" t="n"/>
      <c r="N194" s="26" t="n"/>
      <c r="O194" s="26" t="n"/>
      <c r="P194" s="26" t="n"/>
      <c r="Q194" s="26" t="n"/>
      <c r="R194" s="26" t="n"/>
      <c r="S194" s="26" t="n"/>
      <c r="T194" s="26" t="n"/>
      <c r="U194" s="26" t="n"/>
      <c r="V194" s="26" t="n"/>
      <c r="W194" s="26" t="n"/>
      <c r="X194" s="26" t="n"/>
      <c r="Y194" s="26" t="n"/>
      <c r="Z194" s="26">
        <f>IF(B194="","",IF(COUNTIF(F194:G194,"Fail")&gt;0,1,0))</f>
        <v/>
      </c>
      <c r="AA194" s="26">
        <f>IF(B194="","",IF(COUNTIF(H194:S194,"Fail")&gt;0,1,0))</f>
        <v/>
      </c>
      <c r="AB194" s="26">
        <f>IF(B194="","",IF(COUNTIF(T194:Y194,"Fail")&gt;0,1,0))</f>
        <v/>
      </c>
      <c r="AC194" s="27">
        <f>IF(B194="","",0.1*Z194+0.8*AA194+0.1*AB194)</f>
        <v/>
      </c>
      <c r="AD194" s="27">
        <f>IF(B194="","",IF(C194="Batch 1",0.3,0.2))</f>
        <v/>
      </c>
      <c r="AE194" s="19">
        <f>IF(B194="","",IF(AC194&lt;=AD194,"Đạt","Không đạt"))</f>
        <v/>
      </c>
      <c r="AF194" s="28" t="n"/>
    </row>
    <row r="195" ht="30" customHeight="1" s="36">
      <c r="A195" s="17" t="n">
        <v>193</v>
      </c>
      <c r="B195" s="18" t="n"/>
      <c r="C195" s="17" t="n"/>
      <c r="D195" s="17" t="n"/>
      <c r="E195" s="17" t="n"/>
      <c r="F195" s="26" t="n"/>
      <c r="G195" s="26" t="n"/>
      <c r="H195" s="26" t="n"/>
      <c r="I195" s="26" t="n"/>
      <c r="J195" s="26" t="n"/>
      <c r="K195" s="26" t="n"/>
      <c r="L195" s="26" t="n"/>
      <c r="M195" s="26" t="n"/>
      <c r="N195" s="26" t="n"/>
      <c r="O195" s="26" t="n"/>
      <c r="P195" s="26" t="n"/>
      <c r="Q195" s="26" t="n"/>
      <c r="R195" s="26" t="n"/>
      <c r="S195" s="26" t="n"/>
      <c r="T195" s="26" t="n"/>
      <c r="U195" s="26" t="n"/>
      <c r="V195" s="26" t="n"/>
      <c r="W195" s="26" t="n"/>
      <c r="X195" s="26" t="n"/>
      <c r="Y195" s="26" t="n"/>
      <c r="Z195" s="26">
        <f>IF(B195="","",IF(COUNTIF(F195:G195,"Fail")&gt;0,1,0))</f>
        <v/>
      </c>
      <c r="AA195" s="26">
        <f>IF(B195="","",IF(COUNTIF(H195:S195,"Fail")&gt;0,1,0))</f>
        <v/>
      </c>
      <c r="AB195" s="26">
        <f>IF(B195="","",IF(COUNTIF(T195:Y195,"Fail")&gt;0,1,0))</f>
        <v/>
      </c>
      <c r="AC195" s="27">
        <f>IF(B195="","",0.1*Z195+0.8*AA195+0.1*AB195)</f>
        <v/>
      </c>
      <c r="AD195" s="27">
        <f>IF(B195="","",IF(C195="Batch 1",0.3,0.2))</f>
        <v/>
      </c>
      <c r="AE195" s="19">
        <f>IF(B195="","",IF(AC195&lt;=AD195,"Đạt","Không đạt"))</f>
        <v/>
      </c>
      <c r="AF195" s="28" t="n"/>
    </row>
    <row r="196" ht="30" customHeight="1" s="36">
      <c r="A196" s="17" t="n">
        <v>194</v>
      </c>
      <c r="B196" s="18" t="n"/>
      <c r="C196" s="17" t="n"/>
      <c r="D196" s="17" t="n"/>
      <c r="E196" s="17" t="n"/>
      <c r="F196" s="26" t="n"/>
      <c r="G196" s="26" t="n"/>
      <c r="H196" s="26" t="n"/>
      <c r="I196" s="26" t="n"/>
      <c r="J196" s="26" t="n"/>
      <c r="K196" s="26" t="n"/>
      <c r="L196" s="26" t="n"/>
      <c r="M196" s="26" t="n"/>
      <c r="N196" s="26" t="n"/>
      <c r="O196" s="26" t="n"/>
      <c r="P196" s="26" t="n"/>
      <c r="Q196" s="26" t="n"/>
      <c r="R196" s="26" t="n"/>
      <c r="S196" s="26" t="n"/>
      <c r="T196" s="26" t="n"/>
      <c r="U196" s="26" t="n"/>
      <c r="V196" s="26" t="n"/>
      <c r="W196" s="26" t="n"/>
      <c r="X196" s="26" t="n"/>
      <c r="Y196" s="26" t="n"/>
      <c r="Z196" s="26">
        <f>IF(B196="","",IF(COUNTIF(F196:G196,"Fail")&gt;0,1,0))</f>
        <v/>
      </c>
      <c r="AA196" s="26">
        <f>IF(B196="","",IF(COUNTIF(H196:S196,"Fail")&gt;0,1,0))</f>
        <v/>
      </c>
      <c r="AB196" s="26">
        <f>IF(B196="","",IF(COUNTIF(T196:Y196,"Fail")&gt;0,1,0))</f>
        <v/>
      </c>
      <c r="AC196" s="27">
        <f>IF(B196="","",0.1*Z196+0.8*AA196+0.1*AB196)</f>
        <v/>
      </c>
      <c r="AD196" s="27">
        <f>IF(B196="","",IF(C196="Batch 1",0.3,0.2))</f>
        <v/>
      </c>
      <c r="AE196" s="19">
        <f>IF(B196="","",IF(AC196&lt;=AD196,"Đạt","Không đạt"))</f>
        <v/>
      </c>
      <c r="AF196" s="28" t="n"/>
    </row>
    <row r="197" ht="30" customHeight="1" s="36">
      <c r="A197" s="17" t="n">
        <v>195</v>
      </c>
      <c r="B197" s="18" t="n"/>
      <c r="C197" s="17" t="n"/>
      <c r="D197" s="17" t="n"/>
      <c r="E197" s="17" t="n"/>
      <c r="F197" s="26" t="n"/>
      <c r="G197" s="26" t="n"/>
      <c r="H197" s="26" t="n"/>
      <c r="I197" s="26" t="n"/>
      <c r="J197" s="26" t="n"/>
      <c r="K197" s="26" t="n"/>
      <c r="L197" s="26" t="n"/>
      <c r="M197" s="26" t="n"/>
      <c r="N197" s="26" t="n"/>
      <c r="O197" s="26" t="n"/>
      <c r="P197" s="26" t="n"/>
      <c r="Q197" s="26" t="n"/>
      <c r="R197" s="26" t="n"/>
      <c r="S197" s="26" t="n"/>
      <c r="T197" s="26" t="n"/>
      <c r="U197" s="26" t="n"/>
      <c r="V197" s="26" t="n"/>
      <c r="W197" s="26" t="n"/>
      <c r="X197" s="26" t="n"/>
      <c r="Y197" s="26" t="n"/>
      <c r="Z197" s="26">
        <f>IF(B197="","",IF(COUNTIF(F197:G197,"Fail")&gt;0,1,0))</f>
        <v/>
      </c>
      <c r="AA197" s="26">
        <f>IF(B197="","",IF(COUNTIF(H197:S197,"Fail")&gt;0,1,0))</f>
        <v/>
      </c>
      <c r="AB197" s="26">
        <f>IF(B197="","",IF(COUNTIF(T197:Y197,"Fail")&gt;0,1,0))</f>
        <v/>
      </c>
      <c r="AC197" s="27">
        <f>IF(B197="","",0.1*Z197+0.8*AA197+0.1*AB197)</f>
        <v/>
      </c>
      <c r="AD197" s="27">
        <f>IF(B197="","",IF(C197="Batch 1",0.3,0.2))</f>
        <v/>
      </c>
      <c r="AE197" s="19">
        <f>IF(B197="","",IF(AC197&lt;=AD197,"Đạt","Không đạt"))</f>
        <v/>
      </c>
      <c r="AF197" s="28" t="n"/>
    </row>
    <row r="198" ht="30" customHeight="1" s="36">
      <c r="A198" s="17" t="n">
        <v>196</v>
      </c>
      <c r="B198" s="18" t="n"/>
      <c r="C198" s="17" t="n"/>
      <c r="D198" s="17" t="n"/>
      <c r="E198" s="17" t="n"/>
      <c r="F198" s="26" t="n"/>
      <c r="G198" s="26" t="n"/>
      <c r="H198" s="26" t="n"/>
      <c r="I198" s="26" t="n"/>
      <c r="J198" s="26" t="n"/>
      <c r="K198" s="26" t="n"/>
      <c r="L198" s="26" t="n"/>
      <c r="M198" s="26" t="n"/>
      <c r="N198" s="26" t="n"/>
      <c r="O198" s="26" t="n"/>
      <c r="P198" s="26" t="n"/>
      <c r="Q198" s="26" t="n"/>
      <c r="R198" s="26" t="n"/>
      <c r="S198" s="26" t="n"/>
      <c r="T198" s="26" t="n"/>
      <c r="U198" s="26" t="n"/>
      <c r="V198" s="26" t="n"/>
      <c r="W198" s="26" t="n"/>
      <c r="X198" s="26" t="n"/>
      <c r="Y198" s="26" t="n"/>
      <c r="Z198" s="26">
        <f>IF(B198="","",IF(COUNTIF(F198:G198,"Fail")&gt;0,1,0))</f>
        <v/>
      </c>
      <c r="AA198" s="26">
        <f>IF(B198="","",IF(COUNTIF(H198:S198,"Fail")&gt;0,1,0))</f>
        <v/>
      </c>
      <c r="AB198" s="26">
        <f>IF(B198="","",IF(COUNTIF(T198:Y198,"Fail")&gt;0,1,0))</f>
        <v/>
      </c>
      <c r="AC198" s="27">
        <f>IF(B198="","",0.1*Z198+0.8*AA198+0.1*AB198)</f>
        <v/>
      </c>
      <c r="AD198" s="27">
        <f>IF(B198="","",IF(C198="Batch 1",0.3,0.2))</f>
        <v/>
      </c>
      <c r="AE198" s="19">
        <f>IF(B198="","",IF(AC198&lt;=AD198,"Đạt","Không đạt"))</f>
        <v/>
      </c>
      <c r="AF198" s="28" t="n"/>
    </row>
    <row r="199" ht="30" customHeight="1" s="36">
      <c r="A199" s="17" t="n">
        <v>197</v>
      </c>
      <c r="B199" s="18" t="n"/>
      <c r="C199" s="17" t="n"/>
      <c r="D199" s="17" t="n"/>
      <c r="E199" s="17" t="n"/>
      <c r="F199" s="26" t="n"/>
      <c r="G199" s="26" t="n"/>
      <c r="H199" s="26" t="n"/>
      <c r="I199" s="26" t="n"/>
      <c r="J199" s="26" t="n"/>
      <c r="K199" s="26" t="n"/>
      <c r="L199" s="26" t="n"/>
      <c r="M199" s="26" t="n"/>
      <c r="N199" s="26" t="n"/>
      <c r="O199" s="26" t="n"/>
      <c r="P199" s="26" t="n"/>
      <c r="Q199" s="26" t="n"/>
      <c r="R199" s="26" t="n"/>
      <c r="S199" s="26" t="n"/>
      <c r="T199" s="26" t="n"/>
      <c r="U199" s="26" t="n"/>
      <c r="V199" s="26" t="n"/>
      <c r="W199" s="26" t="n"/>
      <c r="X199" s="26" t="n"/>
      <c r="Y199" s="26" t="n"/>
      <c r="Z199" s="26">
        <f>IF(B199="","",IF(COUNTIF(F199:G199,"Fail")&gt;0,1,0))</f>
        <v/>
      </c>
      <c r="AA199" s="26">
        <f>IF(B199="","",IF(COUNTIF(H199:S199,"Fail")&gt;0,1,0))</f>
        <v/>
      </c>
      <c r="AB199" s="26">
        <f>IF(B199="","",IF(COUNTIF(T199:Y199,"Fail")&gt;0,1,0))</f>
        <v/>
      </c>
      <c r="AC199" s="27">
        <f>IF(B199="","",0.1*Z199+0.8*AA199+0.1*AB199)</f>
        <v/>
      </c>
      <c r="AD199" s="27">
        <f>IF(B199="","",IF(C199="Batch 1",0.3,0.2))</f>
        <v/>
      </c>
      <c r="AE199" s="19">
        <f>IF(B199="","",IF(AC199&lt;=AD199,"Đạt","Không đạt"))</f>
        <v/>
      </c>
      <c r="AF199" s="28" t="n"/>
    </row>
    <row r="200" ht="30" customHeight="1" s="36">
      <c r="A200" s="17" t="n">
        <v>198</v>
      </c>
      <c r="B200" s="18" t="n"/>
      <c r="C200" s="17" t="n"/>
      <c r="D200" s="17" t="n"/>
      <c r="E200" s="17" t="n"/>
      <c r="F200" s="26" t="n"/>
      <c r="G200" s="26" t="n"/>
      <c r="H200" s="26" t="n"/>
      <c r="I200" s="26" t="n"/>
      <c r="J200" s="26" t="n"/>
      <c r="K200" s="26" t="n"/>
      <c r="L200" s="26" t="n"/>
      <c r="M200" s="26" t="n"/>
      <c r="N200" s="26" t="n"/>
      <c r="O200" s="26" t="n"/>
      <c r="P200" s="26" t="n"/>
      <c r="Q200" s="26" t="n"/>
      <c r="R200" s="26" t="n"/>
      <c r="S200" s="26" t="n"/>
      <c r="T200" s="26" t="n"/>
      <c r="U200" s="26" t="n"/>
      <c r="V200" s="26" t="n"/>
      <c r="W200" s="26" t="n"/>
      <c r="X200" s="26" t="n"/>
      <c r="Y200" s="26" t="n"/>
      <c r="Z200" s="26">
        <f>IF(B200="","",IF(COUNTIF(F200:G200,"Fail")&gt;0,1,0))</f>
        <v/>
      </c>
      <c r="AA200" s="26">
        <f>IF(B200="","",IF(COUNTIF(H200:S200,"Fail")&gt;0,1,0))</f>
        <v/>
      </c>
      <c r="AB200" s="26">
        <f>IF(B200="","",IF(COUNTIF(T200:Y200,"Fail")&gt;0,1,0))</f>
        <v/>
      </c>
      <c r="AC200" s="27">
        <f>IF(B200="","",0.1*Z200+0.8*AA200+0.1*AB200)</f>
        <v/>
      </c>
      <c r="AD200" s="27">
        <f>IF(B200="","",IF(C200="Batch 1",0.3,0.2))</f>
        <v/>
      </c>
      <c r="AE200" s="19">
        <f>IF(B200="","",IF(AC200&lt;=AD200,"Đạt","Không đạt"))</f>
        <v/>
      </c>
      <c r="AF200" s="28" t="n"/>
    </row>
  </sheetData>
  <mergeCells count="9">
    <mergeCell ref="T1:Y1"/>
    <mergeCell ref="H1:S1"/>
    <mergeCell ref="C1:C2"/>
    <mergeCell ref="B1:B2"/>
    <mergeCell ref="D1:D2"/>
    <mergeCell ref="E1:E2"/>
    <mergeCell ref="Z1:AF1"/>
    <mergeCell ref="F1:G1"/>
    <mergeCell ref="A1:A2"/>
  </mergeCells>
  <conditionalFormatting sqref="F3:Y200">
    <cfRule type="cellIs" priority="2" operator="equal" dxfId="12">
      <formula>"WARN"</formula>
    </cfRule>
    <cfRule type="cellIs" priority="3" operator="equal" dxfId="7">
      <formula>"Fail"</formula>
    </cfRule>
    <cfRule type="cellIs" priority="4" operator="equal" dxfId="8">
      <formula>"Pass"</formula>
    </cfRule>
    <cfRule type="cellIs" priority="5" operator="equal" dxfId="9">
      <formula>"N/A"</formula>
    </cfRule>
  </conditionalFormatting>
  <conditionalFormatting sqref="AE3:AE200">
    <cfRule type="cellIs" priority="6" operator="equal" dxfId="10">
      <formula>"Không đạt"</formula>
    </cfRule>
    <cfRule type="cellIs" priority="7" operator="equal" dxfId="11">
      <formula>"Đạt"</formula>
    </cfRule>
  </conditionalFormatting>
  <conditionalFormatting sqref="F2:Y200">
    <cfRule type="cellIs" priority="1" operator="equal" dxfId="12">
      <formula>"WARN"</formula>
    </cfRule>
  </conditionalFormatting>
  <dataValidations count="2">
    <dataValidation sqref="F3:Y200" showDropDown="0" showInputMessage="0" showErrorMessage="0" allowBlank="1" type="list">
      <formula1>"Pass,Fail,N/A,WARN"</formula1>
    </dataValidation>
    <dataValidation sqref="C3:C200" showDropDown="0" showInputMessage="0" showErrorMessage="0" allowBlank="1" type="list">
      <formula1>"Batch 1,Batch 2,Batch 3"</formula1>
    </dataValidation>
  </dataValidations>
  <pageMargins left="0.75" right="0.75" top="1" bottom="1" header="0.511811023622047" footer="0.511811023622047"/>
  <pageSetup orientation="portrait" paperSize="9" horizontalDpi="300" verticalDpi="300"/>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B2:I9"/>
  <sheetViews>
    <sheetView showGridLines="0" zoomScaleNormal="100" workbookViewId="0">
      <selection activeCell="F20" sqref="F20"/>
    </sheetView>
  </sheetViews>
  <sheetFormatPr baseColWidth="8" defaultColWidth="8.7265625" defaultRowHeight="14.5"/>
  <cols>
    <col width="12" customWidth="1" style="36" min="2" max="2"/>
    <col width="12.54296875" bestFit="1" customWidth="1" style="36" min="3" max="3"/>
    <col width="12" customWidth="1" style="36" min="4" max="4"/>
    <col width="10" customWidth="1" style="36" min="5" max="5"/>
    <col width="12" customWidth="1" style="36" min="6" max="8"/>
    <col width="20" bestFit="1" customWidth="1" style="36" min="9" max="9"/>
  </cols>
  <sheetData>
    <row r="2" ht="18" customHeight="1" s="36">
      <c r="B2" s="37" t="inlineStr">
        <is>
          <t>TỔNG HỢP KẾT QUẢ REVIEW CODE THEO BATCH – ZONE C OCB</t>
        </is>
      </c>
    </row>
    <row r="4" ht="31.5" customHeight="1" s="36">
      <c r="B4" s="3" t="inlineStr">
        <is>
          <t>Batch</t>
        </is>
      </c>
      <c r="C4" s="3" t="inlineStr">
        <is>
          <t>Ngưỡng lỗi
cho phép</t>
        </is>
      </c>
      <c r="D4" s="3" t="inlineStr">
        <is>
          <t>Số bảng
đã review</t>
        </is>
      </c>
      <c r="E4" s="3" t="inlineStr">
        <is>
          <t>Số bảng
Đạt</t>
        </is>
      </c>
      <c r="F4" s="3" t="inlineStr">
        <is>
          <t>Số bảng
Không đạt</t>
        </is>
      </c>
      <c r="G4" s="3" t="inlineStr">
        <is>
          <t>Tỷ lệ lỗi
bình quân</t>
        </is>
      </c>
      <c r="H4" s="3" t="inlineStr">
        <is>
          <t>Tỷ lệ bảng
Không đạt</t>
        </is>
      </c>
      <c r="I4" s="3" t="inlineStr">
        <is>
          <t>Kết luận Batch</t>
        </is>
      </c>
    </row>
    <row r="5" ht="21.75" customHeight="1" s="36">
      <c r="B5" s="17" t="inlineStr">
        <is>
          <t>Batch 1</t>
        </is>
      </c>
      <c r="C5" s="20" t="n">
        <v>0.3</v>
      </c>
      <c r="D5" s="17">
        <f>COUNTIF('Review theo bảng'!$C$3:$C$200,B5)</f>
        <v/>
      </c>
      <c r="E5" s="17">
        <f>COUNTIFS('Review theo bảng'!$C$3:$C$200,B5,'Review theo bảng'!$AE$3:$AE$200,"Đạt")</f>
        <v/>
      </c>
      <c r="F5" s="17">
        <f>COUNTIFS('Review theo bảng'!$C$3:$C$200,B5,'Review theo bảng'!$AE$3:$AE$200,"Không đạt")</f>
        <v/>
      </c>
      <c r="G5" s="21">
        <f>IFERROR(AVERAGEIF('Review theo bảng'!$C$3:$C$200,B5,'Review theo bảng'!$AC$3:$AC$200),0)</f>
        <v/>
      </c>
      <c r="H5" s="21">
        <f>IFERROR(F5/D5,0)</f>
        <v/>
      </c>
      <c r="I5" s="22">
        <f>IF(D5=0,"Chưa có dữ liệu",IF(H5&lt;=C5,"Đạt yêu cầu","Không đạt yêu cầu"))</f>
        <v/>
      </c>
    </row>
    <row r="6" ht="21.75" customHeight="1" s="36">
      <c r="B6" s="17" t="inlineStr">
        <is>
          <t>Batch 2</t>
        </is>
      </c>
      <c r="C6" s="20" t="n">
        <v>0.2</v>
      </c>
      <c r="D6" s="17">
        <f>COUNTIF('Review theo bảng'!$C$3:$C$200,B6)</f>
        <v/>
      </c>
      <c r="E6" s="17">
        <f>COUNTIFS('Review theo bảng'!$C$3:$C$200,B6,'Review theo bảng'!$AE$3:$AE$200,"Đạt")</f>
        <v/>
      </c>
      <c r="F6" s="17">
        <f>COUNTIFS('Review theo bảng'!$C$3:$C$200,B6,'Review theo bảng'!$AE$3:$AE$200,"Không đạt")</f>
        <v/>
      </c>
      <c r="G6" s="21">
        <f>IFERROR(AVERAGEIF('Review theo bảng'!$C$3:$C$200,B6,'Review theo bảng'!$AC$3:$AC$200),0)</f>
        <v/>
      </c>
      <c r="H6" s="21">
        <f>IFERROR(F6/D6,0)</f>
        <v/>
      </c>
      <c r="I6" s="22">
        <f>IF(D6=0,"Chưa có dữ liệu",IF(H6&lt;=C6,"Đạt yêu cầu","Không đạt yêu cầu"))</f>
        <v/>
      </c>
    </row>
    <row r="7" ht="21.75" customHeight="1" s="36">
      <c r="B7" s="17" t="inlineStr">
        <is>
          <t>Batch 3</t>
        </is>
      </c>
      <c r="C7" s="20" t="n">
        <v>0.2</v>
      </c>
      <c r="D7" s="17">
        <f>COUNTIF('Review theo bảng'!$C$3:$C$200,B7)</f>
        <v/>
      </c>
      <c r="E7" s="17">
        <f>COUNTIFS('Review theo bảng'!$C$3:$C$200,B7,'Review theo bảng'!$AE$3:$AE$200,"Đạt")</f>
        <v/>
      </c>
      <c r="F7" s="17">
        <f>COUNTIFS('Review theo bảng'!$C$3:$C$200,B7,'Review theo bảng'!$AE$3:$AE$200,"Không đạt")</f>
        <v/>
      </c>
      <c r="G7" s="21">
        <f>IFERROR(AVERAGEIF('Review theo bảng'!$C$3:$C$200,B7,'Review theo bảng'!$AC$3:$AC$200),0)</f>
        <v/>
      </c>
      <c r="H7" s="21">
        <f>IFERROR(F7/D7,0)</f>
        <v/>
      </c>
      <c r="I7" s="22">
        <f>IF(D7=0,"Chưa có dữ liệu",IF(H7&lt;=C7,"Đạt yêu cầu","Không đạt yêu cầu"))</f>
        <v/>
      </c>
    </row>
    <row r="9" ht="30" customHeight="1" s="36">
      <c r="B9" s="35" t="inlineStr">
        <is>
          <t>Ghi chú: Tỷ lệ lỗi bình quân và kết luận lấy tự động từ sheet "Review theo bảng" (cột AE và AG). Ngưỡng lỗi theo thống nhất với OCB: Batch 1 tối đa 30%, Batch 2 và Batch 3 tối đa 20% (sheet "Quality check").</t>
        </is>
      </c>
    </row>
  </sheetData>
  <mergeCells count="2">
    <mergeCell ref="B9:I9"/>
    <mergeCell ref="B2:H2"/>
  </mergeCells>
  <conditionalFormatting sqref="I5:I7">
    <cfRule type="cellIs" priority="2" operator="equal" dxfId="1">
      <formula>"Không đạt yêu cầu"</formula>
    </cfRule>
    <cfRule type="cellIs" priority="3" operator="equal" dxfId="0">
      <formula>"Đạt yêu cầu"</formula>
    </cfRule>
  </conditionalFormatting>
  <pageMargins left="0.75" right="0.75" top="1" bottom="1" header="0.511811023622047" footer="0.511811023622047"/>
  <pageSetup orientation="portrait" paperSize="9" horizontalDpi="300" verticalDpi="300"/>
</worksheet>
</file>

<file path=xl/worksheets/sheet5.xml><?xml version="1.0" encoding="utf-8"?>
<worksheet xmlns="http://schemas.openxmlformats.org/spreadsheetml/2006/main">
  <sheetPr>
    <outlinePr summaryBelow="1" summaryRight="1"/>
    <pageSetUpPr/>
  </sheetPr>
  <dimension ref="A1:J126"/>
  <sheetViews>
    <sheetView workbookViewId="0">
      <pane ySplit="1" topLeftCell="A2" activePane="bottomLeft" state="frozen"/>
      <selection pane="bottomLeft" activeCell="A1" sqref="A1"/>
    </sheetView>
  </sheetViews>
  <sheetFormatPr baseColWidth="8" defaultRowHeight="15"/>
  <cols>
    <col width="34" customWidth="1" style="36" min="1" max="1"/>
    <col width="17" customWidth="1" style="36" min="2" max="2"/>
    <col width="7" customWidth="1" style="36" min="3" max="3"/>
    <col width="24" customWidth="1" style="36" min="4" max="4"/>
    <col width="44" customWidth="1" style="36" min="5" max="5"/>
    <col width="12" customWidth="1" style="36" min="6" max="6"/>
    <col width="13" customWidth="1" style="36" min="7" max="7"/>
    <col width="82" customWidth="1" style="36" min="8" max="8"/>
    <col width="88" customWidth="1" style="36" min="9" max="9"/>
    <col width="38" customWidth="1" style="36" min="10" max="10"/>
  </cols>
  <sheetData>
    <row r="1">
      <c r="A1" s="47" t="inlineStr">
        <is>
          <t>Object Gold</t>
        </is>
      </c>
      <c r="B1" s="47" t="inlineStr">
        <is>
          <t>Profile</t>
        </is>
      </c>
      <c r="C1" s="47" t="inlineStr">
        <is>
          <t>Mã</t>
        </is>
      </c>
      <c r="D1" s="47" t="inlineStr">
        <is>
          <t>Nhóm</t>
        </is>
      </c>
      <c r="E1" s="47" t="inlineStr">
        <is>
          <t>Tiêu chí</t>
        </is>
      </c>
      <c r="F1" s="47" t="inlineStr">
        <is>
          <t>Kết quả máy</t>
        </is>
      </c>
      <c r="G1" s="47" t="inlineStr">
        <is>
          <t>Ghi vào Excel</t>
        </is>
      </c>
      <c r="H1" s="47" t="inlineStr">
        <is>
          <t>Bằng chứng / số dòng</t>
        </is>
      </c>
      <c r="I1" s="47" t="inlineStr">
        <is>
          <t>Cách sửa</t>
        </is>
      </c>
      <c r="J1" s="47" t="inlineStr">
        <is>
          <t>File</t>
        </is>
      </c>
    </row>
    <row r="2">
      <c r="A2" s="48" t="inlineStr">
        <is>
          <t>BPM_FTR_XLGDTD</t>
        </is>
      </c>
      <c r="B2" s="48" t="inlineStr">
        <is>
          <t>SILVER_CONSUMER</t>
        </is>
      </c>
      <c r="C2" s="48" t="inlineStr">
        <is>
          <t>1.1</t>
        </is>
      </c>
      <c r="D2" s="48" t="inlineStr">
        <is>
          <t>Nhom 1 - Mapping</t>
        </is>
      </c>
      <c r="E2" s="48" t="inlineStr">
        <is>
          <t>Đầy đủ mapping từ Silver/manual sang Gold</t>
        </is>
      </c>
      <c r="F2" s="49" t="inlineStr">
        <is>
          <t>PASS</t>
        </is>
      </c>
      <c r="G2" s="48" t="inlineStr">
        <is>
          <t>Pass</t>
        </is>
      </c>
      <c r="H2" s="50" t="inlineStr">
        <is>
          <t>workbook OCB_GOLD_TTDL_BPM_FTR_XLGDTD_THU 1.xlsx: thiết kế 13 field, SQL có 13 cột</t>
        </is>
      </c>
      <c r="I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 s="48" t="inlineStr">
        <is>
          <t>OCB_GOLD_TTDL_BPM_FTR_XLGDTD_THU 1.xlsx [Script: BPM_FTR_XLGDTD]</t>
        </is>
      </c>
    </row>
    <row r="3">
      <c r="A3" s="48" t="inlineStr">
        <is>
          <t>BPM_FTR_XLGDTD</t>
        </is>
      </c>
      <c r="B3" s="48" t="inlineStr">
        <is>
          <t>SILVER_CONSUMER</t>
        </is>
      </c>
      <c r="C3" s="48" t="inlineStr">
        <is>
          <t>1.2</t>
        </is>
      </c>
      <c r="D3" s="48" t="inlineStr">
        <is>
          <t>Nhom 1 - Mapping</t>
        </is>
      </c>
      <c r="E3" s="48" t="inlineStr">
        <is>
          <t>Danh sách bảng/view Gold khớp tài liệu thiết kế đã duyệt</t>
        </is>
      </c>
      <c r="F3" s="49" t="inlineStr">
        <is>
          <t>PASS</t>
        </is>
      </c>
      <c r="G3" s="48" t="inlineStr">
        <is>
          <t>Pass</t>
        </is>
      </c>
      <c r="H3" s="50" t="inlineStr">
        <is>
          <t>BPM_FTR_XLGDTD có workbook thiết kế: OCB_GOLD_TTDL_BPM_FTR_XLGDTD_THU 1.xlsx</t>
        </is>
      </c>
      <c r="I3" s="50" t="inlineStr">
        <is>
          <t>Đảm bảo object có workbook thiết kế tương ứng trong thư mục --mapping-dir. Muốn đối chiếu với danh sách đã duyệt thì chạy thêm tham số --gold-list "&lt;file danh sách Gold&gt;.xlsx".</t>
        </is>
      </c>
      <c r="J3" s="48" t="inlineStr">
        <is>
          <t>OCB_GOLD_TTDL_BPM_FTR_XLGDTD_THU 1.xlsx [Script: BPM_FTR_XLGDTD]</t>
        </is>
      </c>
    </row>
    <row r="4">
      <c r="A4" s="48" t="inlineStr">
        <is>
          <t>BPM_FTR_XLGDTD</t>
        </is>
      </c>
      <c r="B4" s="48" t="inlineStr">
        <is>
          <t>SILVER_CONSUMER</t>
        </is>
      </c>
      <c r="C4" s="48" t="inlineStr">
        <is>
          <t>2.1</t>
        </is>
      </c>
      <c r="D4" s="48" t="inlineStr">
        <is>
          <t>Nhom 2 - Logic</t>
        </is>
      </c>
      <c r="E4" s="48" t="inlineStr">
        <is>
          <t>Chỉ lấy bản ghi active, loại bản ghi đã xóa (qua sts_hub)</t>
        </is>
      </c>
      <c r="F4" s="49" t="inlineStr">
        <is>
          <t>PASS</t>
        </is>
      </c>
      <c r="G4" s="48" t="inlineStr">
        <is>
          <t>Pass</t>
        </is>
      </c>
      <c r="H4" s="50" t="inlineStr">
        <is>
          <t>không dùng sts_hub_* (không có yêu cầu nghiệp vụ giữ bản ghi đã xóa)</t>
        </is>
      </c>
      <c r="I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4" s="48" t="inlineStr">
        <is>
          <t>OCB_GOLD_TTDL_BPM_FTR_XLGDTD_THU 1.xlsx [Script: BPM_FTR_XLGDTD]</t>
        </is>
      </c>
    </row>
    <row r="5">
      <c r="A5" s="48" t="inlineStr">
        <is>
          <t>BPM_FTR_XLGDTD</t>
        </is>
      </c>
      <c r="B5" s="48" t="inlineStr">
        <is>
          <t>SILVER_CONSUMER</t>
        </is>
      </c>
      <c r="C5" s="48" t="inlineStr">
        <is>
          <t>2.2</t>
        </is>
      </c>
      <c r="D5" s="48" t="inlineStr">
        <is>
          <t>Nhom 2 - Logic</t>
        </is>
      </c>
      <c r="E5" s="48" t="inlineStr">
        <is>
          <t>Thống nhất MỘT pattern duy nhất xác định bản ghi active mới nhất</t>
        </is>
      </c>
      <c r="F5" s="49" t="inlineStr">
        <is>
          <t>PASS</t>
        </is>
      </c>
      <c r="G5" s="48" t="inlineStr">
        <is>
          <t>Pass</t>
        </is>
      </c>
      <c r="H5" s="50" t="inlineStr">
        <is>
          <t>file này dùng: ['MAX_BY']; toàn batch dùng: ['MAX_BY']</t>
        </is>
      </c>
      <c r="I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5" s="48" t="inlineStr">
        <is>
          <t>OCB_GOLD_TTDL_BPM_FTR_XLGDTD_THU 1.xlsx [Script: BPM_FTR_XLGDTD]</t>
        </is>
      </c>
    </row>
    <row r="6">
      <c r="A6" s="48" t="inlineStr">
        <is>
          <t>BPM_FTR_XLGDTD</t>
        </is>
      </c>
      <c r="B6" s="48" t="inlineStr">
        <is>
          <t>SILVER_CONSUMER</t>
        </is>
      </c>
      <c r="C6" s="48" t="inlineStr">
        <is>
          <t>2.3</t>
        </is>
      </c>
      <c r="D6" s="48" t="inlineStr">
        <is>
          <t>Nhom 2 - Logic</t>
        </is>
      </c>
      <c r="E6" s="48" t="inlineStr">
        <is>
          <t>Điều kiện lọc trạng thái đặt SAU khi xác định bản ghi mới nhất</t>
        </is>
      </c>
      <c r="F6" s="49" t="inlineStr">
        <is>
          <t>PASS</t>
        </is>
      </c>
      <c r="G6" s="48" t="inlineStr">
        <is>
          <t>Pass</t>
        </is>
      </c>
      <c r="H6" s="50" t="inlineStr">
        <is>
          <t>không có điều kiện trạng thái nào lồng trong JOIN ON</t>
        </is>
      </c>
      <c r="I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6" s="48" t="inlineStr">
        <is>
          <t>OCB_GOLD_TTDL_BPM_FTR_XLGDTD_THU 1.xlsx [Script: BPM_FTR_XLGDTD]</t>
        </is>
      </c>
    </row>
    <row r="7">
      <c r="A7" s="48" t="inlineStr">
        <is>
          <t>BPM_FTR_XLGDTD</t>
        </is>
      </c>
      <c r="B7" s="48" t="inlineStr">
        <is>
          <t>SILVER_CONSUMER</t>
        </is>
      </c>
      <c r="C7" s="48" t="inlineStr">
        <is>
          <t>2.4</t>
        </is>
      </c>
      <c r="D7" s="48" t="inlineStr">
        <is>
          <t>Nhom 2 - Logic</t>
        </is>
      </c>
      <c r="E7" s="48" t="inlineStr">
        <is>
          <t>source_event_date áp dụng đúng dạng theo loại bảng</t>
        </is>
      </c>
      <c r="F7" s="49" t="inlineStr">
        <is>
          <t>PASS</t>
        </is>
      </c>
      <c r="G7" s="48" t="inlineStr">
        <is>
          <t>Pass</t>
        </is>
      </c>
      <c r="H7" s="50" t="inlineStr">
        <is>
          <t>8 satellite đều đúng dạng điều kiện source_event_date</t>
        </is>
      </c>
      <c r="I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7" s="48" t="inlineStr">
        <is>
          <t>OCB_GOLD_TTDL_BPM_FTR_XLGDTD_THU 1.xlsx [Script: BPM_FTR_XLGDTD]</t>
        </is>
      </c>
    </row>
    <row r="8">
      <c r="A8" s="48" t="inlineStr">
        <is>
          <t>BPM_FTR_XLGDTD</t>
        </is>
      </c>
      <c r="B8" s="48" t="inlineStr">
        <is>
          <t>SILVER_CONSUMER</t>
        </is>
      </c>
      <c r="C8" s="48" t="inlineStr">
        <is>
          <t>2.5</t>
        </is>
      </c>
      <c r="D8" s="48" t="inlineStr">
        <is>
          <t>Nhom 2 - Logic</t>
        </is>
      </c>
      <c r="E8" s="48" t="inlineStr">
        <is>
          <t>Không lặp lại lỗi logic cũ đã được DA Data Vault fix</t>
        </is>
      </c>
      <c r="F8" s="49" t="inlineStr">
        <is>
          <t>PASS</t>
        </is>
      </c>
      <c r="G8" s="48" t="inlineStr">
        <is>
          <t>Pass</t>
        </is>
      </c>
      <c r="H8" s="50" t="inlineStr">
        <is>
          <t>không trùng lỗi nào trong Issue log của DA Data Vault</t>
        </is>
      </c>
      <c r="I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8" s="48" t="inlineStr">
        <is>
          <t>OCB_GOLD_TTDL_BPM_FTR_XLGDTD_THU 1.xlsx [Script: BPM_FTR_XLGDTD]</t>
        </is>
      </c>
    </row>
    <row r="9">
      <c r="A9" s="48" t="inlineStr">
        <is>
          <t>BPM_FTR_XLGDTD</t>
        </is>
      </c>
      <c r="B9" s="48" t="inlineStr">
        <is>
          <t>SILVER_CONSUMER</t>
        </is>
      </c>
      <c r="C9" s="48" t="inlineStr">
        <is>
          <t>2.6</t>
        </is>
      </c>
      <c r="D9" s="48" t="inlineStr">
        <is>
          <t>Nhom 2 - Logic</t>
        </is>
      </c>
      <c r="E9" s="48" t="inlineStr">
        <is>
          <t>SCD Type 2 cho bảng DIM áp dụng đúng kỹ thuật đã thống nhất</t>
        </is>
      </c>
      <c r="F9" s="48" t="inlineStr">
        <is>
          <t>N-A</t>
        </is>
      </c>
      <c r="G9" s="48" t="inlineStr">
        <is>
          <t>Pass</t>
        </is>
      </c>
      <c r="H9" s="50" t="inlineStr">
        <is>
          <t>object không phải bảng DIM nên không áp dụng SCD Type 2</t>
        </is>
      </c>
      <c r="I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9" s="48" t="inlineStr">
        <is>
          <t>OCB_GOLD_TTDL_BPM_FTR_XLGDTD_THU 1.xlsx [Script: BPM_FTR_XLGDTD]</t>
        </is>
      </c>
    </row>
    <row r="10">
      <c r="A10" s="48" t="inlineStr">
        <is>
          <t>BPM_FTR_XLGDTD</t>
        </is>
      </c>
      <c r="B10" s="48" t="inlineStr">
        <is>
          <t>SILVER_CONSUMER</t>
        </is>
      </c>
      <c r="C10" s="48" t="inlineStr">
        <is>
          <t>2.7</t>
        </is>
      </c>
      <c r="D10" s="48" t="inlineStr">
        <is>
          <t>Nhom 2 - Logic</t>
        </is>
      </c>
      <c r="E10" s="48" t="inlineStr">
        <is>
          <t>CASE WHEN cover đủ nhánh như job on-prem</t>
        </is>
      </c>
      <c r="F10" s="48" t="inlineStr">
        <is>
          <t>N-A</t>
        </is>
      </c>
      <c r="G10" s="48" t="inlineStr">
        <is>
          <t>Pass</t>
        </is>
      </c>
      <c r="H10" s="50" t="inlineStr">
        <is>
          <t>script không có CASE WHEN nào</t>
        </is>
      </c>
      <c r="I10" s="50" t="inlineStr">
        <is>
          <t>Mở job on-prem tương ứng (DataStage DSX hoặc SQL cũ), đối chiếu từng nhánh WHEN và cả nhánh ELSE. CASE không có ELSE sẽ trả NULL âm thầm — xác nhận đó là ý muốn hay thiếu nhánh.</t>
        </is>
      </c>
      <c r="J10" s="48" t="inlineStr">
        <is>
          <t>OCB_GOLD_TTDL_BPM_FTR_XLGDTD_THU 1.xlsx [Script: BPM_FTR_XLGDTD]</t>
        </is>
      </c>
    </row>
    <row r="11">
      <c r="A11" s="48" t="inlineStr">
        <is>
          <t>BPM_FTR_XLGDTD</t>
        </is>
      </c>
      <c r="B11" s="48" t="inlineStr">
        <is>
          <t>SILVER_CONSUMER</t>
        </is>
      </c>
      <c r="C11" s="48" t="inlineStr">
        <is>
          <t>2.8</t>
        </is>
      </c>
      <c r="D11" s="48" t="inlineStr">
        <is>
          <t>Nhom 2 - Logic</t>
        </is>
      </c>
      <c r="E11" s="48" t="inlineStr">
        <is>
          <t>Cột SUM/COUNT được COALESCE/NVL hợp lý</t>
        </is>
      </c>
      <c r="F11" s="51" t="inlineStr">
        <is>
          <t>WARN</t>
        </is>
      </c>
      <c r="G11" s="48" t="inlineStr">
        <is>
          <t>WARN</t>
        </is>
      </c>
      <c r="H11" s="50" t="inlineStr">
        <is>
          <t>2 biểu thức tổng hợp chưa coalesce: COUNT(ct.gd_chitiet_id); COUNT(ls.ket_qua_xu_ly_user); khi đối soát với hệ thống cũ phải bọc NVL/ISNULL CẢ HAI phía để không lệch khi trừ (Checklist RVN-OCB #11)</t>
        </is>
      </c>
      <c r="I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1" s="48" t="inlineStr">
        <is>
          <t>OCB_GOLD_TTDL_BPM_FTR_XLGDTD_THU 1.xlsx [Script: BPM_FTR_XLGDTD]</t>
        </is>
      </c>
    </row>
    <row r="12">
      <c r="A12" s="48" t="inlineStr">
        <is>
          <t>BPM_FTR_XLGDTD</t>
        </is>
      </c>
      <c r="B12" s="48" t="inlineStr">
        <is>
          <t>SILVER_CONSUMER</t>
        </is>
      </c>
      <c r="C12" s="48" t="inlineStr">
        <is>
          <t>2.9</t>
        </is>
      </c>
      <c r="D12" s="48" t="inlineStr">
        <is>
          <t>Nhom 2 - Logic</t>
        </is>
      </c>
      <c r="E12" s="48" t="inlineStr">
        <is>
          <t>Subquery / custom function / điều kiện LIKE đúng ý nghĩa nghiệp vụ</t>
        </is>
      </c>
      <c r="F12" s="48" t="inlineStr">
        <is>
          <t>N-A</t>
        </is>
      </c>
      <c r="G12" s="48" t="inlineStr">
        <is>
          <t>Pass</t>
        </is>
      </c>
      <c r="H12" s="50" t="inlineStr">
        <is>
          <t>script không có điều kiện LIKE hay scalar subquery nào</t>
        </is>
      </c>
      <c r="I12" s="50" t="inlineStr">
        <is>
          <t>Đọc lại từng điều kiện LIKE và từng subquery, đối chiếu ý nghĩa nghiệp vụ với on-prem — đúng cú pháp không đủ. Chú ý pattern LIKE có ký tự % ở đầu/cuối và phân biệt chữ hoa/thường.</t>
        </is>
      </c>
      <c r="J12" s="48" t="inlineStr">
        <is>
          <t>OCB_GOLD_TTDL_BPM_FTR_XLGDTD_THU 1.xlsx [Script: BPM_FTR_XLGDTD]</t>
        </is>
      </c>
    </row>
    <row r="13">
      <c r="A13" s="48" t="inlineStr">
        <is>
          <t>BPM_FTR_XLGDTD</t>
        </is>
      </c>
      <c r="B13" s="48" t="inlineStr">
        <is>
          <t>SILVER_CONSUMER</t>
        </is>
      </c>
      <c r="C13" s="48" t="inlineStr">
        <is>
          <t>2.10</t>
        </is>
      </c>
      <c r="D13" s="48" t="inlineStr">
        <is>
          <t>Nhom 2 - Logic</t>
        </is>
      </c>
      <c r="E13" s="48" t="inlineStr">
        <is>
          <t>Aggregation kèm filter date range chính xác</t>
        </is>
      </c>
      <c r="F13" s="49" t="inlineStr">
        <is>
          <t>PASS</t>
        </is>
      </c>
      <c r="G13" s="48" t="inlineStr">
        <is>
          <t>Pass</t>
        </is>
      </c>
      <c r="H13" s="50" t="inlineStr">
        <is>
          <t>mọi khối tổng hợp đều có điều kiện theo kỳ dữ liệu</t>
        </is>
      </c>
      <c r="I13" s="50" t="inlineStr">
        <is>
          <t>Mỗi khối SUM/COUNT/AVG phải có điều kiện lọc theo kỳ dữ liệu (CDR_DT_ID, DATA_DATE, :DATADT…). Nếu điều kiện nằm ở CTE nguồn thì ghi rõ trong comment để người review không phải truy ngược.</t>
        </is>
      </c>
      <c r="J13" s="48" t="inlineStr">
        <is>
          <t>OCB_GOLD_TTDL_BPM_FTR_XLGDTD_THU 1.xlsx [Script: BPM_FTR_XLGDTD]</t>
        </is>
      </c>
    </row>
    <row r="14">
      <c r="A14" s="48" t="inlineStr">
        <is>
          <t>BPM_FTR_XLGDTD</t>
        </is>
      </c>
      <c r="B14" s="48" t="inlineStr">
        <is>
          <t>SILVER_CONSUMER</t>
        </is>
      </c>
      <c r="C14" s="48" t="inlineStr">
        <is>
          <t>2.11</t>
        </is>
      </c>
      <c r="D14" s="48" t="inlineStr">
        <is>
          <t>Nhom 2 - Logic</t>
        </is>
      </c>
      <c r="E14" s="48" t="inlineStr">
        <is>
          <t>Join dùng key hợp lý, không lạm dụng UNION ALL + EXISTS/NOT EXISTS</t>
        </is>
      </c>
      <c r="F14" s="49" t="inlineStr">
        <is>
          <t>PASS</t>
        </is>
      </c>
      <c r="G14" s="48" t="inlineStr">
        <is>
          <t>Pass</t>
        </is>
      </c>
      <c r="H14" s="50" t="inlineStr">
        <is>
          <t>join đều theo điều kiện bằng, không lạm dụng UNION ALL + EXISTS</t>
        </is>
      </c>
      <c r="I14" s="50" t="inlineStr">
        <is>
          <t>Ưu tiên LEFT JOIN theo business key hoặc hashkey. Xem lại các chỗ dùng UNION ALL kết hợp EXISTS/NOT EXISTS — thường thay được bằng một LEFT JOIN. Join không có điều kiện bằng (=) dễ tạo tích Descartes.</t>
        </is>
      </c>
      <c r="J14" s="48" t="inlineStr">
        <is>
          <t>OCB_GOLD_TTDL_BPM_FTR_XLGDTD_THU 1.xlsx [Script: BPM_FTR_XLGDTD]</t>
        </is>
      </c>
    </row>
    <row r="15">
      <c r="A15" s="48" t="inlineStr">
        <is>
          <t>BPM_FTR_XLGDTD</t>
        </is>
      </c>
      <c r="B15" s="48" t="inlineStr">
        <is>
          <t>SILVER_CONSUMER</t>
        </is>
      </c>
      <c r="C15" s="48" t="inlineStr">
        <is>
          <t>2.12</t>
        </is>
      </c>
      <c r="D15" s="48" t="inlineStr">
        <is>
          <t>Nhom 2 - Logic</t>
        </is>
      </c>
      <c r="E15" s="48" t="inlineStr">
        <is>
          <t>Build Gold từ CTE snapshot Silver, không build nhiều tầng chồng chéo</t>
        </is>
      </c>
      <c r="F15" s="49" t="inlineStr">
        <is>
          <t>PASS</t>
        </is>
      </c>
      <c r="G15" s="48" t="inlineStr">
        <is>
          <t>Pass</t>
        </is>
      </c>
      <c r="H15" s="50" t="inlineStr">
        <is>
          <t>mỗi bảng nguồn chỉ đọc trong 1 khối SELECT</t>
        </is>
      </c>
      <c r="I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5" s="48" t="inlineStr">
        <is>
          <t>OCB_GOLD_TTDL_BPM_FTR_XLGDTD_THU 1.xlsx [Script: BPM_FTR_XLGDTD]</t>
        </is>
      </c>
    </row>
    <row r="16">
      <c r="A16" s="48" t="inlineStr">
        <is>
          <t>BPM_FTR_XLGDTD</t>
        </is>
      </c>
      <c r="B16" s="48" t="inlineStr">
        <is>
          <t>SILVER_CONSUMER</t>
        </is>
      </c>
      <c r="C16" s="48" t="inlineStr">
        <is>
          <t>3.1</t>
        </is>
      </c>
      <c r="D16" s="48" t="inlineStr">
        <is>
          <t>Nhom 3 - Optimization</t>
        </is>
      </c>
      <c r="E16" s="48" t="inlineStr">
        <is>
          <t>Không SELECT *</t>
        </is>
      </c>
      <c r="F16" s="49" t="inlineStr">
        <is>
          <t>PASS</t>
        </is>
      </c>
      <c r="G16" s="48" t="inlineStr">
        <is>
          <t>Pass</t>
        </is>
      </c>
      <c r="H16" s="50" t="inlineStr">
        <is>
          <t>không dùng SELECT * ở đâu</t>
        </is>
      </c>
      <c r="I16" s="50" t="inlineStr">
        <is>
          <t>Liệt kê tường minh các cột cần dùng, kể cả trong CTE trung gian. SELECT * làm tăng IO/memory và vỡ script khi bảng nguồn thêm cột.</t>
        </is>
      </c>
      <c r="J16" s="48" t="inlineStr">
        <is>
          <t>OCB_GOLD_TTDL_BPM_FTR_XLGDTD_THU 1.xlsx [Script: BPM_FTR_XLGDTD]</t>
        </is>
      </c>
    </row>
    <row r="17">
      <c r="A17" s="48" t="inlineStr">
        <is>
          <t>BPM_FTR_XLGDTD</t>
        </is>
      </c>
      <c r="B17" s="48" t="inlineStr">
        <is>
          <t>SILVER_CONSUMER</t>
        </is>
      </c>
      <c r="C17" s="48" t="inlineStr">
        <is>
          <t>3.2</t>
        </is>
      </c>
      <c r="D17" s="48" t="inlineStr">
        <is>
          <t>Nhom 3 - Optimization</t>
        </is>
      </c>
      <c r="E17" s="48" t="inlineStr">
        <is>
          <t>CTE không bị scan lại nhiều lần</t>
        </is>
      </c>
      <c r="F17" s="51" t="inlineStr">
        <is>
          <t>WARN</t>
        </is>
      </c>
      <c r="G17" s="48" t="inlineStr">
        <is>
          <t>WARN</t>
        </is>
      </c>
      <c r="H17" s="50" t="inlineStr">
        <is>
          <t>CTE bị tham chiếu lại nhiều lần: kh_hub x3, dv_hub x3, sat_dvktpd x7, sat_qt x4, sat_cbdg x3, sat_kh x3, ref_dm x3</t>
        </is>
      </c>
      <c r="I17" s="50" t="inlineStr">
        <is>
          <t>Với CTE nặng (đọc nhiều bảng Silver) bị tham chiếu từ 2 chỗ trở lên: gom lại còn một lần dùng, hoặc vật chất hóa (CACHE / bảng tạm). CTE nhẹ chỉ chứa tham số thì bỏ qua được — tự tick Pass.</t>
        </is>
      </c>
      <c r="J17" s="48" t="inlineStr">
        <is>
          <t>OCB_GOLD_TTDL_BPM_FTR_XLGDTD_THU 1.xlsx [Script: BPM_FTR_XLGDTD]</t>
        </is>
      </c>
    </row>
    <row r="18">
      <c r="A18" s="48" t="inlineStr">
        <is>
          <t>BPM_FTR_XLGDTD</t>
        </is>
      </c>
      <c r="B18" s="48" t="inlineStr">
        <is>
          <t>SILVER_CONSUMER</t>
        </is>
      </c>
      <c r="C18" s="48" t="inlineStr">
        <is>
          <t>3.3</t>
        </is>
      </c>
      <c r="D18" s="48" t="inlineStr">
        <is>
          <t>Nhom 3 - Optimization</t>
        </is>
      </c>
      <c r="E18" s="48" t="inlineStr">
        <is>
          <t>Filter trước khi join, tận dụng partition pruning</t>
        </is>
      </c>
      <c r="F18" s="49" t="inlineStr">
        <is>
          <t>PASS</t>
        </is>
      </c>
      <c r="G18" s="48" t="inlineStr">
        <is>
          <t>Pass</t>
        </is>
      </c>
      <c r="H18" s="50" t="inlineStr">
        <is>
          <t>các bảng join đều được filter trước</t>
        </is>
      </c>
      <c r="I18" s="50" t="inlineStr">
        <is>
          <t>Đưa điều kiện lọc (ngày dữ liệu, trạng thái) vào subquery của từng bảng TRƯỚC khi join, để tận dụng partition pruning. Bảng dim nhỏ không partition thì không cần — tự tick Pass.</t>
        </is>
      </c>
      <c r="J18" s="48" t="inlineStr">
        <is>
          <t>OCB_GOLD_TTDL_BPM_FTR_XLGDTD_THU 1.xlsx [Script: BPM_FTR_XLGDTD]</t>
        </is>
      </c>
    </row>
    <row r="19">
      <c r="A19" s="48" t="inlineStr">
        <is>
          <t>BPM_FTR_XLGDTD</t>
        </is>
      </c>
      <c r="B19" s="48" t="inlineStr">
        <is>
          <t>SILVER_CONSUMER</t>
        </is>
      </c>
      <c r="C19" s="48" t="inlineStr">
        <is>
          <t>3.4</t>
        </is>
      </c>
      <c r="D19" s="48" t="inlineStr">
        <is>
          <t>Nhom 3 - Optimization</t>
        </is>
      </c>
      <c r="E19" s="48" t="inlineStr">
        <is>
          <t>Sử dụng CACHE cho query lặp lại trong cùng luồng</t>
        </is>
      </c>
      <c r="F19" s="51" t="inlineStr">
        <is>
          <t>WARN</t>
        </is>
      </c>
      <c r="G19" s="48" t="inlineStr">
        <is>
          <t>WARN</t>
        </is>
      </c>
      <c r="H19" s="50" t="inlineStr">
        <is>
          <t>7 CTE nặng dùng lại &gt;= 2 lần mà không có CACHE: dv_hub, kh_hub, ref_dm, sat_cbdg, sat_dvktpd, sat_kh, sat_qt</t>
        </is>
      </c>
      <c r="I19" s="50" t="inlineStr">
        <is>
          <t>Nếu một kết quả nặng được dùng lại nhiều bước trong cùng luồng, thêm CACHE TABLE / CACHE SELECT. Kết quả nhỏ thì cache còn chậm hơn — tự tick Pass.</t>
        </is>
      </c>
      <c r="J19" s="48" t="inlineStr">
        <is>
          <t>OCB_GOLD_TTDL_BPM_FTR_XLGDTD_THU 1.xlsx [Script: BPM_FTR_XLGDTD]</t>
        </is>
      </c>
    </row>
    <row r="20">
      <c r="A20" s="48" t="inlineStr">
        <is>
          <t>BPM_FTR_XLGDTD</t>
        </is>
      </c>
      <c r="B20" s="48" t="inlineStr">
        <is>
          <t>SILVER_CONSUMER</t>
        </is>
      </c>
      <c r="C20" s="48" t="inlineStr">
        <is>
          <t>3.5</t>
        </is>
      </c>
      <c r="D20" s="48" t="inlineStr">
        <is>
          <t>Nhom 3 - Optimization</t>
        </is>
      </c>
      <c r="E20" s="48" t="inlineStr">
        <is>
          <t>Ưu tiên MAX_BY + QUALIFY thay ROW_NUMBER() + WHERE rn = 1</t>
        </is>
      </c>
      <c r="F20" s="48" t="inlineStr">
        <is>
          <t>N-A</t>
        </is>
      </c>
      <c r="G20" s="48" t="inlineStr">
        <is>
          <t>Pass</t>
        </is>
      </c>
      <c r="H20" s="50" t="inlineStr">
        <is>
          <t>script không dùng ROW_NUMBER, và MAX_BY (nếu có) không vượt quá 5 cột/khối</t>
        </is>
      </c>
      <c r="I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0" s="48" t="inlineStr">
        <is>
          <t>OCB_GOLD_TTDL_BPM_FTR_XLGDTD_THU 1.xlsx [Script: BPM_FTR_XLGDTD]</t>
        </is>
      </c>
    </row>
    <row r="21">
      <c r="A21" s="48" t="inlineStr">
        <is>
          <t>BPM_FTR_XLGDTD</t>
        </is>
      </c>
      <c r="B21" s="48" t="inlineStr">
        <is>
          <t>SILVER_CONSUMER</t>
        </is>
      </c>
      <c r="C21" s="48" t="inlineStr">
        <is>
          <t>3.6</t>
        </is>
      </c>
      <c r="D21" s="48" t="inlineStr">
        <is>
          <t>Nhom 3 - Optimization</t>
        </is>
      </c>
      <c r="E21" s="48" t="inlineStr">
        <is>
          <t>Không lạm dụng window function; có comment khi dùng</t>
        </is>
      </c>
      <c r="F21" s="49" t="inlineStr">
        <is>
          <t>PASS</t>
        </is>
      </c>
      <c r="G21" s="48" t="inlineStr">
        <is>
          <t>Pass</t>
        </is>
      </c>
      <c r="H21" s="50" t="inlineStr">
        <is>
          <t>2 window function đều có comment</t>
        </is>
      </c>
      <c r="I21" s="50" t="inlineStr">
        <is>
          <t>Mỗi window function cần một comment ngay trên khối CTE chứa nó, nói rõ vì sao không dùng được max_by/QUALIFY đơn giản hơn.</t>
        </is>
      </c>
      <c r="J21" s="48" t="inlineStr">
        <is>
          <t>OCB_GOLD_TTDL_BPM_FTR_XLGDTD_THU 1.xlsx [Script: BPM_FTR_XLGDTD]</t>
        </is>
      </c>
    </row>
    <row r="22">
      <c r="A22" s="48" t="inlineStr">
        <is>
          <t>BPM_FTR_XLGDTD</t>
        </is>
      </c>
      <c r="B22" s="48" t="inlineStr">
        <is>
          <t>SILVER_CONSUMER</t>
        </is>
      </c>
      <c r="C22" s="48" t="inlineStr">
        <is>
          <t>X.1</t>
        </is>
      </c>
      <c r="D22" s="48" t="inlineStr">
        <is>
          <t>Nhom X - Bo sung Raffles</t>
        </is>
      </c>
      <c r="E22" s="48" t="inlineStr">
        <is>
          <t>[Bổ sung] Link phải rút về current trước khi join (chống fan-out)</t>
        </is>
      </c>
      <c r="F22" s="49" t="inlineStr">
        <is>
          <t>PASS</t>
        </is>
      </c>
      <c r="G22" s="48" t="inlineStr">
        <is>
          <t>Pass</t>
        </is>
      </c>
      <c r="H22" s="50" t="inlineStr">
        <is>
          <t>các bảng link_* đều được rút về current trước khi join</t>
        </is>
      </c>
      <c r="I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2" s="48" t="inlineStr">
        <is>
          <t>OCB_GOLD_TTDL_BPM_FTR_XLGDTD_THU 1.xlsx [Script: BPM_FTR_XLGDTD]</t>
        </is>
      </c>
    </row>
    <row r="23">
      <c r="A23" s="48" t="inlineStr">
        <is>
          <t>BPM_FTR_XLGDTD</t>
        </is>
      </c>
      <c r="B23" s="48" t="inlineStr">
        <is>
          <t>SILVER_CONSUMER</t>
        </is>
      </c>
      <c r="C23" s="48" t="inlineStr">
        <is>
          <t>X.6</t>
        </is>
      </c>
      <c r="D23" s="48" t="inlineStr">
        <is>
          <t>Nhom X - Bo sung Raffles</t>
        </is>
      </c>
      <c r="E23" s="48" t="inlineStr">
        <is>
          <t>[Bổ sung] Satellite phải LEFT JOIN, không INNER JOIN</t>
        </is>
      </c>
      <c r="F23" s="49" t="inlineStr">
        <is>
          <t>PASS</t>
        </is>
      </c>
      <c r="G23" s="48" t="inlineStr">
        <is>
          <t>Pass</t>
        </is>
      </c>
      <c r="H23" s="50" t="inlineStr">
        <is>
          <t>các satellite đều LEFT JOIN</t>
        </is>
      </c>
      <c r="I23" s="50" t="inlineStr">
        <is>
          <t>Technical Document III.4.2.2 nguyên tắc 1: làm giàu thuộc tính luôn dùng LEFT JOIN. INNER JOIN satellite sẽ loại mất bản ghi Hub đang còn hiệu lực nhưng chưa có dòng satellite.</t>
        </is>
      </c>
      <c r="J23" s="48" t="inlineStr">
        <is>
          <t>OCB_GOLD_TTDL_BPM_FTR_XLGDTD_THU 1.xlsx [Script: BPM_FTR_XLGDTD]</t>
        </is>
      </c>
    </row>
    <row r="24">
      <c r="A24" s="48" t="inlineStr">
        <is>
          <t>BPM_FTR_XLGDTD</t>
        </is>
      </c>
      <c r="B24" s="48" t="inlineStr">
        <is>
          <t>SILVER_CONSUMER</t>
        </is>
      </c>
      <c r="C24" s="48" t="inlineStr">
        <is>
          <t>X.7</t>
        </is>
      </c>
      <c r="D24" s="48" t="inlineStr">
        <is>
          <t>Nhom X - Bo sung Raffles</t>
        </is>
      </c>
      <c r="E24" s="48" t="inlineStr">
        <is>
          <t>[Bổ sung] Không hard-code catalog, dùng biến môi trường</t>
        </is>
      </c>
      <c r="F24" s="49" t="inlineStr">
        <is>
          <t>PASS</t>
        </is>
      </c>
      <c r="G24" s="48" t="inlineStr">
        <is>
          <t>Pass</t>
        </is>
      </c>
      <c r="H24" s="50" t="inlineStr">
        <is>
          <t>dùng biến môi trường cho catalog</t>
        </is>
      </c>
      <c r="I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4" s="48" t="inlineStr">
        <is>
          <t>OCB_GOLD_TTDL_BPM_FTR_XLGDTD_THU 1.xlsx [Script: BPM_FTR_XLGDTD]</t>
        </is>
      </c>
    </row>
    <row r="25">
      <c r="A25" s="48" t="inlineStr">
        <is>
          <t>BPM_FTR_XLGDTD</t>
        </is>
      </c>
      <c r="B25" s="48" t="inlineStr">
        <is>
          <t>SILVER_CONSUMER</t>
        </is>
      </c>
      <c r="C25" s="48" t="inlineStr">
        <is>
          <t>X.10</t>
        </is>
      </c>
      <c r="D25" s="48" t="inlineStr">
        <is>
          <t>Nhom X - Bo sung Raffles</t>
        </is>
      </c>
      <c r="E25" s="48" t="inlineStr">
        <is>
          <t>Bang raw_vault/business_vault duoc doc phai TON TAI THAT trong Data Vault model</t>
        </is>
      </c>
      <c r="F25" s="49" t="inlineStr">
        <is>
          <t>PASS</t>
        </is>
      </c>
      <c r="G25" s="48" t="inlineStr">
        <is>
          <t>Pass</t>
        </is>
      </c>
      <c r="H25" s="50" t="inlineStr">
        <is>
          <t>14 bảng Silver đều có thật trong Data Vault model</t>
        </is>
      </c>
      <c r="I25" s="50" t="inlineStr"/>
      <c r="J25" s="48" t="inlineStr">
        <is>
          <t>OCB_GOLD_TTDL_BPM_FTR_XLGDTD_THU 1.xlsx [Script: BPM_FTR_XLGDTD]</t>
        </is>
      </c>
    </row>
    <row r="26">
      <c r="A26" s="48" t="inlineStr">
        <is>
          <t>BPM_FTR_XLGDTD</t>
        </is>
      </c>
      <c r="B26" s="48" t="inlineStr">
        <is>
          <t>SILVER_CONSUMER</t>
        </is>
      </c>
      <c r="C26" s="48" t="inlineStr">
        <is>
          <t>X.11</t>
        </is>
      </c>
      <c r="D26" s="48" t="inlineStr">
        <is>
          <t>Nhom X - Bo sung Raffles</t>
        </is>
      </c>
      <c r="E26" s="48" t="inlineStr">
        <is>
          <t>Cot doc tu satellite (sat_*) phai TON TAI THAT trong model</t>
        </is>
      </c>
      <c r="F26" s="49" t="inlineStr">
        <is>
          <t>PASS</t>
        </is>
      </c>
      <c r="G26" s="48" t="inlineStr">
        <is>
          <t>Pass</t>
        </is>
      </c>
      <c r="H26" s="50" t="inlineStr">
        <is>
          <t>mọi cột đọc từ sat_* đều tồn tại trong model thật</t>
        </is>
      </c>
      <c r="I26" s="50" t="inlineStr"/>
      <c r="J26" s="48" t="inlineStr">
        <is>
          <t>OCB_GOLD_TTDL_BPM_FTR_XLGDTD_THU 1.xlsx [Script: BPM_FTR_XLGDTD]</t>
        </is>
      </c>
    </row>
    <row r="27">
      <c r="A27" s="48" t="inlineStr">
        <is>
          <t>BPM_TDCN_NVCT</t>
        </is>
      </c>
      <c r="B27" s="48" t="inlineStr">
        <is>
          <t>SILVER_CONSUMER</t>
        </is>
      </c>
      <c r="C27" s="48" t="inlineStr">
        <is>
          <t>1.1</t>
        </is>
      </c>
      <c r="D27" s="48" t="inlineStr">
        <is>
          <t>Nhom 1 - Mapping</t>
        </is>
      </c>
      <c r="E27" s="48" t="inlineStr">
        <is>
          <t>Đầy đủ mapping từ Silver/manual sang Gold</t>
        </is>
      </c>
      <c r="F27" s="49" t="inlineStr">
        <is>
          <t>PASS</t>
        </is>
      </c>
      <c r="G27" s="48" t="inlineStr">
        <is>
          <t>Pass</t>
        </is>
      </c>
      <c r="H27" s="50" t="inlineStr">
        <is>
          <t>workbook OCB_GOLD_TTDL_BPM_TDCN_NVCT_THU 1.xlsx: thiết kế 6 field, SQL có 6 cột</t>
        </is>
      </c>
      <c r="I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7" s="48" t="inlineStr">
        <is>
          <t>OCB_GOLD_TTDL_BPM_TDCN_NVCT_THU 1.xlsx [Script: BPM_TDCN_NVCT]</t>
        </is>
      </c>
    </row>
    <row r="28">
      <c r="A28" s="48" t="inlineStr">
        <is>
          <t>BPM_TDCN_NVCT</t>
        </is>
      </c>
      <c r="B28" s="48" t="inlineStr">
        <is>
          <t>SILVER_CONSUMER</t>
        </is>
      </c>
      <c r="C28" s="48" t="inlineStr">
        <is>
          <t>1.2</t>
        </is>
      </c>
      <c r="D28" s="48" t="inlineStr">
        <is>
          <t>Nhom 1 - Mapping</t>
        </is>
      </c>
      <c r="E28" s="48" t="inlineStr">
        <is>
          <t>Danh sách bảng/view Gold khớp tài liệu thiết kế đã duyệt</t>
        </is>
      </c>
      <c r="F28" s="49" t="inlineStr">
        <is>
          <t>PASS</t>
        </is>
      </c>
      <c r="G28" s="48" t="inlineStr">
        <is>
          <t>Pass</t>
        </is>
      </c>
      <c r="H28" s="50" t="inlineStr">
        <is>
          <t>BPM_TDCN_NVCT có workbook thiết kế: OCB_GOLD_TTDL_BPM_TDCN_NVCT_THU 1.xlsx</t>
        </is>
      </c>
      <c r="I28" s="50" t="inlineStr">
        <is>
          <t>Đảm bảo object có workbook thiết kế tương ứng trong thư mục --mapping-dir. Muốn đối chiếu với danh sách đã duyệt thì chạy thêm tham số --gold-list "&lt;file danh sách Gold&gt;.xlsx".</t>
        </is>
      </c>
      <c r="J28" s="48" t="inlineStr">
        <is>
          <t>OCB_GOLD_TTDL_BPM_TDCN_NVCT_THU 1.xlsx [Script: BPM_TDCN_NVCT]</t>
        </is>
      </c>
    </row>
    <row r="29">
      <c r="A29" s="48" t="inlineStr">
        <is>
          <t>BPM_TDCN_NVCT</t>
        </is>
      </c>
      <c r="B29" s="48" t="inlineStr">
        <is>
          <t>SILVER_CONSUMER</t>
        </is>
      </c>
      <c r="C29" s="48" t="inlineStr">
        <is>
          <t>2.1</t>
        </is>
      </c>
      <c r="D29" s="48" t="inlineStr">
        <is>
          <t>Nhom 2 - Logic</t>
        </is>
      </c>
      <c r="E29" s="48" t="inlineStr">
        <is>
          <t>Chỉ lấy bản ghi active, loại bản ghi đã xóa (qua sts_hub)</t>
        </is>
      </c>
      <c r="F29" s="49" t="inlineStr">
        <is>
          <t>PASS</t>
        </is>
      </c>
      <c r="G29" s="48" t="inlineStr">
        <is>
          <t>Pass</t>
        </is>
      </c>
      <c r="H29" s="50" t="inlineStr">
        <is>
          <t>không dùng sts_hub_* (không có yêu cầu nghiệp vụ giữ bản ghi đã xóa)</t>
        </is>
      </c>
      <c r="I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9" s="48" t="inlineStr">
        <is>
          <t>OCB_GOLD_TTDL_BPM_TDCN_NVCT_THU 1.xlsx [Script: BPM_TDCN_NVCT]</t>
        </is>
      </c>
    </row>
    <row r="30">
      <c r="A30" s="48" t="inlineStr">
        <is>
          <t>BPM_TDCN_NVCT</t>
        </is>
      </c>
      <c r="B30" s="48" t="inlineStr">
        <is>
          <t>SILVER_CONSUMER</t>
        </is>
      </c>
      <c r="C30" s="48" t="inlineStr">
        <is>
          <t>2.2</t>
        </is>
      </c>
      <c r="D30" s="48" t="inlineStr">
        <is>
          <t>Nhom 2 - Logic</t>
        </is>
      </c>
      <c r="E30" s="48" t="inlineStr">
        <is>
          <t>Thống nhất MỘT pattern duy nhất xác định bản ghi active mới nhất</t>
        </is>
      </c>
      <c r="F30" s="49" t="inlineStr">
        <is>
          <t>PASS</t>
        </is>
      </c>
      <c r="G30" s="48" t="inlineStr">
        <is>
          <t>Pass</t>
        </is>
      </c>
      <c r="H30" s="50" t="inlineStr">
        <is>
          <t>file này dùng: ['MAX_BY']; toàn batch dùng: ['MAX_BY']</t>
        </is>
      </c>
      <c r="I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30" s="48" t="inlineStr">
        <is>
          <t>OCB_GOLD_TTDL_BPM_TDCN_NVCT_THU 1.xlsx [Script: BPM_TDCN_NVCT]</t>
        </is>
      </c>
    </row>
    <row r="31">
      <c r="A31" s="48" t="inlineStr">
        <is>
          <t>BPM_TDCN_NVCT</t>
        </is>
      </c>
      <c r="B31" s="48" t="inlineStr">
        <is>
          <t>SILVER_CONSUMER</t>
        </is>
      </c>
      <c r="C31" s="48" t="inlineStr">
        <is>
          <t>2.3</t>
        </is>
      </c>
      <c r="D31" s="48" t="inlineStr">
        <is>
          <t>Nhom 2 - Logic</t>
        </is>
      </c>
      <c r="E31" s="48" t="inlineStr">
        <is>
          <t>Điều kiện lọc trạng thái đặt SAU khi xác định bản ghi mới nhất</t>
        </is>
      </c>
      <c r="F31" s="49" t="inlineStr">
        <is>
          <t>PASS</t>
        </is>
      </c>
      <c r="G31" s="48" t="inlineStr">
        <is>
          <t>Pass</t>
        </is>
      </c>
      <c r="H31" s="50" t="inlineStr">
        <is>
          <t>không có điều kiện trạng thái nào lồng trong JOIN ON</t>
        </is>
      </c>
      <c r="I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31" s="48" t="inlineStr">
        <is>
          <t>OCB_GOLD_TTDL_BPM_TDCN_NVCT_THU 1.xlsx [Script: BPM_TDCN_NVCT]</t>
        </is>
      </c>
    </row>
    <row r="32">
      <c r="A32" s="48" t="inlineStr">
        <is>
          <t>BPM_TDCN_NVCT</t>
        </is>
      </c>
      <c r="B32" s="48" t="inlineStr">
        <is>
          <t>SILVER_CONSUMER</t>
        </is>
      </c>
      <c r="C32" s="48" t="inlineStr">
        <is>
          <t>2.4</t>
        </is>
      </c>
      <c r="D32" s="48" t="inlineStr">
        <is>
          <t>Nhom 2 - Logic</t>
        </is>
      </c>
      <c r="E32" s="48" t="inlineStr">
        <is>
          <t>source_event_date áp dụng đúng dạng theo loại bảng</t>
        </is>
      </c>
      <c r="F32" s="52" t="inlineStr">
        <is>
          <t>FAIL</t>
        </is>
      </c>
      <c r="G32" s="48" t="inlineStr">
        <is>
          <t>Fail</t>
        </is>
      </c>
      <c r="H32" s="50" t="inlineStr">
        <is>
          <t>sat_giao_dich_thong_tin_chung (dong 12): là bảng transaction nên phải dùng source_event_date = :DATADT, đang dùng &lt;=; sat_giao_dich_tdcn_xl_gdtd (dong 21): là bảng transaction nên phải dùng source_event_date = :DATADT, đang dùng &lt;=</t>
        </is>
      </c>
      <c r="I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32" s="48" t="inlineStr">
        <is>
          <t>OCB_GOLD_TTDL_BPM_TDCN_NVCT_THU 1.xlsx [Script: BPM_TDCN_NVCT]</t>
        </is>
      </c>
    </row>
    <row r="33">
      <c r="A33" s="48" t="inlineStr">
        <is>
          <t>BPM_TDCN_NVCT</t>
        </is>
      </c>
      <c r="B33" s="48" t="inlineStr">
        <is>
          <t>SILVER_CONSUMER</t>
        </is>
      </c>
      <c r="C33" s="48" t="inlineStr">
        <is>
          <t>2.5</t>
        </is>
      </c>
      <c r="D33" s="48" t="inlineStr">
        <is>
          <t>Nhom 2 - Logic</t>
        </is>
      </c>
      <c r="E33" s="48" t="inlineStr">
        <is>
          <t>Không lặp lại lỗi logic cũ đã được DA Data Vault fix</t>
        </is>
      </c>
      <c r="F33" s="49" t="inlineStr">
        <is>
          <t>PASS</t>
        </is>
      </c>
      <c r="G33" s="48" t="inlineStr">
        <is>
          <t>Pass</t>
        </is>
      </c>
      <c r="H33" s="50" t="inlineStr">
        <is>
          <t>không trùng lỗi nào trong Issue log của DA Data Vault</t>
        </is>
      </c>
      <c r="I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33" s="48" t="inlineStr">
        <is>
          <t>OCB_GOLD_TTDL_BPM_TDCN_NVCT_THU 1.xlsx [Script: BPM_TDCN_NVCT]</t>
        </is>
      </c>
    </row>
    <row r="34">
      <c r="A34" s="48" t="inlineStr">
        <is>
          <t>BPM_TDCN_NVCT</t>
        </is>
      </c>
      <c r="B34" s="48" t="inlineStr">
        <is>
          <t>SILVER_CONSUMER</t>
        </is>
      </c>
      <c r="C34" s="48" t="inlineStr">
        <is>
          <t>2.6</t>
        </is>
      </c>
      <c r="D34" s="48" t="inlineStr">
        <is>
          <t>Nhom 2 - Logic</t>
        </is>
      </c>
      <c r="E34" s="48" t="inlineStr">
        <is>
          <t>SCD Type 2 cho bảng DIM áp dụng đúng kỹ thuật đã thống nhất</t>
        </is>
      </c>
      <c r="F34" s="48" t="inlineStr">
        <is>
          <t>N-A</t>
        </is>
      </c>
      <c r="G34" s="48" t="inlineStr">
        <is>
          <t>Pass</t>
        </is>
      </c>
      <c r="H34" s="50" t="inlineStr">
        <is>
          <t>object không phải bảng DIM nên không áp dụng SCD Type 2</t>
        </is>
      </c>
      <c r="I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34" s="48" t="inlineStr">
        <is>
          <t>OCB_GOLD_TTDL_BPM_TDCN_NVCT_THU 1.xlsx [Script: BPM_TDCN_NVCT]</t>
        </is>
      </c>
    </row>
    <row r="35">
      <c r="A35" s="48" t="inlineStr">
        <is>
          <t>BPM_TDCN_NVCT</t>
        </is>
      </c>
      <c r="B35" s="48" t="inlineStr">
        <is>
          <t>SILVER_CONSUMER</t>
        </is>
      </c>
      <c r="C35" s="48" t="inlineStr">
        <is>
          <t>2.7</t>
        </is>
      </c>
      <c r="D35" s="48" t="inlineStr">
        <is>
          <t>Nhom 2 - Logic</t>
        </is>
      </c>
      <c r="E35" s="48" t="inlineStr">
        <is>
          <t>CASE WHEN cover đủ nhánh như job on-prem</t>
        </is>
      </c>
      <c r="F35" s="48" t="inlineStr">
        <is>
          <t>N-A</t>
        </is>
      </c>
      <c r="G35" s="48" t="inlineStr">
        <is>
          <t>Pass</t>
        </is>
      </c>
      <c r="H35" s="50" t="inlineStr">
        <is>
          <t>script không có CASE WHEN nào</t>
        </is>
      </c>
      <c r="I35" s="50" t="inlineStr">
        <is>
          <t>Mở job on-prem tương ứng (DataStage DSX hoặc SQL cũ), đối chiếu từng nhánh WHEN và cả nhánh ELSE. CASE không có ELSE sẽ trả NULL âm thầm — xác nhận đó là ý muốn hay thiếu nhánh.</t>
        </is>
      </c>
      <c r="J35" s="48" t="inlineStr">
        <is>
          <t>OCB_GOLD_TTDL_BPM_TDCN_NVCT_THU 1.xlsx [Script: BPM_TDCN_NVCT]</t>
        </is>
      </c>
    </row>
    <row r="36">
      <c r="A36" s="48" t="inlineStr">
        <is>
          <t>BPM_TDCN_NVCT</t>
        </is>
      </c>
      <c r="B36" s="48" t="inlineStr">
        <is>
          <t>SILVER_CONSUMER</t>
        </is>
      </c>
      <c r="C36" s="48" t="inlineStr">
        <is>
          <t>2.8</t>
        </is>
      </c>
      <c r="D36" s="48" t="inlineStr">
        <is>
          <t>Nhom 2 - Logic</t>
        </is>
      </c>
      <c r="E36" s="48" t="inlineStr">
        <is>
          <t>Cột SUM/COUNT được COALESCE/NVL hợp lý</t>
        </is>
      </c>
      <c r="F36" s="49" t="inlineStr">
        <is>
          <t>PASS</t>
        </is>
      </c>
      <c r="G36" s="48" t="inlineStr">
        <is>
          <t>Pass</t>
        </is>
      </c>
      <c r="H36" s="50" t="inlineStr">
        <is>
          <t>mọi SUM/COUNT đều đã coalesce (trực tiếp hoặc ở lớp ngoài)</t>
        </is>
      </c>
      <c r="I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36" s="48" t="inlineStr">
        <is>
          <t>OCB_GOLD_TTDL_BPM_TDCN_NVCT_THU 1.xlsx [Script: BPM_TDCN_NVCT]</t>
        </is>
      </c>
    </row>
    <row r="37">
      <c r="A37" s="48" t="inlineStr">
        <is>
          <t>BPM_TDCN_NVCT</t>
        </is>
      </c>
      <c r="B37" s="48" t="inlineStr">
        <is>
          <t>SILVER_CONSUMER</t>
        </is>
      </c>
      <c r="C37" s="48" t="inlineStr">
        <is>
          <t>2.9</t>
        </is>
      </c>
      <c r="D37" s="48" t="inlineStr">
        <is>
          <t>Nhom 2 - Logic</t>
        </is>
      </c>
      <c r="E37" s="48" t="inlineStr">
        <is>
          <t>Subquery / custom function / điều kiện LIKE đúng ý nghĩa nghiệp vụ</t>
        </is>
      </c>
      <c r="F37" s="48" t="inlineStr">
        <is>
          <t>N-A</t>
        </is>
      </c>
      <c r="G37" s="48" t="inlineStr">
        <is>
          <t>Pass</t>
        </is>
      </c>
      <c r="H37" s="50" t="inlineStr">
        <is>
          <t>script không có điều kiện LIKE hay scalar subquery nào</t>
        </is>
      </c>
      <c r="I37" s="50" t="inlineStr">
        <is>
          <t>Đọc lại từng điều kiện LIKE và từng subquery, đối chiếu ý nghĩa nghiệp vụ với on-prem — đúng cú pháp không đủ. Chú ý pattern LIKE có ký tự % ở đầu/cuối và phân biệt chữ hoa/thường.</t>
        </is>
      </c>
      <c r="J37" s="48" t="inlineStr">
        <is>
          <t>OCB_GOLD_TTDL_BPM_TDCN_NVCT_THU 1.xlsx [Script: BPM_TDCN_NVCT]</t>
        </is>
      </c>
    </row>
    <row r="38">
      <c r="A38" s="48" t="inlineStr">
        <is>
          <t>BPM_TDCN_NVCT</t>
        </is>
      </c>
      <c r="B38" s="48" t="inlineStr">
        <is>
          <t>SILVER_CONSUMER</t>
        </is>
      </c>
      <c r="C38" s="48" t="inlineStr">
        <is>
          <t>2.10</t>
        </is>
      </c>
      <c r="D38" s="48" t="inlineStr">
        <is>
          <t>Nhom 2 - Logic</t>
        </is>
      </c>
      <c r="E38" s="48" t="inlineStr">
        <is>
          <t>Aggregation kèm filter date range chính xác</t>
        </is>
      </c>
      <c r="F38" s="49" t="inlineStr">
        <is>
          <t>PASS</t>
        </is>
      </c>
      <c r="G38" s="48" t="inlineStr">
        <is>
          <t>Pass</t>
        </is>
      </c>
      <c r="H38" s="50" t="inlineStr">
        <is>
          <t>mọi khối tổng hợp đều có điều kiện theo kỳ dữ liệu</t>
        </is>
      </c>
      <c r="I38" s="50" t="inlineStr">
        <is>
          <t>Mỗi khối SUM/COUNT/AVG phải có điều kiện lọc theo kỳ dữ liệu (CDR_DT_ID, DATA_DATE, :DATADT…). Nếu điều kiện nằm ở CTE nguồn thì ghi rõ trong comment để người review không phải truy ngược.</t>
        </is>
      </c>
      <c r="J38" s="48" t="inlineStr">
        <is>
          <t>OCB_GOLD_TTDL_BPM_TDCN_NVCT_THU 1.xlsx [Script: BPM_TDCN_NVCT]</t>
        </is>
      </c>
    </row>
    <row r="39">
      <c r="A39" s="48" t="inlineStr">
        <is>
          <t>BPM_TDCN_NVCT</t>
        </is>
      </c>
      <c r="B39" s="48" t="inlineStr">
        <is>
          <t>SILVER_CONSUMER</t>
        </is>
      </c>
      <c r="C39" s="48" t="inlineStr">
        <is>
          <t>2.11</t>
        </is>
      </c>
      <c r="D39" s="48" t="inlineStr">
        <is>
          <t>Nhom 2 - Logic</t>
        </is>
      </c>
      <c r="E39" s="48" t="inlineStr">
        <is>
          <t>Join dùng key hợp lý, không lạm dụng UNION ALL + EXISTS/NOT EXISTS</t>
        </is>
      </c>
      <c r="F39" s="49" t="inlineStr">
        <is>
          <t>PASS</t>
        </is>
      </c>
      <c r="G39" s="48" t="inlineStr">
        <is>
          <t>Pass</t>
        </is>
      </c>
      <c r="H39" s="50" t="inlineStr">
        <is>
          <t>join đều theo điều kiện bằng, không lạm dụng UNION ALL + EXISTS</t>
        </is>
      </c>
      <c r="I39" s="50" t="inlineStr">
        <is>
          <t>Ưu tiên LEFT JOIN theo business key hoặc hashkey. Xem lại các chỗ dùng UNION ALL kết hợp EXISTS/NOT EXISTS — thường thay được bằng một LEFT JOIN. Join không có điều kiện bằng (=) dễ tạo tích Descartes.</t>
        </is>
      </c>
      <c r="J39" s="48" t="inlineStr">
        <is>
          <t>OCB_GOLD_TTDL_BPM_TDCN_NVCT_THU 1.xlsx [Script: BPM_TDCN_NVCT]</t>
        </is>
      </c>
    </row>
    <row r="40">
      <c r="A40" s="48" t="inlineStr">
        <is>
          <t>BPM_TDCN_NVCT</t>
        </is>
      </c>
      <c r="B40" s="48" t="inlineStr">
        <is>
          <t>SILVER_CONSUMER</t>
        </is>
      </c>
      <c r="C40" s="48" t="inlineStr">
        <is>
          <t>2.12</t>
        </is>
      </c>
      <c r="D40" s="48" t="inlineStr">
        <is>
          <t>Nhom 2 - Logic</t>
        </is>
      </c>
      <c r="E40" s="48" t="inlineStr">
        <is>
          <t>Build Gold từ CTE snapshot Silver, không build nhiều tầng chồng chéo</t>
        </is>
      </c>
      <c r="F40" s="49" t="inlineStr">
        <is>
          <t>PASS</t>
        </is>
      </c>
      <c r="G40" s="48" t="inlineStr">
        <is>
          <t>Pass</t>
        </is>
      </c>
      <c r="H40" s="50" t="inlineStr">
        <is>
          <t>mỗi bảng nguồn chỉ đọc trong 1 khối SELECT</t>
        </is>
      </c>
      <c r="I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40" s="48" t="inlineStr">
        <is>
          <t>OCB_GOLD_TTDL_BPM_TDCN_NVCT_THU 1.xlsx [Script: BPM_TDCN_NVCT]</t>
        </is>
      </c>
    </row>
    <row r="41">
      <c r="A41" s="48" t="inlineStr">
        <is>
          <t>BPM_TDCN_NVCT</t>
        </is>
      </c>
      <c r="B41" s="48" t="inlineStr">
        <is>
          <t>SILVER_CONSUMER</t>
        </is>
      </c>
      <c r="C41" s="48" t="inlineStr">
        <is>
          <t>3.1</t>
        </is>
      </c>
      <c r="D41" s="48" t="inlineStr">
        <is>
          <t>Nhom 3 - Optimization</t>
        </is>
      </c>
      <c r="E41" s="48" t="inlineStr">
        <is>
          <t>Không SELECT *</t>
        </is>
      </c>
      <c r="F41" s="49" t="inlineStr">
        <is>
          <t>PASS</t>
        </is>
      </c>
      <c r="G41" s="48" t="inlineStr">
        <is>
          <t>Pass</t>
        </is>
      </c>
      <c r="H41" s="50" t="inlineStr">
        <is>
          <t>không dùng SELECT * ở đâu</t>
        </is>
      </c>
      <c r="I41" s="50" t="inlineStr">
        <is>
          <t>Liệt kê tường minh các cột cần dùng, kể cả trong CTE trung gian. SELECT * làm tăng IO/memory và vỡ script khi bảng nguồn thêm cột.</t>
        </is>
      </c>
      <c r="J41" s="48" t="inlineStr">
        <is>
          <t>OCB_GOLD_TTDL_BPM_TDCN_NVCT_THU 1.xlsx [Script: BPM_TDCN_NVCT]</t>
        </is>
      </c>
    </row>
    <row r="42">
      <c r="A42" s="48" t="inlineStr">
        <is>
          <t>BPM_TDCN_NVCT</t>
        </is>
      </c>
      <c r="B42" s="48" t="inlineStr">
        <is>
          <t>SILVER_CONSUMER</t>
        </is>
      </c>
      <c r="C42" s="48" t="inlineStr">
        <is>
          <t>3.2</t>
        </is>
      </c>
      <c r="D42" s="48" t="inlineStr">
        <is>
          <t>Nhom 3 - Optimization</t>
        </is>
      </c>
      <c r="E42" s="48" t="inlineStr">
        <is>
          <t>CTE không bị scan lại nhiều lần</t>
        </is>
      </c>
      <c r="F42" s="49" t="inlineStr">
        <is>
          <t>PASS</t>
        </is>
      </c>
      <c r="G42" s="48" t="inlineStr">
        <is>
          <t>Pass</t>
        </is>
      </c>
      <c r="H42" s="50" t="inlineStr">
        <is>
          <t>không có CTE nào bị gọi lại</t>
        </is>
      </c>
      <c r="I42" s="50" t="inlineStr">
        <is>
          <t>Với CTE nặng (đọc nhiều bảng Silver) bị tham chiếu từ 2 chỗ trở lên: gom lại còn một lần dùng, hoặc vật chất hóa (CACHE / bảng tạm). CTE nhẹ chỉ chứa tham số thì bỏ qua được — tự tick Pass.</t>
        </is>
      </c>
      <c r="J42" s="48" t="inlineStr">
        <is>
          <t>OCB_GOLD_TTDL_BPM_TDCN_NVCT_THU 1.xlsx [Script: BPM_TDCN_NVCT]</t>
        </is>
      </c>
    </row>
    <row r="43">
      <c r="A43" s="48" t="inlineStr">
        <is>
          <t>BPM_TDCN_NVCT</t>
        </is>
      </c>
      <c r="B43" s="48" t="inlineStr">
        <is>
          <t>SILVER_CONSUMER</t>
        </is>
      </c>
      <c r="C43" s="48" t="inlineStr">
        <is>
          <t>3.3</t>
        </is>
      </c>
      <c r="D43" s="48" t="inlineStr">
        <is>
          <t>Nhom 3 - Optimization</t>
        </is>
      </c>
      <c r="E43" s="48" t="inlineStr">
        <is>
          <t>Filter trước khi join, tận dụng partition pruning</t>
        </is>
      </c>
      <c r="F43" s="49" t="inlineStr">
        <is>
          <t>PASS</t>
        </is>
      </c>
      <c r="G43" s="48" t="inlineStr">
        <is>
          <t>Pass</t>
        </is>
      </c>
      <c r="H43" s="50" t="inlineStr">
        <is>
          <t>các bảng join đều được filter trước</t>
        </is>
      </c>
      <c r="I43" s="50" t="inlineStr">
        <is>
          <t>Đưa điều kiện lọc (ngày dữ liệu, trạng thái) vào subquery của từng bảng TRƯỚC khi join, để tận dụng partition pruning. Bảng dim nhỏ không partition thì không cần — tự tick Pass.</t>
        </is>
      </c>
      <c r="J43" s="48" t="inlineStr">
        <is>
          <t>OCB_GOLD_TTDL_BPM_TDCN_NVCT_THU 1.xlsx [Script: BPM_TDCN_NVCT]</t>
        </is>
      </c>
    </row>
    <row r="44">
      <c r="A44" s="48" t="inlineStr">
        <is>
          <t>BPM_TDCN_NVCT</t>
        </is>
      </c>
      <c r="B44" s="48" t="inlineStr">
        <is>
          <t>SILVER_CONSUMER</t>
        </is>
      </c>
      <c r="C44" s="48" t="inlineStr">
        <is>
          <t>3.4</t>
        </is>
      </c>
      <c r="D44" s="48" t="inlineStr">
        <is>
          <t>Nhom 3 - Optimization</t>
        </is>
      </c>
      <c r="E44" s="48" t="inlineStr">
        <is>
          <t>Sử dụng CACHE cho query lặp lại trong cùng luồng</t>
        </is>
      </c>
      <c r="F44" s="48" t="inlineStr">
        <is>
          <t>N-A</t>
        </is>
      </c>
      <c r="G44" s="48" t="inlineStr">
        <is>
          <t>Pass</t>
        </is>
      </c>
      <c r="H44" s="50" t="inlineStr">
        <is>
          <t>không có kết quả nào được dùng lại nhiều lần nên chưa cần CACHE</t>
        </is>
      </c>
      <c r="I44" s="50" t="inlineStr">
        <is>
          <t>Nếu một kết quả nặng được dùng lại nhiều bước trong cùng luồng, thêm CACHE TABLE / CACHE SELECT. Kết quả nhỏ thì cache còn chậm hơn — tự tick Pass.</t>
        </is>
      </c>
      <c r="J44" s="48" t="inlineStr">
        <is>
          <t>OCB_GOLD_TTDL_BPM_TDCN_NVCT_THU 1.xlsx [Script: BPM_TDCN_NVCT]</t>
        </is>
      </c>
    </row>
    <row r="45">
      <c r="A45" s="48" t="inlineStr">
        <is>
          <t>BPM_TDCN_NVCT</t>
        </is>
      </c>
      <c r="B45" s="48" t="inlineStr">
        <is>
          <t>SILVER_CONSUMER</t>
        </is>
      </c>
      <c r="C45" s="48" t="inlineStr">
        <is>
          <t>3.5</t>
        </is>
      </c>
      <c r="D45" s="48" t="inlineStr">
        <is>
          <t>Nhom 3 - Optimization</t>
        </is>
      </c>
      <c r="E45" s="48" t="inlineStr">
        <is>
          <t>Ưu tiên MAX_BY + QUALIFY thay ROW_NUMBER() + WHERE rn = 1</t>
        </is>
      </c>
      <c r="F45" s="48" t="inlineStr">
        <is>
          <t>N-A</t>
        </is>
      </c>
      <c r="G45" s="48" t="inlineStr">
        <is>
          <t>Pass</t>
        </is>
      </c>
      <c r="H45" s="50" t="inlineStr">
        <is>
          <t>script không dùng ROW_NUMBER, và MAX_BY (nếu có) không vượt quá 5 cột/khối</t>
        </is>
      </c>
      <c r="I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45" s="48" t="inlineStr">
        <is>
          <t>OCB_GOLD_TTDL_BPM_TDCN_NVCT_THU 1.xlsx [Script: BPM_TDCN_NVCT]</t>
        </is>
      </c>
    </row>
    <row r="46">
      <c r="A46" s="48" t="inlineStr">
        <is>
          <t>BPM_TDCN_NVCT</t>
        </is>
      </c>
      <c r="B46" s="48" t="inlineStr">
        <is>
          <t>SILVER_CONSUMER</t>
        </is>
      </c>
      <c r="C46" s="48" t="inlineStr">
        <is>
          <t>3.6</t>
        </is>
      </c>
      <c r="D46" s="48" t="inlineStr">
        <is>
          <t>Nhom 3 - Optimization</t>
        </is>
      </c>
      <c r="E46" s="48" t="inlineStr">
        <is>
          <t>Không lạm dụng window function; có comment khi dùng</t>
        </is>
      </c>
      <c r="F46" s="48" t="inlineStr">
        <is>
          <t>N-A</t>
        </is>
      </c>
      <c r="G46" s="48" t="inlineStr">
        <is>
          <t>Pass</t>
        </is>
      </c>
      <c r="H46" s="50" t="inlineStr">
        <is>
          <t>script không dùng window function</t>
        </is>
      </c>
      <c r="I46" s="50" t="inlineStr">
        <is>
          <t>Mỗi window function cần một comment ngay trên khối CTE chứa nó, nói rõ vì sao không dùng được max_by/QUALIFY đơn giản hơn.</t>
        </is>
      </c>
      <c r="J46" s="48" t="inlineStr">
        <is>
          <t>OCB_GOLD_TTDL_BPM_TDCN_NVCT_THU 1.xlsx [Script: BPM_TDCN_NVCT]</t>
        </is>
      </c>
    </row>
    <row r="47">
      <c r="A47" s="48" t="inlineStr">
        <is>
          <t>BPM_TDCN_NVCT</t>
        </is>
      </c>
      <c r="B47" s="48" t="inlineStr">
        <is>
          <t>SILVER_CONSUMER</t>
        </is>
      </c>
      <c r="C47" s="48" t="inlineStr">
        <is>
          <t>X.1</t>
        </is>
      </c>
      <c r="D47" s="48" t="inlineStr">
        <is>
          <t>Nhom X - Bo sung Raffles</t>
        </is>
      </c>
      <c r="E47" s="48" t="inlineStr">
        <is>
          <t>[Bổ sung] Link phải rút về current trước khi join (chống fan-out)</t>
        </is>
      </c>
      <c r="F47" s="49" t="inlineStr">
        <is>
          <t>PASS</t>
        </is>
      </c>
      <c r="G47" s="48" t="inlineStr">
        <is>
          <t>Pass</t>
        </is>
      </c>
      <c r="H47" s="50" t="inlineStr">
        <is>
          <t>các bảng link_* đều được rút về current trước khi join</t>
        </is>
      </c>
      <c r="I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47" s="48" t="inlineStr">
        <is>
          <t>OCB_GOLD_TTDL_BPM_TDCN_NVCT_THU 1.xlsx [Script: BPM_TDCN_NVCT]</t>
        </is>
      </c>
    </row>
    <row r="48">
      <c r="A48" s="48" t="inlineStr">
        <is>
          <t>BPM_TDCN_NVCT</t>
        </is>
      </c>
      <c r="B48" s="48" t="inlineStr">
        <is>
          <t>SILVER_CONSUMER</t>
        </is>
      </c>
      <c r="C48" s="48" t="inlineStr">
        <is>
          <t>X.6</t>
        </is>
      </c>
      <c r="D48" s="48" t="inlineStr">
        <is>
          <t>Nhom X - Bo sung Raffles</t>
        </is>
      </c>
      <c r="E48" s="48" t="inlineStr">
        <is>
          <t>[Bổ sung] Satellite phải LEFT JOIN, không INNER JOIN</t>
        </is>
      </c>
      <c r="F48" s="49" t="inlineStr">
        <is>
          <t>PASS</t>
        </is>
      </c>
      <c r="G48" s="48" t="inlineStr">
        <is>
          <t>Pass</t>
        </is>
      </c>
      <c r="H48" s="50" t="inlineStr">
        <is>
          <t>các satellite đều LEFT JOIN</t>
        </is>
      </c>
      <c r="I48" s="50" t="inlineStr">
        <is>
          <t>Technical Document III.4.2.2 nguyên tắc 1: làm giàu thuộc tính luôn dùng LEFT JOIN. INNER JOIN satellite sẽ loại mất bản ghi Hub đang còn hiệu lực nhưng chưa có dòng satellite.</t>
        </is>
      </c>
      <c r="J48" s="48" t="inlineStr">
        <is>
          <t>OCB_GOLD_TTDL_BPM_TDCN_NVCT_THU 1.xlsx [Script: BPM_TDCN_NVCT]</t>
        </is>
      </c>
    </row>
    <row r="49">
      <c r="A49" s="48" t="inlineStr">
        <is>
          <t>BPM_TDCN_NVCT</t>
        </is>
      </c>
      <c r="B49" s="48" t="inlineStr">
        <is>
          <t>SILVER_CONSUMER</t>
        </is>
      </c>
      <c r="C49" s="48" t="inlineStr">
        <is>
          <t>X.7</t>
        </is>
      </c>
      <c r="D49" s="48" t="inlineStr">
        <is>
          <t>Nhom X - Bo sung Raffles</t>
        </is>
      </c>
      <c r="E49" s="48" t="inlineStr">
        <is>
          <t>[Bổ sung] Không hard-code catalog, dùng biến môi trường</t>
        </is>
      </c>
      <c r="F49" s="49" t="inlineStr">
        <is>
          <t>PASS</t>
        </is>
      </c>
      <c r="G49" s="48" t="inlineStr">
        <is>
          <t>Pass</t>
        </is>
      </c>
      <c r="H49" s="50" t="inlineStr">
        <is>
          <t>dùng biến môi trường cho catalog</t>
        </is>
      </c>
      <c r="I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49" s="48" t="inlineStr">
        <is>
          <t>OCB_GOLD_TTDL_BPM_TDCN_NVCT_THU 1.xlsx [Script: BPM_TDCN_NVCT]</t>
        </is>
      </c>
    </row>
    <row r="50">
      <c r="A50" s="48" t="inlineStr">
        <is>
          <t>BPM_TDCN_NVCT</t>
        </is>
      </c>
      <c r="B50" s="48" t="inlineStr">
        <is>
          <t>SILVER_CONSUMER</t>
        </is>
      </c>
      <c r="C50" s="48" t="inlineStr">
        <is>
          <t>X.10</t>
        </is>
      </c>
      <c r="D50" s="48" t="inlineStr">
        <is>
          <t>Nhom X - Bo sung Raffles</t>
        </is>
      </c>
      <c r="E50" s="48" t="inlineStr">
        <is>
          <t>Bang raw_vault/business_vault duoc doc phai TON TAI THAT trong Data Vault model</t>
        </is>
      </c>
      <c r="F50" s="49" t="inlineStr">
        <is>
          <t>PASS</t>
        </is>
      </c>
      <c r="G50" s="48" t="inlineStr">
        <is>
          <t>Pass</t>
        </is>
      </c>
      <c r="H50" s="50" t="inlineStr">
        <is>
          <t>4 bảng Silver đều có thật trong Data Vault model</t>
        </is>
      </c>
      <c r="I50" s="50" t="inlineStr"/>
      <c r="J50" s="48" t="inlineStr">
        <is>
          <t>OCB_GOLD_TTDL_BPM_TDCN_NVCT_THU 1.xlsx [Script: BPM_TDCN_NVCT]</t>
        </is>
      </c>
    </row>
    <row r="51">
      <c r="A51" s="48" t="inlineStr">
        <is>
          <t>BPM_TDCN_NVCT</t>
        </is>
      </c>
      <c r="B51" s="48" t="inlineStr">
        <is>
          <t>SILVER_CONSUMER</t>
        </is>
      </c>
      <c r="C51" s="48" t="inlineStr">
        <is>
          <t>X.11</t>
        </is>
      </c>
      <c r="D51" s="48" t="inlineStr">
        <is>
          <t>Nhom X - Bo sung Raffles</t>
        </is>
      </c>
      <c r="E51" s="48" t="inlineStr">
        <is>
          <t>Cot doc tu satellite (sat_*) phai TON TAI THAT trong model</t>
        </is>
      </c>
      <c r="F51" s="49" t="inlineStr">
        <is>
          <t>PASS</t>
        </is>
      </c>
      <c r="G51" s="48" t="inlineStr">
        <is>
          <t>Pass</t>
        </is>
      </c>
      <c r="H51" s="50" t="inlineStr">
        <is>
          <t>mọi cột đọc từ sat_* đều tồn tại trong model thật</t>
        </is>
      </c>
      <c r="I51" s="50" t="inlineStr"/>
      <c r="J51" s="48" t="inlineStr">
        <is>
          <t>OCB_GOLD_TTDL_BPM_TDCN_NVCT_THU 1.xlsx [Script: BPM_TDCN_NVCT]</t>
        </is>
      </c>
    </row>
    <row r="52">
      <c r="A52" s="48" t="inlineStr">
        <is>
          <t>BPM_TDCN_YCBS</t>
        </is>
      </c>
      <c r="B52" s="48" t="inlineStr">
        <is>
          <t>SILVER_CONSUMER</t>
        </is>
      </c>
      <c r="C52" s="48" t="inlineStr">
        <is>
          <t>1.1</t>
        </is>
      </c>
      <c r="D52" s="48" t="inlineStr">
        <is>
          <t>Nhom 1 - Mapping</t>
        </is>
      </c>
      <c r="E52" s="48" t="inlineStr">
        <is>
          <t>Đầy đủ mapping từ Silver/manual sang Gold</t>
        </is>
      </c>
      <c r="F52" s="49" t="inlineStr">
        <is>
          <t>PASS</t>
        </is>
      </c>
      <c r="G52" s="48" t="inlineStr">
        <is>
          <t>Pass</t>
        </is>
      </c>
      <c r="H52" s="50" t="inlineStr">
        <is>
          <t>workbook OCB_GOLD_TTDL_BPM_TDCN_YCBS_THU 1.xlsx: thiết kế 3 field, SQL có 3 cột</t>
        </is>
      </c>
      <c r="I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52" s="48" t="inlineStr">
        <is>
          <t>OCB_GOLD_TTDL_BPM_TDCN_YCBS_THU 1.xlsx [Script: BPM_TDCN_YCBS]</t>
        </is>
      </c>
    </row>
    <row r="53">
      <c r="A53" s="48" t="inlineStr">
        <is>
          <t>BPM_TDCN_YCBS</t>
        </is>
      </c>
      <c r="B53" s="48" t="inlineStr">
        <is>
          <t>SILVER_CONSUMER</t>
        </is>
      </c>
      <c r="C53" s="48" t="inlineStr">
        <is>
          <t>1.2</t>
        </is>
      </c>
      <c r="D53" s="48" t="inlineStr">
        <is>
          <t>Nhom 1 - Mapping</t>
        </is>
      </c>
      <c r="E53" s="48" t="inlineStr">
        <is>
          <t>Danh sách bảng/view Gold khớp tài liệu thiết kế đã duyệt</t>
        </is>
      </c>
      <c r="F53" s="49" t="inlineStr">
        <is>
          <t>PASS</t>
        </is>
      </c>
      <c r="G53" s="48" t="inlineStr">
        <is>
          <t>Pass</t>
        </is>
      </c>
      <c r="H53" s="50" t="inlineStr">
        <is>
          <t>BPM_TDCN_YCBS có workbook thiết kế: OCB_GOLD_TTDL_BPM_TDCN_YCBS_THU 1.xlsx</t>
        </is>
      </c>
      <c r="I53" s="50" t="inlineStr">
        <is>
          <t>Đảm bảo object có workbook thiết kế tương ứng trong thư mục --mapping-dir. Muốn đối chiếu với danh sách đã duyệt thì chạy thêm tham số --gold-list "&lt;file danh sách Gold&gt;.xlsx".</t>
        </is>
      </c>
      <c r="J53" s="48" t="inlineStr">
        <is>
          <t>OCB_GOLD_TTDL_BPM_TDCN_YCBS_THU 1.xlsx [Script: BPM_TDCN_YCBS]</t>
        </is>
      </c>
    </row>
    <row r="54">
      <c r="A54" s="48" t="inlineStr">
        <is>
          <t>BPM_TDCN_YCBS</t>
        </is>
      </c>
      <c r="B54" s="48" t="inlineStr">
        <is>
          <t>SILVER_CONSUMER</t>
        </is>
      </c>
      <c r="C54" s="48" t="inlineStr">
        <is>
          <t>2.1</t>
        </is>
      </c>
      <c r="D54" s="48" t="inlineStr">
        <is>
          <t>Nhom 2 - Logic</t>
        </is>
      </c>
      <c r="E54" s="48" t="inlineStr">
        <is>
          <t>Chỉ lấy bản ghi active, loại bản ghi đã xóa (qua sts_hub)</t>
        </is>
      </c>
      <c r="F54" s="49" t="inlineStr">
        <is>
          <t>PASS</t>
        </is>
      </c>
      <c r="G54" s="48" t="inlineStr">
        <is>
          <t>Pass</t>
        </is>
      </c>
      <c r="H54" s="50" t="inlineStr">
        <is>
          <t>không dùng sts_hub_* (không có yêu cầu nghiệp vụ giữ bản ghi đã xóa)</t>
        </is>
      </c>
      <c r="I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54" s="48" t="inlineStr">
        <is>
          <t>OCB_GOLD_TTDL_BPM_TDCN_YCBS_THU 1.xlsx [Script: BPM_TDCN_YCBS]</t>
        </is>
      </c>
    </row>
    <row r="55">
      <c r="A55" s="48" t="inlineStr">
        <is>
          <t>BPM_TDCN_YCBS</t>
        </is>
      </c>
      <c r="B55" s="48" t="inlineStr">
        <is>
          <t>SILVER_CONSUMER</t>
        </is>
      </c>
      <c r="C55" s="48" t="inlineStr">
        <is>
          <t>2.2</t>
        </is>
      </c>
      <c r="D55" s="48" t="inlineStr">
        <is>
          <t>Nhom 2 - Logic</t>
        </is>
      </c>
      <c r="E55" s="48" t="inlineStr">
        <is>
          <t>Thống nhất MỘT pattern duy nhất xác định bản ghi active mới nhất</t>
        </is>
      </c>
      <c r="F55" s="49" t="inlineStr">
        <is>
          <t>PASS</t>
        </is>
      </c>
      <c r="G55" s="48" t="inlineStr">
        <is>
          <t>Pass</t>
        </is>
      </c>
      <c r="H55" s="50" t="inlineStr">
        <is>
          <t>file này dùng: ['MAX_BY']; toàn batch dùng: ['MAX_BY']</t>
        </is>
      </c>
      <c r="I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55" s="48" t="inlineStr">
        <is>
          <t>OCB_GOLD_TTDL_BPM_TDCN_YCBS_THU 1.xlsx [Script: BPM_TDCN_YCBS]</t>
        </is>
      </c>
    </row>
    <row r="56">
      <c r="A56" s="48" t="inlineStr">
        <is>
          <t>BPM_TDCN_YCBS</t>
        </is>
      </c>
      <c r="B56" s="48" t="inlineStr">
        <is>
          <t>SILVER_CONSUMER</t>
        </is>
      </c>
      <c r="C56" s="48" t="inlineStr">
        <is>
          <t>2.3</t>
        </is>
      </c>
      <c r="D56" s="48" t="inlineStr">
        <is>
          <t>Nhom 2 - Logic</t>
        </is>
      </c>
      <c r="E56" s="48" t="inlineStr">
        <is>
          <t>Điều kiện lọc trạng thái đặt SAU khi xác định bản ghi mới nhất</t>
        </is>
      </c>
      <c r="F56" s="49" t="inlineStr">
        <is>
          <t>PASS</t>
        </is>
      </c>
      <c r="G56" s="48" t="inlineStr">
        <is>
          <t>Pass</t>
        </is>
      </c>
      <c r="H56" s="50" t="inlineStr">
        <is>
          <t>không có điều kiện trạng thái nào lồng trong JOIN ON</t>
        </is>
      </c>
      <c r="I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56" s="48" t="inlineStr">
        <is>
          <t>OCB_GOLD_TTDL_BPM_TDCN_YCBS_THU 1.xlsx [Script: BPM_TDCN_YCBS]</t>
        </is>
      </c>
    </row>
    <row r="57">
      <c r="A57" s="48" t="inlineStr">
        <is>
          <t>BPM_TDCN_YCBS</t>
        </is>
      </c>
      <c r="B57" s="48" t="inlineStr">
        <is>
          <t>SILVER_CONSUMER</t>
        </is>
      </c>
      <c r="C57" s="48" t="inlineStr">
        <is>
          <t>2.4</t>
        </is>
      </c>
      <c r="D57" s="48" t="inlineStr">
        <is>
          <t>Nhom 2 - Logic</t>
        </is>
      </c>
      <c r="E57" s="48" t="inlineStr">
        <is>
          <t>source_event_date áp dụng đúng dạng theo loại bảng</t>
        </is>
      </c>
      <c r="F57" s="52" t="inlineStr">
        <is>
          <t>FAIL</t>
        </is>
      </c>
      <c r="G57" s="48" t="inlineStr">
        <is>
          <t>Fail</t>
        </is>
      </c>
      <c r="H57" s="50" t="inlineStr">
        <is>
          <t>sat_giao_dich_thong_tin_chung (dong 11): là bảng transaction nên phải dùng source_event_date = :DATADT, đang dùng &lt;=</t>
        </is>
      </c>
      <c r="I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57" s="48" t="inlineStr">
        <is>
          <t>OCB_GOLD_TTDL_BPM_TDCN_YCBS_THU 1.xlsx [Script: BPM_TDCN_YCBS]</t>
        </is>
      </c>
    </row>
    <row r="58">
      <c r="A58" s="48" t="inlineStr">
        <is>
          <t>BPM_TDCN_YCBS</t>
        </is>
      </c>
      <c r="B58" s="48" t="inlineStr">
        <is>
          <t>SILVER_CONSUMER</t>
        </is>
      </c>
      <c r="C58" s="48" t="inlineStr">
        <is>
          <t>2.5</t>
        </is>
      </c>
      <c r="D58" s="48" t="inlineStr">
        <is>
          <t>Nhom 2 - Logic</t>
        </is>
      </c>
      <c r="E58" s="48" t="inlineStr">
        <is>
          <t>Không lặp lại lỗi logic cũ đã được DA Data Vault fix</t>
        </is>
      </c>
      <c r="F58" s="49" t="inlineStr">
        <is>
          <t>PASS</t>
        </is>
      </c>
      <c r="G58" s="48" t="inlineStr">
        <is>
          <t>Pass</t>
        </is>
      </c>
      <c r="H58" s="50" t="inlineStr">
        <is>
          <t>không trùng lỗi nào trong Issue log của DA Data Vault</t>
        </is>
      </c>
      <c r="I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58" s="48" t="inlineStr">
        <is>
          <t>OCB_GOLD_TTDL_BPM_TDCN_YCBS_THU 1.xlsx [Script: BPM_TDCN_YCBS]</t>
        </is>
      </c>
    </row>
    <row r="59">
      <c r="A59" s="48" t="inlineStr">
        <is>
          <t>BPM_TDCN_YCBS</t>
        </is>
      </c>
      <c r="B59" s="48" t="inlineStr">
        <is>
          <t>SILVER_CONSUMER</t>
        </is>
      </c>
      <c r="C59" s="48" t="inlineStr">
        <is>
          <t>2.6</t>
        </is>
      </c>
      <c r="D59" s="48" t="inlineStr">
        <is>
          <t>Nhom 2 - Logic</t>
        </is>
      </c>
      <c r="E59" s="48" t="inlineStr">
        <is>
          <t>SCD Type 2 cho bảng DIM áp dụng đúng kỹ thuật đã thống nhất</t>
        </is>
      </c>
      <c r="F59" s="48" t="inlineStr">
        <is>
          <t>N-A</t>
        </is>
      </c>
      <c r="G59" s="48" t="inlineStr">
        <is>
          <t>Pass</t>
        </is>
      </c>
      <c r="H59" s="50" t="inlineStr">
        <is>
          <t>object không phải bảng DIM nên không áp dụng SCD Type 2</t>
        </is>
      </c>
      <c r="I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59" s="48" t="inlineStr">
        <is>
          <t>OCB_GOLD_TTDL_BPM_TDCN_YCBS_THU 1.xlsx [Script: BPM_TDCN_YCBS]</t>
        </is>
      </c>
    </row>
    <row r="60">
      <c r="A60" s="48" t="inlineStr">
        <is>
          <t>BPM_TDCN_YCBS</t>
        </is>
      </c>
      <c r="B60" s="48" t="inlineStr">
        <is>
          <t>SILVER_CONSUMER</t>
        </is>
      </c>
      <c r="C60" s="48" t="inlineStr">
        <is>
          <t>2.7</t>
        </is>
      </c>
      <c r="D60" s="48" t="inlineStr">
        <is>
          <t>Nhom 2 - Logic</t>
        </is>
      </c>
      <c r="E60" s="48" t="inlineStr">
        <is>
          <t>CASE WHEN cover đủ nhánh như job on-prem</t>
        </is>
      </c>
      <c r="F60" s="49" t="inlineStr">
        <is>
          <t>PASS</t>
        </is>
      </c>
      <c r="G60" s="48" t="inlineStr">
        <is>
          <t>Pass</t>
        </is>
      </c>
      <c r="H60" s="50" t="inlineStr">
        <is>
          <t>cả 2 CASE đều có nhánh ELSE</t>
        </is>
      </c>
      <c r="I60" s="50" t="inlineStr">
        <is>
          <t>Mở job on-prem tương ứng (DataStage DSX hoặc SQL cũ), đối chiếu từng nhánh WHEN và cả nhánh ELSE. CASE không có ELSE sẽ trả NULL âm thầm — xác nhận đó là ý muốn hay thiếu nhánh.</t>
        </is>
      </c>
      <c r="J60" s="48" t="inlineStr">
        <is>
          <t>OCB_GOLD_TTDL_BPM_TDCN_YCBS_THU 1.xlsx [Script: BPM_TDCN_YCBS]</t>
        </is>
      </c>
    </row>
    <row r="61">
      <c r="A61" s="48" t="inlineStr">
        <is>
          <t>BPM_TDCN_YCBS</t>
        </is>
      </c>
      <c r="B61" s="48" t="inlineStr">
        <is>
          <t>SILVER_CONSUMER</t>
        </is>
      </c>
      <c r="C61" s="48" t="inlineStr">
        <is>
          <t>2.8</t>
        </is>
      </c>
      <c r="D61" s="48" t="inlineStr">
        <is>
          <t>Nhom 2 - Logic</t>
        </is>
      </c>
      <c r="E61" s="48" t="inlineStr">
        <is>
          <t>Cột SUM/COUNT được COALESCE/NVL hợp lý</t>
        </is>
      </c>
      <c r="F61" s="51" t="inlineStr">
        <is>
          <t>WARN</t>
        </is>
      </c>
      <c r="G61" s="48" t="inlineStr">
        <is>
          <t>WARN</t>
        </is>
      </c>
      <c r="H61" s="50" t="inlineStr">
        <is>
          <t>2 biểu thức tổng hợp chưa coalesce: YCBS_DVTD_ST = SUM(CASE WHEN A.vai_tro_nguoi_xl = 448 THEN 1 ELSE 0 END); YCBS_DVTD_XL = SUM(CASE WHEN A.vai_tro_nguoi_xl = 450 THEN 1 ELSE 0 END); khi đối soát với hệ thống cũ phải bọc NVL/ISNULL CẢ HAI phía để không lệch khi trừ (Checklist RVN-OCB #11)</t>
        </is>
      </c>
      <c r="I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61" s="48" t="inlineStr">
        <is>
          <t>OCB_GOLD_TTDL_BPM_TDCN_YCBS_THU 1.xlsx [Script: BPM_TDCN_YCBS]</t>
        </is>
      </c>
    </row>
    <row r="62">
      <c r="A62" s="48" t="inlineStr">
        <is>
          <t>BPM_TDCN_YCBS</t>
        </is>
      </c>
      <c r="B62" s="48" t="inlineStr">
        <is>
          <t>SILVER_CONSUMER</t>
        </is>
      </c>
      <c r="C62" s="48" t="inlineStr">
        <is>
          <t>2.9</t>
        </is>
      </c>
      <c r="D62" s="48" t="inlineStr">
        <is>
          <t>Nhom 2 - Logic</t>
        </is>
      </c>
      <c r="E62" s="48" t="inlineStr">
        <is>
          <t>Subquery / custom function / điều kiện LIKE đúng ý nghĩa nghiệp vụ</t>
        </is>
      </c>
      <c r="F62" s="48" t="inlineStr">
        <is>
          <t>N-A</t>
        </is>
      </c>
      <c r="G62" s="48" t="inlineStr">
        <is>
          <t>Pass</t>
        </is>
      </c>
      <c r="H62" s="50" t="inlineStr">
        <is>
          <t>script không có điều kiện LIKE hay scalar subquery nào</t>
        </is>
      </c>
      <c r="I62" s="50" t="inlineStr">
        <is>
          <t>Đọc lại từng điều kiện LIKE và từng subquery, đối chiếu ý nghĩa nghiệp vụ với on-prem — đúng cú pháp không đủ. Chú ý pattern LIKE có ký tự % ở đầu/cuối và phân biệt chữ hoa/thường.</t>
        </is>
      </c>
      <c r="J62" s="48" t="inlineStr">
        <is>
          <t>OCB_GOLD_TTDL_BPM_TDCN_YCBS_THU 1.xlsx [Script: BPM_TDCN_YCBS]</t>
        </is>
      </c>
    </row>
    <row r="63">
      <c r="A63" s="48" t="inlineStr">
        <is>
          <t>BPM_TDCN_YCBS</t>
        </is>
      </c>
      <c r="B63" s="48" t="inlineStr">
        <is>
          <t>SILVER_CONSUMER</t>
        </is>
      </c>
      <c r="C63" s="48" t="inlineStr">
        <is>
          <t>2.10</t>
        </is>
      </c>
      <c r="D63" s="48" t="inlineStr">
        <is>
          <t>Nhom 2 - Logic</t>
        </is>
      </c>
      <c r="E63" s="48" t="inlineStr">
        <is>
          <t>Aggregation kèm filter date range chính xác</t>
        </is>
      </c>
      <c r="F63" s="49" t="inlineStr">
        <is>
          <t>PASS</t>
        </is>
      </c>
      <c r="G63" s="48" t="inlineStr">
        <is>
          <t>Pass</t>
        </is>
      </c>
      <c r="H63" s="50" t="inlineStr">
        <is>
          <t>mọi khối tổng hợp đều có điều kiện theo kỳ dữ liệu</t>
        </is>
      </c>
      <c r="I63" s="50" t="inlineStr">
        <is>
          <t>Mỗi khối SUM/COUNT/AVG phải có điều kiện lọc theo kỳ dữ liệu (CDR_DT_ID, DATA_DATE, :DATADT…). Nếu điều kiện nằm ở CTE nguồn thì ghi rõ trong comment để người review không phải truy ngược.</t>
        </is>
      </c>
      <c r="J63" s="48" t="inlineStr">
        <is>
          <t>OCB_GOLD_TTDL_BPM_TDCN_YCBS_THU 1.xlsx [Script: BPM_TDCN_YCBS]</t>
        </is>
      </c>
    </row>
    <row r="64">
      <c r="A64" s="48" t="inlineStr">
        <is>
          <t>BPM_TDCN_YCBS</t>
        </is>
      </c>
      <c r="B64" s="48" t="inlineStr">
        <is>
          <t>SILVER_CONSUMER</t>
        </is>
      </c>
      <c r="C64" s="48" t="inlineStr">
        <is>
          <t>2.11</t>
        </is>
      </c>
      <c r="D64" s="48" t="inlineStr">
        <is>
          <t>Nhom 2 - Logic</t>
        </is>
      </c>
      <c r="E64" s="48" t="inlineStr">
        <is>
          <t>Join dùng key hợp lý, không lạm dụng UNION ALL + EXISTS/NOT EXISTS</t>
        </is>
      </c>
      <c r="F64" s="49" t="inlineStr">
        <is>
          <t>PASS</t>
        </is>
      </c>
      <c r="G64" s="48" t="inlineStr">
        <is>
          <t>Pass</t>
        </is>
      </c>
      <c r="H64" s="50" t="inlineStr">
        <is>
          <t>join đều theo điều kiện bằng, không lạm dụng UNION ALL + EXISTS</t>
        </is>
      </c>
      <c r="I64" s="50" t="inlineStr">
        <is>
          <t>Ưu tiên LEFT JOIN theo business key hoặc hashkey. Xem lại các chỗ dùng UNION ALL kết hợp EXISTS/NOT EXISTS — thường thay được bằng một LEFT JOIN. Join không có điều kiện bằng (=) dễ tạo tích Descartes.</t>
        </is>
      </c>
      <c r="J64" s="48" t="inlineStr">
        <is>
          <t>OCB_GOLD_TTDL_BPM_TDCN_YCBS_THU 1.xlsx [Script: BPM_TDCN_YCBS]</t>
        </is>
      </c>
    </row>
    <row r="65">
      <c r="A65" s="48" t="inlineStr">
        <is>
          <t>BPM_TDCN_YCBS</t>
        </is>
      </c>
      <c r="B65" s="48" t="inlineStr">
        <is>
          <t>SILVER_CONSUMER</t>
        </is>
      </c>
      <c r="C65" s="48" t="inlineStr">
        <is>
          <t>2.12</t>
        </is>
      </c>
      <c r="D65" s="48" t="inlineStr">
        <is>
          <t>Nhom 2 - Logic</t>
        </is>
      </c>
      <c r="E65" s="48" t="inlineStr">
        <is>
          <t>Build Gold từ CTE snapshot Silver, không build nhiều tầng chồng chéo</t>
        </is>
      </c>
      <c r="F65" s="49" t="inlineStr">
        <is>
          <t>PASS</t>
        </is>
      </c>
      <c r="G65" s="48" t="inlineStr">
        <is>
          <t>Pass</t>
        </is>
      </c>
      <c r="H65" s="50" t="inlineStr">
        <is>
          <t>mỗi bảng nguồn chỉ đọc trong 1 khối SELECT</t>
        </is>
      </c>
      <c r="I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65" s="48" t="inlineStr">
        <is>
          <t>OCB_GOLD_TTDL_BPM_TDCN_YCBS_THU 1.xlsx [Script: BPM_TDCN_YCBS]</t>
        </is>
      </c>
    </row>
    <row r="66">
      <c r="A66" s="48" t="inlineStr">
        <is>
          <t>BPM_TDCN_YCBS</t>
        </is>
      </c>
      <c r="B66" s="48" t="inlineStr">
        <is>
          <t>SILVER_CONSUMER</t>
        </is>
      </c>
      <c r="C66" s="48" t="inlineStr">
        <is>
          <t>3.1</t>
        </is>
      </c>
      <c r="D66" s="48" t="inlineStr">
        <is>
          <t>Nhom 3 - Optimization</t>
        </is>
      </c>
      <c r="E66" s="48" t="inlineStr">
        <is>
          <t>Không SELECT *</t>
        </is>
      </c>
      <c r="F66" s="49" t="inlineStr">
        <is>
          <t>PASS</t>
        </is>
      </c>
      <c r="G66" s="48" t="inlineStr">
        <is>
          <t>Pass</t>
        </is>
      </c>
      <c r="H66" s="50" t="inlineStr">
        <is>
          <t>không dùng SELECT * ở đâu</t>
        </is>
      </c>
      <c r="I66" s="50" t="inlineStr">
        <is>
          <t>Liệt kê tường minh các cột cần dùng, kể cả trong CTE trung gian. SELECT * làm tăng IO/memory và vỡ script khi bảng nguồn thêm cột.</t>
        </is>
      </c>
      <c r="J66" s="48" t="inlineStr">
        <is>
          <t>OCB_GOLD_TTDL_BPM_TDCN_YCBS_THU 1.xlsx [Script: BPM_TDCN_YCBS]</t>
        </is>
      </c>
    </row>
    <row r="67">
      <c r="A67" s="48" t="inlineStr">
        <is>
          <t>BPM_TDCN_YCBS</t>
        </is>
      </c>
      <c r="B67" s="48" t="inlineStr">
        <is>
          <t>SILVER_CONSUMER</t>
        </is>
      </c>
      <c r="C67" s="48" t="inlineStr">
        <is>
          <t>3.2</t>
        </is>
      </c>
      <c r="D67" s="48" t="inlineStr">
        <is>
          <t>Nhom 3 - Optimization</t>
        </is>
      </c>
      <c r="E67" s="48" t="inlineStr">
        <is>
          <t>CTE không bị scan lại nhiều lần</t>
        </is>
      </c>
      <c r="F67" s="49" t="inlineStr">
        <is>
          <t>PASS</t>
        </is>
      </c>
      <c r="G67" s="48" t="inlineStr">
        <is>
          <t>Pass</t>
        </is>
      </c>
      <c r="H67" s="50" t="inlineStr">
        <is>
          <t>không có CTE nào bị gọi lại</t>
        </is>
      </c>
      <c r="I67" s="50" t="inlineStr">
        <is>
          <t>Với CTE nặng (đọc nhiều bảng Silver) bị tham chiếu từ 2 chỗ trở lên: gom lại còn một lần dùng, hoặc vật chất hóa (CACHE / bảng tạm). CTE nhẹ chỉ chứa tham số thì bỏ qua được — tự tick Pass.</t>
        </is>
      </c>
      <c r="J67" s="48" t="inlineStr">
        <is>
          <t>OCB_GOLD_TTDL_BPM_TDCN_YCBS_THU 1.xlsx [Script: BPM_TDCN_YCBS]</t>
        </is>
      </c>
    </row>
    <row r="68">
      <c r="A68" s="48" t="inlineStr">
        <is>
          <t>BPM_TDCN_YCBS</t>
        </is>
      </c>
      <c r="B68" s="48" t="inlineStr">
        <is>
          <t>SILVER_CONSUMER</t>
        </is>
      </c>
      <c r="C68" s="48" t="inlineStr">
        <is>
          <t>3.3</t>
        </is>
      </c>
      <c r="D68" s="48" t="inlineStr">
        <is>
          <t>Nhom 3 - Optimization</t>
        </is>
      </c>
      <c r="E68" s="48" t="inlineStr">
        <is>
          <t>Filter trước khi join, tận dụng partition pruning</t>
        </is>
      </c>
      <c r="F68" s="49" t="inlineStr">
        <is>
          <t>PASS</t>
        </is>
      </c>
      <c r="G68" s="48" t="inlineStr">
        <is>
          <t>Pass</t>
        </is>
      </c>
      <c r="H68" s="50" t="inlineStr">
        <is>
          <t>các bảng join đều được filter trước</t>
        </is>
      </c>
      <c r="I68" s="50" t="inlineStr">
        <is>
          <t>Đưa điều kiện lọc (ngày dữ liệu, trạng thái) vào subquery của từng bảng TRƯỚC khi join, để tận dụng partition pruning. Bảng dim nhỏ không partition thì không cần — tự tick Pass.</t>
        </is>
      </c>
      <c r="J68" s="48" t="inlineStr">
        <is>
          <t>OCB_GOLD_TTDL_BPM_TDCN_YCBS_THU 1.xlsx [Script: BPM_TDCN_YCBS]</t>
        </is>
      </c>
    </row>
    <row r="69">
      <c r="A69" s="48" t="inlineStr">
        <is>
          <t>BPM_TDCN_YCBS</t>
        </is>
      </c>
      <c r="B69" s="48" t="inlineStr">
        <is>
          <t>SILVER_CONSUMER</t>
        </is>
      </c>
      <c r="C69" s="48" t="inlineStr">
        <is>
          <t>3.4</t>
        </is>
      </c>
      <c r="D69" s="48" t="inlineStr">
        <is>
          <t>Nhom 3 - Optimization</t>
        </is>
      </c>
      <c r="E69" s="48" t="inlineStr">
        <is>
          <t>Sử dụng CACHE cho query lặp lại trong cùng luồng</t>
        </is>
      </c>
      <c r="F69" s="48" t="inlineStr">
        <is>
          <t>N-A</t>
        </is>
      </c>
      <c r="G69" s="48" t="inlineStr">
        <is>
          <t>Pass</t>
        </is>
      </c>
      <c r="H69" s="50" t="inlineStr">
        <is>
          <t>không có kết quả nào được dùng lại nhiều lần nên chưa cần CACHE</t>
        </is>
      </c>
      <c r="I69" s="50" t="inlineStr">
        <is>
          <t>Nếu một kết quả nặng được dùng lại nhiều bước trong cùng luồng, thêm CACHE TABLE / CACHE SELECT. Kết quả nhỏ thì cache còn chậm hơn — tự tick Pass.</t>
        </is>
      </c>
      <c r="J69" s="48" t="inlineStr">
        <is>
          <t>OCB_GOLD_TTDL_BPM_TDCN_YCBS_THU 1.xlsx [Script: BPM_TDCN_YCBS]</t>
        </is>
      </c>
    </row>
    <row r="70">
      <c r="A70" s="48" t="inlineStr">
        <is>
          <t>BPM_TDCN_YCBS</t>
        </is>
      </c>
      <c r="B70" s="48" t="inlineStr">
        <is>
          <t>SILVER_CONSUMER</t>
        </is>
      </c>
      <c r="C70" s="48" t="inlineStr">
        <is>
          <t>3.5</t>
        </is>
      </c>
      <c r="D70" s="48" t="inlineStr">
        <is>
          <t>Nhom 3 - Optimization</t>
        </is>
      </c>
      <c r="E70" s="48" t="inlineStr">
        <is>
          <t>Ưu tiên MAX_BY + QUALIFY thay ROW_NUMBER() + WHERE rn = 1</t>
        </is>
      </c>
      <c r="F70" s="48" t="inlineStr">
        <is>
          <t>N-A</t>
        </is>
      </c>
      <c r="G70" s="48" t="inlineStr">
        <is>
          <t>Pass</t>
        </is>
      </c>
      <c r="H70" s="50" t="inlineStr">
        <is>
          <t>script không dùng ROW_NUMBER, và MAX_BY (nếu có) không vượt quá 5 cột/khối</t>
        </is>
      </c>
      <c r="I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70" s="48" t="inlineStr">
        <is>
          <t>OCB_GOLD_TTDL_BPM_TDCN_YCBS_THU 1.xlsx [Script: BPM_TDCN_YCBS]</t>
        </is>
      </c>
    </row>
    <row r="71">
      <c r="A71" s="48" t="inlineStr">
        <is>
          <t>BPM_TDCN_YCBS</t>
        </is>
      </c>
      <c r="B71" s="48" t="inlineStr">
        <is>
          <t>SILVER_CONSUMER</t>
        </is>
      </c>
      <c r="C71" s="48" t="inlineStr">
        <is>
          <t>3.6</t>
        </is>
      </c>
      <c r="D71" s="48" t="inlineStr">
        <is>
          <t>Nhom 3 - Optimization</t>
        </is>
      </c>
      <c r="E71" s="48" t="inlineStr">
        <is>
          <t>Không lạm dụng window function; có comment khi dùng</t>
        </is>
      </c>
      <c r="F71" s="48" t="inlineStr">
        <is>
          <t>N-A</t>
        </is>
      </c>
      <c r="G71" s="48" t="inlineStr">
        <is>
          <t>Pass</t>
        </is>
      </c>
      <c r="H71" s="50" t="inlineStr">
        <is>
          <t>script không dùng window function</t>
        </is>
      </c>
      <c r="I71" s="50" t="inlineStr">
        <is>
          <t>Mỗi window function cần một comment ngay trên khối CTE chứa nó, nói rõ vì sao không dùng được max_by/QUALIFY đơn giản hơn.</t>
        </is>
      </c>
      <c r="J71" s="48" t="inlineStr">
        <is>
          <t>OCB_GOLD_TTDL_BPM_TDCN_YCBS_THU 1.xlsx [Script: BPM_TDCN_YCBS]</t>
        </is>
      </c>
    </row>
    <row r="72">
      <c r="A72" s="48" t="inlineStr">
        <is>
          <t>BPM_TDCN_YCBS</t>
        </is>
      </c>
      <c r="B72" s="48" t="inlineStr">
        <is>
          <t>SILVER_CONSUMER</t>
        </is>
      </c>
      <c r="C72" s="48" t="inlineStr">
        <is>
          <t>X.1</t>
        </is>
      </c>
      <c r="D72" s="48" t="inlineStr">
        <is>
          <t>Nhom X - Bo sung Raffles</t>
        </is>
      </c>
      <c r="E72" s="48" t="inlineStr">
        <is>
          <t>[Bổ sung] Link phải rút về current trước khi join (chống fan-out)</t>
        </is>
      </c>
      <c r="F72" s="49" t="inlineStr">
        <is>
          <t>PASS</t>
        </is>
      </c>
      <c r="G72" s="48" t="inlineStr">
        <is>
          <t>Pass</t>
        </is>
      </c>
      <c r="H72" s="50" t="inlineStr">
        <is>
          <t>các bảng link_* đều được rút về current trước khi join</t>
        </is>
      </c>
      <c r="I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72" s="48" t="inlineStr">
        <is>
          <t>OCB_GOLD_TTDL_BPM_TDCN_YCBS_THU 1.xlsx [Script: BPM_TDCN_YCBS]</t>
        </is>
      </c>
    </row>
    <row r="73">
      <c r="A73" s="48" t="inlineStr">
        <is>
          <t>BPM_TDCN_YCBS</t>
        </is>
      </c>
      <c r="B73" s="48" t="inlineStr">
        <is>
          <t>SILVER_CONSUMER</t>
        </is>
      </c>
      <c r="C73" s="48" t="inlineStr">
        <is>
          <t>X.6</t>
        </is>
      </c>
      <c r="D73" s="48" t="inlineStr">
        <is>
          <t>Nhom X - Bo sung Raffles</t>
        </is>
      </c>
      <c r="E73" s="48" t="inlineStr">
        <is>
          <t>[Bổ sung] Satellite phải LEFT JOIN, không INNER JOIN</t>
        </is>
      </c>
      <c r="F73" s="49" t="inlineStr">
        <is>
          <t>PASS</t>
        </is>
      </c>
      <c r="G73" s="48" t="inlineStr">
        <is>
          <t>Pass</t>
        </is>
      </c>
      <c r="H73" s="50" t="inlineStr">
        <is>
          <t>các satellite đều LEFT JOIN</t>
        </is>
      </c>
      <c r="I73" s="50" t="inlineStr">
        <is>
          <t>Technical Document III.4.2.2 nguyên tắc 1: làm giàu thuộc tính luôn dùng LEFT JOIN. INNER JOIN satellite sẽ loại mất bản ghi Hub đang còn hiệu lực nhưng chưa có dòng satellite.</t>
        </is>
      </c>
      <c r="J73" s="48" t="inlineStr">
        <is>
          <t>OCB_GOLD_TTDL_BPM_TDCN_YCBS_THU 1.xlsx [Script: BPM_TDCN_YCBS]</t>
        </is>
      </c>
    </row>
    <row r="74">
      <c r="A74" s="48" t="inlineStr">
        <is>
          <t>BPM_TDCN_YCBS</t>
        </is>
      </c>
      <c r="B74" s="48" t="inlineStr">
        <is>
          <t>SILVER_CONSUMER</t>
        </is>
      </c>
      <c r="C74" s="48" t="inlineStr">
        <is>
          <t>X.7</t>
        </is>
      </c>
      <c r="D74" s="48" t="inlineStr">
        <is>
          <t>Nhom X - Bo sung Raffles</t>
        </is>
      </c>
      <c r="E74" s="48" t="inlineStr">
        <is>
          <t>[Bổ sung] Không hard-code catalog, dùng biến môi trường</t>
        </is>
      </c>
      <c r="F74" s="49" t="inlineStr">
        <is>
          <t>PASS</t>
        </is>
      </c>
      <c r="G74" s="48" t="inlineStr">
        <is>
          <t>Pass</t>
        </is>
      </c>
      <c r="H74" s="50" t="inlineStr">
        <is>
          <t>dùng biến môi trường cho catalog</t>
        </is>
      </c>
      <c r="I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74" s="48" t="inlineStr">
        <is>
          <t>OCB_GOLD_TTDL_BPM_TDCN_YCBS_THU 1.xlsx [Script: BPM_TDCN_YCBS]</t>
        </is>
      </c>
    </row>
    <row r="75">
      <c r="A75" s="48" t="inlineStr">
        <is>
          <t>BPM_TDCN_YCBS</t>
        </is>
      </c>
      <c r="B75" s="48" t="inlineStr">
        <is>
          <t>SILVER_CONSUMER</t>
        </is>
      </c>
      <c r="C75" s="48" t="inlineStr">
        <is>
          <t>X.10</t>
        </is>
      </c>
      <c r="D75" s="48" t="inlineStr">
        <is>
          <t>Nhom X - Bo sung Raffles</t>
        </is>
      </c>
      <c r="E75" s="48" t="inlineStr">
        <is>
          <t>Bang raw_vault/business_vault duoc doc phai TON TAI THAT trong Data Vault model</t>
        </is>
      </c>
      <c r="F75" s="49" t="inlineStr">
        <is>
          <t>PASS</t>
        </is>
      </c>
      <c r="G75" s="48" t="inlineStr">
        <is>
          <t>Pass</t>
        </is>
      </c>
      <c r="H75" s="50" t="inlineStr">
        <is>
          <t>3 bảng Silver đều có thật trong Data Vault model</t>
        </is>
      </c>
      <c r="I75" s="50" t="inlineStr"/>
      <c r="J75" s="48" t="inlineStr">
        <is>
          <t>OCB_GOLD_TTDL_BPM_TDCN_YCBS_THU 1.xlsx [Script: BPM_TDCN_YCBS]</t>
        </is>
      </c>
    </row>
    <row r="76">
      <c r="A76" s="48" t="inlineStr">
        <is>
          <t>BPM_TDCN_YCBS</t>
        </is>
      </c>
      <c r="B76" s="48" t="inlineStr">
        <is>
          <t>SILVER_CONSUMER</t>
        </is>
      </c>
      <c r="C76" s="48" t="inlineStr">
        <is>
          <t>X.11</t>
        </is>
      </c>
      <c r="D76" s="48" t="inlineStr">
        <is>
          <t>Nhom X - Bo sung Raffles</t>
        </is>
      </c>
      <c r="E76" s="48" t="inlineStr">
        <is>
          <t>Cot doc tu satellite (sat_*) phai TON TAI THAT trong model</t>
        </is>
      </c>
      <c r="F76" s="49" t="inlineStr">
        <is>
          <t>PASS</t>
        </is>
      </c>
      <c r="G76" s="48" t="inlineStr">
        <is>
          <t>Pass</t>
        </is>
      </c>
      <c r="H76" s="50" t="inlineStr">
        <is>
          <t>mọi cột đọc từ sat_* đều tồn tại trong model thật</t>
        </is>
      </c>
      <c r="I76" s="50" t="inlineStr"/>
      <c r="J76" s="48" t="inlineStr">
        <is>
          <t>OCB_GOLD_TTDL_BPM_TDCN_YCBS_THU 1.xlsx [Script: BPM_TDCN_YCBS]</t>
        </is>
      </c>
    </row>
    <row r="77">
      <c r="A77" s="48" t="inlineStr">
        <is>
          <t>BPM_VOLUME_CTGD</t>
        </is>
      </c>
      <c r="B77" s="48" t="inlineStr">
        <is>
          <t>SILVER_CONSUMER</t>
        </is>
      </c>
      <c r="C77" s="48" t="inlineStr">
        <is>
          <t>1.1</t>
        </is>
      </c>
      <c r="D77" s="48" t="inlineStr">
        <is>
          <t>Nhom 1 - Mapping</t>
        </is>
      </c>
      <c r="E77" s="48" t="inlineStr">
        <is>
          <t>Đầy đủ mapping từ Silver/manual sang Gold</t>
        </is>
      </c>
      <c r="F77" s="49" t="inlineStr">
        <is>
          <t>PASS</t>
        </is>
      </c>
      <c r="G77" s="48" t="inlineStr">
        <is>
          <t>Pass</t>
        </is>
      </c>
      <c r="H77" s="50" t="inlineStr">
        <is>
          <t>workbook OCB_GOLD_TTDL_BPM_VOLUME_CTGD_THU 1.xlsx: thiết kế 19 field, SQL có 19 cột</t>
        </is>
      </c>
      <c r="I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77" s="48" t="inlineStr">
        <is>
          <t>OCB_GOLD_TTDL_BPM_VOLUME_CTGD_THU 1.xlsx [Script: BPM_VOLUME_CTGD]</t>
        </is>
      </c>
    </row>
    <row r="78">
      <c r="A78" s="48" t="inlineStr">
        <is>
          <t>BPM_VOLUME_CTGD</t>
        </is>
      </c>
      <c r="B78" s="48" t="inlineStr">
        <is>
          <t>SILVER_CONSUMER</t>
        </is>
      </c>
      <c r="C78" s="48" t="inlineStr">
        <is>
          <t>1.2</t>
        </is>
      </c>
      <c r="D78" s="48" t="inlineStr">
        <is>
          <t>Nhom 1 - Mapping</t>
        </is>
      </c>
      <c r="E78" s="48" t="inlineStr">
        <is>
          <t>Danh sách bảng/view Gold khớp tài liệu thiết kế đã duyệt</t>
        </is>
      </c>
      <c r="F78" s="49" t="inlineStr">
        <is>
          <t>PASS</t>
        </is>
      </c>
      <c r="G78" s="48" t="inlineStr">
        <is>
          <t>Pass</t>
        </is>
      </c>
      <c r="H78" s="50" t="inlineStr">
        <is>
          <t>BPM_VOLUME_CTGD có workbook thiết kế: OCB_GOLD_TTDL_BPM_VOLUME_CTGD_THU 1.xlsx</t>
        </is>
      </c>
      <c r="I78" s="50" t="inlineStr">
        <is>
          <t>Đảm bảo object có workbook thiết kế tương ứng trong thư mục --mapping-dir. Muốn đối chiếu với danh sách đã duyệt thì chạy thêm tham số --gold-list "&lt;file danh sách Gold&gt;.xlsx".</t>
        </is>
      </c>
      <c r="J78" s="48" t="inlineStr">
        <is>
          <t>OCB_GOLD_TTDL_BPM_VOLUME_CTGD_THU 1.xlsx [Script: BPM_VOLUME_CTGD]</t>
        </is>
      </c>
    </row>
    <row r="79">
      <c r="A79" s="48" t="inlineStr">
        <is>
          <t>BPM_VOLUME_CTGD</t>
        </is>
      </c>
      <c r="B79" s="48" t="inlineStr">
        <is>
          <t>SILVER_CONSUMER</t>
        </is>
      </c>
      <c r="C79" s="48" t="inlineStr">
        <is>
          <t>2.1</t>
        </is>
      </c>
      <c r="D79" s="48" t="inlineStr">
        <is>
          <t>Nhom 2 - Logic</t>
        </is>
      </c>
      <c r="E79" s="48" t="inlineStr">
        <is>
          <t>Chỉ lấy bản ghi active, loại bản ghi đã xóa (qua sts_hub)</t>
        </is>
      </c>
      <c r="F79" s="49" t="inlineStr">
        <is>
          <t>PASS</t>
        </is>
      </c>
      <c r="G79" s="48" t="inlineStr">
        <is>
          <t>Pass</t>
        </is>
      </c>
      <c r="H79" s="50" t="inlineStr">
        <is>
          <t>không dùng sts_hub_* (không có yêu cầu nghiệp vụ giữ bản ghi đã xóa)</t>
        </is>
      </c>
      <c r="I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79" s="48" t="inlineStr">
        <is>
          <t>OCB_GOLD_TTDL_BPM_VOLUME_CTGD_THU 1.xlsx [Script: BPM_VOLUME_CTGD]</t>
        </is>
      </c>
    </row>
    <row r="80">
      <c r="A80" s="48" t="inlineStr">
        <is>
          <t>BPM_VOLUME_CTGD</t>
        </is>
      </c>
      <c r="B80" s="48" t="inlineStr">
        <is>
          <t>SILVER_CONSUMER</t>
        </is>
      </c>
      <c r="C80" s="48" t="inlineStr">
        <is>
          <t>2.2</t>
        </is>
      </c>
      <c r="D80" s="48" t="inlineStr">
        <is>
          <t>Nhom 2 - Logic</t>
        </is>
      </c>
      <c r="E80" s="48" t="inlineStr">
        <is>
          <t>Thống nhất MỘT pattern duy nhất xác định bản ghi active mới nhất</t>
        </is>
      </c>
      <c r="F80" s="49" t="inlineStr">
        <is>
          <t>PASS</t>
        </is>
      </c>
      <c r="G80" s="48" t="inlineStr">
        <is>
          <t>Pass</t>
        </is>
      </c>
      <c r="H80" s="50" t="inlineStr">
        <is>
          <t>file này dùng: ['MAX_BY']; toàn batch dùng: ['MAX_BY']</t>
        </is>
      </c>
      <c r="I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80" s="48" t="inlineStr">
        <is>
          <t>OCB_GOLD_TTDL_BPM_VOLUME_CTGD_THU 1.xlsx [Script: BPM_VOLUME_CTGD]</t>
        </is>
      </c>
    </row>
    <row r="81">
      <c r="A81" s="48" t="inlineStr">
        <is>
          <t>BPM_VOLUME_CTGD</t>
        </is>
      </c>
      <c r="B81" s="48" t="inlineStr">
        <is>
          <t>SILVER_CONSUMER</t>
        </is>
      </c>
      <c r="C81" s="48" t="inlineStr">
        <is>
          <t>2.3</t>
        </is>
      </c>
      <c r="D81" s="48" t="inlineStr">
        <is>
          <t>Nhom 2 - Logic</t>
        </is>
      </c>
      <c r="E81" s="48" t="inlineStr">
        <is>
          <t>Điều kiện lọc trạng thái đặt SAU khi xác định bản ghi mới nhất</t>
        </is>
      </c>
      <c r="F81" s="49" t="inlineStr">
        <is>
          <t>PASS</t>
        </is>
      </c>
      <c r="G81" s="48" t="inlineStr">
        <is>
          <t>Pass</t>
        </is>
      </c>
      <c r="H81" s="50" t="inlineStr">
        <is>
          <t>không có điều kiện trạng thái nào lồng trong JOIN ON</t>
        </is>
      </c>
      <c r="I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81" s="48" t="inlineStr">
        <is>
          <t>OCB_GOLD_TTDL_BPM_VOLUME_CTGD_THU 1.xlsx [Script: BPM_VOLUME_CTGD]</t>
        </is>
      </c>
    </row>
    <row r="82">
      <c r="A82" s="48" t="inlineStr">
        <is>
          <t>BPM_VOLUME_CTGD</t>
        </is>
      </c>
      <c r="B82" s="48" t="inlineStr">
        <is>
          <t>SILVER_CONSUMER</t>
        </is>
      </c>
      <c r="C82" s="48" t="inlineStr">
        <is>
          <t>2.4</t>
        </is>
      </c>
      <c r="D82" s="48" t="inlineStr">
        <is>
          <t>Nhom 2 - Logic</t>
        </is>
      </c>
      <c r="E82" s="48" t="inlineStr">
        <is>
          <t>source_event_date áp dụng đúng dạng theo loại bảng</t>
        </is>
      </c>
      <c r="F82" s="49" t="inlineStr">
        <is>
          <t>PASS</t>
        </is>
      </c>
      <c r="G82" s="48" t="inlineStr">
        <is>
          <t>Pass</t>
        </is>
      </c>
      <c r="H82" s="50" t="inlineStr">
        <is>
          <t>8 satellite đều đúng dạng điều kiện source_event_date</t>
        </is>
      </c>
      <c r="I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82" s="48" t="inlineStr">
        <is>
          <t>OCB_GOLD_TTDL_BPM_VOLUME_CTGD_THU 1.xlsx [Script: BPM_VOLUME_CTGD]</t>
        </is>
      </c>
    </row>
    <row r="83">
      <c r="A83" s="48" t="inlineStr">
        <is>
          <t>BPM_VOLUME_CTGD</t>
        </is>
      </c>
      <c r="B83" s="48" t="inlineStr">
        <is>
          <t>SILVER_CONSUMER</t>
        </is>
      </c>
      <c r="C83" s="48" t="inlineStr">
        <is>
          <t>2.5</t>
        </is>
      </c>
      <c r="D83" s="48" t="inlineStr">
        <is>
          <t>Nhom 2 - Logic</t>
        </is>
      </c>
      <c r="E83" s="48" t="inlineStr">
        <is>
          <t>Không lặp lại lỗi logic cũ đã được DA Data Vault fix</t>
        </is>
      </c>
      <c r="F83" s="49" t="inlineStr">
        <is>
          <t>PASS</t>
        </is>
      </c>
      <c r="G83" s="48" t="inlineStr">
        <is>
          <t>Pass</t>
        </is>
      </c>
      <c r="H83" s="50" t="inlineStr">
        <is>
          <t>không trùng lỗi nào trong Issue log của DA Data Vault</t>
        </is>
      </c>
      <c r="I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83" s="48" t="inlineStr">
        <is>
          <t>OCB_GOLD_TTDL_BPM_VOLUME_CTGD_THU 1.xlsx [Script: BPM_VOLUME_CTGD]</t>
        </is>
      </c>
    </row>
    <row r="84">
      <c r="A84" s="48" t="inlineStr">
        <is>
          <t>BPM_VOLUME_CTGD</t>
        </is>
      </c>
      <c r="B84" s="48" t="inlineStr">
        <is>
          <t>SILVER_CONSUMER</t>
        </is>
      </c>
      <c r="C84" s="48" t="inlineStr">
        <is>
          <t>2.6</t>
        </is>
      </c>
      <c r="D84" s="48" t="inlineStr">
        <is>
          <t>Nhom 2 - Logic</t>
        </is>
      </c>
      <c r="E84" s="48" t="inlineStr">
        <is>
          <t>SCD Type 2 cho bảng DIM áp dụng đúng kỹ thuật đã thống nhất</t>
        </is>
      </c>
      <c r="F84" s="48" t="inlineStr">
        <is>
          <t>N-A</t>
        </is>
      </c>
      <c r="G84" s="48" t="inlineStr">
        <is>
          <t>Pass</t>
        </is>
      </c>
      <c r="H84" s="50" t="inlineStr">
        <is>
          <t>object không phải bảng DIM nên không áp dụng SCD Type 2</t>
        </is>
      </c>
      <c r="I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84" s="48" t="inlineStr">
        <is>
          <t>OCB_GOLD_TTDL_BPM_VOLUME_CTGD_THU 1.xlsx [Script: BPM_VOLUME_CTGD]</t>
        </is>
      </c>
    </row>
    <row r="85">
      <c r="A85" s="48" t="inlineStr">
        <is>
          <t>BPM_VOLUME_CTGD</t>
        </is>
      </c>
      <c r="B85" s="48" t="inlineStr">
        <is>
          <t>SILVER_CONSUMER</t>
        </is>
      </c>
      <c r="C85" s="48" t="inlineStr">
        <is>
          <t>2.7</t>
        </is>
      </c>
      <c r="D85" s="48" t="inlineStr">
        <is>
          <t>Nhom 2 - Logic</t>
        </is>
      </c>
      <c r="E85" s="48" t="inlineStr">
        <is>
          <t>CASE WHEN cover đủ nhánh như job on-prem</t>
        </is>
      </c>
      <c r="F85" s="49" t="inlineStr">
        <is>
          <t>PASS</t>
        </is>
      </c>
      <c r="G85" s="48" t="inlineStr">
        <is>
          <t>Pass</t>
        </is>
      </c>
      <c r="H85" s="50" t="inlineStr">
        <is>
          <t>cả 2 CASE đều có nhánh ELSE</t>
        </is>
      </c>
      <c r="I85" s="50" t="inlineStr">
        <is>
          <t>Mở job on-prem tương ứng (DataStage DSX hoặc SQL cũ), đối chiếu từng nhánh WHEN và cả nhánh ELSE. CASE không có ELSE sẽ trả NULL âm thầm — xác nhận đó là ý muốn hay thiếu nhánh.</t>
        </is>
      </c>
      <c r="J85" s="48" t="inlineStr">
        <is>
          <t>OCB_GOLD_TTDL_BPM_VOLUME_CTGD_THU 1.xlsx [Script: BPM_VOLUME_CTGD]</t>
        </is>
      </c>
    </row>
    <row r="86">
      <c r="A86" s="48" t="inlineStr">
        <is>
          <t>BPM_VOLUME_CTGD</t>
        </is>
      </c>
      <c r="B86" s="48" t="inlineStr">
        <is>
          <t>SILVER_CONSUMER</t>
        </is>
      </c>
      <c r="C86" s="48" t="inlineStr">
        <is>
          <t>2.8</t>
        </is>
      </c>
      <c r="D86" s="48" t="inlineStr">
        <is>
          <t>Nhom 2 - Logic</t>
        </is>
      </c>
      <c r="E86" s="48" t="inlineStr">
        <is>
          <t>Cột SUM/COUNT được COALESCE/NVL hợp lý</t>
        </is>
      </c>
      <c r="F86" s="49" t="inlineStr">
        <is>
          <t>PASS</t>
        </is>
      </c>
      <c r="G86" s="48" t="inlineStr">
        <is>
          <t>Pass</t>
        </is>
      </c>
      <c r="H86" s="50" t="inlineStr">
        <is>
          <t>mọi SUM/COUNT đều đã coalesce (trực tiếp hoặc ở lớp ngoài)</t>
        </is>
      </c>
      <c r="I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86" s="48" t="inlineStr">
        <is>
          <t>OCB_GOLD_TTDL_BPM_VOLUME_CTGD_THU 1.xlsx [Script: BPM_VOLUME_CTGD]</t>
        </is>
      </c>
    </row>
    <row r="87">
      <c r="A87" s="48" t="inlineStr">
        <is>
          <t>BPM_VOLUME_CTGD</t>
        </is>
      </c>
      <c r="B87" s="48" t="inlineStr">
        <is>
          <t>SILVER_CONSUMER</t>
        </is>
      </c>
      <c r="C87" s="48" t="inlineStr">
        <is>
          <t>2.9</t>
        </is>
      </c>
      <c r="D87" s="48" t="inlineStr">
        <is>
          <t>Nhom 2 - Logic</t>
        </is>
      </c>
      <c r="E87" s="48" t="inlineStr">
        <is>
          <t>Subquery / custom function / điều kiện LIKE đúng ý nghĩa nghiệp vụ</t>
        </is>
      </c>
      <c r="F87" s="48" t="inlineStr">
        <is>
          <t>N-A</t>
        </is>
      </c>
      <c r="G87" s="48" t="inlineStr">
        <is>
          <t>Pass</t>
        </is>
      </c>
      <c r="H87" s="50" t="inlineStr">
        <is>
          <t>script không có điều kiện LIKE hay scalar subquery nào</t>
        </is>
      </c>
      <c r="I87" s="50" t="inlineStr">
        <is>
          <t>Đọc lại từng điều kiện LIKE và từng subquery, đối chiếu ý nghĩa nghiệp vụ với on-prem — đúng cú pháp không đủ. Chú ý pattern LIKE có ký tự % ở đầu/cuối và phân biệt chữ hoa/thường.</t>
        </is>
      </c>
      <c r="J87" s="48" t="inlineStr">
        <is>
          <t>OCB_GOLD_TTDL_BPM_VOLUME_CTGD_THU 1.xlsx [Script: BPM_VOLUME_CTGD]</t>
        </is>
      </c>
    </row>
    <row r="88">
      <c r="A88" s="48" t="inlineStr">
        <is>
          <t>BPM_VOLUME_CTGD</t>
        </is>
      </c>
      <c r="B88" s="48" t="inlineStr">
        <is>
          <t>SILVER_CONSUMER</t>
        </is>
      </c>
      <c r="C88" s="48" t="inlineStr">
        <is>
          <t>2.10</t>
        </is>
      </c>
      <c r="D88" s="48" t="inlineStr">
        <is>
          <t>Nhom 2 - Logic</t>
        </is>
      </c>
      <c r="E88" s="48" t="inlineStr">
        <is>
          <t>Aggregation kèm filter date range chính xác</t>
        </is>
      </c>
      <c r="F88" s="49" t="inlineStr">
        <is>
          <t>PASS</t>
        </is>
      </c>
      <c r="G88" s="48" t="inlineStr">
        <is>
          <t>Pass</t>
        </is>
      </c>
      <c r="H88" s="50" t="inlineStr">
        <is>
          <t>mọi khối tổng hợp đều có điều kiện theo kỳ dữ liệu</t>
        </is>
      </c>
      <c r="I88" s="50" t="inlineStr">
        <is>
          <t>Mỗi khối SUM/COUNT/AVG phải có điều kiện lọc theo kỳ dữ liệu (CDR_DT_ID, DATA_DATE, :DATADT…). Nếu điều kiện nằm ở CTE nguồn thì ghi rõ trong comment để người review không phải truy ngược.</t>
        </is>
      </c>
      <c r="J88" s="48" t="inlineStr">
        <is>
          <t>OCB_GOLD_TTDL_BPM_VOLUME_CTGD_THU 1.xlsx [Script: BPM_VOLUME_CTGD]</t>
        </is>
      </c>
    </row>
    <row r="89">
      <c r="A89" s="48" t="inlineStr">
        <is>
          <t>BPM_VOLUME_CTGD</t>
        </is>
      </c>
      <c r="B89" s="48" t="inlineStr">
        <is>
          <t>SILVER_CONSUMER</t>
        </is>
      </c>
      <c r="C89" s="48" t="inlineStr">
        <is>
          <t>2.11</t>
        </is>
      </c>
      <c r="D89" s="48" t="inlineStr">
        <is>
          <t>Nhom 2 - Logic</t>
        </is>
      </c>
      <c r="E89" s="48" t="inlineStr">
        <is>
          <t>Join dùng key hợp lý, không lạm dụng UNION ALL + EXISTS/NOT EXISTS</t>
        </is>
      </c>
      <c r="F89" s="49" t="inlineStr">
        <is>
          <t>PASS</t>
        </is>
      </c>
      <c r="G89" s="48" t="inlineStr">
        <is>
          <t>Pass</t>
        </is>
      </c>
      <c r="H89" s="50" t="inlineStr">
        <is>
          <t>join đều theo điều kiện bằng, không lạm dụng UNION ALL + EXISTS</t>
        </is>
      </c>
      <c r="I89" s="50" t="inlineStr">
        <is>
          <t>Ưu tiên LEFT JOIN theo business key hoặc hashkey. Xem lại các chỗ dùng UNION ALL kết hợp EXISTS/NOT EXISTS — thường thay được bằng một LEFT JOIN. Join không có điều kiện bằng (=) dễ tạo tích Descartes.</t>
        </is>
      </c>
      <c r="J89" s="48" t="inlineStr">
        <is>
          <t>OCB_GOLD_TTDL_BPM_VOLUME_CTGD_THU 1.xlsx [Script: BPM_VOLUME_CTGD]</t>
        </is>
      </c>
    </row>
    <row r="90">
      <c r="A90" s="48" t="inlineStr">
        <is>
          <t>BPM_VOLUME_CTGD</t>
        </is>
      </c>
      <c r="B90" s="48" t="inlineStr">
        <is>
          <t>SILVER_CONSUMER</t>
        </is>
      </c>
      <c r="C90" s="48" t="inlineStr">
        <is>
          <t>2.12</t>
        </is>
      </c>
      <c r="D90" s="48" t="inlineStr">
        <is>
          <t>Nhom 2 - Logic</t>
        </is>
      </c>
      <c r="E90" s="48" t="inlineStr">
        <is>
          <t>Build Gold từ CTE snapshot Silver, không build nhiều tầng chồng chéo</t>
        </is>
      </c>
      <c r="F90" s="49" t="inlineStr">
        <is>
          <t>PASS</t>
        </is>
      </c>
      <c r="G90" s="48" t="inlineStr">
        <is>
          <t>Pass</t>
        </is>
      </c>
      <c r="H90" s="50" t="inlineStr">
        <is>
          <t>mỗi bảng nguồn chỉ đọc trong 1 khối SELECT</t>
        </is>
      </c>
      <c r="I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90" s="48" t="inlineStr">
        <is>
          <t>OCB_GOLD_TTDL_BPM_VOLUME_CTGD_THU 1.xlsx [Script: BPM_VOLUME_CTGD]</t>
        </is>
      </c>
    </row>
    <row r="91">
      <c r="A91" s="48" t="inlineStr">
        <is>
          <t>BPM_VOLUME_CTGD</t>
        </is>
      </c>
      <c r="B91" s="48" t="inlineStr">
        <is>
          <t>SILVER_CONSUMER</t>
        </is>
      </c>
      <c r="C91" s="48" t="inlineStr">
        <is>
          <t>3.1</t>
        </is>
      </c>
      <c r="D91" s="48" t="inlineStr">
        <is>
          <t>Nhom 3 - Optimization</t>
        </is>
      </c>
      <c r="E91" s="48" t="inlineStr">
        <is>
          <t>Không SELECT *</t>
        </is>
      </c>
      <c r="F91" s="49" t="inlineStr">
        <is>
          <t>PASS</t>
        </is>
      </c>
      <c r="G91" s="48" t="inlineStr">
        <is>
          <t>Pass</t>
        </is>
      </c>
      <c r="H91" s="50" t="inlineStr">
        <is>
          <t>không dùng SELECT * ở đâu</t>
        </is>
      </c>
      <c r="I91" s="50" t="inlineStr">
        <is>
          <t>Liệt kê tường minh các cột cần dùng, kể cả trong CTE trung gian. SELECT * làm tăng IO/memory và vỡ script khi bảng nguồn thêm cột.</t>
        </is>
      </c>
      <c r="J91" s="48" t="inlineStr">
        <is>
          <t>OCB_GOLD_TTDL_BPM_VOLUME_CTGD_THU 1.xlsx [Script: BPM_VOLUME_CTGD]</t>
        </is>
      </c>
    </row>
    <row r="92">
      <c r="A92" s="48" t="inlineStr">
        <is>
          <t>BPM_VOLUME_CTGD</t>
        </is>
      </c>
      <c r="B92" s="48" t="inlineStr">
        <is>
          <t>SILVER_CONSUMER</t>
        </is>
      </c>
      <c r="C92" s="48" t="inlineStr">
        <is>
          <t>3.2</t>
        </is>
      </c>
      <c r="D92" s="48" t="inlineStr">
        <is>
          <t>Nhom 3 - Optimization</t>
        </is>
      </c>
      <c r="E92" s="48" t="inlineStr">
        <is>
          <t>CTE không bị scan lại nhiều lần</t>
        </is>
      </c>
      <c r="F92" s="51" t="inlineStr">
        <is>
          <t>WARN</t>
        </is>
      </c>
      <c r="G92" s="48" t="inlineStr">
        <is>
          <t>WARN</t>
        </is>
      </c>
      <c r="H92" s="50" t="inlineStr">
        <is>
          <t>CTE bị tham chiếu lại nhiều lần: kh_hub x3, ref_dm x9</t>
        </is>
      </c>
      <c r="I92" s="50" t="inlineStr">
        <is>
          <t>Với CTE nặng (đọc nhiều bảng Silver) bị tham chiếu từ 2 chỗ trở lên: gom lại còn một lần dùng, hoặc vật chất hóa (CACHE / bảng tạm). CTE nhẹ chỉ chứa tham số thì bỏ qua được — tự tick Pass.</t>
        </is>
      </c>
      <c r="J92" s="48" t="inlineStr">
        <is>
          <t>OCB_GOLD_TTDL_BPM_VOLUME_CTGD_THU 1.xlsx [Script: BPM_VOLUME_CTGD]</t>
        </is>
      </c>
    </row>
    <row r="93">
      <c r="A93" s="48" t="inlineStr">
        <is>
          <t>BPM_VOLUME_CTGD</t>
        </is>
      </c>
      <c r="B93" s="48" t="inlineStr">
        <is>
          <t>SILVER_CONSUMER</t>
        </is>
      </c>
      <c r="C93" s="48" t="inlineStr">
        <is>
          <t>3.3</t>
        </is>
      </c>
      <c r="D93" s="48" t="inlineStr">
        <is>
          <t>Nhom 3 - Optimization</t>
        </is>
      </c>
      <c r="E93" s="48" t="inlineStr">
        <is>
          <t>Filter trước khi join, tận dụng partition pruning</t>
        </is>
      </c>
      <c r="F93" s="49" t="inlineStr">
        <is>
          <t>PASS</t>
        </is>
      </c>
      <c r="G93" s="48" t="inlineStr">
        <is>
          <t>Pass</t>
        </is>
      </c>
      <c r="H93" s="50" t="inlineStr">
        <is>
          <t>các bảng join đều được filter trước</t>
        </is>
      </c>
      <c r="I93" s="50" t="inlineStr">
        <is>
          <t>Đưa điều kiện lọc (ngày dữ liệu, trạng thái) vào subquery của từng bảng TRƯỚC khi join, để tận dụng partition pruning. Bảng dim nhỏ không partition thì không cần — tự tick Pass.</t>
        </is>
      </c>
      <c r="J93" s="48" t="inlineStr">
        <is>
          <t>OCB_GOLD_TTDL_BPM_VOLUME_CTGD_THU 1.xlsx [Script: BPM_VOLUME_CTGD]</t>
        </is>
      </c>
    </row>
    <row r="94">
      <c r="A94" s="48" t="inlineStr">
        <is>
          <t>BPM_VOLUME_CTGD</t>
        </is>
      </c>
      <c r="B94" s="48" t="inlineStr">
        <is>
          <t>SILVER_CONSUMER</t>
        </is>
      </c>
      <c r="C94" s="48" t="inlineStr">
        <is>
          <t>3.4</t>
        </is>
      </c>
      <c r="D94" s="48" t="inlineStr">
        <is>
          <t>Nhom 3 - Optimization</t>
        </is>
      </c>
      <c r="E94" s="48" t="inlineStr">
        <is>
          <t>Sử dụng CACHE cho query lặp lại trong cùng luồng</t>
        </is>
      </c>
      <c r="F94" s="51" t="inlineStr">
        <is>
          <t>WARN</t>
        </is>
      </c>
      <c r="G94" s="48" t="inlineStr">
        <is>
          <t>WARN</t>
        </is>
      </c>
      <c r="H94" s="50" t="inlineStr">
        <is>
          <t>2 CTE nặng dùng lại &gt;= 2 lần mà không có CACHE: kh_hub, ref_dm</t>
        </is>
      </c>
      <c r="I94" s="50" t="inlineStr">
        <is>
          <t>Nếu một kết quả nặng được dùng lại nhiều bước trong cùng luồng, thêm CACHE TABLE / CACHE SELECT. Kết quả nhỏ thì cache còn chậm hơn — tự tick Pass.</t>
        </is>
      </c>
      <c r="J94" s="48" t="inlineStr">
        <is>
          <t>OCB_GOLD_TTDL_BPM_VOLUME_CTGD_THU 1.xlsx [Script: BPM_VOLUME_CTGD]</t>
        </is>
      </c>
    </row>
    <row r="95">
      <c r="A95" s="48" t="inlineStr">
        <is>
          <t>BPM_VOLUME_CTGD</t>
        </is>
      </c>
      <c r="B95" s="48" t="inlineStr">
        <is>
          <t>SILVER_CONSUMER</t>
        </is>
      </c>
      <c r="C95" s="48" t="inlineStr">
        <is>
          <t>3.5</t>
        </is>
      </c>
      <c r="D95" s="48" t="inlineStr">
        <is>
          <t>Nhom 3 - Optimization</t>
        </is>
      </c>
      <c r="E95" s="48" t="inlineStr">
        <is>
          <t>Ưu tiên MAX_BY + QUALIFY thay ROW_NUMBER() + WHERE rn = 1</t>
        </is>
      </c>
      <c r="F95" s="48" t="inlineStr">
        <is>
          <t>N-A</t>
        </is>
      </c>
      <c r="G95" s="48" t="inlineStr">
        <is>
          <t>Pass</t>
        </is>
      </c>
      <c r="H95" s="50" t="inlineStr">
        <is>
          <t>script không dùng ROW_NUMBER, và MAX_BY (nếu có) không vượt quá 5 cột/khối</t>
        </is>
      </c>
      <c r="I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95" s="48" t="inlineStr">
        <is>
          <t>OCB_GOLD_TTDL_BPM_VOLUME_CTGD_THU 1.xlsx [Script: BPM_VOLUME_CTGD]</t>
        </is>
      </c>
    </row>
    <row r="96">
      <c r="A96" s="48" t="inlineStr">
        <is>
          <t>BPM_VOLUME_CTGD</t>
        </is>
      </c>
      <c r="B96" s="48" t="inlineStr">
        <is>
          <t>SILVER_CONSUMER</t>
        </is>
      </c>
      <c r="C96" s="48" t="inlineStr">
        <is>
          <t>3.6</t>
        </is>
      </c>
      <c r="D96" s="48" t="inlineStr">
        <is>
          <t>Nhom 3 - Optimization</t>
        </is>
      </c>
      <c r="E96" s="48" t="inlineStr">
        <is>
          <t>Không lạm dụng window function; có comment khi dùng</t>
        </is>
      </c>
      <c r="F96" s="48" t="inlineStr">
        <is>
          <t>N-A</t>
        </is>
      </c>
      <c r="G96" s="48" t="inlineStr">
        <is>
          <t>Pass</t>
        </is>
      </c>
      <c r="H96" s="50" t="inlineStr">
        <is>
          <t>script không dùng window function</t>
        </is>
      </c>
      <c r="I96" s="50" t="inlineStr">
        <is>
          <t>Mỗi window function cần một comment ngay trên khối CTE chứa nó, nói rõ vì sao không dùng được max_by/QUALIFY đơn giản hơn.</t>
        </is>
      </c>
      <c r="J96" s="48" t="inlineStr">
        <is>
          <t>OCB_GOLD_TTDL_BPM_VOLUME_CTGD_THU 1.xlsx [Script: BPM_VOLUME_CTGD]</t>
        </is>
      </c>
    </row>
    <row r="97">
      <c r="A97" s="48" t="inlineStr">
        <is>
          <t>BPM_VOLUME_CTGD</t>
        </is>
      </c>
      <c r="B97" s="48" t="inlineStr">
        <is>
          <t>SILVER_CONSUMER</t>
        </is>
      </c>
      <c r="C97" s="48" t="inlineStr">
        <is>
          <t>X.1</t>
        </is>
      </c>
      <c r="D97" s="48" t="inlineStr">
        <is>
          <t>Nhom X - Bo sung Raffles</t>
        </is>
      </c>
      <c r="E97" s="48" t="inlineStr">
        <is>
          <t>[Bổ sung] Link phải rút về current trước khi join (chống fan-out)</t>
        </is>
      </c>
      <c r="F97" s="49" t="inlineStr">
        <is>
          <t>PASS</t>
        </is>
      </c>
      <c r="G97" s="48" t="inlineStr">
        <is>
          <t>Pass</t>
        </is>
      </c>
      <c r="H97" s="50" t="inlineStr">
        <is>
          <t>các bảng link_* đều được rút về current trước khi join</t>
        </is>
      </c>
      <c r="I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97" s="48" t="inlineStr">
        <is>
          <t>OCB_GOLD_TTDL_BPM_VOLUME_CTGD_THU 1.xlsx [Script: BPM_VOLUME_CTGD]</t>
        </is>
      </c>
    </row>
    <row r="98">
      <c r="A98" s="48" t="inlineStr">
        <is>
          <t>BPM_VOLUME_CTGD</t>
        </is>
      </c>
      <c r="B98" s="48" t="inlineStr">
        <is>
          <t>SILVER_CONSUMER</t>
        </is>
      </c>
      <c r="C98" s="48" t="inlineStr">
        <is>
          <t>X.6</t>
        </is>
      </c>
      <c r="D98" s="48" t="inlineStr">
        <is>
          <t>Nhom X - Bo sung Raffles</t>
        </is>
      </c>
      <c r="E98" s="48" t="inlineStr">
        <is>
          <t>[Bổ sung] Satellite phải LEFT JOIN, không INNER JOIN</t>
        </is>
      </c>
      <c r="F98" s="49" t="inlineStr">
        <is>
          <t>PASS</t>
        </is>
      </c>
      <c r="G98" s="48" t="inlineStr">
        <is>
          <t>Pass</t>
        </is>
      </c>
      <c r="H98" s="50" t="inlineStr">
        <is>
          <t>các satellite đều LEFT JOIN</t>
        </is>
      </c>
      <c r="I98" s="50" t="inlineStr">
        <is>
          <t>Technical Document III.4.2.2 nguyên tắc 1: làm giàu thuộc tính luôn dùng LEFT JOIN. INNER JOIN satellite sẽ loại mất bản ghi Hub đang còn hiệu lực nhưng chưa có dòng satellite.</t>
        </is>
      </c>
      <c r="J98" s="48" t="inlineStr">
        <is>
          <t>OCB_GOLD_TTDL_BPM_VOLUME_CTGD_THU 1.xlsx [Script: BPM_VOLUME_CTGD]</t>
        </is>
      </c>
    </row>
    <row r="99">
      <c r="A99" s="48" t="inlineStr">
        <is>
          <t>BPM_VOLUME_CTGD</t>
        </is>
      </c>
      <c r="B99" s="48" t="inlineStr">
        <is>
          <t>SILVER_CONSUMER</t>
        </is>
      </c>
      <c r="C99" s="48" t="inlineStr">
        <is>
          <t>X.7</t>
        </is>
      </c>
      <c r="D99" s="48" t="inlineStr">
        <is>
          <t>Nhom X - Bo sung Raffles</t>
        </is>
      </c>
      <c r="E99" s="48" t="inlineStr">
        <is>
          <t>[Bổ sung] Không hard-code catalog, dùng biến môi trường</t>
        </is>
      </c>
      <c r="F99" s="49" t="inlineStr">
        <is>
          <t>PASS</t>
        </is>
      </c>
      <c r="G99" s="48" t="inlineStr">
        <is>
          <t>Pass</t>
        </is>
      </c>
      <c r="H99" s="50" t="inlineStr">
        <is>
          <t>dùng biến môi trường cho catalog</t>
        </is>
      </c>
      <c r="I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99" s="48" t="inlineStr">
        <is>
          <t>OCB_GOLD_TTDL_BPM_VOLUME_CTGD_THU 1.xlsx [Script: BPM_VOLUME_CTGD]</t>
        </is>
      </c>
    </row>
    <row r="100">
      <c r="A100" s="48" t="inlineStr">
        <is>
          <t>BPM_VOLUME_CTGD</t>
        </is>
      </c>
      <c r="B100" s="48" t="inlineStr">
        <is>
          <t>SILVER_CONSUMER</t>
        </is>
      </c>
      <c r="C100" s="48" t="inlineStr">
        <is>
          <t>X.10</t>
        </is>
      </c>
      <c r="D100" s="48" t="inlineStr">
        <is>
          <t>Nhom X - Bo sung Raffles</t>
        </is>
      </c>
      <c r="E100" s="48" t="inlineStr">
        <is>
          <t>Bang raw_vault/business_vault duoc doc phai TON TAI THAT trong Data Vault model</t>
        </is>
      </c>
      <c r="F100" s="49" t="inlineStr">
        <is>
          <t>PASS</t>
        </is>
      </c>
      <c r="G100" s="48" t="inlineStr">
        <is>
          <t>Pass</t>
        </is>
      </c>
      <c r="H100" s="50" t="inlineStr">
        <is>
          <t>14 bảng Silver đều có thật trong Data Vault model</t>
        </is>
      </c>
      <c r="I100" s="50" t="inlineStr"/>
      <c r="J100" s="48" t="inlineStr">
        <is>
          <t>OCB_GOLD_TTDL_BPM_VOLUME_CTGD_THU 1.xlsx [Script: BPM_VOLUME_CTGD]</t>
        </is>
      </c>
    </row>
    <row r="101">
      <c r="A101" s="48" t="inlineStr">
        <is>
          <t>BPM_VOLUME_CTGD</t>
        </is>
      </c>
      <c r="B101" s="48" t="inlineStr">
        <is>
          <t>SILVER_CONSUMER</t>
        </is>
      </c>
      <c r="C101" s="48" t="inlineStr">
        <is>
          <t>X.11</t>
        </is>
      </c>
      <c r="D101" s="48" t="inlineStr">
        <is>
          <t>Nhom X - Bo sung Raffles</t>
        </is>
      </c>
      <c r="E101" s="48" t="inlineStr">
        <is>
          <t>Cot doc tu satellite (sat_*) phai TON TAI THAT trong model</t>
        </is>
      </c>
      <c r="F101" s="49" t="inlineStr">
        <is>
          <t>PASS</t>
        </is>
      </c>
      <c r="G101" s="48" t="inlineStr">
        <is>
          <t>Pass</t>
        </is>
      </c>
      <c r="H101" s="50" t="inlineStr">
        <is>
          <t>mọi cột đọc từ sat_* đều tồn tại trong model thật</t>
        </is>
      </c>
      <c r="I101" s="50" t="inlineStr"/>
      <c r="J101" s="48" t="inlineStr">
        <is>
          <t>OCB_GOLD_TTDL_BPM_VOLUME_CTGD_THU 1.xlsx [Script: BPM_VOLUME_CTGD]</t>
        </is>
      </c>
    </row>
    <row r="102">
      <c r="A102" s="48" t="inlineStr">
        <is>
          <t>BPM_VOLUME_TDCN</t>
        </is>
      </c>
      <c r="B102" s="48" t="inlineStr">
        <is>
          <t>SILVER_CONSUMER</t>
        </is>
      </c>
      <c r="C102" s="48" t="inlineStr">
        <is>
          <t>1.1</t>
        </is>
      </c>
      <c r="D102" s="48" t="inlineStr">
        <is>
          <t>Nhom 1 - Mapping</t>
        </is>
      </c>
      <c r="E102" s="48" t="inlineStr">
        <is>
          <t>Đầy đủ mapping từ Silver/manual sang Gold</t>
        </is>
      </c>
      <c r="F102" s="49" t="inlineStr">
        <is>
          <t>PASS</t>
        </is>
      </c>
      <c r="G102" s="48" t="inlineStr">
        <is>
          <t>Pass</t>
        </is>
      </c>
      <c r="H102" s="50" t="inlineStr">
        <is>
          <t>workbook OCB_GOLD_TTDL_BPM_VOLUME_TDCN_THU 1.xlsx: thiết kế 24 field, SQL có 24 cột</t>
        </is>
      </c>
      <c r="I1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02" s="48" t="inlineStr">
        <is>
          <t>OCB_GOLD_TTDL_BPM_VOLUME_TDCN_THU 1.xlsx [Script: BPM_VOLUME_TDCN]</t>
        </is>
      </c>
    </row>
    <row r="103">
      <c r="A103" s="48" t="inlineStr">
        <is>
          <t>BPM_VOLUME_TDCN</t>
        </is>
      </c>
      <c r="B103" s="48" t="inlineStr">
        <is>
          <t>SILVER_CONSUMER</t>
        </is>
      </c>
      <c r="C103" s="48" t="inlineStr">
        <is>
          <t>1.2</t>
        </is>
      </c>
      <c r="D103" s="48" t="inlineStr">
        <is>
          <t>Nhom 1 - Mapping</t>
        </is>
      </c>
      <c r="E103" s="48" t="inlineStr">
        <is>
          <t>Danh sách bảng/view Gold khớp tài liệu thiết kế đã duyệt</t>
        </is>
      </c>
      <c r="F103" s="49" t="inlineStr">
        <is>
          <t>PASS</t>
        </is>
      </c>
      <c r="G103" s="48" t="inlineStr">
        <is>
          <t>Pass</t>
        </is>
      </c>
      <c r="H103" s="50" t="inlineStr">
        <is>
          <t>BPM_VOLUME_TDCN có workbook thiết kế: OCB_GOLD_TTDL_BPM_VOLUME_TDCN_THU 1.xlsx</t>
        </is>
      </c>
      <c r="I103" s="50" t="inlineStr">
        <is>
          <t>Đảm bảo object có workbook thiết kế tương ứng trong thư mục --mapping-dir. Muốn đối chiếu với danh sách đã duyệt thì chạy thêm tham số --gold-list "&lt;file danh sách Gold&gt;.xlsx".</t>
        </is>
      </c>
      <c r="J103" s="48" t="inlineStr">
        <is>
          <t>OCB_GOLD_TTDL_BPM_VOLUME_TDCN_THU 1.xlsx [Script: BPM_VOLUME_TDCN]</t>
        </is>
      </c>
    </row>
    <row r="104">
      <c r="A104" s="48" t="inlineStr">
        <is>
          <t>BPM_VOLUME_TDCN</t>
        </is>
      </c>
      <c r="B104" s="48" t="inlineStr">
        <is>
          <t>SILVER_CONSUMER</t>
        </is>
      </c>
      <c r="C104" s="48" t="inlineStr">
        <is>
          <t>2.1</t>
        </is>
      </c>
      <c r="D104" s="48" t="inlineStr">
        <is>
          <t>Nhom 2 - Logic</t>
        </is>
      </c>
      <c r="E104" s="48" t="inlineStr">
        <is>
          <t>Chỉ lấy bản ghi active, loại bản ghi đã xóa (qua sts_hub)</t>
        </is>
      </c>
      <c r="F104" s="49" t="inlineStr">
        <is>
          <t>PASS</t>
        </is>
      </c>
      <c r="G104" s="48" t="inlineStr">
        <is>
          <t>Pass</t>
        </is>
      </c>
      <c r="H104" s="50" t="inlineStr">
        <is>
          <t>không dùng sts_hub_* (không có yêu cầu nghiệp vụ giữ bản ghi đã xóa)</t>
        </is>
      </c>
      <c r="I1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04" s="48" t="inlineStr">
        <is>
          <t>OCB_GOLD_TTDL_BPM_VOLUME_TDCN_THU 1.xlsx [Script: BPM_VOLUME_TDCN]</t>
        </is>
      </c>
    </row>
    <row r="105">
      <c r="A105" s="48" t="inlineStr">
        <is>
          <t>BPM_VOLUME_TDCN</t>
        </is>
      </c>
      <c r="B105" s="48" t="inlineStr">
        <is>
          <t>SILVER_CONSUMER</t>
        </is>
      </c>
      <c r="C105" s="48" t="inlineStr">
        <is>
          <t>2.2</t>
        </is>
      </c>
      <c r="D105" s="48" t="inlineStr">
        <is>
          <t>Nhom 2 - Logic</t>
        </is>
      </c>
      <c r="E105" s="48" t="inlineStr">
        <is>
          <t>Thống nhất MỘT pattern duy nhất xác định bản ghi active mới nhất</t>
        </is>
      </c>
      <c r="F105" s="49" t="inlineStr">
        <is>
          <t>PASS</t>
        </is>
      </c>
      <c r="G105" s="48" t="inlineStr">
        <is>
          <t>Pass</t>
        </is>
      </c>
      <c r="H105" s="50" t="inlineStr">
        <is>
          <t>file này dùng: ['MAX_BY']; toàn batch dùng: ['MAX_BY']</t>
        </is>
      </c>
      <c r="I1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05" s="48" t="inlineStr">
        <is>
          <t>OCB_GOLD_TTDL_BPM_VOLUME_TDCN_THU 1.xlsx [Script: BPM_VOLUME_TDCN]</t>
        </is>
      </c>
    </row>
    <row r="106">
      <c r="A106" s="48" t="inlineStr">
        <is>
          <t>BPM_VOLUME_TDCN</t>
        </is>
      </c>
      <c r="B106" s="48" t="inlineStr">
        <is>
          <t>SILVER_CONSUMER</t>
        </is>
      </c>
      <c r="C106" s="48" t="inlineStr">
        <is>
          <t>2.3</t>
        </is>
      </c>
      <c r="D106" s="48" t="inlineStr">
        <is>
          <t>Nhom 2 - Logic</t>
        </is>
      </c>
      <c r="E106" s="48" t="inlineStr">
        <is>
          <t>Điều kiện lọc trạng thái đặt SAU khi xác định bản ghi mới nhất</t>
        </is>
      </c>
      <c r="F106" s="49" t="inlineStr">
        <is>
          <t>PASS</t>
        </is>
      </c>
      <c r="G106" s="48" t="inlineStr">
        <is>
          <t>Pass</t>
        </is>
      </c>
      <c r="H106" s="50" t="inlineStr">
        <is>
          <t>không có điều kiện trạng thái nào lồng trong JOIN ON</t>
        </is>
      </c>
      <c r="I1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06" s="48" t="inlineStr">
        <is>
          <t>OCB_GOLD_TTDL_BPM_VOLUME_TDCN_THU 1.xlsx [Script: BPM_VOLUME_TDCN]</t>
        </is>
      </c>
    </row>
    <row r="107">
      <c r="A107" s="48" t="inlineStr">
        <is>
          <t>BPM_VOLUME_TDCN</t>
        </is>
      </c>
      <c r="B107" s="48" t="inlineStr">
        <is>
          <t>SILVER_CONSUMER</t>
        </is>
      </c>
      <c r="C107" s="48" t="inlineStr">
        <is>
          <t>2.4</t>
        </is>
      </c>
      <c r="D107" s="48" t="inlineStr">
        <is>
          <t>Nhom 2 - Logic</t>
        </is>
      </c>
      <c r="E107" s="48" t="inlineStr">
        <is>
          <t>source_event_date áp dụng đúng dạng theo loại bảng</t>
        </is>
      </c>
      <c r="F107" s="52" t="inlineStr">
        <is>
          <t>FAIL</t>
        </is>
      </c>
      <c r="G107" s="48" t="inlineStr">
        <is>
          <t>Fail</t>
        </is>
      </c>
      <c r="H107" s="50" t="inlineStr">
        <is>
          <t>sat_giao_dich_thong_tin_chung (dong 43): là bảng transaction nên phải dùng source_event_date = :DATADT, đang dùng &lt;=; sat_giao_dich_tdcn_thong_tin_chung (dong 50): là bảng transaction nên phải dùng source_event_date = :DATADT, đang dùng &lt;=; sat_giao_dich_tdcn_tai_san_bao_dam (dong 102): là bảng transaction nên phải dùng source_event_date = :DATADT, đang dùng &lt;=</t>
        </is>
      </c>
      <c r="I1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07" s="48" t="inlineStr">
        <is>
          <t>OCB_GOLD_TTDL_BPM_VOLUME_TDCN_THU 1.xlsx [Script: BPM_VOLUME_TDCN]</t>
        </is>
      </c>
    </row>
    <row r="108">
      <c r="A108" s="48" t="inlineStr">
        <is>
          <t>BPM_VOLUME_TDCN</t>
        </is>
      </c>
      <c r="B108" s="48" t="inlineStr">
        <is>
          <t>SILVER_CONSUMER</t>
        </is>
      </c>
      <c r="C108" s="48" t="inlineStr">
        <is>
          <t>2.5</t>
        </is>
      </c>
      <c r="D108" s="48" t="inlineStr">
        <is>
          <t>Nhom 2 - Logic</t>
        </is>
      </c>
      <c r="E108" s="48" t="inlineStr">
        <is>
          <t>Không lặp lại lỗi logic cũ đã được DA Data Vault fix</t>
        </is>
      </c>
      <c r="F108" s="49" t="inlineStr">
        <is>
          <t>PASS</t>
        </is>
      </c>
      <c r="G108" s="48" t="inlineStr">
        <is>
          <t>Pass</t>
        </is>
      </c>
      <c r="H108" s="50" t="inlineStr">
        <is>
          <t>không trùng lỗi nào trong Issue log của DA Data Vault</t>
        </is>
      </c>
      <c r="I1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08" s="48" t="inlineStr">
        <is>
          <t>OCB_GOLD_TTDL_BPM_VOLUME_TDCN_THU 1.xlsx [Script: BPM_VOLUME_TDCN]</t>
        </is>
      </c>
    </row>
    <row r="109">
      <c r="A109" s="48" t="inlineStr">
        <is>
          <t>BPM_VOLUME_TDCN</t>
        </is>
      </c>
      <c r="B109" s="48" t="inlineStr">
        <is>
          <t>SILVER_CONSUMER</t>
        </is>
      </c>
      <c r="C109" s="48" t="inlineStr">
        <is>
          <t>2.6</t>
        </is>
      </c>
      <c r="D109" s="48" t="inlineStr">
        <is>
          <t>Nhom 2 - Logic</t>
        </is>
      </c>
      <c r="E109" s="48" t="inlineStr">
        <is>
          <t>SCD Type 2 cho bảng DIM áp dụng đúng kỹ thuật đã thống nhất</t>
        </is>
      </c>
      <c r="F109" s="48" t="inlineStr">
        <is>
          <t>N-A</t>
        </is>
      </c>
      <c r="G109" s="48" t="inlineStr">
        <is>
          <t>Pass</t>
        </is>
      </c>
      <c r="H109" s="50" t="inlineStr">
        <is>
          <t>object không phải bảng DIM nên không áp dụng SCD Type 2</t>
        </is>
      </c>
      <c r="I1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09" s="48" t="inlineStr">
        <is>
          <t>OCB_GOLD_TTDL_BPM_VOLUME_TDCN_THU 1.xlsx [Script: BPM_VOLUME_TDCN]</t>
        </is>
      </c>
    </row>
    <row r="110">
      <c r="A110" s="48" t="inlineStr">
        <is>
          <t>BPM_VOLUME_TDCN</t>
        </is>
      </c>
      <c r="B110" s="48" t="inlineStr">
        <is>
          <t>SILVER_CONSUMER</t>
        </is>
      </c>
      <c r="C110" s="48" t="inlineStr">
        <is>
          <t>2.7</t>
        </is>
      </c>
      <c r="D110" s="48" t="inlineStr">
        <is>
          <t>Nhom 2 - Logic</t>
        </is>
      </c>
      <c r="E110" s="48" t="inlineStr">
        <is>
          <t>CASE WHEN cover đủ nhánh như job on-prem</t>
        </is>
      </c>
      <c r="F110" s="49" t="inlineStr">
        <is>
          <t>PASS</t>
        </is>
      </c>
      <c r="G110" s="48" t="inlineStr">
        <is>
          <t>Pass</t>
        </is>
      </c>
      <c r="H110" s="50" t="inlineStr">
        <is>
          <t>cả 8 CASE đều có nhánh ELSE</t>
        </is>
      </c>
      <c r="I110" s="50" t="inlineStr">
        <is>
          <t>Mở job on-prem tương ứng (DataStage DSX hoặc SQL cũ), đối chiếu từng nhánh WHEN và cả nhánh ELSE. CASE không có ELSE sẽ trả NULL âm thầm — xác nhận đó là ý muốn hay thiếu nhánh.</t>
        </is>
      </c>
      <c r="J110" s="48" t="inlineStr">
        <is>
          <t>OCB_GOLD_TTDL_BPM_VOLUME_TDCN_THU 1.xlsx [Script: BPM_VOLUME_TDCN]</t>
        </is>
      </c>
    </row>
    <row r="111">
      <c r="A111" s="48" t="inlineStr">
        <is>
          <t>BPM_VOLUME_TDCN</t>
        </is>
      </c>
      <c r="B111" s="48" t="inlineStr">
        <is>
          <t>SILVER_CONSUMER</t>
        </is>
      </c>
      <c r="C111" s="48" t="inlineStr">
        <is>
          <t>2.8</t>
        </is>
      </c>
      <c r="D111" s="48" t="inlineStr">
        <is>
          <t>Nhom 2 - Logic</t>
        </is>
      </c>
      <c r="E111" s="48" t="inlineStr">
        <is>
          <t>Cột SUM/COUNT được COALESCE/NVL hợp lý</t>
        </is>
      </c>
      <c r="F111" s="49" t="inlineStr">
        <is>
          <t>PASS</t>
        </is>
      </c>
      <c r="G111" s="48" t="inlineStr">
        <is>
          <t>Pass</t>
        </is>
      </c>
      <c r="H111" s="50" t="inlineStr">
        <is>
          <t>mọi SUM/COUNT đều đã coalesce (trực tiếp hoặc ở lớp ngoài)</t>
        </is>
      </c>
      <c r="I1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11" s="48" t="inlineStr">
        <is>
          <t>OCB_GOLD_TTDL_BPM_VOLUME_TDCN_THU 1.xlsx [Script: BPM_VOLUME_TDCN]</t>
        </is>
      </c>
    </row>
    <row r="112">
      <c r="A112" s="48" t="inlineStr">
        <is>
          <t>BPM_VOLUME_TDCN</t>
        </is>
      </c>
      <c r="B112" s="48" t="inlineStr">
        <is>
          <t>SILVER_CONSUMER</t>
        </is>
      </c>
      <c r="C112" s="48" t="inlineStr">
        <is>
          <t>2.9</t>
        </is>
      </c>
      <c r="D112" s="48" t="inlineStr">
        <is>
          <t>Nhom 2 - Logic</t>
        </is>
      </c>
      <c r="E112" s="48" t="inlineStr">
        <is>
          <t>Subquery / custom function / điều kiện LIKE đúng ý nghĩa nghiệp vụ</t>
        </is>
      </c>
      <c r="F112" s="48" t="inlineStr">
        <is>
          <t>N-A</t>
        </is>
      </c>
      <c r="G112" s="48" t="inlineStr">
        <is>
          <t>Pass</t>
        </is>
      </c>
      <c r="H112" s="50" t="inlineStr">
        <is>
          <t>script không có điều kiện LIKE hay scalar subquery nào</t>
        </is>
      </c>
      <c r="I112" s="50" t="inlineStr">
        <is>
          <t>Đọc lại từng điều kiện LIKE và từng subquery, đối chiếu ý nghĩa nghiệp vụ với on-prem — đúng cú pháp không đủ. Chú ý pattern LIKE có ký tự % ở đầu/cuối và phân biệt chữ hoa/thường.</t>
        </is>
      </c>
      <c r="J112" s="48" t="inlineStr">
        <is>
          <t>OCB_GOLD_TTDL_BPM_VOLUME_TDCN_THU 1.xlsx [Script: BPM_VOLUME_TDCN]</t>
        </is>
      </c>
    </row>
    <row r="113">
      <c r="A113" s="48" t="inlineStr">
        <is>
          <t>BPM_VOLUME_TDCN</t>
        </is>
      </c>
      <c r="B113" s="48" t="inlineStr">
        <is>
          <t>SILVER_CONSUMER</t>
        </is>
      </c>
      <c r="C113" s="48" t="inlineStr">
        <is>
          <t>2.10</t>
        </is>
      </c>
      <c r="D113" s="48" t="inlineStr">
        <is>
          <t>Nhom 2 - Logic</t>
        </is>
      </c>
      <c r="E113" s="48" t="inlineStr">
        <is>
          <t>Aggregation kèm filter date range chính xác</t>
        </is>
      </c>
      <c r="F113" s="49" t="inlineStr">
        <is>
          <t>PASS</t>
        </is>
      </c>
      <c r="G113" s="48" t="inlineStr">
        <is>
          <t>Pass</t>
        </is>
      </c>
      <c r="H113" s="50" t="inlineStr">
        <is>
          <t>mọi khối tổng hợp đều có điều kiện theo kỳ dữ liệu</t>
        </is>
      </c>
      <c r="I113" s="50" t="inlineStr">
        <is>
          <t>Mỗi khối SUM/COUNT/AVG phải có điều kiện lọc theo kỳ dữ liệu (CDR_DT_ID, DATA_DATE, :DATADT…). Nếu điều kiện nằm ở CTE nguồn thì ghi rõ trong comment để người review không phải truy ngược.</t>
        </is>
      </c>
      <c r="J113" s="48" t="inlineStr">
        <is>
          <t>OCB_GOLD_TTDL_BPM_VOLUME_TDCN_THU 1.xlsx [Script: BPM_VOLUME_TDCN]</t>
        </is>
      </c>
    </row>
    <row r="114">
      <c r="A114" s="48" t="inlineStr">
        <is>
          <t>BPM_VOLUME_TDCN</t>
        </is>
      </c>
      <c r="B114" s="48" t="inlineStr">
        <is>
          <t>SILVER_CONSUMER</t>
        </is>
      </c>
      <c r="C114" s="48" t="inlineStr">
        <is>
          <t>2.11</t>
        </is>
      </c>
      <c r="D114" s="48" t="inlineStr">
        <is>
          <t>Nhom 2 - Logic</t>
        </is>
      </c>
      <c r="E114" s="48" t="inlineStr">
        <is>
          <t>Join dùng key hợp lý, không lạm dụng UNION ALL + EXISTS/NOT EXISTS</t>
        </is>
      </c>
      <c r="F114" s="49" t="inlineStr">
        <is>
          <t>PASS</t>
        </is>
      </c>
      <c r="G114" s="48" t="inlineStr">
        <is>
          <t>Pass</t>
        </is>
      </c>
      <c r="H114" s="50" t="inlineStr">
        <is>
          <t>join đều theo điều kiện bằng, không lạm dụng UNION ALL + EXISTS</t>
        </is>
      </c>
      <c r="I114" s="50" t="inlineStr">
        <is>
          <t>Ưu tiên LEFT JOIN theo business key hoặc hashkey. Xem lại các chỗ dùng UNION ALL kết hợp EXISTS/NOT EXISTS — thường thay được bằng một LEFT JOIN. Join không có điều kiện bằng (=) dễ tạo tích Descartes.</t>
        </is>
      </c>
      <c r="J114" s="48" t="inlineStr">
        <is>
          <t>OCB_GOLD_TTDL_BPM_VOLUME_TDCN_THU 1.xlsx [Script: BPM_VOLUME_TDCN]</t>
        </is>
      </c>
    </row>
    <row r="115">
      <c r="A115" s="48" t="inlineStr">
        <is>
          <t>BPM_VOLUME_TDCN</t>
        </is>
      </c>
      <c r="B115" s="48" t="inlineStr">
        <is>
          <t>SILVER_CONSUMER</t>
        </is>
      </c>
      <c r="C115" s="48" t="inlineStr">
        <is>
          <t>2.12</t>
        </is>
      </c>
      <c r="D115" s="48" t="inlineStr">
        <is>
          <t>Nhom 2 - Logic</t>
        </is>
      </c>
      <c r="E115" s="48" t="inlineStr">
        <is>
          <t>Build Gold từ CTE snapshot Silver, không build nhiều tầng chồng chéo</t>
        </is>
      </c>
      <c r="F115" s="49" t="inlineStr">
        <is>
          <t>PASS</t>
        </is>
      </c>
      <c r="G115" s="48" t="inlineStr">
        <is>
          <t>Pass</t>
        </is>
      </c>
      <c r="H115" s="50" t="inlineStr">
        <is>
          <t>mỗi bảng nguồn chỉ đọc trong 1 khối SELECT</t>
        </is>
      </c>
      <c r="I1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15" s="48" t="inlineStr">
        <is>
          <t>OCB_GOLD_TTDL_BPM_VOLUME_TDCN_THU 1.xlsx [Script: BPM_VOLUME_TDCN]</t>
        </is>
      </c>
    </row>
    <row r="116">
      <c r="A116" s="48" t="inlineStr">
        <is>
          <t>BPM_VOLUME_TDCN</t>
        </is>
      </c>
      <c r="B116" s="48" t="inlineStr">
        <is>
          <t>SILVER_CONSUMER</t>
        </is>
      </c>
      <c r="C116" s="48" t="inlineStr">
        <is>
          <t>3.1</t>
        </is>
      </c>
      <c r="D116" s="48" t="inlineStr">
        <is>
          <t>Nhom 3 - Optimization</t>
        </is>
      </c>
      <c r="E116" s="48" t="inlineStr">
        <is>
          <t>Không SELECT *</t>
        </is>
      </c>
      <c r="F116" s="49" t="inlineStr">
        <is>
          <t>PASS</t>
        </is>
      </c>
      <c r="G116" s="48" t="inlineStr">
        <is>
          <t>Pass</t>
        </is>
      </c>
      <c r="H116" s="50" t="inlineStr">
        <is>
          <t>không dùng SELECT * ở đâu</t>
        </is>
      </c>
      <c r="I116" s="50" t="inlineStr">
        <is>
          <t>Liệt kê tường minh các cột cần dùng, kể cả trong CTE trung gian. SELECT * làm tăng IO/memory và vỡ script khi bảng nguồn thêm cột.</t>
        </is>
      </c>
      <c r="J116" s="48" t="inlineStr">
        <is>
          <t>OCB_GOLD_TTDL_BPM_VOLUME_TDCN_THU 1.xlsx [Script: BPM_VOLUME_TDCN]</t>
        </is>
      </c>
    </row>
    <row r="117">
      <c r="A117" s="48" t="inlineStr">
        <is>
          <t>BPM_VOLUME_TDCN</t>
        </is>
      </c>
      <c r="B117" s="48" t="inlineStr">
        <is>
          <t>SILVER_CONSUMER</t>
        </is>
      </c>
      <c r="C117" s="48" t="inlineStr">
        <is>
          <t>3.2</t>
        </is>
      </c>
      <c r="D117" s="48" t="inlineStr">
        <is>
          <t>Nhom 3 - Optimization</t>
        </is>
      </c>
      <c r="E117" s="48" t="inlineStr">
        <is>
          <t>CTE không bị scan lại nhiều lần</t>
        </is>
      </c>
      <c r="F117" s="51" t="inlineStr">
        <is>
          <t>WARN</t>
        </is>
      </c>
      <c r="G117" s="48" t="inlineStr">
        <is>
          <t>WARN</t>
        </is>
      </c>
      <c r="H117" s="50" t="inlineStr">
        <is>
          <t>CTE bị tham chiếu lại nhiều lần: sat_gd_tsbd x2, ref_dm x4</t>
        </is>
      </c>
      <c r="I117" s="50" t="inlineStr">
        <is>
          <t>Với CTE nặng (đọc nhiều bảng Silver) bị tham chiếu từ 2 chỗ trở lên: gom lại còn một lần dùng, hoặc vật chất hóa (CACHE / bảng tạm). CTE nhẹ chỉ chứa tham số thì bỏ qua được — tự tick Pass.</t>
        </is>
      </c>
      <c r="J117" s="48" t="inlineStr">
        <is>
          <t>OCB_GOLD_TTDL_BPM_VOLUME_TDCN_THU 1.xlsx [Script: BPM_VOLUME_TDCN]</t>
        </is>
      </c>
    </row>
    <row r="118">
      <c r="A118" s="48" t="inlineStr">
        <is>
          <t>BPM_VOLUME_TDCN</t>
        </is>
      </c>
      <c r="B118" s="48" t="inlineStr">
        <is>
          <t>SILVER_CONSUMER</t>
        </is>
      </c>
      <c r="C118" s="48" t="inlineStr">
        <is>
          <t>3.3</t>
        </is>
      </c>
      <c r="D118" s="48" t="inlineStr">
        <is>
          <t>Nhom 3 - Optimization</t>
        </is>
      </c>
      <c r="E118" s="48" t="inlineStr">
        <is>
          <t>Filter trước khi join, tận dụng partition pruning</t>
        </is>
      </c>
      <c r="F118" s="49" t="inlineStr">
        <is>
          <t>PASS</t>
        </is>
      </c>
      <c r="G118" s="48" t="inlineStr">
        <is>
          <t>Pass</t>
        </is>
      </c>
      <c r="H118" s="50" t="inlineStr">
        <is>
          <t>các bảng join đều được filter trước</t>
        </is>
      </c>
      <c r="I118" s="50" t="inlineStr">
        <is>
          <t>Đưa điều kiện lọc (ngày dữ liệu, trạng thái) vào subquery của từng bảng TRƯỚC khi join, để tận dụng partition pruning. Bảng dim nhỏ không partition thì không cần — tự tick Pass.</t>
        </is>
      </c>
      <c r="J118" s="48" t="inlineStr">
        <is>
          <t>OCB_GOLD_TTDL_BPM_VOLUME_TDCN_THU 1.xlsx [Script: BPM_VOLUME_TDCN]</t>
        </is>
      </c>
    </row>
    <row r="119">
      <c r="A119" s="48" t="inlineStr">
        <is>
          <t>BPM_VOLUME_TDCN</t>
        </is>
      </c>
      <c r="B119" s="48" t="inlineStr">
        <is>
          <t>SILVER_CONSUMER</t>
        </is>
      </c>
      <c r="C119" s="48" t="inlineStr">
        <is>
          <t>3.4</t>
        </is>
      </c>
      <c r="D119" s="48" t="inlineStr">
        <is>
          <t>Nhom 3 - Optimization</t>
        </is>
      </c>
      <c r="E119" s="48" t="inlineStr">
        <is>
          <t>Sử dụng CACHE cho query lặp lại trong cùng luồng</t>
        </is>
      </c>
      <c r="F119" s="51" t="inlineStr">
        <is>
          <t>WARN</t>
        </is>
      </c>
      <c r="G119" s="48" t="inlineStr">
        <is>
          <t>WARN</t>
        </is>
      </c>
      <c r="H119" s="50" t="inlineStr">
        <is>
          <t>2 CTE nặng dùng lại &gt;= 2 lần mà không có CACHE: ref_dm, sat_gd_tsbd</t>
        </is>
      </c>
      <c r="I119" s="50" t="inlineStr">
        <is>
          <t>Nếu một kết quả nặng được dùng lại nhiều bước trong cùng luồng, thêm CACHE TABLE / CACHE SELECT. Kết quả nhỏ thì cache còn chậm hơn — tự tick Pass.</t>
        </is>
      </c>
      <c r="J119" s="48" t="inlineStr">
        <is>
          <t>OCB_GOLD_TTDL_BPM_VOLUME_TDCN_THU 1.xlsx [Script: BPM_VOLUME_TDCN]</t>
        </is>
      </c>
    </row>
    <row r="120">
      <c r="A120" s="48" t="inlineStr">
        <is>
          <t>BPM_VOLUME_TDCN</t>
        </is>
      </c>
      <c r="B120" s="48" t="inlineStr">
        <is>
          <t>SILVER_CONSUMER</t>
        </is>
      </c>
      <c r="C120" s="48" t="inlineStr">
        <is>
          <t>3.5</t>
        </is>
      </c>
      <c r="D120" s="48" t="inlineStr">
        <is>
          <t>Nhom 3 - Optimization</t>
        </is>
      </c>
      <c r="E120" s="48" t="inlineStr">
        <is>
          <t>Ưu tiên MAX_BY + QUALIFY thay ROW_NUMBER() + WHERE rn = 1</t>
        </is>
      </c>
      <c r="F120" s="51" t="inlineStr">
        <is>
          <t>WARN</t>
        </is>
      </c>
      <c r="G120" s="48" t="inlineStr">
        <is>
          <t>WARN</t>
        </is>
      </c>
      <c r="H120" s="50" t="inlineStr">
        <is>
          <t>2 khối dùng MAX_BY độc lập cho &gt;5 cột (dòng 25, [10, 7]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1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20" s="48" t="inlineStr">
        <is>
          <t>OCB_GOLD_TTDL_BPM_VOLUME_TDCN_THU 1.xlsx [Script: BPM_VOLUME_TDCN]</t>
        </is>
      </c>
    </row>
    <row r="121">
      <c r="A121" s="48" t="inlineStr">
        <is>
          <t>BPM_VOLUME_TDCN</t>
        </is>
      </c>
      <c r="B121" s="48" t="inlineStr">
        <is>
          <t>SILVER_CONSUMER</t>
        </is>
      </c>
      <c r="C121" s="48" t="inlineStr">
        <is>
          <t>3.6</t>
        </is>
      </c>
      <c r="D121" s="48" t="inlineStr">
        <is>
          <t>Nhom 3 - Optimization</t>
        </is>
      </c>
      <c r="E121" s="48" t="inlineStr">
        <is>
          <t>Không lạm dụng window function; có comment khi dùng</t>
        </is>
      </c>
      <c r="F121" s="48" t="inlineStr">
        <is>
          <t>N-A</t>
        </is>
      </c>
      <c r="G121" s="48" t="inlineStr">
        <is>
          <t>Pass</t>
        </is>
      </c>
      <c r="H121" s="50" t="inlineStr">
        <is>
          <t>script không dùng window function</t>
        </is>
      </c>
      <c r="I121" s="50" t="inlineStr">
        <is>
          <t>Mỗi window function cần một comment ngay trên khối CTE chứa nó, nói rõ vì sao không dùng được max_by/QUALIFY đơn giản hơn.</t>
        </is>
      </c>
      <c r="J121" s="48" t="inlineStr">
        <is>
          <t>OCB_GOLD_TTDL_BPM_VOLUME_TDCN_THU 1.xlsx [Script: BPM_VOLUME_TDCN]</t>
        </is>
      </c>
    </row>
    <row r="122">
      <c r="A122" s="48" t="inlineStr">
        <is>
          <t>BPM_VOLUME_TDCN</t>
        </is>
      </c>
      <c r="B122" s="48" t="inlineStr">
        <is>
          <t>SILVER_CONSUMER</t>
        </is>
      </c>
      <c r="C122" s="48" t="inlineStr">
        <is>
          <t>X.1</t>
        </is>
      </c>
      <c r="D122" s="48" t="inlineStr">
        <is>
          <t>Nhom X - Bo sung Raffles</t>
        </is>
      </c>
      <c r="E122" s="48" t="inlineStr">
        <is>
          <t>[Bổ sung] Link phải rút về current trước khi join (chống fan-out)</t>
        </is>
      </c>
      <c r="F122" s="49" t="inlineStr">
        <is>
          <t>PASS</t>
        </is>
      </c>
      <c r="G122" s="48" t="inlineStr">
        <is>
          <t>Pass</t>
        </is>
      </c>
      <c r="H122" s="50" t="inlineStr">
        <is>
          <t>các bảng link_* đều được rút về current trước khi join</t>
        </is>
      </c>
      <c r="I1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22" s="48" t="inlineStr">
        <is>
          <t>OCB_GOLD_TTDL_BPM_VOLUME_TDCN_THU 1.xlsx [Script: BPM_VOLUME_TDCN]</t>
        </is>
      </c>
    </row>
    <row r="123">
      <c r="A123" s="48" t="inlineStr">
        <is>
          <t>BPM_VOLUME_TDCN</t>
        </is>
      </c>
      <c r="B123" s="48" t="inlineStr">
        <is>
          <t>SILVER_CONSUMER</t>
        </is>
      </c>
      <c r="C123" s="48" t="inlineStr">
        <is>
          <t>X.6</t>
        </is>
      </c>
      <c r="D123" s="48" t="inlineStr">
        <is>
          <t>Nhom X - Bo sung Raffles</t>
        </is>
      </c>
      <c r="E123" s="48" t="inlineStr">
        <is>
          <t>[Bổ sung] Satellite phải LEFT JOIN, không INNER JOIN</t>
        </is>
      </c>
      <c r="F123" s="49" t="inlineStr">
        <is>
          <t>PASS</t>
        </is>
      </c>
      <c r="G123" s="48" t="inlineStr">
        <is>
          <t>Pass</t>
        </is>
      </c>
      <c r="H123" s="50" t="inlineStr">
        <is>
          <t>các satellite đều LEFT JOIN</t>
        </is>
      </c>
      <c r="I123" s="50" t="inlineStr">
        <is>
          <t>Technical Document III.4.2.2 nguyên tắc 1: làm giàu thuộc tính luôn dùng LEFT JOIN. INNER JOIN satellite sẽ loại mất bản ghi Hub đang còn hiệu lực nhưng chưa có dòng satellite.</t>
        </is>
      </c>
      <c r="J123" s="48" t="inlineStr">
        <is>
          <t>OCB_GOLD_TTDL_BPM_VOLUME_TDCN_THU 1.xlsx [Script: BPM_VOLUME_TDCN]</t>
        </is>
      </c>
    </row>
    <row r="124">
      <c r="A124" s="48" t="inlineStr">
        <is>
          <t>BPM_VOLUME_TDCN</t>
        </is>
      </c>
      <c r="B124" s="48" t="inlineStr">
        <is>
          <t>SILVER_CONSUMER</t>
        </is>
      </c>
      <c r="C124" s="48" t="inlineStr">
        <is>
          <t>X.7</t>
        </is>
      </c>
      <c r="D124" s="48" t="inlineStr">
        <is>
          <t>Nhom X - Bo sung Raffles</t>
        </is>
      </c>
      <c r="E124" s="48" t="inlineStr">
        <is>
          <t>[Bổ sung] Không hard-code catalog, dùng biến môi trường</t>
        </is>
      </c>
      <c r="F124" s="49" t="inlineStr">
        <is>
          <t>PASS</t>
        </is>
      </c>
      <c r="G124" s="48" t="inlineStr">
        <is>
          <t>Pass</t>
        </is>
      </c>
      <c r="H124" s="50" t="inlineStr">
        <is>
          <t>dùng biến môi trường cho catalog</t>
        </is>
      </c>
      <c r="I1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24" s="48" t="inlineStr">
        <is>
          <t>OCB_GOLD_TTDL_BPM_VOLUME_TDCN_THU 1.xlsx [Script: BPM_VOLUME_TDCN]</t>
        </is>
      </c>
    </row>
    <row r="125">
      <c r="A125" s="48" t="inlineStr">
        <is>
          <t>BPM_VOLUME_TDCN</t>
        </is>
      </c>
      <c r="B125" s="48" t="inlineStr">
        <is>
          <t>SILVER_CONSUMER</t>
        </is>
      </c>
      <c r="C125" s="48" t="inlineStr">
        <is>
          <t>X.10</t>
        </is>
      </c>
      <c r="D125" s="48" t="inlineStr">
        <is>
          <t>Nhom X - Bo sung Raffles</t>
        </is>
      </c>
      <c r="E125" s="48" t="inlineStr">
        <is>
          <t>Bang raw_vault/business_vault duoc doc phai TON TAI THAT trong Data Vault model</t>
        </is>
      </c>
      <c r="F125" s="49" t="inlineStr">
        <is>
          <t>PASS</t>
        </is>
      </c>
      <c r="G125" s="48" t="inlineStr">
        <is>
          <t>Pass</t>
        </is>
      </c>
      <c r="H125" s="50" t="inlineStr">
        <is>
          <t>14 bảng Silver đều có thật trong Data Vault model</t>
        </is>
      </c>
      <c r="I125" s="50" t="inlineStr"/>
      <c r="J125" s="48" t="inlineStr">
        <is>
          <t>OCB_GOLD_TTDL_BPM_VOLUME_TDCN_THU 1.xlsx [Script: BPM_VOLUME_TDCN]</t>
        </is>
      </c>
    </row>
    <row r="126">
      <c r="A126" s="48" t="inlineStr">
        <is>
          <t>BPM_VOLUME_TDCN</t>
        </is>
      </c>
      <c r="B126" s="48" t="inlineStr">
        <is>
          <t>SILVER_CONSUMER</t>
        </is>
      </c>
      <c r="C126" s="48" t="inlineStr">
        <is>
          <t>X.11</t>
        </is>
      </c>
      <c r="D126" s="48" t="inlineStr">
        <is>
          <t>Nhom X - Bo sung Raffles</t>
        </is>
      </c>
      <c r="E126" s="48" t="inlineStr">
        <is>
          <t>Cot doc tu satellite (sat_*) phai TON TAI THAT trong model</t>
        </is>
      </c>
      <c r="F126" s="49" t="inlineStr">
        <is>
          <t>PASS</t>
        </is>
      </c>
      <c r="G126" s="48" t="inlineStr">
        <is>
          <t>Pass</t>
        </is>
      </c>
      <c r="H126" s="50" t="inlineStr">
        <is>
          <t>mọi cột đọc từ sat_* đều tồn tại trong model thật</t>
        </is>
      </c>
      <c r="I126" s="50" t="inlineStr"/>
      <c r="J126" s="48" t="inlineStr">
        <is>
          <t>OCB_GOLD_TTDL_BPM_VOLUME_TDCN_THU 1.xlsx [Script: BPM_VOLUME_TDCN]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2026-07-23T16:42:25Z</dcterms:created>
  <dcterms:modified xmlns:dcterms="http://purl.org/dc/terms/" xmlns:xsi="http://www.w3.org/2001/XMLSchema-instance" xsi:type="dcterms:W3CDTF">2026-08-10T17:35:21Z</dcterms:modified>
  <cp:lastModifiedBy>Quang Viet Ha (RAFFLES)</cp:lastModifiedBy>
  <cp:revision>0</cp:revision>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0x0101008E8AE0589F554649956EA8CE8E02225C</vt:lpwstr>
  </property>
  <property name="MediaServiceImageTags" fmtid="{D5CDD505-2E9C-101B-9397-08002B2CF9AE}" pid="3">
    <vt:lpwstr xmlns:vt="http://schemas.openxmlformats.org/officeDocument/2006/docPropsVTypes"/>
  </property>
</Properties>
</file>