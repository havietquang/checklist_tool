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4">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45">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3" fillId="8" borderId="0" applyAlignment="1" pivotButton="0" quotePrefix="0" xfId="0">
      <alignment vertical="center" wrapText="1"/>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TCKH.LOAN_SUMMARY_LIST</t>
        </is>
      </c>
      <c r="C3" s="42" t="inlineStr">
        <is>
          <t>Batch 2</t>
        </is>
      </c>
      <c r="D3" s="42" t="inlineStr"/>
      <c r="E3" s="42" t="inlineStr">
        <is>
          <t>2026-08-11</t>
        </is>
      </c>
      <c r="F3" s="41" t="n"/>
      <c r="G3" s="41" t="n"/>
      <c r="H3" s="41" t="n"/>
      <c r="I3" s="41" t="n"/>
      <c r="J3" s="41" t="n"/>
      <c r="K3" s="41" t="n"/>
      <c r="L3" s="41" t="n"/>
      <c r="M3" s="41" t="n"/>
      <c r="N3" s="41" t="n"/>
      <c r="O3" s="41" t="n"/>
      <c r="P3" s="41" t="n"/>
      <c r="Q3" s="41" t="n"/>
      <c r="R3" s="41" t="n"/>
      <c r="S3" s="41" t="n"/>
      <c r="T3" s="41" t="n"/>
      <c r="U3" s="41" t="n"/>
      <c r="V3" s="41" t="n"/>
      <c r="W3" s="41" t="n"/>
      <c r="X3" s="41" t="n"/>
      <c r="Y3" s="41" t="n"/>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Đạt toàn bộ tiêu chí.</t>
        </is>
      </c>
    </row>
    <row r="4" ht="30" customHeight="1" s="36">
      <c r="A4" s="17" t="n">
        <v>2</v>
      </c>
      <c r="B4" s="18" t="n"/>
      <c r="C4" s="17" t="n"/>
      <c r="D4" s="17" t="n"/>
      <c r="E4" s="17" t="n"/>
      <c r="F4" s="26" t="n"/>
      <c r="G4" s="26" t="n"/>
      <c r="H4" s="26" t="n"/>
      <c r="I4" s="26" t="n"/>
      <c r="J4" s="26" t="n"/>
      <c r="K4" s="26" t="n"/>
      <c r="L4" s="26" t="n"/>
      <c r="M4" s="26" t="n"/>
      <c r="N4" s="26" t="n"/>
      <c r="O4" s="26" t="n"/>
      <c r="P4" s="26" t="n"/>
      <c r="Q4" s="26" t="n"/>
      <c r="R4" s="26" t="n"/>
      <c r="S4" s="26" t="n"/>
      <c r="T4" s="26" t="n"/>
      <c r="U4" s="26" t="n"/>
      <c r="V4" s="26" t="n"/>
      <c r="W4" s="26" t="n"/>
      <c r="X4" s="26" t="n"/>
      <c r="Y4" s="26" t="n"/>
      <c r="Z4" s="26">
        <f>IF(B4="","",IF(COUNTIF(F4:G4,"Fail")&gt;0,1,0))</f>
        <v/>
      </c>
      <c r="AA4" s="26">
        <f>IF(B4="","",IF(COUNTIF(H4:S4,"Fail")&gt;0,1,0))</f>
        <v/>
      </c>
      <c r="AB4" s="26">
        <f>IF(B4="","",IF(COUNTIF(T4:Y4,"Fail")&gt;0,1,0))</f>
        <v/>
      </c>
      <c r="AC4" s="27">
        <f>IF(B4="","",0.1*Z4+0.8*AA4+0.1*AB4)</f>
        <v/>
      </c>
      <c r="AD4" s="27">
        <f>IF(B4="","",IF(C4="Batch 1",0.3,0.2))</f>
        <v/>
      </c>
      <c r="AE4" s="19">
        <f>IF(B4="","",IF(AC4&lt;=AD4,"Đạt","Không đạt"))</f>
        <v/>
      </c>
      <c r="AF4" s="28" t="n"/>
    </row>
    <row r="5" ht="30" customHeight="1" s="36">
      <c r="A5" s="17" t="n">
        <v>3</v>
      </c>
      <c r="B5" s="18" t="n"/>
      <c r="C5" s="17" t="n"/>
      <c r="D5" s="17" t="n"/>
      <c r="E5" s="17" t="n"/>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28" t="n"/>
    </row>
    <row r="6" ht="30" customHeight="1" s="36">
      <c r="A6" s="17" t="n">
        <v>4</v>
      </c>
      <c r="B6" s="18" t="n"/>
      <c r="C6" s="17" t="n"/>
      <c r="D6" s="17" t="n"/>
      <c r="E6" s="17" t="n"/>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28" t="n"/>
    </row>
    <row r="7" ht="30" customHeight="1" s="36">
      <c r="A7" s="17" t="n">
        <v>5</v>
      </c>
      <c r="B7" s="18" t="n"/>
      <c r="C7" s="17" t="n"/>
      <c r="D7" s="17" t="n"/>
      <c r="E7" s="17" t="n"/>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28" t="n"/>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4" t="inlineStr">
        <is>
          <t>Object Gold</t>
        </is>
      </c>
      <c r="B1" s="44" t="inlineStr">
        <is>
          <t>Profile</t>
        </is>
      </c>
      <c r="C1" s="44" t="inlineStr">
        <is>
          <t>Mã</t>
        </is>
      </c>
      <c r="D1" s="44" t="inlineStr">
        <is>
          <t>Nhóm</t>
        </is>
      </c>
      <c r="E1" s="44" t="inlineStr">
        <is>
          <t>Tiêu chí</t>
        </is>
      </c>
      <c r="F1" s="44" t="inlineStr">
        <is>
          <t>Kết quả máy</t>
        </is>
      </c>
      <c r="G1" s="44" t="inlineStr">
        <is>
          <t>Ghi vào Excel</t>
        </is>
      </c>
      <c r="H1" s="44" t="inlineStr">
        <is>
          <t>Bằng chứng / số dòng</t>
        </is>
      </c>
      <c r="I1" s="44" t="inlineStr">
        <is>
          <t>Cách sửa</t>
        </is>
      </c>
      <c r="J1" s="44" t="inlineStr">
        <is>
          <t>File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2026-08-11T09:13:32Z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