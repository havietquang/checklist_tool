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AFEA8268-B8FD-4B08-BF82-C58A29822838}"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E7" i="4"/>
  <c r="D7" i="4"/>
  <c r="I7" i="4" s="1"/>
  <c r="D6" i="4"/>
  <c r="G5" i="4"/>
  <c r="F5" i="4"/>
  <c r="E5" i="4"/>
  <c r="D5" i="4"/>
  <c r="I5" i="4" s="1"/>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E98" i="3"/>
  <c r="AD98" i="3"/>
  <c r="AC98" i="3"/>
  <c r="AB98" i="3"/>
  <c r="AA98" i="3"/>
  <c r="Z98" i="3"/>
  <c r="AE97" i="3"/>
  <c r="AD97" i="3"/>
  <c r="AC97" i="3"/>
  <c r="AB97" i="3"/>
  <c r="AA97" i="3"/>
  <c r="Z97" i="3"/>
  <c r="AE96" i="3"/>
  <c r="AD96" i="3"/>
  <c r="AC96" i="3"/>
  <c r="AB96" i="3"/>
  <c r="AA96" i="3"/>
  <c r="Z96" i="3"/>
  <c r="AE95" i="3"/>
  <c r="AD95" i="3"/>
  <c r="AC95" i="3"/>
  <c r="AB95" i="3"/>
  <c r="AA95" i="3"/>
  <c r="Z95" i="3"/>
  <c r="AE94" i="3"/>
  <c r="AD94" i="3"/>
  <c r="AC94" i="3"/>
  <c r="AB94" i="3"/>
  <c r="AA94" i="3"/>
  <c r="Z94" i="3"/>
  <c r="AE93" i="3"/>
  <c r="AD93" i="3"/>
  <c r="AC93" i="3"/>
  <c r="AB93" i="3"/>
  <c r="AA93" i="3"/>
  <c r="Z93" i="3"/>
  <c r="AE92" i="3"/>
  <c r="AD92" i="3"/>
  <c r="AC92" i="3"/>
  <c r="AB92" i="3"/>
  <c r="AA92" i="3"/>
  <c r="Z92" i="3"/>
  <c r="AE91" i="3"/>
  <c r="AD91" i="3"/>
  <c r="AC91" i="3"/>
  <c r="AB91" i="3"/>
  <c r="AA91" i="3"/>
  <c r="Z91" i="3"/>
  <c r="AE90" i="3"/>
  <c r="AD90" i="3"/>
  <c r="AC90" i="3"/>
  <c r="AB90" i="3"/>
  <c r="AA90" i="3"/>
  <c r="Z90" i="3"/>
  <c r="AE89" i="3"/>
  <c r="AD89" i="3"/>
  <c r="AC89" i="3"/>
  <c r="AB89" i="3"/>
  <c r="AA89" i="3"/>
  <c r="Z89" i="3"/>
  <c r="AE88" i="3"/>
  <c r="AD88" i="3"/>
  <c r="AC88" i="3"/>
  <c r="AB88" i="3"/>
  <c r="AA88" i="3"/>
  <c r="Z88" i="3"/>
  <c r="AE87" i="3"/>
  <c r="AD87" i="3"/>
  <c r="AC87" i="3"/>
  <c r="AB87" i="3"/>
  <c r="AA87" i="3"/>
  <c r="Z87" i="3"/>
  <c r="AE86" i="3"/>
  <c r="AD86" i="3"/>
  <c r="AC86" i="3"/>
  <c r="AB86" i="3"/>
  <c r="AA86" i="3"/>
  <c r="Z86" i="3"/>
  <c r="AE85" i="3"/>
  <c r="AD85" i="3"/>
  <c r="AC85" i="3"/>
  <c r="AB85" i="3"/>
  <c r="AA85" i="3"/>
  <c r="Z85" i="3"/>
  <c r="AE84" i="3"/>
  <c r="AD84" i="3"/>
  <c r="AC84" i="3"/>
  <c r="AB84" i="3"/>
  <c r="AA84" i="3"/>
  <c r="Z84" i="3"/>
  <c r="AE83" i="3"/>
  <c r="AD83" i="3"/>
  <c r="AC83" i="3"/>
  <c r="AB83" i="3"/>
  <c r="AA83" i="3"/>
  <c r="Z83" i="3"/>
  <c r="AE82" i="3"/>
  <c r="AD82" i="3"/>
  <c r="AC82" i="3"/>
  <c r="AB82" i="3"/>
  <c r="AA82" i="3"/>
  <c r="Z82" i="3"/>
  <c r="AE81" i="3"/>
  <c r="AD81" i="3"/>
  <c r="AC81" i="3"/>
  <c r="AB81" i="3"/>
  <c r="AA81" i="3"/>
  <c r="Z81" i="3"/>
  <c r="AE80" i="3"/>
  <c r="AD80" i="3"/>
  <c r="AC80" i="3"/>
  <c r="AB80" i="3"/>
  <c r="AA80" i="3"/>
  <c r="Z80" i="3"/>
  <c r="AE79" i="3"/>
  <c r="AD79" i="3"/>
  <c r="AC79" i="3"/>
  <c r="AB79" i="3"/>
  <c r="AA79" i="3"/>
  <c r="Z79" i="3"/>
  <c r="AE78" i="3"/>
  <c r="AD78" i="3"/>
  <c r="AC78" i="3"/>
  <c r="AB78" i="3"/>
  <c r="AA78" i="3"/>
  <c r="Z78" i="3"/>
  <c r="AE77" i="3"/>
  <c r="AD77" i="3"/>
  <c r="AC77" i="3"/>
  <c r="AB77" i="3"/>
  <c r="AA77" i="3"/>
  <c r="Z77" i="3"/>
  <c r="AE76" i="3"/>
  <c r="AD76" i="3"/>
  <c r="AC76" i="3"/>
  <c r="AB76" i="3"/>
  <c r="AA76" i="3"/>
  <c r="Z76" i="3"/>
  <c r="AE75" i="3"/>
  <c r="AD75" i="3"/>
  <c r="AC75" i="3"/>
  <c r="AB75" i="3"/>
  <c r="AA75" i="3"/>
  <c r="Z75" i="3"/>
  <c r="AE74" i="3"/>
  <c r="AD74" i="3"/>
  <c r="AC74" i="3"/>
  <c r="AB74" i="3"/>
  <c r="AA74" i="3"/>
  <c r="Z74" i="3"/>
  <c r="AE73" i="3"/>
  <c r="AD73" i="3"/>
  <c r="AC73" i="3"/>
  <c r="AB73" i="3"/>
  <c r="AA73" i="3"/>
  <c r="Z73" i="3"/>
  <c r="AE72" i="3"/>
  <c r="AD72" i="3"/>
  <c r="AC72" i="3"/>
  <c r="AB72" i="3"/>
  <c r="AA72" i="3"/>
  <c r="Z72" i="3"/>
  <c r="AE71" i="3"/>
  <c r="AD71" i="3"/>
  <c r="AC71" i="3"/>
  <c r="AB71" i="3"/>
  <c r="AA71" i="3"/>
  <c r="Z71" i="3"/>
  <c r="AE70" i="3"/>
  <c r="AD70" i="3"/>
  <c r="AC70" i="3"/>
  <c r="AB70" i="3"/>
  <c r="AA70" i="3"/>
  <c r="Z70" i="3"/>
  <c r="AE69" i="3"/>
  <c r="AD69" i="3"/>
  <c r="AC69" i="3"/>
  <c r="AB69" i="3"/>
  <c r="AA69" i="3"/>
  <c r="Z69" i="3"/>
  <c r="AE68" i="3"/>
  <c r="AD68" i="3"/>
  <c r="AC68" i="3"/>
  <c r="AB68" i="3"/>
  <c r="AA68" i="3"/>
  <c r="Z68" i="3"/>
  <c r="AE67" i="3"/>
  <c r="AD67" i="3"/>
  <c r="AC67" i="3"/>
  <c r="AB67" i="3"/>
  <c r="AA67" i="3"/>
  <c r="Z67" i="3"/>
  <c r="AE66" i="3"/>
  <c r="AD66" i="3"/>
  <c r="AC66" i="3"/>
  <c r="AB66" i="3"/>
  <c r="AA66" i="3"/>
  <c r="Z66" i="3"/>
  <c r="AE65" i="3"/>
  <c r="AD65" i="3"/>
  <c r="AC65" i="3"/>
  <c r="AB65" i="3"/>
  <c r="AA65" i="3"/>
  <c r="Z65" i="3"/>
  <c r="AE64" i="3"/>
  <c r="AD64" i="3"/>
  <c r="AC64" i="3"/>
  <c r="AB64" i="3"/>
  <c r="AA64" i="3"/>
  <c r="Z64" i="3"/>
  <c r="AE63" i="3"/>
  <c r="AD63" i="3"/>
  <c r="AC63" i="3"/>
  <c r="AB63" i="3"/>
  <c r="AA63" i="3"/>
  <c r="Z63" i="3"/>
  <c r="AE62" i="3"/>
  <c r="AD62" i="3"/>
  <c r="AC62" i="3"/>
  <c r="AB62" i="3"/>
  <c r="AA62" i="3"/>
  <c r="Z62" i="3"/>
  <c r="AE61" i="3"/>
  <c r="AD61" i="3"/>
  <c r="AC61" i="3"/>
  <c r="AB61" i="3"/>
  <c r="AA61" i="3"/>
  <c r="Z61" i="3"/>
  <c r="AE60" i="3"/>
  <c r="AD60" i="3"/>
  <c r="AC60" i="3"/>
  <c r="AB60" i="3"/>
  <c r="AA60" i="3"/>
  <c r="Z60" i="3"/>
  <c r="AE59" i="3"/>
  <c r="AD59" i="3"/>
  <c r="AC59" i="3"/>
  <c r="AB59" i="3"/>
  <c r="AA59" i="3"/>
  <c r="Z59" i="3"/>
  <c r="AE58" i="3"/>
  <c r="AD58" i="3"/>
  <c r="AC58" i="3"/>
  <c r="AB58" i="3"/>
  <c r="AA58" i="3"/>
  <c r="Z58" i="3"/>
  <c r="AE57" i="3"/>
  <c r="AD57" i="3"/>
  <c r="AC57" i="3"/>
  <c r="AB57" i="3"/>
  <c r="AA57" i="3"/>
  <c r="Z57" i="3"/>
  <c r="AE56" i="3"/>
  <c r="AD56" i="3"/>
  <c r="AC56" i="3"/>
  <c r="AB56" i="3"/>
  <c r="AA56" i="3"/>
  <c r="Z56" i="3"/>
  <c r="AE55" i="3"/>
  <c r="AD55" i="3"/>
  <c r="AC55" i="3"/>
  <c r="AB55" i="3"/>
  <c r="AA55" i="3"/>
  <c r="Z55" i="3"/>
  <c r="AE54" i="3"/>
  <c r="AD54" i="3"/>
  <c r="AC54" i="3"/>
  <c r="AB54" i="3"/>
  <c r="AA54" i="3"/>
  <c r="Z54" i="3"/>
  <c r="AE53" i="3"/>
  <c r="AD53" i="3"/>
  <c r="AC53" i="3"/>
  <c r="AB53" i="3"/>
  <c r="AA53" i="3"/>
  <c r="Z53" i="3"/>
  <c r="AE52" i="3"/>
  <c r="AD52" i="3"/>
  <c r="AC52" i="3"/>
  <c r="AB52" i="3"/>
  <c r="AA52" i="3"/>
  <c r="Z52" i="3"/>
  <c r="AE51" i="3"/>
  <c r="AD51" i="3"/>
  <c r="AC51" i="3"/>
  <c r="AB51" i="3"/>
  <c r="AA51" i="3"/>
  <c r="Z51" i="3"/>
  <c r="AE50" i="3"/>
  <c r="AD50" i="3"/>
  <c r="AC50" i="3"/>
  <c r="AB50" i="3"/>
  <c r="AA50" i="3"/>
  <c r="Z50" i="3"/>
  <c r="AE49" i="3"/>
  <c r="AD49" i="3"/>
  <c r="AC49" i="3"/>
  <c r="AB49" i="3"/>
  <c r="AA49" i="3"/>
  <c r="Z49" i="3"/>
  <c r="AE48" i="3"/>
  <c r="AD48" i="3"/>
  <c r="AC48" i="3"/>
  <c r="AB48" i="3"/>
  <c r="AA48" i="3"/>
  <c r="Z48" i="3"/>
  <c r="AE47" i="3"/>
  <c r="AD47" i="3"/>
  <c r="AC47" i="3"/>
  <c r="AB47" i="3"/>
  <c r="AA47" i="3"/>
  <c r="Z47" i="3"/>
  <c r="AE46" i="3"/>
  <c r="AD46" i="3"/>
  <c r="AC46" i="3"/>
  <c r="AB46" i="3"/>
  <c r="AA46" i="3"/>
  <c r="Z46" i="3"/>
  <c r="AE45" i="3"/>
  <c r="AD45" i="3"/>
  <c r="AC45" i="3"/>
  <c r="AB45" i="3"/>
  <c r="AA45" i="3"/>
  <c r="Z45" i="3"/>
  <c r="AE44" i="3"/>
  <c r="AD44" i="3"/>
  <c r="AC44" i="3"/>
  <c r="AB44" i="3"/>
  <c r="AA44" i="3"/>
  <c r="Z44" i="3"/>
  <c r="AE43" i="3"/>
  <c r="AD43" i="3"/>
  <c r="AC43" i="3"/>
  <c r="AB43" i="3"/>
  <c r="AA43" i="3"/>
  <c r="Z43" i="3"/>
  <c r="AE42" i="3"/>
  <c r="AD42" i="3"/>
  <c r="AC42" i="3"/>
  <c r="AB42" i="3"/>
  <c r="AA42" i="3"/>
  <c r="Z42" i="3"/>
  <c r="AE41" i="3"/>
  <c r="AD41" i="3"/>
  <c r="AC41" i="3"/>
  <c r="AB41" i="3"/>
  <c r="AA41" i="3"/>
  <c r="Z41" i="3"/>
  <c r="AE40" i="3"/>
  <c r="AD40" i="3"/>
  <c r="AC40" i="3"/>
  <c r="AB40" i="3"/>
  <c r="AA40" i="3"/>
  <c r="Z40" i="3"/>
  <c r="AE39" i="3"/>
  <c r="AD39" i="3"/>
  <c r="AC39" i="3"/>
  <c r="AB39" i="3"/>
  <c r="AA39" i="3"/>
  <c r="Z39" i="3"/>
  <c r="AE38" i="3"/>
  <c r="AD38" i="3"/>
  <c r="AC38" i="3"/>
  <c r="AB38" i="3"/>
  <c r="AA38" i="3"/>
  <c r="Z38" i="3"/>
  <c r="AE37" i="3"/>
  <c r="AD37" i="3"/>
  <c r="AC37" i="3"/>
  <c r="AB37" i="3"/>
  <c r="AA37" i="3"/>
  <c r="Z37" i="3"/>
  <c r="AE36" i="3"/>
  <c r="AD36" i="3"/>
  <c r="AC36" i="3"/>
  <c r="AB36" i="3"/>
  <c r="AA36" i="3"/>
  <c r="Z36" i="3"/>
  <c r="AE35" i="3"/>
  <c r="AD35" i="3"/>
  <c r="AC35" i="3"/>
  <c r="AB35" i="3"/>
  <c r="AA35" i="3"/>
  <c r="Z35" i="3"/>
  <c r="AE34" i="3"/>
  <c r="AD34" i="3"/>
  <c r="AC34" i="3"/>
  <c r="AB34" i="3"/>
  <c r="AA34" i="3"/>
  <c r="Z34" i="3"/>
  <c r="AE33" i="3"/>
  <c r="AD33" i="3"/>
  <c r="AC33" i="3"/>
  <c r="AB33" i="3"/>
  <c r="AA33" i="3"/>
  <c r="Z33" i="3"/>
  <c r="AE32" i="3"/>
  <c r="AD32" i="3"/>
  <c r="AC32" i="3"/>
  <c r="AB32" i="3"/>
  <c r="AA32" i="3"/>
  <c r="Z32" i="3"/>
  <c r="AE31" i="3"/>
  <c r="AD31" i="3"/>
  <c r="AC31" i="3"/>
  <c r="AB31" i="3"/>
  <c r="AA31" i="3"/>
  <c r="Z31" i="3"/>
  <c r="AE30" i="3"/>
  <c r="AD30" i="3"/>
  <c r="AC30" i="3"/>
  <c r="AB30" i="3"/>
  <c r="AA30" i="3"/>
  <c r="Z30" i="3"/>
  <c r="AE29" i="3"/>
  <c r="AD29" i="3"/>
  <c r="AC29" i="3"/>
  <c r="AB29" i="3"/>
  <c r="AA29" i="3"/>
  <c r="Z29" i="3"/>
  <c r="AE28" i="3"/>
  <c r="AD28" i="3"/>
  <c r="AC28" i="3"/>
  <c r="AB28" i="3"/>
  <c r="AA28" i="3"/>
  <c r="Z28" i="3"/>
  <c r="AE27" i="3"/>
  <c r="AD27" i="3"/>
  <c r="AC27" i="3"/>
  <c r="AB27" i="3"/>
  <c r="AA27" i="3"/>
  <c r="Z27" i="3"/>
  <c r="AE26" i="3"/>
  <c r="AD26" i="3"/>
  <c r="AC26" i="3"/>
  <c r="AB26" i="3"/>
  <c r="AA26" i="3"/>
  <c r="Z26" i="3"/>
  <c r="AE25" i="3"/>
  <c r="AD25" i="3"/>
  <c r="AC25" i="3"/>
  <c r="AB25" i="3"/>
  <c r="AA25" i="3"/>
  <c r="Z25" i="3"/>
  <c r="AE24" i="3"/>
  <c r="AD24" i="3"/>
  <c r="AC24" i="3"/>
  <c r="AB24" i="3"/>
  <c r="AA24" i="3"/>
  <c r="Z24" i="3"/>
  <c r="AE23" i="3"/>
  <c r="AD23" i="3"/>
  <c r="AC23" i="3"/>
  <c r="AB23" i="3"/>
  <c r="AA23" i="3"/>
  <c r="Z23" i="3"/>
  <c r="AE22" i="3"/>
  <c r="AD22" i="3"/>
  <c r="AC22" i="3"/>
  <c r="AB22" i="3"/>
  <c r="AA22" i="3"/>
  <c r="Z22" i="3"/>
  <c r="AE21" i="3"/>
  <c r="AD21" i="3"/>
  <c r="AC21" i="3"/>
  <c r="AB21" i="3"/>
  <c r="AA21" i="3"/>
  <c r="Z21" i="3"/>
  <c r="AE20" i="3"/>
  <c r="AD20" i="3"/>
  <c r="AC20" i="3"/>
  <c r="AB20" i="3"/>
  <c r="AA20" i="3"/>
  <c r="Z20" i="3"/>
  <c r="AE19" i="3"/>
  <c r="AD19" i="3"/>
  <c r="AC19" i="3"/>
  <c r="AB19" i="3"/>
  <c r="AA19" i="3"/>
  <c r="Z19" i="3"/>
  <c r="AE18" i="3"/>
  <c r="AD18" i="3"/>
  <c r="AC18" i="3"/>
  <c r="AB18" i="3"/>
  <c r="AA18" i="3"/>
  <c r="Z18" i="3"/>
  <c r="AE17" i="3"/>
  <c r="AD17" i="3"/>
  <c r="AC17" i="3"/>
  <c r="AB17" i="3"/>
  <c r="AA17" i="3"/>
  <c r="Z17" i="3"/>
  <c r="AE16" i="3"/>
  <c r="AD16" i="3"/>
  <c r="AC16" i="3"/>
  <c r="AB16" i="3"/>
  <c r="AA16" i="3"/>
  <c r="Z16" i="3"/>
  <c r="AE15" i="3"/>
  <c r="AD15" i="3"/>
  <c r="AC15" i="3"/>
  <c r="AB15" i="3"/>
  <c r="AA15" i="3"/>
  <c r="Z15" i="3"/>
  <c r="AE14" i="3"/>
  <c r="AD14" i="3"/>
  <c r="AC14" i="3"/>
  <c r="AB14" i="3"/>
  <c r="AA14" i="3"/>
  <c r="Z14" i="3"/>
  <c r="AE13" i="3"/>
  <c r="AD13" i="3"/>
  <c r="AC13" i="3"/>
  <c r="AB13" i="3"/>
  <c r="AA13" i="3"/>
  <c r="Z13" i="3"/>
  <c r="AE12" i="3"/>
  <c r="AD12" i="3"/>
  <c r="AC12" i="3"/>
  <c r="AB12" i="3"/>
  <c r="AA12" i="3"/>
  <c r="Z12" i="3"/>
  <c r="AE11" i="3"/>
  <c r="AD11" i="3"/>
  <c r="AC11" i="3"/>
  <c r="AB11" i="3"/>
  <c r="AA11" i="3"/>
  <c r="Z11" i="3"/>
  <c r="AE10" i="3"/>
  <c r="AD10" i="3"/>
  <c r="AC10" i="3"/>
  <c r="AB10" i="3"/>
  <c r="AA10" i="3"/>
  <c r="Z10" i="3"/>
  <c r="AE9" i="3"/>
  <c r="AD9" i="3"/>
  <c r="AC9" i="3"/>
  <c r="AB9" i="3"/>
  <c r="AA9" i="3"/>
  <c r="Z9" i="3"/>
  <c r="AE8" i="3"/>
  <c r="AD8" i="3"/>
  <c r="AC8" i="3"/>
  <c r="AB8" i="3"/>
  <c r="AA8" i="3"/>
  <c r="Z8" i="3"/>
  <c r="AE7" i="3"/>
  <c r="AD7" i="3"/>
  <c r="AC7" i="3"/>
  <c r="AB7" i="3"/>
  <c r="AA7" i="3"/>
  <c r="Z7" i="3"/>
  <c r="AE6" i="3"/>
  <c r="AD6" i="3"/>
  <c r="AC6" i="3"/>
  <c r="AB6" i="3"/>
  <c r="AA6" i="3"/>
  <c r="Z6" i="3"/>
  <c r="AD5" i="3"/>
  <c r="AB5" i="3"/>
  <c r="AA5" i="3"/>
  <c r="Z5" i="3"/>
  <c r="AD4" i="3"/>
  <c r="AB4" i="3"/>
  <c r="AA4" i="3"/>
  <c r="Z4" i="3"/>
  <c r="AC4" i="3" s="1"/>
  <c r="AD3" i="3"/>
  <c r="AB3" i="3"/>
  <c r="AC3" i="3" s="1"/>
  <c r="AE3" i="3" s="1"/>
  <c r="AA3" i="3"/>
  <c r="Z3" i="3"/>
  <c r="AC5" i="3" l="1"/>
  <c r="AE5" i="3" s="1"/>
  <c r="H5" i="4"/>
  <c r="H7" i="4"/>
  <c r="G6" i="4"/>
  <c r="AE4" i="3"/>
  <c r="E6" i="4" l="1"/>
  <c r="F6" i="4"/>
  <c r="H6" i="4" s="1"/>
  <c r="I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<sst xmlns="http://schemas.openxmlformats.org/spreadsheetml/2006/main" count="1988" uniqueCount="321">
  <si>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</si>
  <si>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</si>
  <si>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</si>
  <si>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</si>
  <si>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</si>
  <si>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</si>
  <si>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</si>
  <si>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</si>
  <si>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</si>
  <si>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</si>
  <si>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</si>
  <si>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</si>
  <si>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</si>
  <si>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</si>
  <si>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</si>
  <si>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</si>
  <si>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</si>
  <si>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</si>
  <si>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</si>
  <si>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</si>
  <si>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</si>
  <si>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</si>
  <si>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</si>
  <si>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</si>
  <si>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</si>
  <si>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</si>
  <si>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</si>
  <si>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</si>
  <si>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</si>
  <si>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</si>
  <si>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</si>
  <si>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</si>
  <si>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</si>
  <si>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</si>
  <si>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</si>
  <si>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</si>
  <si>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</si>
  <si>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</si>
  <si>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</si>
  <si>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</si>
  <si>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</si>
  <si>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</si>
  <si>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</si>
  <si>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</si>
  <si>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</si>
  <si>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</si>
  <si>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</si>
  <si>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</si>
  <si>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</si>
  <si>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</si>
  <si>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</si>
  <si>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</si>
  <si>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</si>
  <si>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</si>
  <si>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</si>
  <si>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</si>
  <si>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</si>
  <si>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</si>
  <si>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</si>
  <si>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</si>
  <si>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</si>
  <si>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</si>
  <si>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</si>
  <si>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</si>
  <si>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</si>
  <si>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</si>
  <si>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</si>
  <si>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</si>
  <si>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</si>
  <si>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</si>
  <si>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</si>
  <si>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</si>
  <si>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</si>
  <si>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</si>
  <si>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</si>
  <si>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</si>
  <si>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</si>
  <si>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</si>
  <si>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</si>
  <si>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</si>
  <si>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</si>
  <si>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</si>
  <si>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</si>
  <si>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</si>
  <si>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</si>
  <si>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</si>
  <si>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</si>
  <si>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</si>
  <si>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</si>
  <si>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</si>
  <si>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</si>
  <si>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</si>
  <si>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</si>
  <si>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</si>
  <si>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</si>
  <si>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</si>
  <si>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</si>
  <si>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</si>
  <si>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</si>
  <si>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</si>
  <si>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</si>
  <si>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</si>
  <si>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</si>
  <si>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</si>
  <si>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</si>
  <si>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</si>
  <si>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</si>
  <si>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</si>
  <si>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</si>
  <si>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</si>
  <si>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</si>
  <si>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</si>
  <si>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</si>
  <si>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</si>
  <si>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</si>
  <si>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</si>
  <si>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</si>
  <si>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</si>
  <si>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</si>
  <si>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</si>
  <si>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</si>
  <si>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</si>
  <si>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</si>
  <si>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</si>
  <si>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</si>
  <si>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</si>
  <si>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</si>
  <si>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</si>
  <si>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</si>
  <si>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</si>
  <si>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</si>
  <si>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</si>
  <si>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</si>
  <si>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</si>
  <si>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</si>
  <si>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</si>
  <si>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</si>
  <si>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</si>
  <si>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</si>
  <si>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Đồng bộ tài liệu
(script khác bản chính)</t>
  </si>
  <si>
    <t>BPM_SPTC</t>
  </si>
  <si>
    <t>Batch 2</t>
  </si>
  <si>
    <t>2026-08-12</t>
  </si>
  <si>
    <t>WARN</t>
  </si>
  <si>
    <t>Fail</t>
  </si>
  <si>
    <t>Pass</t>
  </si>
  <si>
    <t>╔══ FAIL: 2 tiêu chí — 1.2, 2.7
▼ 1.2 — Danh sách bảng/view Gold khớp tài liệu thiết kế đã duyệt
   • Lý do: BPM_SPTC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60/105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WARN: 5 tiêu chí — 1.1, 2.8, 3.2, 3.4, 3.5
▼ 1.1 — Đầy đủ mapping từ Silver/manual sang Gold
   • KHÔNG TÌM THẤY workbook thiết kế cho object BPM_SPTC nên không đối chiếu được danh sách cột (SQL có 127 cột đầu ra)
▼ 2.8 — Cột SUM/COUNT được COALESCE/NVL hợp lý
   • 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 khi đối soát với hệ thống cũ phải bọc NVL/ISNULL CẢ HAI phía để không lệch khi trừ (Checklist RVN-OCB #11)
▼ 3.2 — CTE không bị scan lại nhiều lần
   • CTE bị tham chiếu lại nhiều lần: gd_hub x2, kh_hub x3, ts_hub x2, s_gd_tdcn x3, r_dm x11
▼ 3.4 — Sử dụng CACHE cho query lặp lại trong cùng luồng
   • 5 CTE nặng dùng lại &gt;= 2 lần mà không có CACHE: gd_hub, kh_hub, r_dm, s_gd_tdcn, ts_hub
▼ 3.5 — Ưu tiên MAX_BY + QUALIFY thay ROW_NUMBER() + WHERE rn = 1
   • 5 khối dùng MAX_BY độc lập cho &gt;5 cột (dòng 15,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</si>
  <si>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BPM_TAT_PDTD</t>
  </si>
  <si>
    <t>╔══ FAIL: 2 tiêu chí — 1.2, 2.7
▼ 1.2 — Danh sách bảng/view Gold khớp tài liệu thiết kế đã duyệt
   • Lý do: BPM_TAT_PDTD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45/85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WARN: 5 tiêu chí — 1.1, 2.8, 3.2, 3.4, 3.5
▼ 1.1 — Đầy đủ mapping từ Silver/manual sang Gold
   • KHÔNG TÌM THẤY workbook thiết kế cho object BPM_TAT_PDTD nên không đối chiếu được danh sách cột (SQL có 74 cột đầu ra)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</si>
  <si>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BPM_TAT_TDCN</t>
  </si>
  <si>
    <t>╔══ FAIL: 2 tiêu chí — 1.2, 2.7
▼ 1.2 — Danh sách bảng/view Gold khớp tài liệu thiết kế đã duyệt
   • Lý do: BPM_TAT_TDCN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68/107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WARN: 5 tiêu chí — 1.1, 2.8, 3.2, 3.4, 3.5
▼ 1.1 — Đầy đủ mapping từ Silver/manual sang Gold
   • KHÔNG TÌM THẤY workbook thiết kế cho object BPM_TAT_TDCN nên không đối chiếu được danh sách cột (SQL có 73 cột đầu ra)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</si>
  <si>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TCKH.V_BCN_THUNO</t>
  </si>
  <si>
    <t>TCKH.PST_ENTR_FCT</t>
  </si>
  <si>
    <t>TCKH.TB_AR_BCN_DTL</t>
  </si>
  <si>
    <t>TCKH.V_T24_CRB_FULLLIST</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</si>
  <si>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</si>
  <si>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</si>
  <si>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</si>
  <si>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</si>
  <si>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</si>
  <si>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</si>
  <si>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</si>
  <si>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</si>
  <si>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</si>
  <si>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</si>
  <si>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</si>
  <si>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</si>
  <si>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</si>
  <si>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</si>
  <si>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</si>
  <si>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</si>
  <si>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</si>
  <si>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</si>
  <si>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</si>
  <si>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SILVER_CONSUMER</t>
  </si>
  <si>
    <t>Nhom 1 - Mapping</t>
  </si>
  <si>
    <t>Đầy đủ mapping từ Silver/manual sang Gold</t>
  </si>
  <si>
    <t>KHÔNG TÌM THẤY workbook thiết kế cho object BPM_SPTC nên không đối chiếu được danh sách cột (SQL có 127 cột đầu ra)</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</si>
  <si>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</si>
  <si>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C:\ZoneC_DEV\zonec-datamart\tools\gold_review\input\sql\BPM_SPTC.sql</t>
  </si>
  <si>
    <t>Danh sách bảng/view Gold khớp tài liệu thiết kế đã duyệt</t>
  </si>
  <si>
    <t>FAIL</t>
  </si>
  <si>
    <t>BPM_SPTC không có workbook thiết kế tương ứng trong thư mục mapping</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</si>
  <si>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</si>
  <si>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</si>
  <si>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</si>
  <si>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PASS</t>
  </si>
  <si>
    <t>không dùng sts_hub_* (không có yêu cầu nghiệp vụ giữ bản ghi đã xóa)</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</si>
  <si>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</si>
  <si>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</si>
  <si>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file này dùng: ['MAX_BY']; toàn batch dùng: ['MAX_BY']</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</si>
  <si>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</si>
  <si>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</si>
  <si>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không có điều kiện trạng thái nào lồng trong JOIN ON</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</si>
  <si>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</si>
  <si>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</si>
  <si>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18 bảng đều đúng dạng điều kiện source_event_date</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</si>
  <si>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</si>
  <si>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</si>
  <si>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</si>
  <si>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</si>
  <si>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</si>
  <si>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N-A</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</si>
  <si>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</si>
  <si>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</si>
  <si>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</si>
  <si>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60/105 CASE KHÔNG có nhánh ELSE -&gt; rơi ra ngoài mọi WHEN sẽ trả NULL âm thầm, tại dòng []; bổ sung ELSE (giá trị mặc định hoặc giá trị nghiệp vụ đúng như job on-prem)</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</si>
  <si>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</si>
  <si>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</si>
  <si>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khi đối soát với hệ thống cũ phải bọc NVL/ISNULL CẢ HAI phía để không lệch khi trừ (Checklist RVN-OCB #11)</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</si>
  <si>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</si>
  <si>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</si>
  <si>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1 điều kiện LIKE: a.gd_id NOT LIKE 'HSPTC%'; cú pháp hợp lệ; ý nghĩa nghiệp vụ cần người review đối chiếu job on-prem</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</si>
  <si>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</si>
  <si>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</si>
  <si>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mọi khối tổng hợp đều có điều kiện theo kỳ dữ liệu</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</si>
  <si>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</si>
  <si>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</si>
  <si>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</si>
  <si>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</si>
  <si>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</si>
  <si>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nguồn chỉ đọc trong 1 khối SELECT</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</si>
  <si>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</si>
  <si>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</si>
  <si>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</si>
  <si>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</si>
  <si>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</si>
  <si>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</si>
  <si>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CTE bị tham chiếu lại nhiều lần: gd_hub x2, kh_hub x3, ts_hub x2, s_gd_tdcn x3, r_dm x11</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</si>
  <si>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</si>
  <si>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</si>
  <si>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các bảng join đều được filter trước</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</si>
  <si>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</si>
  <si>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</si>
  <si>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5 CTE nặng dùng lại &gt;= 2 lần mà không có CACHE: gd_hub, kh_hub, r_dm, s_gd_tdcn, ts_hub</t>
  </si>
  <si>
    <t>Nếu một kết quả nặng được dùng lại nhiều bước trong cùng luồng, thêm CACHE TABLE / CACHE SELECT. Kết quả nhỏ thì cache còn chậm hơn — tự tick Pass.</t>
  </si>
  <si>
    <t>Ưu tiên MAX_BY + QUALIFY thay ROW_NUMBER() + WHERE rn = 1</t>
  </si>
  <si>
    <t>5 khối dùng MAX_BY độc lập cho &gt;5 cột (dòng 15,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</si>
  <si>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</si>
  <si>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</si>
  <si>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4 window function đều có comment</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</si>
  <si>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</si>
  <si>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</si>
  <si>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</si>
  <si>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</si>
  <si>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các bảng link_* đều được rút về current trước khi join</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</si>
  <si>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</si>
  <si>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</si>
  <si>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</si>
  <si>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các satellite đều LEFT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</si>
  <si>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</si>
  <si>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</si>
  <si>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</si>
  <si>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</si>
  <si>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</si>
  <si>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</si>
  <si>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</si>
  <si>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29 bảng Silver đều có thật trong Data Vault model</t>
  </si>
  <si>
    <t>X.11</t>
  </si>
  <si>
    <t>Cot doc tu satellite (sat_*) phai TON TAI THAT trong model</t>
  </si>
  <si>
    <t>mọi cột đọc từ sat_* đều tồn tại trong model thật</t>
  </si>
  <si>
    <t>KHÔNG TÌM THẤY workbook thiết kế cho object BPM_TAT_PDTD nên không đối chiếu được danh sách cột (SQL có 74 cột đầu ra)</t>
  </si>
  <si>
    <t>C:\ZoneC_DEV\zonec-datamart\tools\gold_review\input\sql\BPM_TAT_PDTD.sql</t>
  </si>
  <si>
    <t>BPM_TAT_PDTD không có workbook thiết kế tương ứng trong thư mục mapping</t>
  </si>
  <si>
    <t>45/85 CASE KHÔNG có nhánh ELSE -&gt; rơi ra ngoài mọi WHEN sẽ trả NULL âm thầm, tại dòng []; bổ sung ELSE (giá trị mặc định hoặc giá trị nghiệp vụ đúng như job on-prem)</t>
  </si>
  <si>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</si>
  <si>
    <t>1 điều kiện LIKE: xll.ma_giao_dich_xl LIKE 'GN%'; cú pháp hợp lệ; ý nghĩa nghiệp vụ cần người review đối chiếu job on-prem</t>
  </si>
  <si>
    <t>CTE bị tham chiếu lại nhiều lần: pd_hub x2, ks_hub x3, s_pd_sp x2, s_ks_qt x2, r_dm x10</t>
  </si>
  <si>
    <t>5 CTE nặng dùng lại &gt;= 2 lần mà không có CACHE: ks_hub, pd_hub, r_dm, s_ks_qt, s_pd_sp</t>
  </si>
  <si>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</si>
  <si>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5 window function đều có comment</t>
  </si>
  <si>
    <t>KHÔNG TÌM THẤY workbook thiết kế cho object BPM_TAT_TDCN nên không đối chiếu được danh sách cột (SQL có 73 cột đầu ra)</t>
  </si>
  <si>
    <t>C:\ZoneC_DEV\zonec-datamart\tools\gold_review\input\sql\BPM_TAT_TDCN.sql</t>
  </si>
  <si>
    <t>BPM_TAT_TDCN không có workbook thiết kế tương ứng trong thư mục mapping</t>
  </si>
  <si>
    <t>68/107 CASE KHÔNG có nhánh ELSE -&gt; rơi ra ngoài mọi WHEN sẽ trả NULL âm thầm, tại dòng []; bổ sung ELSE (giá trị mặc định hoặc giá trị nghiệp vụ đúng như job on-prem)</t>
  </si>
  <si>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</si>
  <si>
    <t>1 điều kiện LIKE: a.gd_id NOT LIKE 'HTDCN%'; cú pháp hợp lệ; ý nghĩa nghiệp vụ cần người review đối chiếu job on-prem</t>
  </si>
  <si>
    <t>CTE bị tham chiếu lại nhiều lần: gd_hub x2, kh_hub x4, ks_hub x2, ts_hub x2, s_gd_tdcn x4, s_kh x2, s_kh_cn x2, r_dm x12, r_sk10 x2</t>
  </si>
  <si>
    <t>9 CTE nặng dùng lại &gt;= 2 lần mà không có CACHE: gd_hub, kh_hub, ks_hub, r_dm, r_sk10, s_gd_tdcn, s_kh, s_kh_cn, ts_hub</t>
  </si>
  <si>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</si>
  <si>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6 window function đều có comment</t>
  </si>
  <si>
    <t>30 bảng Silver đều có thật trong Data Vault model</t>
  </si>
  <si>
    <t>GOLD_DERIVED</t>
  </si>
  <si>
    <t>workbook 001. OCB_GOLD_TCKH_V_BCN_THUNO_QUANG.xlsx: thiết kế 40 field, SQL có 40 cột</t>
  </si>
  <si>
    <t>C:\ZoneC_DEV\zonec-datamart\tools\gold_review\input\sql\loan_summary_list.sql</t>
  </si>
  <si>
    <t>lệch tên: SQL tạo object V_BCN_THUNO nhưng file đặt tên loan_summary_list.sql (LOAN_SUMMARY_LIST); xác nhận tên đúng rồi sửa cho khớp cả 3 nơi: câu CREATE, tên file, workbook thiết kế</t>
  </si>
  <si>
    <t>khong ap dung cho profile GOLD_DERIVED</t>
  </si>
  <si>
    <t>cả 1 CASE đều có nhánh ELSE</t>
  </si>
  <si>
    <t>mọi SUM/COUNT đều đã coalesce (trực tiếp hoặc ở lớp ngoài)</t>
  </si>
  <si>
    <t>script không có điều kiện LIKE hay scalar subquery nào</t>
  </si>
  <si>
    <t>không có CTE nào bị gọi lại</t>
  </si>
  <si>
    <t>1 bảng join trực tiếp mà không có filter riêng: tb_ar_bcn_dtl (bundle)</t>
  </si>
  <si>
    <t>không có kết quả nào được dùng lại nhiều lần nên chưa cần CACHE</t>
  </si>
  <si>
    <t>script không dùng ROW_NUMBER, và MAX_BY (nếu có) không vượt quá 5 cột/khối</t>
  </si>
  <si>
    <t>script không dùng window function</t>
  </si>
  <si>
    <t>script không đọc bảng raw_vault/business_vault nào</t>
  </si>
  <si>
    <t>không có bảng sat_* nào đủ điều kiện đối chiếu (Select chỉ đọc 1 bảng)</t>
  </si>
  <si>
    <t>workbook 072. OCB_GOLD_TCKH_PST_ENTR_FCT_QUANG.xlsx: thiết kế 25 field, SQL có 25 cột</t>
  </si>
  <si>
    <t>C:\ZoneC_DEV\zonec-datamart\tools\gold_review\input\sql\pst_entr_fct.sql</t>
  </si>
  <si>
    <t>PST_ENTR_FCT có workbook thiết kế: 072. OCB_GOLD_TCKH_PST_ENTR_FCT_QUANG.xlsx</t>
  </si>
  <si>
    <t>8 sts_hub_* đọc đúng format</t>
  </si>
  <si>
    <t>19 bảng đều đúng dạng điều kiện source_event_date</t>
  </si>
  <si>
    <t>cả 24 CASE đều có nhánh ELSE</t>
  </si>
  <si>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</si>
  <si>
    <t>56 bảng Silver đều có thật trong Data Vault model</t>
  </si>
  <si>
    <t>workbook 045. OCB_GOLD_TCKH_TB_AR_BCN_DTL_QUANG.xlsx: thiết kế 10 field, SQL có 10 cột</t>
  </si>
  <si>
    <t>C:\ZoneC_DEV\zonec-datamart\tools\gold_review\input\sql\tb_ar_bcn_dtl.sql</t>
  </si>
  <si>
    <t>TB_AR_BCN_DTL có workbook thiết kế: 045. OCB_GOLD_TCKH_TB_AR_BCN_DTL_QUANG.xlsx</t>
  </si>
  <si>
    <t>2 sts_hub_* đọc đúng format</t>
  </si>
  <si>
    <t>1 bảng đều đúng dạng điều kiện source_event_date</t>
  </si>
  <si>
    <t>cả 2 CASE đều có nhánh ELSE</t>
  </si>
  <si>
    <t>2 điều kiện LIKE: business_key LIKE 'LD%' | business_key LIKE 'PDLD%'; cú pháp hợp lệ; ý nghĩa nghiệp vụ cần người review đối chiếu job on-prem</t>
  </si>
  <si>
    <t>2 bảng join trực tiếp mà không có filter riêng: ref_t24_ld_economic_sector (r4), ref_t24_ld_economic_sector (r5)</t>
  </si>
  <si>
    <t>7 bảng Silver đều có thật trong Data Vault model</t>
  </si>
  <si>
    <t>workbook 030. OCB_GOLD_TCKH_V_T24_CRB_FULLLIST_PHAT.xlsx: thiết kế 18 field, SQL có 18 cột</t>
  </si>
  <si>
    <t>C:\ZoneC_DEV\zonec-datamart\tools\gold_review\input\sql\v_crb_fulllist.sql</t>
  </si>
  <si>
    <t>lệch tên: SQL tạo object V_T24_CRB_FULLLIST nhưng file đặt tên v_crb_fulllist.sql (V_CRB_FULLLIST); xác nhận tên đúng rồi sửa cho khớp cả 3 nơi: câu CREATE, tên file, workbook thiết kế</t>
  </si>
  <si>
    <t>1 sts_hub_* đọc đúng format</t>
  </si>
  <si>
    <t>script không có CASE WHEN nào</t>
  </si>
  <si>
    <t>1 bảng join trực tiếp mà không có filter riêng: branch_list (C)</t>
  </si>
  <si>
    <t>3 bảng Silver đều có thật trong Data Vault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</si>
</sst>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FFFFFF"/>
      <name val="Arial"/>
    </font>
    <font>
      <b/>
      <sz val="11"/>
      <color rgb="FF0069BA"/>
      <name val="Arial"/>
    </font>
    <font>
      <b/>
      <sz val="11"/>
      <color rgb="FF000080"/>
      <name val="Arial"/>
    </font>
    <font>
      <b/>
      <sz val="11"/>
      <color rgb="FF1FBA00"/>
      <name val="Arial"/>
    </font>
  </fonts>
  <fills count="8">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7" borderId="0" xfId="0" applyFont="1" applyFill="1" applyAlignment="1">
      <alignment vertical="center" wrapText="1"/>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6"/>
  <sheetViews>
    <sheetView showGridLines="0" tabSelected="1" zoomScale="90" zoomScaleNormal="90" workbookViewId="0">
      <pane xSplit="5" ySplit="2" topLeftCell="Y3" activePane="bottomRight" state="frozen"/>
      <selection pane="topRight" activeCell="F1" sqref="F1"/>
      <selection pane="bottomLeft" activeCell="A3" sqref="A3"/>
      <selection pane="bottomRight" activeCell="AA5" sqref="AA5"/>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 min="33" max="33" width="52" customWidth="1"/>
  </cols>
  <sheetData>
    <row r="1" spans="1:33" ht="21.75" customHeight="1">
      <c r="A1" s="41" t="s">
        <v>103</v>
      </c>
      <c r="B1" s="41" t="s">
        <v>104</v>
      </c>
      <c r="C1" s="41" t="s">
        <v>105</v>
      </c>
      <c r="D1" s="41" t="s">
        <v>106</v>
      </c>
      <c r="E1" s="41" t="s">
        <v>107</v>
      </c>
      <c r="F1" s="38" t="s">
        <v>108</v>
      </c>
      <c r="G1" s="40"/>
      <c r="H1" s="41" t="s">
        <v>109</v>
      </c>
      <c r="I1" s="39"/>
      <c r="J1" s="39"/>
      <c r="K1" s="39"/>
      <c r="L1" s="39"/>
      <c r="M1" s="39"/>
      <c r="N1" s="39"/>
      <c r="O1" s="39"/>
      <c r="P1" s="39"/>
      <c r="Q1" s="39"/>
      <c r="R1" s="39"/>
      <c r="S1" s="40"/>
      <c r="T1" s="38" t="s">
        <v>110</v>
      </c>
      <c r="U1" s="39"/>
      <c r="V1" s="39"/>
      <c r="W1" s="39"/>
      <c r="X1" s="39"/>
      <c r="Y1" s="40"/>
      <c r="Z1" s="41" t="s">
        <v>111</v>
      </c>
      <c r="AA1" s="39"/>
      <c r="AB1" s="39"/>
      <c r="AC1" s="39"/>
      <c r="AD1" s="39"/>
      <c r="AE1" s="39"/>
      <c r="AF1" s="40"/>
    </row>
    <row r="2" spans="1:33" ht="57" customHeight="1">
      <c r="A2" s="42"/>
      <c r="B2" s="42"/>
      <c r="C2" s="42"/>
      <c r="D2" s="42"/>
      <c r="E2" s="42"/>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c r="AG2" s="14" t="s">
        <v>139</v>
      </c>
    </row>
    <row r="3" spans="1:33" ht="30" customHeight="1">
      <c r="A3" s="26">
        <v>1</v>
      </c>
      <c r="B3" s="27" t="s">
        <v>140</v>
      </c>
      <c r="C3" s="27" t="s">
        <v>141</v>
      </c>
      <c r="D3" s="27"/>
      <c r="E3" s="27" t="s">
        <v>142</v>
      </c>
      <c r="F3" s="27" t="s">
        <v>143</v>
      </c>
      <c r="G3" s="27" t="s">
        <v>144</v>
      </c>
      <c r="H3" s="27" t="s">
        <v>145</v>
      </c>
      <c r="I3" s="27" t="s">
        <v>145</v>
      </c>
      <c r="J3" s="27" t="s">
        <v>145</v>
      </c>
      <c r="K3" s="27" t="s">
        <v>145</v>
      </c>
      <c r="L3" s="27" t="s">
        <v>145</v>
      </c>
      <c r="M3" s="27" t="s">
        <v>145</v>
      </c>
      <c r="N3" s="27" t="s">
        <v>144</v>
      </c>
      <c r="O3" s="27" t="s">
        <v>143</v>
      </c>
      <c r="P3" s="27" t="s">
        <v>145</v>
      </c>
      <c r="Q3" s="27" t="s">
        <v>145</v>
      </c>
      <c r="R3" s="27" t="s">
        <v>145</v>
      </c>
      <c r="S3" s="27" t="s">
        <v>145</v>
      </c>
      <c r="T3" s="27" t="s">
        <v>145</v>
      </c>
      <c r="U3" s="27" t="s">
        <v>143</v>
      </c>
      <c r="V3" s="27" t="s">
        <v>145</v>
      </c>
      <c r="W3" s="27" t="s">
        <v>143</v>
      </c>
      <c r="X3" s="27" t="s">
        <v>143</v>
      </c>
      <c r="Y3" s="27" t="s">
        <v>145</v>
      </c>
      <c r="Z3" s="21">
        <f t="shared" ref="Z3:Z30" si="0">IF(B3="","",IF(COUNTIF(F3:G3,"Fail")&gt;0,1,0))</f>
        <v>1</v>
      </c>
      <c r="AA3" s="21">
        <f t="shared" ref="AA3:AA30" si="1">IF(B3="","",IF(COUNTIF(H3:S3,"Fail")&gt;0,1,0))</f>
        <v>1</v>
      </c>
      <c r="AB3" s="21">
        <f t="shared" ref="AB3:AB30" si="2">IF(B3="","",IF(COUNTIF(T3:Y3,"Fail")&gt;0,1,0))</f>
        <v>0</v>
      </c>
      <c r="AC3" s="22">
        <f t="shared" ref="AC3:AC30" si="3">IF(B3="","",0.1*Z3+0.8*AA3+0.1*AB3)</f>
        <v>0.9</v>
      </c>
      <c r="AD3" s="22">
        <f t="shared" ref="AD3:AD30" si="4">IF(B3="","",IF(C3="Batch 1",0.3,0.2))</f>
        <v>0.2</v>
      </c>
      <c r="AE3" s="17" t="str">
        <f t="shared" ref="AE3:AE30" si="5">IF(B3="","",IF(AC3&lt;=AD3,"Đạt","Không đạt"))</f>
        <v>Không đạt</v>
      </c>
      <c r="AF3" s="28" t="s">
        <v>146</v>
      </c>
      <c r="AG3" s="28"/>
    </row>
    <row r="4" spans="1:33" ht="30" customHeight="1">
      <c r="A4" s="15">
        <v>2</v>
      </c>
      <c r="B4" s="29" t="s">
        <v>147</v>
      </c>
      <c r="C4" s="30" t="s">
        <v>141</v>
      </c>
      <c r="D4" s="30"/>
      <c r="E4" s="30" t="s">
        <v>142</v>
      </c>
      <c r="F4" s="31" t="s">
        <v>143</v>
      </c>
      <c r="G4" s="31" t="s">
        <v>144</v>
      </c>
      <c r="H4" s="31" t="s">
        <v>145</v>
      </c>
      <c r="I4" s="31" t="s">
        <v>145</v>
      </c>
      <c r="J4" s="31" t="s">
        <v>145</v>
      </c>
      <c r="K4" s="31" t="s">
        <v>145</v>
      </c>
      <c r="L4" s="31" t="s">
        <v>145</v>
      </c>
      <c r="M4" s="31" t="s">
        <v>145</v>
      </c>
      <c r="N4" s="31" t="s">
        <v>144</v>
      </c>
      <c r="O4" s="31" t="s">
        <v>143</v>
      </c>
      <c r="P4" s="31" t="s">
        <v>145</v>
      </c>
      <c r="Q4" s="31" t="s">
        <v>145</v>
      </c>
      <c r="R4" s="31" t="s">
        <v>145</v>
      </c>
      <c r="S4" s="31" t="s">
        <v>145</v>
      </c>
      <c r="T4" s="31" t="s">
        <v>145</v>
      </c>
      <c r="U4" s="31" t="s">
        <v>143</v>
      </c>
      <c r="V4" s="31" t="s">
        <v>145</v>
      </c>
      <c r="W4" s="31" t="s">
        <v>143</v>
      </c>
      <c r="X4" s="31" t="s">
        <v>143</v>
      </c>
      <c r="Y4" s="31" t="s">
        <v>145</v>
      </c>
      <c r="Z4" s="21">
        <f t="shared" si="0"/>
        <v>1</v>
      </c>
      <c r="AA4" s="21">
        <f t="shared" si="1"/>
        <v>1</v>
      </c>
      <c r="AB4" s="21">
        <f t="shared" si="2"/>
        <v>0</v>
      </c>
      <c r="AC4" s="22">
        <f t="shared" si="3"/>
        <v>0.9</v>
      </c>
      <c r="AD4" s="22">
        <f t="shared" si="4"/>
        <v>0.2</v>
      </c>
      <c r="AE4" s="17" t="str">
        <f t="shared" si="5"/>
        <v>Không đạt</v>
      </c>
      <c r="AF4" s="28" t="s">
        <v>148</v>
      </c>
      <c r="AG4" s="28"/>
    </row>
    <row r="5" spans="1:33" ht="30" customHeight="1">
      <c r="A5" s="15">
        <v>3</v>
      </c>
      <c r="B5" s="29" t="s">
        <v>149</v>
      </c>
      <c r="C5" s="30" t="s">
        <v>141</v>
      </c>
      <c r="D5" s="30"/>
      <c r="E5" s="30" t="s">
        <v>142</v>
      </c>
      <c r="F5" s="31" t="s">
        <v>143</v>
      </c>
      <c r="G5" s="31" t="s">
        <v>144</v>
      </c>
      <c r="H5" s="31" t="s">
        <v>145</v>
      </c>
      <c r="I5" s="31" t="s">
        <v>145</v>
      </c>
      <c r="J5" s="31" t="s">
        <v>145</v>
      </c>
      <c r="K5" s="31" t="s">
        <v>145</v>
      </c>
      <c r="L5" s="31" t="s">
        <v>145</v>
      </c>
      <c r="M5" s="31" t="s">
        <v>145</v>
      </c>
      <c r="N5" s="31" t="s">
        <v>144</v>
      </c>
      <c r="O5" s="31" t="s">
        <v>143</v>
      </c>
      <c r="P5" s="31" t="s">
        <v>145</v>
      </c>
      <c r="Q5" s="31" t="s">
        <v>145</v>
      </c>
      <c r="R5" s="31" t="s">
        <v>145</v>
      </c>
      <c r="S5" s="31" t="s">
        <v>145</v>
      </c>
      <c r="T5" s="31" t="s">
        <v>145</v>
      </c>
      <c r="U5" s="31" t="s">
        <v>143</v>
      </c>
      <c r="V5" s="31" t="s">
        <v>145</v>
      </c>
      <c r="W5" s="31" t="s">
        <v>143</v>
      </c>
      <c r="X5" s="31" t="s">
        <v>143</v>
      </c>
      <c r="Y5" s="31" t="s">
        <v>145</v>
      </c>
      <c r="Z5" s="21">
        <f t="shared" si="0"/>
        <v>1</v>
      </c>
      <c r="AA5" s="21">
        <f t="shared" si="1"/>
        <v>1</v>
      </c>
      <c r="AB5" s="21">
        <f t="shared" si="2"/>
        <v>0</v>
      </c>
      <c r="AC5" s="22">
        <f t="shared" si="3"/>
        <v>0.9</v>
      </c>
      <c r="AD5" s="22">
        <f t="shared" si="4"/>
        <v>0.2</v>
      </c>
      <c r="AE5" s="17" t="str">
        <f t="shared" si="5"/>
        <v>Không đạt</v>
      </c>
      <c r="AF5" s="28" t="s">
        <v>150</v>
      </c>
      <c r="AG5" s="28"/>
    </row>
    <row r="6" spans="1:33" ht="30" customHeight="1">
      <c r="A6" s="15">
        <v>8</v>
      </c>
      <c r="B6" s="16"/>
      <c r="C6" s="15"/>
      <c r="D6" s="15"/>
      <c r="E6" s="15"/>
      <c r="F6" s="21"/>
      <c r="G6" s="21"/>
      <c r="H6" s="21"/>
      <c r="I6" s="21"/>
      <c r="J6" s="21"/>
      <c r="K6" s="21"/>
      <c r="L6" s="21"/>
      <c r="M6" s="21"/>
      <c r="N6" s="21"/>
      <c r="O6" s="21"/>
      <c r="P6" s="21"/>
      <c r="Q6" s="21"/>
      <c r="R6" s="21"/>
      <c r="S6" s="21"/>
      <c r="T6" s="21"/>
      <c r="U6" s="21"/>
      <c r="V6" s="21"/>
      <c r="W6" s="21"/>
      <c r="X6" s="21"/>
      <c r="Y6" s="21"/>
      <c r="Z6" s="21" t="str">
        <f t="shared" si="0"/>
        <v/>
      </c>
      <c r="AA6" s="21" t="str">
        <f t="shared" si="1"/>
        <v/>
      </c>
      <c r="AB6" s="21" t="str">
        <f t="shared" si="2"/>
        <v/>
      </c>
      <c r="AC6" s="22" t="str">
        <f t="shared" si="3"/>
        <v/>
      </c>
      <c r="AD6" s="22" t="str">
        <f t="shared" si="4"/>
        <v/>
      </c>
      <c r="AE6" s="17" t="str">
        <f t="shared" si="5"/>
        <v/>
      </c>
      <c r="AF6" s="23"/>
    </row>
    <row r="7" spans="1:33" ht="30" customHeight="1">
      <c r="A7" s="15">
        <v>9</v>
      </c>
      <c r="B7" s="16"/>
      <c r="C7" s="15"/>
      <c r="D7" s="15"/>
      <c r="E7" s="15"/>
      <c r="F7" s="21"/>
      <c r="G7" s="21"/>
      <c r="H7" s="21"/>
      <c r="I7" s="21"/>
      <c r="J7" s="21"/>
      <c r="K7" s="21"/>
      <c r="L7" s="21"/>
      <c r="M7" s="21"/>
      <c r="N7" s="21"/>
      <c r="O7" s="21"/>
      <c r="P7" s="21"/>
      <c r="Q7" s="21"/>
      <c r="R7" s="21"/>
      <c r="S7" s="21"/>
      <c r="T7" s="21"/>
      <c r="U7" s="21"/>
      <c r="V7" s="21"/>
      <c r="W7" s="21"/>
      <c r="X7" s="21"/>
      <c r="Y7" s="21"/>
      <c r="Z7" s="21" t="str">
        <f t="shared" si="0"/>
        <v/>
      </c>
      <c r="AA7" s="21" t="str">
        <f t="shared" si="1"/>
        <v/>
      </c>
      <c r="AB7" s="21" t="str">
        <f t="shared" si="2"/>
        <v/>
      </c>
      <c r="AC7" s="22" t="str">
        <f t="shared" si="3"/>
        <v/>
      </c>
      <c r="AD7" s="22" t="str">
        <f t="shared" si="4"/>
        <v/>
      </c>
      <c r="AE7" s="17" t="str">
        <f t="shared" si="5"/>
        <v/>
      </c>
      <c r="AF7" s="23"/>
    </row>
    <row r="8" spans="1:33" ht="30" customHeight="1">
      <c r="A8" s="15">
        <v>10</v>
      </c>
      <c r="B8" s="16"/>
      <c r="C8" s="15"/>
      <c r="D8" s="15"/>
      <c r="E8" s="15"/>
      <c r="F8" s="21"/>
      <c r="G8" s="21"/>
      <c r="H8" s="21"/>
      <c r="I8" s="21"/>
      <c r="J8" s="21"/>
      <c r="K8" s="21"/>
      <c r="L8" s="21"/>
      <c r="M8" s="21"/>
      <c r="N8" s="21"/>
      <c r="O8" s="21"/>
      <c r="P8" s="21"/>
      <c r="Q8" s="21"/>
      <c r="R8" s="21"/>
      <c r="S8" s="21"/>
      <c r="T8" s="21"/>
      <c r="U8" s="21"/>
      <c r="V8" s="21"/>
      <c r="W8" s="21"/>
      <c r="X8" s="21"/>
      <c r="Y8" s="21"/>
      <c r="Z8" s="21" t="str">
        <f t="shared" si="0"/>
        <v/>
      </c>
      <c r="AA8" s="21" t="str">
        <f t="shared" si="1"/>
        <v/>
      </c>
      <c r="AB8" s="21" t="str">
        <f t="shared" si="2"/>
        <v/>
      </c>
      <c r="AC8" s="22" t="str">
        <f t="shared" si="3"/>
        <v/>
      </c>
      <c r="AD8" s="22" t="str">
        <f t="shared" si="4"/>
        <v/>
      </c>
      <c r="AE8" s="17" t="str">
        <f t="shared" si="5"/>
        <v/>
      </c>
      <c r="AF8" s="23"/>
    </row>
    <row r="9" spans="1:33" ht="30" customHeight="1">
      <c r="A9" s="15">
        <v>11</v>
      </c>
      <c r="B9" s="16"/>
      <c r="C9" s="15"/>
      <c r="D9" s="15"/>
      <c r="E9" s="15"/>
      <c r="F9" s="21"/>
      <c r="G9" s="21"/>
      <c r="H9" s="21"/>
      <c r="I9" s="21"/>
      <c r="J9" s="21"/>
      <c r="K9" s="21"/>
      <c r="L9" s="21"/>
      <c r="M9" s="21"/>
      <c r="N9" s="21"/>
      <c r="O9" s="21"/>
      <c r="P9" s="21"/>
      <c r="Q9" s="21"/>
      <c r="R9" s="21"/>
      <c r="S9" s="21"/>
      <c r="T9" s="21"/>
      <c r="U9" s="21"/>
      <c r="V9" s="21"/>
      <c r="W9" s="21"/>
      <c r="X9" s="21"/>
      <c r="Y9" s="21"/>
      <c r="Z9" s="21" t="str">
        <f t="shared" si="0"/>
        <v/>
      </c>
      <c r="AA9" s="21" t="str">
        <f t="shared" si="1"/>
        <v/>
      </c>
      <c r="AB9" s="21" t="str">
        <f t="shared" si="2"/>
        <v/>
      </c>
      <c r="AC9" s="22" t="str">
        <f t="shared" si="3"/>
        <v/>
      </c>
      <c r="AD9" s="22" t="str">
        <f t="shared" si="4"/>
        <v/>
      </c>
      <c r="AE9" s="17" t="str">
        <f t="shared" si="5"/>
        <v/>
      </c>
      <c r="AF9" s="23"/>
    </row>
    <row r="10" spans="1:33" ht="30" customHeight="1">
      <c r="A10" s="15">
        <v>12</v>
      </c>
      <c r="B10" s="16"/>
      <c r="C10" s="15"/>
      <c r="D10" s="15"/>
      <c r="E10" s="15"/>
      <c r="F10" s="21"/>
      <c r="G10" s="21"/>
      <c r="H10" s="21"/>
      <c r="I10" s="21"/>
      <c r="J10" s="21"/>
      <c r="K10" s="21"/>
      <c r="L10" s="21"/>
      <c r="M10" s="21"/>
      <c r="N10" s="21"/>
      <c r="O10" s="21"/>
      <c r="P10" s="21"/>
      <c r="Q10" s="21"/>
      <c r="R10" s="21"/>
      <c r="S10" s="21"/>
      <c r="T10" s="21"/>
      <c r="U10" s="21"/>
      <c r="V10" s="21"/>
      <c r="W10" s="21"/>
      <c r="X10" s="21"/>
      <c r="Y10" s="21"/>
      <c r="Z10" s="21" t="str">
        <f t="shared" si="0"/>
        <v/>
      </c>
      <c r="AA10" s="21" t="str">
        <f t="shared" si="1"/>
        <v/>
      </c>
      <c r="AB10" s="21" t="str">
        <f t="shared" si="2"/>
        <v/>
      </c>
      <c r="AC10" s="22" t="str">
        <f t="shared" si="3"/>
        <v/>
      </c>
      <c r="AD10" s="22" t="str">
        <f t="shared" si="4"/>
        <v/>
      </c>
      <c r="AE10" s="17" t="str">
        <f t="shared" si="5"/>
        <v/>
      </c>
      <c r="AF10" s="23"/>
    </row>
    <row r="11" spans="1:33" ht="30" customHeight="1">
      <c r="A11" s="15">
        <v>13</v>
      </c>
      <c r="B11" s="16"/>
      <c r="C11" s="15"/>
      <c r="D11" s="15"/>
      <c r="E11" s="15"/>
      <c r="F11" s="21"/>
      <c r="G11" s="21"/>
      <c r="H11" s="21"/>
      <c r="I11" s="21"/>
      <c r="J11" s="21"/>
      <c r="K11" s="21"/>
      <c r="L11" s="21"/>
      <c r="M11" s="21"/>
      <c r="N11" s="21"/>
      <c r="O11" s="21"/>
      <c r="P11" s="21"/>
      <c r="Q11" s="21"/>
      <c r="R11" s="21"/>
      <c r="S11" s="21"/>
      <c r="T11" s="21"/>
      <c r="U11" s="21"/>
      <c r="V11" s="21"/>
      <c r="W11" s="21"/>
      <c r="X11" s="21"/>
      <c r="Y11" s="21"/>
      <c r="Z11" s="21" t="str">
        <f t="shared" si="0"/>
        <v/>
      </c>
      <c r="AA11" s="21" t="str">
        <f t="shared" si="1"/>
        <v/>
      </c>
      <c r="AB11" s="21" t="str">
        <f t="shared" si="2"/>
        <v/>
      </c>
      <c r="AC11" s="22" t="str">
        <f t="shared" si="3"/>
        <v/>
      </c>
      <c r="AD11" s="22" t="str">
        <f t="shared" si="4"/>
        <v/>
      </c>
      <c r="AE11" s="17" t="str">
        <f t="shared" si="5"/>
        <v/>
      </c>
      <c r="AF11" s="23"/>
    </row>
    <row r="12" spans="1:33" ht="30" customHeight="1">
      <c r="A12" s="15">
        <v>14</v>
      </c>
      <c r="B12" s="16"/>
      <c r="C12" s="15"/>
      <c r="D12" s="15"/>
      <c r="E12" s="15"/>
      <c r="F12" s="21"/>
      <c r="G12" s="21"/>
      <c r="H12" s="21"/>
      <c r="I12" s="21"/>
      <c r="J12" s="21"/>
      <c r="K12" s="21"/>
      <c r="L12" s="21"/>
      <c r="M12" s="21"/>
      <c r="N12" s="21"/>
      <c r="O12" s="21"/>
      <c r="P12" s="21"/>
      <c r="Q12" s="21"/>
      <c r="R12" s="21"/>
      <c r="S12" s="21"/>
      <c r="T12" s="21"/>
      <c r="U12" s="21"/>
      <c r="V12" s="21"/>
      <c r="W12" s="21"/>
      <c r="X12" s="21"/>
      <c r="Y12" s="21"/>
      <c r="Z12" s="21" t="str">
        <f t="shared" si="0"/>
        <v/>
      </c>
      <c r="AA12" s="21" t="str">
        <f t="shared" si="1"/>
        <v/>
      </c>
      <c r="AB12" s="21" t="str">
        <f t="shared" si="2"/>
        <v/>
      </c>
      <c r="AC12" s="22" t="str">
        <f t="shared" si="3"/>
        <v/>
      </c>
      <c r="AD12" s="22" t="str">
        <f t="shared" si="4"/>
        <v/>
      </c>
      <c r="AE12" s="17" t="str">
        <f t="shared" si="5"/>
        <v/>
      </c>
      <c r="AF12" s="23"/>
    </row>
    <row r="13" spans="1:33" ht="30" customHeight="1">
      <c r="A13" s="15">
        <v>15</v>
      </c>
      <c r="B13" s="16"/>
      <c r="C13" s="15"/>
      <c r="D13" s="15"/>
      <c r="E13" s="15"/>
      <c r="F13" s="21"/>
      <c r="G13" s="21"/>
      <c r="H13" s="21"/>
      <c r="I13" s="21"/>
      <c r="J13" s="21"/>
      <c r="K13" s="21"/>
      <c r="L13" s="21"/>
      <c r="M13" s="21"/>
      <c r="N13" s="21"/>
      <c r="O13" s="21"/>
      <c r="P13" s="21"/>
      <c r="Q13" s="21"/>
      <c r="R13" s="21"/>
      <c r="S13" s="21"/>
      <c r="T13" s="21"/>
      <c r="U13" s="21"/>
      <c r="V13" s="21"/>
      <c r="W13" s="21"/>
      <c r="X13" s="21"/>
      <c r="Y13" s="21"/>
      <c r="Z13" s="21" t="str">
        <f t="shared" si="0"/>
        <v/>
      </c>
      <c r="AA13" s="21" t="str">
        <f t="shared" si="1"/>
        <v/>
      </c>
      <c r="AB13" s="21" t="str">
        <f t="shared" si="2"/>
        <v/>
      </c>
      <c r="AC13" s="22" t="str">
        <f t="shared" si="3"/>
        <v/>
      </c>
      <c r="AD13" s="22" t="str">
        <f t="shared" si="4"/>
        <v/>
      </c>
      <c r="AE13" s="17" t="str">
        <f t="shared" si="5"/>
        <v/>
      </c>
      <c r="AF13" s="23"/>
    </row>
    <row r="14" spans="1:33" ht="30" customHeight="1">
      <c r="A14" s="15">
        <v>16</v>
      </c>
      <c r="B14" s="16"/>
      <c r="C14" s="15"/>
      <c r="D14" s="15"/>
      <c r="E14" s="15"/>
      <c r="F14" s="21"/>
      <c r="G14" s="21"/>
      <c r="H14" s="21"/>
      <c r="I14" s="21"/>
      <c r="J14" s="21"/>
      <c r="K14" s="21"/>
      <c r="L14" s="21"/>
      <c r="M14" s="21"/>
      <c r="N14" s="21"/>
      <c r="O14" s="21"/>
      <c r="P14" s="21"/>
      <c r="Q14" s="21"/>
      <c r="R14" s="21"/>
      <c r="S14" s="21"/>
      <c r="T14" s="21"/>
      <c r="U14" s="21"/>
      <c r="V14" s="21"/>
      <c r="W14" s="21"/>
      <c r="X14" s="21"/>
      <c r="Y14" s="21"/>
      <c r="Z14" s="21" t="str">
        <f t="shared" si="0"/>
        <v/>
      </c>
      <c r="AA14" s="21" t="str">
        <f t="shared" si="1"/>
        <v/>
      </c>
      <c r="AB14" s="21" t="str">
        <f t="shared" si="2"/>
        <v/>
      </c>
      <c r="AC14" s="22" t="str">
        <f t="shared" si="3"/>
        <v/>
      </c>
      <c r="AD14" s="22" t="str">
        <f t="shared" si="4"/>
        <v/>
      </c>
      <c r="AE14" s="17" t="str">
        <f t="shared" si="5"/>
        <v/>
      </c>
      <c r="AF14" s="23"/>
    </row>
    <row r="15" spans="1:33" ht="30" customHeight="1">
      <c r="A15" s="15">
        <v>17</v>
      </c>
      <c r="B15" s="16"/>
      <c r="C15" s="15"/>
      <c r="D15" s="15"/>
      <c r="E15" s="15"/>
      <c r="F15" s="21"/>
      <c r="G15" s="21"/>
      <c r="H15" s="21"/>
      <c r="I15" s="21"/>
      <c r="J15" s="21"/>
      <c r="K15" s="21"/>
      <c r="L15" s="21"/>
      <c r="M15" s="21"/>
      <c r="N15" s="21"/>
      <c r="O15" s="21"/>
      <c r="P15" s="21"/>
      <c r="Q15" s="21"/>
      <c r="R15" s="21"/>
      <c r="S15" s="21"/>
      <c r="T15" s="21"/>
      <c r="U15" s="21"/>
      <c r="V15" s="21"/>
      <c r="W15" s="21"/>
      <c r="X15" s="21"/>
      <c r="Y15" s="21"/>
      <c r="Z15" s="21" t="str">
        <f t="shared" si="0"/>
        <v/>
      </c>
      <c r="AA15" s="21" t="str">
        <f t="shared" si="1"/>
        <v/>
      </c>
      <c r="AB15" s="21" t="str">
        <f t="shared" si="2"/>
        <v/>
      </c>
      <c r="AC15" s="22" t="str">
        <f t="shared" si="3"/>
        <v/>
      </c>
      <c r="AD15" s="22" t="str">
        <f t="shared" si="4"/>
        <v/>
      </c>
      <c r="AE15" s="17" t="str">
        <f t="shared" si="5"/>
        <v/>
      </c>
      <c r="AF15" s="23"/>
    </row>
    <row r="16" spans="1:33" ht="30" customHeight="1">
      <c r="A16" s="15">
        <v>18</v>
      </c>
      <c r="B16" s="16"/>
      <c r="C16" s="15"/>
      <c r="D16" s="15"/>
      <c r="E16" s="15"/>
      <c r="F16" s="21"/>
      <c r="G16" s="21"/>
      <c r="H16" s="21"/>
      <c r="I16" s="21"/>
      <c r="J16" s="21"/>
      <c r="K16" s="21"/>
      <c r="L16" s="21"/>
      <c r="M16" s="21"/>
      <c r="N16" s="21"/>
      <c r="O16" s="21"/>
      <c r="P16" s="21"/>
      <c r="Q16" s="21"/>
      <c r="R16" s="21"/>
      <c r="S16" s="21"/>
      <c r="T16" s="21"/>
      <c r="U16" s="21"/>
      <c r="V16" s="21"/>
      <c r="W16" s="21"/>
      <c r="X16" s="21"/>
      <c r="Y16" s="21"/>
      <c r="Z16" s="21" t="str">
        <f t="shared" si="0"/>
        <v/>
      </c>
      <c r="AA16" s="21" t="str">
        <f t="shared" si="1"/>
        <v/>
      </c>
      <c r="AB16" s="21" t="str">
        <f t="shared" si="2"/>
        <v/>
      </c>
      <c r="AC16" s="22" t="str">
        <f t="shared" si="3"/>
        <v/>
      </c>
      <c r="AD16" s="22" t="str">
        <f t="shared" si="4"/>
        <v/>
      </c>
      <c r="AE16" s="17" t="str">
        <f t="shared" si="5"/>
        <v/>
      </c>
      <c r="AF16" s="23"/>
    </row>
    <row r="17" spans="1:32" ht="30" customHeight="1">
      <c r="A17" s="15">
        <v>19</v>
      </c>
      <c r="B17" s="16"/>
      <c r="C17" s="15"/>
      <c r="D17" s="15"/>
      <c r="E17" s="15"/>
      <c r="F17" s="21"/>
      <c r="G17" s="21"/>
      <c r="H17" s="21"/>
      <c r="I17" s="21"/>
      <c r="J17" s="21"/>
      <c r="K17" s="21"/>
      <c r="L17" s="21"/>
      <c r="M17" s="21"/>
      <c r="N17" s="21"/>
      <c r="O17" s="21"/>
      <c r="P17" s="21"/>
      <c r="Q17" s="21"/>
      <c r="R17" s="21"/>
      <c r="S17" s="21"/>
      <c r="T17" s="21"/>
      <c r="U17" s="21"/>
      <c r="V17" s="21"/>
      <c r="W17" s="21"/>
      <c r="X17" s="21"/>
      <c r="Y17" s="21"/>
      <c r="Z17" s="21" t="str">
        <f t="shared" si="0"/>
        <v/>
      </c>
      <c r="AA17" s="21" t="str">
        <f t="shared" si="1"/>
        <v/>
      </c>
      <c r="AB17" s="21" t="str">
        <f t="shared" si="2"/>
        <v/>
      </c>
      <c r="AC17" s="22" t="str">
        <f t="shared" si="3"/>
        <v/>
      </c>
      <c r="AD17" s="22" t="str">
        <f t="shared" si="4"/>
        <v/>
      </c>
      <c r="AE17" s="17" t="str">
        <f t="shared" si="5"/>
        <v/>
      </c>
      <c r="AF17" s="23"/>
    </row>
    <row r="18" spans="1:32" ht="30" customHeight="1">
      <c r="A18" s="15">
        <v>20</v>
      </c>
      <c r="B18" s="16"/>
      <c r="C18" s="15"/>
      <c r="D18" s="15"/>
      <c r="E18" s="15"/>
      <c r="F18" s="21"/>
      <c r="G18" s="21"/>
      <c r="H18" s="21"/>
      <c r="I18" s="21"/>
      <c r="J18" s="21"/>
      <c r="K18" s="21"/>
      <c r="L18" s="21"/>
      <c r="M18" s="21"/>
      <c r="N18" s="21"/>
      <c r="O18" s="21"/>
      <c r="P18" s="21"/>
      <c r="Q18" s="21"/>
      <c r="R18" s="21"/>
      <c r="S18" s="21"/>
      <c r="T18" s="21"/>
      <c r="U18" s="21"/>
      <c r="V18" s="21"/>
      <c r="W18" s="21"/>
      <c r="X18" s="21"/>
      <c r="Y18" s="21"/>
      <c r="Z18" s="21" t="str">
        <f t="shared" si="0"/>
        <v/>
      </c>
      <c r="AA18" s="21" t="str">
        <f t="shared" si="1"/>
        <v/>
      </c>
      <c r="AB18" s="21" t="str">
        <f t="shared" si="2"/>
        <v/>
      </c>
      <c r="AC18" s="22" t="str">
        <f t="shared" si="3"/>
        <v/>
      </c>
      <c r="AD18" s="22" t="str">
        <f t="shared" si="4"/>
        <v/>
      </c>
      <c r="AE18" s="17" t="str">
        <f t="shared" si="5"/>
        <v/>
      </c>
      <c r="AF18" s="23"/>
    </row>
    <row r="19" spans="1:32" ht="30" customHeight="1">
      <c r="A19" s="15">
        <v>21</v>
      </c>
      <c r="B19" s="16"/>
      <c r="C19" s="15"/>
      <c r="D19" s="15"/>
      <c r="E19" s="15"/>
      <c r="F19" s="21"/>
      <c r="G19" s="21"/>
      <c r="H19" s="21"/>
      <c r="I19" s="21"/>
      <c r="J19" s="21"/>
      <c r="K19" s="21"/>
      <c r="L19" s="21"/>
      <c r="M19" s="21"/>
      <c r="N19" s="21"/>
      <c r="O19" s="21"/>
      <c r="P19" s="21"/>
      <c r="Q19" s="21"/>
      <c r="R19" s="21"/>
      <c r="S19" s="21"/>
      <c r="T19" s="21"/>
      <c r="U19" s="21"/>
      <c r="V19" s="21"/>
      <c r="W19" s="21"/>
      <c r="X19" s="21"/>
      <c r="Y19" s="21"/>
      <c r="Z19" s="21" t="str">
        <f t="shared" si="0"/>
        <v/>
      </c>
      <c r="AA19" s="21" t="str">
        <f t="shared" si="1"/>
        <v/>
      </c>
      <c r="AB19" s="21" t="str">
        <f t="shared" si="2"/>
        <v/>
      </c>
      <c r="AC19" s="22" t="str">
        <f t="shared" si="3"/>
        <v/>
      </c>
      <c r="AD19" s="22" t="str">
        <f t="shared" si="4"/>
        <v/>
      </c>
      <c r="AE19" s="17" t="str">
        <f t="shared" si="5"/>
        <v/>
      </c>
      <c r="AF19" s="23"/>
    </row>
    <row r="20" spans="1:32" ht="30" customHeight="1">
      <c r="A20" s="15">
        <v>22</v>
      </c>
      <c r="B20" s="16"/>
      <c r="C20" s="15"/>
      <c r="D20" s="15"/>
      <c r="E20" s="15"/>
      <c r="F20" s="21"/>
      <c r="G20" s="21"/>
      <c r="H20" s="21"/>
      <c r="I20" s="21"/>
      <c r="J20" s="21"/>
      <c r="K20" s="21"/>
      <c r="L20" s="21"/>
      <c r="M20" s="21"/>
      <c r="N20" s="21"/>
      <c r="O20" s="21"/>
      <c r="P20" s="21"/>
      <c r="Q20" s="21"/>
      <c r="R20" s="21"/>
      <c r="S20" s="21"/>
      <c r="T20" s="21"/>
      <c r="U20" s="21"/>
      <c r="V20" s="21"/>
      <c r="W20" s="21"/>
      <c r="X20" s="21"/>
      <c r="Y20" s="21"/>
      <c r="Z20" s="21" t="str">
        <f t="shared" si="0"/>
        <v/>
      </c>
      <c r="AA20" s="21" t="str">
        <f t="shared" si="1"/>
        <v/>
      </c>
      <c r="AB20" s="21" t="str">
        <f t="shared" si="2"/>
        <v/>
      </c>
      <c r="AC20" s="22" t="str">
        <f t="shared" si="3"/>
        <v/>
      </c>
      <c r="AD20" s="22" t="str">
        <f t="shared" si="4"/>
        <v/>
      </c>
      <c r="AE20" s="17" t="str">
        <f t="shared" si="5"/>
        <v/>
      </c>
      <c r="AF20" s="23"/>
    </row>
    <row r="21" spans="1:32" ht="30" customHeight="1">
      <c r="A21" s="15">
        <v>23</v>
      </c>
      <c r="B21" s="16"/>
      <c r="C21" s="15"/>
      <c r="D21" s="15"/>
      <c r="E21" s="15"/>
      <c r="F21" s="21"/>
      <c r="G21" s="21"/>
      <c r="H21" s="21"/>
      <c r="I21" s="21"/>
      <c r="J21" s="21"/>
      <c r="K21" s="21"/>
      <c r="L21" s="21"/>
      <c r="M21" s="21"/>
      <c r="N21" s="21"/>
      <c r="O21" s="21"/>
      <c r="P21" s="21"/>
      <c r="Q21" s="21"/>
      <c r="R21" s="21"/>
      <c r="S21" s="21"/>
      <c r="T21" s="21"/>
      <c r="U21" s="21"/>
      <c r="V21" s="21"/>
      <c r="W21" s="21"/>
      <c r="X21" s="21"/>
      <c r="Y21" s="21"/>
      <c r="Z21" s="21" t="str">
        <f t="shared" si="0"/>
        <v/>
      </c>
      <c r="AA21" s="21" t="str">
        <f t="shared" si="1"/>
        <v/>
      </c>
      <c r="AB21" s="21" t="str">
        <f t="shared" si="2"/>
        <v/>
      </c>
      <c r="AC21" s="22" t="str">
        <f t="shared" si="3"/>
        <v/>
      </c>
      <c r="AD21" s="22" t="str">
        <f t="shared" si="4"/>
        <v/>
      </c>
      <c r="AE21" s="17" t="str">
        <f t="shared" si="5"/>
        <v/>
      </c>
      <c r="AF21" s="23"/>
    </row>
    <row r="22" spans="1:32" ht="30" customHeight="1">
      <c r="A22" s="15">
        <v>24</v>
      </c>
      <c r="B22" s="16"/>
      <c r="C22" s="15"/>
      <c r="D22" s="15"/>
      <c r="E22" s="15"/>
      <c r="F22" s="21"/>
      <c r="G22" s="21"/>
      <c r="H22" s="21"/>
      <c r="I22" s="21"/>
      <c r="J22" s="21"/>
      <c r="K22" s="21"/>
      <c r="L22" s="21"/>
      <c r="M22" s="21"/>
      <c r="N22" s="21"/>
      <c r="O22" s="21"/>
      <c r="P22" s="21"/>
      <c r="Q22" s="21"/>
      <c r="R22" s="21"/>
      <c r="S22" s="21"/>
      <c r="T22" s="21"/>
      <c r="U22" s="21"/>
      <c r="V22" s="21"/>
      <c r="W22" s="21"/>
      <c r="X22" s="21"/>
      <c r="Y22" s="21"/>
      <c r="Z22" s="21" t="str">
        <f t="shared" si="0"/>
        <v/>
      </c>
      <c r="AA22" s="21" t="str">
        <f t="shared" si="1"/>
        <v/>
      </c>
      <c r="AB22" s="21" t="str">
        <f t="shared" si="2"/>
        <v/>
      </c>
      <c r="AC22" s="22" t="str">
        <f t="shared" si="3"/>
        <v/>
      </c>
      <c r="AD22" s="22" t="str">
        <f t="shared" si="4"/>
        <v/>
      </c>
      <c r="AE22" s="17" t="str">
        <f t="shared" si="5"/>
        <v/>
      </c>
      <c r="AF22" s="23"/>
    </row>
    <row r="23" spans="1:32" ht="30" customHeight="1">
      <c r="A23" s="15">
        <v>25</v>
      </c>
      <c r="B23" s="16"/>
      <c r="C23" s="15"/>
      <c r="D23" s="15"/>
      <c r="E23" s="15"/>
      <c r="F23" s="21"/>
      <c r="G23" s="21"/>
      <c r="H23" s="21"/>
      <c r="I23" s="21"/>
      <c r="J23" s="21"/>
      <c r="K23" s="21"/>
      <c r="L23" s="21"/>
      <c r="M23" s="21"/>
      <c r="N23" s="21"/>
      <c r="O23" s="21"/>
      <c r="P23" s="21"/>
      <c r="Q23" s="21"/>
      <c r="R23" s="21"/>
      <c r="S23" s="21"/>
      <c r="T23" s="21"/>
      <c r="U23" s="21"/>
      <c r="V23" s="21"/>
      <c r="W23" s="21"/>
      <c r="X23" s="21"/>
      <c r="Y23" s="21"/>
      <c r="Z23" s="21" t="str">
        <f t="shared" si="0"/>
        <v/>
      </c>
      <c r="AA23" s="21" t="str">
        <f t="shared" si="1"/>
        <v/>
      </c>
      <c r="AB23" s="21" t="str">
        <f t="shared" si="2"/>
        <v/>
      </c>
      <c r="AC23" s="22" t="str">
        <f t="shared" si="3"/>
        <v/>
      </c>
      <c r="AD23" s="22" t="str">
        <f t="shared" si="4"/>
        <v/>
      </c>
      <c r="AE23" s="17" t="str">
        <f t="shared" si="5"/>
        <v/>
      </c>
      <c r="AF23" s="23"/>
    </row>
    <row r="24" spans="1:32" ht="30" customHeight="1">
      <c r="A24" s="15">
        <v>26</v>
      </c>
      <c r="B24" s="16"/>
      <c r="C24" s="15"/>
      <c r="D24" s="15"/>
      <c r="E24" s="15"/>
      <c r="F24" s="21"/>
      <c r="G24" s="21"/>
      <c r="H24" s="21"/>
      <c r="I24" s="21"/>
      <c r="J24" s="21"/>
      <c r="K24" s="21"/>
      <c r="L24" s="21"/>
      <c r="M24" s="21"/>
      <c r="N24" s="21"/>
      <c r="O24" s="21"/>
      <c r="P24" s="21"/>
      <c r="Q24" s="21"/>
      <c r="R24" s="21"/>
      <c r="S24" s="21"/>
      <c r="T24" s="21"/>
      <c r="U24" s="21"/>
      <c r="V24" s="21"/>
      <c r="W24" s="21"/>
      <c r="X24" s="21"/>
      <c r="Y24" s="21"/>
      <c r="Z24" s="21" t="str">
        <f t="shared" si="0"/>
        <v/>
      </c>
      <c r="AA24" s="21" t="str">
        <f t="shared" si="1"/>
        <v/>
      </c>
      <c r="AB24" s="21" t="str">
        <f t="shared" si="2"/>
        <v/>
      </c>
      <c r="AC24" s="22" t="str">
        <f t="shared" si="3"/>
        <v/>
      </c>
      <c r="AD24" s="22" t="str">
        <f t="shared" si="4"/>
        <v/>
      </c>
      <c r="AE24" s="17" t="str">
        <f t="shared" si="5"/>
        <v/>
      </c>
      <c r="AF24" s="23"/>
    </row>
    <row r="25" spans="1:32" ht="30" customHeight="1">
      <c r="A25" s="15">
        <v>27</v>
      </c>
      <c r="B25" s="16"/>
      <c r="C25" s="15"/>
      <c r="D25" s="15"/>
      <c r="E25" s="15"/>
      <c r="F25" s="21"/>
      <c r="G25" s="21"/>
      <c r="H25" s="21"/>
      <c r="I25" s="21"/>
      <c r="J25" s="21"/>
      <c r="K25" s="21"/>
      <c r="L25" s="21"/>
      <c r="M25" s="21"/>
      <c r="N25" s="21"/>
      <c r="O25" s="21"/>
      <c r="P25" s="21"/>
      <c r="Q25" s="21"/>
      <c r="R25" s="21"/>
      <c r="S25" s="21"/>
      <c r="T25" s="21"/>
      <c r="U25" s="21"/>
      <c r="V25" s="21"/>
      <c r="W25" s="21"/>
      <c r="X25" s="21"/>
      <c r="Y25" s="21"/>
      <c r="Z25" s="21" t="str">
        <f t="shared" si="0"/>
        <v/>
      </c>
      <c r="AA25" s="21" t="str">
        <f t="shared" si="1"/>
        <v/>
      </c>
      <c r="AB25" s="21" t="str">
        <f t="shared" si="2"/>
        <v/>
      </c>
      <c r="AC25" s="22" t="str">
        <f t="shared" si="3"/>
        <v/>
      </c>
      <c r="AD25" s="22" t="str">
        <f t="shared" si="4"/>
        <v/>
      </c>
      <c r="AE25" s="17" t="str">
        <f t="shared" si="5"/>
        <v/>
      </c>
      <c r="AF25" s="23"/>
    </row>
    <row r="26" spans="1:32" ht="30" customHeight="1">
      <c r="A26" s="15">
        <v>28</v>
      </c>
      <c r="B26" s="16"/>
      <c r="C26" s="15"/>
      <c r="D26" s="15"/>
      <c r="E26" s="15"/>
      <c r="F26" s="21"/>
      <c r="G26" s="21"/>
      <c r="H26" s="21"/>
      <c r="I26" s="21"/>
      <c r="J26" s="21"/>
      <c r="K26" s="21"/>
      <c r="L26" s="21"/>
      <c r="M26" s="21"/>
      <c r="N26" s="21"/>
      <c r="O26" s="21"/>
      <c r="P26" s="21"/>
      <c r="Q26" s="21"/>
      <c r="R26" s="21"/>
      <c r="S26" s="21"/>
      <c r="T26" s="21"/>
      <c r="U26" s="21"/>
      <c r="V26" s="21"/>
      <c r="W26" s="21"/>
      <c r="X26" s="21"/>
      <c r="Y26" s="21"/>
      <c r="Z26" s="21" t="str">
        <f t="shared" si="0"/>
        <v/>
      </c>
      <c r="AA26" s="21" t="str">
        <f t="shared" si="1"/>
        <v/>
      </c>
      <c r="AB26" s="21" t="str">
        <f t="shared" si="2"/>
        <v/>
      </c>
      <c r="AC26" s="22" t="str">
        <f t="shared" si="3"/>
        <v/>
      </c>
      <c r="AD26" s="22" t="str">
        <f t="shared" si="4"/>
        <v/>
      </c>
      <c r="AE26" s="17" t="str">
        <f t="shared" si="5"/>
        <v/>
      </c>
      <c r="AF26" s="23"/>
    </row>
    <row r="27" spans="1:32" ht="30" customHeight="1">
      <c r="A27" s="15">
        <v>29</v>
      </c>
      <c r="B27" s="16"/>
      <c r="C27" s="15"/>
      <c r="D27" s="15"/>
      <c r="E27" s="15"/>
      <c r="F27" s="21"/>
      <c r="G27" s="21"/>
      <c r="H27" s="21"/>
      <c r="I27" s="21"/>
      <c r="J27" s="21"/>
      <c r="K27" s="21"/>
      <c r="L27" s="21"/>
      <c r="M27" s="21"/>
      <c r="N27" s="21"/>
      <c r="O27" s="21"/>
      <c r="P27" s="21"/>
      <c r="Q27" s="21"/>
      <c r="R27" s="21"/>
      <c r="S27" s="21"/>
      <c r="T27" s="21"/>
      <c r="U27" s="21"/>
      <c r="V27" s="21"/>
      <c r="W27" s="21"/>
      <c r="X27" s="21"/>
      <c r="Y27" s="21"/>
      <c r="Z27" s="21" t="str">
        <f t="shared" si="0"/>
        <v/>
      </c>
      <c r="AA27" s="21" t="str">
        <f t="shared" si="1"/>
        <v/>
      </c>
      <c r="AB27" s="21" t="str">
        <f t="shared" si="2"/>
        <v/>
      </c>
      <c r="AC27" s="22" t="str">
        <f t="shared" si="3"/>
        <v/>
      </c>
      <c r="AD27" s="22" t="str">
        <f t="shared" si="4"/>
        <v/>
      </c>
      <c r="AE27" s="17" t="str">
        <f t="shared" si="5"/>
        <v/>
      </c>
      <c r="AF27" s="23"/>
    </row>
    <row r="28" spans="1:32" ht="30" customHeight="1">
      <c r="A28" s="15">
        <v>30</v>
      </c>
      <c r="B28" s="16"/>
      <c r="C28" s="15"/>
      <c r="D28" s="15"/>
      <c r="E28" s="15"/>
      <c r="F28" s="21"/>
      <c r="G28" s="21"/>
      <c r="H28" s="21"/>
      <c r="I28" s="21"/>
      <c r="J28" s="21"/>
      <c r="K28" s="21"/>
      <c r="L28" s="21"/>
      <c r="M28" s="21"/>
      <c r="N28" s="21"/>
      <c r="O28" s="21"/>
      <c r="P28" s="21"/>
      <c r="Q28" s="21"/>
      <c r="R28" s="21"/>
      <c r="S28" s="21"/>
      <c r="T28" s="21"/>
      <c r="U28" s="21"/>
      <c r="V28" s="21"/>
      <c r="W28" s="21"/>
      <c r="X28" s="21"/>
      <c r="Y28" s="21"/>
      <c r="Z28" s="21" t="str">
        <f t="shared" si="0"/>
        <v/>
      </c>
      <c r="AA28" s="21" t="str">
        <f t="shared" si="1"/>
        <v/>
      </c>
      <c r="AB28" s="21" t="str">
        <f t="shared" si="2"/>
        <v/>
      </c>
      <c r="AC28" s="22" t="str">
        <f t="shared" si="3"/>
        <v/>
      </c>
      <c r="AD28" s="22" t="str">
        <f t="shared" si="4"/>
        <v/>
      </c>
      <c r="AE28" s="17" t="str">
        <f t="shared" si="5"/>
        <v/>
      </c>
      <c r="AF28" s="23"/>
    </row>
    <row r="29" spans="1:32" ht="30" customHeight="1">
      <c r="A29" s="15">
        <v>31</v>
      </c>
      <c r="B29" s="16"/>
      <c r="C29" s="15"/>
      <c r="D29" s="15"/>
      <c r="E29" s="15"/>
      <c r="F29" s="21"/>
      <c r="G29" s="21"/>
      <c r="H29" s="21"/>
      <c r="I29" s="21"/>
      <c r="J29" s="21"/>
      <c r="K29" s="21"/>
      <c r="L29" s="21"/>
      <c r="M29" s="21"/>
      <c r="N29" s="21"/>
      <c r="O29" s="21"/>
      <c r="P29" s="21"/>
      <c r="Q29" s="21"/>
      <c r="R29" s="21"/>
      <c r="S29" s="21"/>
      <c r="T29" s="21"/>
      <c r="U29" s="21"/>
      <c r="V29" s="21"/>
      <c r="W29" s="21"/>
      <c r="X29" s="21"/>
      <c r="Y29" s="21"/>
      <c r="Z29" s="21" t="str">
        <f t="shared" si="0"/>
        <v/>
      </c>
      <c r="AA29" s="21" t="str">
        <f t="shared" si="1"/>
        <v/>
      </c>
      <c r="AB29" s="21" t="str">
        <f t="shared" si="2"/>
        <v/>
      </c>
      <c r="AC29" s="22" t="str">
        <f t="shared" si="3"/>
        <v/>
      </c>
      <c r="AD29" s="22" t="str">
        <f t="shared" si="4"/>
        <v/>
      </c>
      <c r="AE29" s="17" t="str">
        <f t="shared" si="5"/>
        <v/>
      </c>
      <c r="AF29" s="23"/>
    </row>
    <row r="30" spans="1:32" ht="30" customHeight="1">
      <c r="A30" s="15">
        <v>32</v>
      </c>
      <c r="B30" s="16"/>
      <c r="C30" s="15"/>
      <c r="D30" s="15"/>
      <c r="E30" s="15"/>
      <c r="F30" s="21"/>
      <c r="G30" s="21"/>
      <c r="H30" s="21"/>
      <c r="I30" s="21"/>
      <c r="J30" s="21"/>
      <c r="K30" s="21"/>
      <c r="L30" s="21"/>
      <c r="M30" s="21"/>
      <c r="N30" s="21"/>
      <c r="O30" s="21"/>
      <c r="P30" s="21"/>
      <c r="Q30" s="21"/>
      <c r="R30" s="21"/>
      <c r="S30" s="21"/>
      <c r="T30" s="21"/>
      <c r="U30" s="21"/>
      <c r="V30" s="21"/>
      <c r="W30" s="21"/>
      <c r="X30" s="21"/>
      <c r="Y30" s="21"/>
      <c r="Z30" s="21" t="str">
        <f t="shared" si="0"/>
        <v/>
      </c>
      <c r="AA30" s="21" t="str">
        <f t="shared" si="1"/>
        <v/>
      </c>
      <c r="AB30" s="21" t="str">
        <f t="shared" si="2"/>
        <v/>
      </c>
      <c r="AC30" s="22" t="str">
        <f t="shared" si="3"/>
        <v/>
      </c>
      <c r="AD30" s="22" t="str">
        <f t="shared" si="4"/>
        <v/>
      </c>
      <c r="AE30" s="17" t="str">
        <f t="shared" si="5"/>
        <v/>
      </c>
      <c r="AF30" s="23"/>
    </row>
    <row r="31" spans="1:32" ht="30" customHeight="1">
      <c r="A31" s="15">
        <v>33</v>
      </c>
      <c r="B31" s="16"/>
      <c r="C31" s="15"/>
      <c r="D31" s="15"/>
      <c r="E31" s="15"/>
      <c r="F31" s="21"/>
      <c r="G31" s="21"/>
      <c r="H31" s="21"/>
      <c r="I31" s="21"/>
      <c r="J31" s="21"/>
      <c r="K31" s="21"/>
      <c r="L31" s="21"/>
      <c r="M31" s="21"/>
      <c r="N31" s="21"/>
      <c r="O31" s="21"/>
      <c r="P31" s="21"/>
      <c r="Q31" s="21"/>
      <c r="R31" s="21"/>
      <c r="S31" s="21"/>
      <c r="T31" s="21"/>
      <c r="U31" s="21"/>
      <c r="V31" s="21"/>
      <c r="W31" s="21"/>
      <c r="X31" s="21"/>
      <c r="Y31" s="21"/>
      <c r="Z31" s="21" t="str">
        <f t="shared" ref="Z31:Z62" si="6">IF(B31="","",IF(COUNTIF(F31:G31,"Fail")&gt;0,1,0))</f>
        <v/>
      </c>
      <c r="AA31" s="21" t="str">
        <f t="shared" ref="AA31:AA62" si="7">IF(B31="","",IF(COUNTIF(H31:S31,"Fail")&gt;0,1,0))</f>
        <v/>
      </c>
      <c r="AB31" s="21" t="str">
        <f t="shared" ref="AB31:AB62" si="8">IF(B31="","",IF(COUNTIF(T31:Y31,"Fail")&gt;0,1,0))</f>
        <v/>
      </c>
      <c r="AC31" s="22" t="str">
        <f t="shared" ref="AC31:AC62" si="9">IF(B31="","",0.1*Z31+0.8*AA31+0.1*AB31)</f>
        <v/>
      </c>
      <c r="AD31" s="22" t="str">
        <f t="shared" ref="AD31:AD62" si="10">IF(B31="","",IF(C31="Batch 1",0.3,0.2))</f>
        <v/>
      </c>
      <c r="AE31" s="17" t="str">
        <f t="shared" ref="AE31:AE62" si="11">IF(B31="","",IF(AC31&lt;=AD31,"Đạt","Không đạt"))</f>
        <v/>
      </c>
      <c r="AF31" s="23"/>
    </row>
    <row r="32" spans="1:32" ht="30" customHeight="1">
      <c r="A32" s="15">
        <v>34</v>
      </c>
      <c r="B32" s="16"/>
      <c r="C32" s="15"/>
      <c r="D32" s="15"/>
      <c r="E32" s="15"/>
      <c r="F32" s="21"/>
      <c r="G32" s="21"/>
      <c r="H32" s="21"/>
      <c r="I32" s="21"/>
      <c r="J32" s="21"/>
      <c r="K32" s="21"/>
      <c r="L32" s="21"/>
      <c r="M32" s="21"/>
      <c r="N32" s="21"/>
      <c r="O32" s="21"/>
      <c r="P32" s="21"/>
      <c r="Q32" s="21"/>
      <c r="R32" s="21"/>
      <c r="S32" s="21"/>
      <c r="T32" s="21"/>
      <c r="U32" s="21"/>
      <c r="V32" s="21"/>
      <c r="W32" s="21"/>
      <c r="X32" s="21"/>
      <c r="Y32" s="21"/>
      <c r="Z32" s="21" t="str">
        <f t="shared" si="6"/>
        <v/>
      </c>
      <c r="AA32" s="21" t="str">
        <f t="shared" si="7"/>
        <v/>
      </c>
      <c r="AB32" s="21" t="str">
        <f t="shared" si="8"/>
        <v/>
      </c>
      <c r="AC32" s="22" t="str">
        <f t="shared" si="9"/>
        <v/>
      </c>
      <c r="AD32" s="22" t="str">
        <f t="shared" si="10"/>
        <v/>
      </c>
      <c r="AE32" s="17" t="str">
        <f t="shared" si="11"/>
        <v/>
      </c>
      <c r="AF32" s="23"/>
    </row>
    <row r="33" spans="1:32" ht="30" customHeight="1">
      <c r="A33" s="15">
        <v>35</v>
      </c>
      <c r="B33" s="16"/>
      <c r="C33" s="15"/>
      <c r="D33" s="15"/>
      <c r="E33" s="15"/>
      <c r="F33" s="21"/>
      <c r="G33" s="21"/>
      <c r="H33" s="21"/>
      <c r="I33" s="21"/>
      <c r="J33" s="21"/>
      <c r="K33" s="21"/>
      <c r="L33" s="21"/>
      <c r="M33" s="21"/>
      <c r="N33" s="21"/>
      <c r="O33" s="21"/>
      <c r="P33" s="21"/>
      <c r="Q33" s="21"/>
      <c r="R33" s="21"/>
      <c r="S33" s="21"/>
      <c r="T33" s="21"/>
      <c r="U33" s="21"/>
      <c r="V33" s="21"/>
      <c r="W33" s="21"/>
      <c r="X33" s="21"/>
      <c r="Y33" s="21"/>
      <c r="Z33" s="21" t="str">
        <f t="shared" si="6"/>
        <v/>
      </c>
      <c r="AA33" s="21" t="str">
        <f t="shared" si="7"/>
        <v/>
      </c>
      <c r="AB33" s="21" t="str">
        <f t="shared" si="8"/>
        <v/>
      </c>
      <c r="AC33" s="22" t="str">
        <f t="shared" si="9"/>
        <v/>
      </c>
      <c r="AD33" s="22" t="str">
        <f t="shared" si="10"/>
        <v/>
      </c>
      <c r="AE33" s="17" t="str">
        <f t="shared" si="11"/>
        <v/>
      </c>
      <c r="AF33" s="23"/>
    </row>
    <row r="34" spans="1:32" ht="30" customHeight="1">
      <c r="A34" s="15">
        <v>36</v>
      </c>
      <c r="B34" s="16"/>
      <c r="C34" s="15"/>
      <c r="D34" s="15"/>
      <c r="E34" s="15"/>
      <c r="F34" s="21"/>
      <c r="G34" s="21"/>
      <c r="H34" s="21"/>
      <c r="I34" s="21"/>
      <c r="J34" s="21"/>
      <c r="K34" s="21"/>
      <c r="L34" s="21"/>
      <c r="M34" s="21"/>
      <c r="N34" s="21"/>
      <c r="O34" s="21"/>
      <c r="P34" s="21"/>
      <c r="Q34" s="21"/>
      <c r="R34" s="21"/>
      <c r="S34" s="21"/>
      <c r="T34" s="21"/>
      <c r="U34" s="21"/>
      <c r="V34" s="21"/>
      <c r="W34" s="21"/>
      <c r="X34" s="21"/>
      <c r="Y34" s="21"/>
      <c r="Z34" s="21" t="str">
        <f t="shared" si="6"/>
        <v/>
      </c>
      <c r="AA34" s="21" t="str">
        <f t="shared" si="7"/>
        <v/>
      </c>
      <c r="AB34" s="21" t="str">
        <f t="shared" si="8"/>
        <v/>
      </c>
      <c r="AC34" s="22" t="str">
        <f t="shared" si="9"/>
        <v/>
      </c>
      <c r="AD34" s="22" t="str">
        <f t="shared" si="10"/>
        <v/>
      </c>
      <c r="AE34" s="17" t="str">
        <f t="shared" si="11"/>
        <v/>
      </c>
      <c r="AF34" s="23"/>
    </row>
    <row r="35" spans="1:32" ht="30" customHeight="1">
      <c r="A35" s="15">
        <v>37</v>
      </c>
      <c r="B35" s="16"/>
      <c r="C35" s="15"/>
      <c r="D35" s="15"/>
      <c r="E35" s="15"/>
      <c r="F35" s="21"/>
      <c r="G35" s="21"/>
      <c r="H35" s="21"/>
      <c r="I35" s="21"/>
      <c r="J35" s="21"/>
      <c r="K35" s="21"/>
      <c r="L35" s="21"/>
      <c r="M35" s="21"/>
      <c r="N35" s="21"/>
      <c r="O35" s="21"/>
      <c r="P35" s="21"/>
      <c r="Q35" s="21"/>
      <c r="R35" s="21"/>
      <c r="S35" s="21"/>
      <c r="T35" s="21"/>
      <c r="U35" s="21"/>
      <c r="V35" s="21"/>
      <c r="W35" s="21"/>
      <c r="X35" s="21"/>
      <c r="Y35" s="21"/>
      <c r="Z35" s="21" t="str">
        <f t="shared" si="6"/>
        <v/>
      </c>
      <c r="AA35" s="21" t="str">
        <f t="shared" si="7"/>
        <v/>
      </c>
      <c r="AB35" s="21" t="str">
        <f t="shared" si="8"/>
        <v/>
      </c>
      <c r="AC35" s="22" t="str">
        <f t="shared" si="9"/>
        <v/>
      </c>
      <c r="AD35" s="22" t="str">
        <f t="shared" si="10"/>
        <v/>
      </c>
      <c r="AE35" s="17" t="str">
        <f t="shared" si="11"/>
        <v/>
      </c>
      <c r="AF35" s="23"/>
    </row>
    <row r="36" spans="1:32" ht="30" customHeight="1">
      <c r="A36" s="15">
        <v>38</v>
      </c>
      <c r="B36" s="16"/>
      <c r="C36" s="15"/>
      <c r="D36" s="15"/>
      <c r="E36" s="15"/>
      <c r="F36" s="21"/>
      <c r="G36" s="21"/>
      <c r="H36" s="21"/>
      <c r="I36" s="21"/>
      <c r="J36" s="21"/>
      <c r="K36" s="21"/>
      <c r="L36" s="21"/>
      <c r="M36" s="21"/>
      <c r="N36" s="21"/>
      <c r="O36" s="21"/>
      <c r="P36" s="21"/>
      <c r="Q36" s="21"/>
      <c r="R36" s="21"/>
      <c r="S36" s="21"/>
      <c r="T36" s="21"/>
      <c r="U36" s="21"/>
      <c r="V36" s="21"/>
      <c r="W36" s="21"/>
      <c r="X36" s="21"/>
      <c r="Y36" s="21"/>
      <c r="Z36" s="21" t="str">
        <f t="shared" si="6"/>
        <v/>
      </c>
      <c r="AA36" s="21" t="str">
        <f t="shared" si="7"/>
        <v/>
      </c>
      <c r="AB36" s="21" t="str">
        <f t="shared" si="8"/>
        <v/>
      </c>
      <c r="AC36" s="22" t="str">
        <f t="shared" si="9"/>
        <v/>
      </c>
      <c r="AD36" s="22" t="str">
        <f t="shared" si="10"/>
        <v/>
      </c>
      <c r="AE36" s="17" t="str">
        <f t="shared" si="11"/>
        <v/>
      </c>
      <c r="AF36" s="23"/>
    </row>
    <row r="37" spans="1:32" ht="30" customHeight="1">
      <c r="A37" s="15">
        <v>39</v>
      </c>
      <c r="B37" s="16"/>
      <c r="C37" s="15"/>
      <c r="D37" s="15"/>
      <c r="E37" s="15"/>
      <c r="F37" s="21"/>
      <c r="G37" s="21"/>
      <c r="H37" s="21"/>
      <c r="I37" s="21"/>
      <c r="J37" s="21"/>
      <c r="K37" s="21"/>
      <c r="L37" s="21"/>
      <c r="M37" s="21"/>
      <c r="N37" s="21"/>
      <c r="O37" s="21"/>
      <c r="P37" s="21"/>
      <c r="Q37" s="21"/>
      <c r="R37" s="21"/>
      <c r="S37" s="21"/>
      <c r="T37" s="21"/>
      <c r="U37" s="21"/>
      <c r="V37" s="21"/>
      <c r="W37" s="21"/>
      <c r="X37" s="21"/>
      <c r="Y37" s="21"/>
      <c r="Z37" s="21" t="str">
        <f t="shared" si="6"/>
        <v/>
      </c>
      <c r="AA37" s="21" t="str">
        <f t="shared" si="7"/>
        <v/>
      </c>
      <c r="AB37" s="21" t="str">
        <f t="shared" si="8"/>
        <v/>
      </c>
      <c r="AC37" s="22" t="str">
        <f t="shared" si="9"/>
        <v/>
      </c>
      <c r="AD37" s="22" t="str">
        <f t="shared" si="10"/>
        <v/>
      </c>
      <c r="AE37" s="17" t="str">
        <f t="shared" si="11"/>
        <v/>
      </c>
      <c r="AF37" s="23"/>
    </row>
    <row r="38" spans="1:32" ht="30" customHeight="1">
      <c r="A38" s="15">
        <v>40</v>
      </c>
      <c r="B38" s="16"/>
      <c r="C38" s="15"/>
      <c r="D38" s="15"/>
      <c r="E38" s="15"/>
      <c r="F38" s="21"/>
      <c r="G38" s="21"/>
      <c r="H38" s="21"/>
      <c r="I38" s="21"/>
      <c r="J38" s="21"/>
      <c r="K38" s="21"/>
      <c r="L38" s="21"/>
      <c r="M38" s="21"/>
      <c r="N38" s="21"/>
      <c r="O38" s="21"/>
      <c r="P38" s="21"/>
      <c r="Q38" s="21"/>
      <c r="R38" s="21"/>
      <c r="S38" s="21"/>
      <c r="T38" s="21"/>
      <c r="U38" s="21"/>
      <c r="V38" s="21"/>
      <c r="W38" s="21"/>
      <c r="X38" s="21"/>
      <c r="Y38" s="21"/>
      <c r="Z38" s="21" t="str">
        <f t="shared" si="6"/>
        <v/>
      </c>
      <c r="AA38" s="21" t="str">
        <f t="shared" si="7"/>
        <v/>
      </c>
      <c r="AB38" s="21" t="str">
        <f t="shared" si="8"/>
        <v/>
      </c>
      <c r="AC38" s="22" t="str">
        <f t="shared" si="9"/>
        <v/>
      </c>
      <c r="AD38" s="22" t="str">
        <f t="shared" si="10"/>
        <v/>
      </c>
      <c r="AE38" s="17" t="str">
        <f t="shared" si="11"/>
        <v/>
      </c>
      <c r="AF38" s="23"/>
    </row>
    <row r="39" spans="1:32" ht="30" customHeight="1">
      <c r="A39" s="15">
        <v>41</v>
      </c>
      <c r="B39" s="16"/>
      <c r="C39" s="15"/>
      <c r="D39" s="15"/>
      <c r="E39" s="15"/>
      <c r="F39" s="21"/>
      <c r="G39" s="21"/>
      <c r="H39" s="21"/>
      <c r="I39" s="21"/>
      <c r="J39" s="21"/>
      <c r="K39" s="21"/>
      <c r="L39" s="21"/>
      <c r="M39" s="21"/>
      <c r="N39" s="21"/>
      <c r="O39" s="21"/>
      <c r="P39" s="21"/>
      <c r="Q39" s="21"/>
      <c r="R39" s="21"/>
      <c r="S39" s="21"/>
      <c r="T39" s="21"/>
      <c r="U39" s="21"/>
      <c r="V39" s="21"/>
      <c r="W39" s="21"/>
      <c r="X39" s="21"/>
      <c r="Y39" s="21"/>
      <c r="Z39" s="21" t="str">
        <f t="shared" si="6"/>
        <v/>
      </c>
      <c r="AA39" s="21" t="str">
        <f t="shared" si="7"/>
        <v/>
      </c>
      <c r="AB39" s="21" t="str">
        <f t="shared" si="8"/>
        <v/>
      </c>
      <c r="AC39" s="22" t="str">
        <f t="shared" si="9"/>
        <v/>
      </c>
      <c r="AD39" s="22" t="str">
        <f t="shared" si="10"/>
        <v/>
      </c>
      <c r="AE39" s="17" t="str">
        <f t="shared" si="11"/>
        <v/>
      </c>
      <c r="AF39" s="23"/>
    </row>
    <row r="40" spans="1:32" ht="30" customHeight="1">
      <c r="A40" s="15">
        <v>42</v>
      </c>
      <c r="B40" s="16"/>
      <c r="C40" s="15"/>
      <c r="D40" s="15"/>
      <c r="E40" s="15"/>
      <c r="F40" s="21"/>
      <c r="G40" s="21"/>
      <c r="H40" s="21"/>
      <c r="I40" s="21"/>
      <c r="J40" s="21"/>
      <c r="K40" s="21"/>
      <c r="L40" s="21"/>
      <c r="M40" s="21"/>
      <c r="N40" s="21"/>
      <c r="O40" s="21"/>
      <c r="P40" s="21"/>
      <c r="Q40" s="21"/>
      <c r="R40" s="21"/>
      <c r="S40" s="21"/>
      <c r="T40" s="21"/>
      <c r="U40" s="21"/>
      <c r="V40" s="21"/>
      <c r="W40" s="21"/>
      <c r="X40" s="21"/>
      <c r="Y40" s="21"/>
      <c r="Z40" s="21" t="str">
        <f t="shared" si="6"/>
        <v/>
      </c>
      <c r="AA40" s="21" t="str">
        <f t="shared" si="7"/>
        <v/>
      </c>
      <c r="AB40" s="21" t="str">
        <f t="shared" si="8"/>
        <v/>
      </c>
      <c r="AC40" s="22" t="str">
        <f t="shared" si="9"/>
        <v/>
      </c>
      <c r="AD40" s="22" t="str">
        <f t="shared" si="10"/>
        <v/>
      </c>
      <c r="AE40" s="17" t="str">
        <f t="shared" si="11"/>
        <v/>
      </c>
      <c r="AF40" s="23"/>
    </row>
    <row r="41" spans="1:32" ht="30" customHeight="1">
      <c r="A41" s="15">
        <v>43</v>
      </c>
      <c r="B41" s="16"/>
      <c r="C41" s="15"/>
      <c r="D41" s="15"/>
      <c r="E41" s="15"/>
      <c r="F41" s="21"/>
      <c r="G41" s="21"/>
      <c r="H41" s="21"/>
      <c r="I41" s="21"/>
      <c r="J41" s="21"/>
      <c r="K41" s="21"/>
      <c r="L41" s="21"/>
      <c r="M41" s="21"/>
      <c r="N41" s="21"/>
      <c r="O41" s="21"/>
      <c r="P41" s="21"/>
      <c r="Q41" s="21"/>
      <c r="R41" s="21"/>
      <c r="S41" s="21"/>
      <c r="T41" s="21"/>
      <c r="U41" s="21"/>
      <c r="V41" s="21"/>
      <c r="W41" s="21"/>
      <c r="X41" s="21"/>
      <c r="Y41" s="21"/>
      <c r="Z41" s="21" t="str">
        <f t="shared" si="6"/>
        <v/>
      </c>
      <c r="AA41" s="21" t="str">
        <f t="shared" si="7"/>
        <v/>
      </c>
      <c r="AB41" s="21" t="str">
        <f t="shared" si="8"/>
        <v/>
      </c>
      <c r="AC41" s="22" t="str">
        <f t="shared" si="9"/>
        <v/>
      </c>
      <c r="AD41" s="22" t="str">
        <f t="shared" si="10"/>
        <v/>
      </c>
      <c r="AE41" s="17" t="str">
        <f t="shared" si="11"/>
        <v/>
      </c>
      <c r="AF41" s="23"/>
    </row>
    <row r="42" spans="1:32" ht="30" customHeight="1">
      <c r="A42" s="15">
        <v>44</v>
      </c>
      <c r="B42" s="16"/>
      <c r="C42" s="15"/>
      <c r="D42" s="15"/>
      <c r="E42" s="15"/>
      <c r="F42" s="21"/>
      <c r="G42" s="21"/>
      <c r="H42" s="21"/>
      <c r="I42" s="21"/>
      <c r="J42" s="21"/>
      <c r="K42" s="21"/>
      <c r="L42" s="21"/>
      <c r="M42" s="21"/>
      <c r="N42" s="21"/>
      <c r="O42" s="21"/>
      <c r="P42" s="21"/>
      <c r="Q42" s="21"/>
      <c r="R42" s="21"/>
      <c r="S42" s="21"/>
      <c r="T42" s="21"/>
      <c r="U42" s="21"/>
      <c r="V42" s="21"/>
      <c r="W42" s="21"/>
      <c r="X42" s="21"/>
      <c r="Y42" s="21"/>
      <c r="Z42" s="21" t="str">
        <f t="shared" si="6"/>
        <v/>
      </c>
      <c r="AA42" s="21" t="str">
        <f t="shared" si="7"/>
        <v/>
      </c>
      <c r="AB42" s="21" t="str">
        <f t="shared" si="8"/>
        <v/>
      </c>
      <c r="AC42" s="22" t="str">
        <f t="shared" si="9"/>
        <v/>
      </c>
      <c r="AD42" s="22" t="str">
        <f t="shared" si="10"/>
        <v/>
      </c>
      <c r="AE42" s="17" t="str">
        <f t="shared" si="11"/>
        <v/>
      </c>
      <c r="AF42" s="23"/>
    </row>
    <row r="43" spans="1:32" ht="30" customHeight="1">
      <c r="A43" s="15">
        <v>45</v>
      </c>
      <c r="B43" s="16"/>
      <c r="C43" s="15"/>
      <c r="D43" s="15"/>
      <c r="E43" s="15"/>
      <c r="F43" s="21"/>
      <c r="G43" s="21"/>
      <c r="H43" s="21"/>
      <c r="I43" s="21"/>
      <c r="J43" s="21"/>
      <c r="K43" s="21"/>
      <c r="L43" s="21"/>
      <c r="M43" s="21"/>
      <c r="N43" s="21"/>
      <c r="O43" s="21"/>
      <c r="P43" s="21"/>
      <c r="Q43" s="21"/>
      <c r="R43" s="21"/>
      <c r="S43" s="21"/>
      <c r="T43" s="21"/>
      <c r="U43" s="21"/>
      <c r="V43" s="21"/>
      <c r="W43" s="21"/>
      <c r="X43" s="21"/>
      <c r="Y43" s="21"/>
      <c r="Z43" s="21" t="str">
        <f t="shared" si="6"/>
        <v/>
      </c>
      <c r="AA43" s="21" t="str">
        <f t="shared" si="7"/>
        <v/>
      </c>
      <c r="AB43" s="21" t="str">
        <f t="shared" si="8"/>
        <v/>
      </c>
      <c r="AC43" s="22" t="str">
        <f t="shared" si="9"/>
        <v/>
      </c>
      <c r="AD43" s="22" t="str">
        <f t="shared" si="10"/>
        <v/>
      </c>
      <c r="AE43" s="17" t="str">
        <f t="shared" si="11"/>
        <v/>
      </c>
      <c r="AF43" s="23"/>
    </row>
    <row r="44" spans="1:32" ht="30" customHeight="1">
      <c r="A44" s="15">
        <v>46</v>
      </c>
      <c r="B44" s="16"/>
      <c r="C44" s="15"/>
      <c r="D44" s="15"/>
      <c r="E44" s="15"/>
      <c r="F44" s="21"/>
      <c r="G44" s="21"/>
      <c r="H44" s="21"/>
      <c r="I44" s="21"/>
      <c r="J44" s="21"/>
      <c r="K44" s="21"/>
      <c r="L44" s="21"/>
      <c r="M44" s="21"/>
      <c r="N44" s="21"/>
      <c r="O44" s="21"/>
      <c r="P44" s="21"/>
      <c r="Q44" s="21"/>
      <c r="R44" s="21"/>
      <c r="S44" s="21"/>
      <c r="T44" s="21"/>
      <c r="U44" s="21"/>
      <c r="V44" s="21"/>
      <c r="W44" s="21"/>
      <c r="X44" s="21"/>
      <c r="Y44" s="21"/>
      <c r="Z44" s="21" t="str">
        <f t="shared" si="6"/>
        <v/>
      </c>
      <c r="AA44" s="21" t="str">
        <f t="shared" si="7"/>
        <v/>
      </c>
      <c r="AB44" s="21" t="str">
        <f t="shared" si="8"/>
        <v/>
      </c>
      <c r="AC44" s="22" t="str">
        <f t="shared" si="9"/>
        <v/>
      </c>
      <c r="AD44" s="22" t="str">
        <f t="shared" si="10"/>
        <v/>
      </c>
      <c r="AE44" s="17" t="str">
        <f t="shared" si="11"/>
        <v/>
      </c>
      <c r="AF44" s="23"/>
    </row>
    <row r="45" spans="1:32" ht="30" customHeight="1">
      <c r="A45" s="15">
        <v>47</v>
      </c>
      <c r="B45" s="16"/>
      <c r="C45" s="15"/>
      <c r="D45" s="15"/>
      <c r="E45" s="15"/>
      <c r="F45" s="21"/>
      <c r="G45" s="21"/>
      <c r="H45" s="21"/>
      <c r="I45" s="21"/>
      <c r="J45" s="21"/>
      <c r="K45" s="21"/>
      <c r="L45" s="21"/>
      <c r="M45" s="21"/>
      <c r="N45" s="21"/>
      <c r="O45" s="21"/>
      <c r="P45" s="21"/>
      <c r="Q45" s="21"/>
      <c r="R45" s="21"/>
      <c r="S45" s="21"/>
      <c r="T45" s="21"/>
      <c r="U45" s="21"/>
      <c r="V45" s="21"/>
      <c r="W45" s="21"/>
      <c r="X45" s="21"/>
      <c r="Y45" s="21"/>
      <c r="Z45" s="21" t="str">
        <f t="shared" si="6"/>
        <v/>
      </c>
      <c r="AA45" s="21" t="str">
        <f t="shared" si="7"/>
        <v/>
      </c>
      <c r="AB45" s="21" t="str">
        <f t="shared" si="8"/>
        <v/>
      </c>
      <c r="AC45" s="22" t="str">
        <f t="shared" si="9"/>
        <v/>
      </c>
      <c r="AD45" s="22" t="str">
        <f t="shared" si="10"/>
        <v/>
      </c>
      <c r="AE45" s="17" t="str">
        <f t="shared" si="11"/>
        <v/>
      </c>
      <c r="AF45" s="23"/>
    </row>
    <row r="46" spans="1:32" ht="30" customHeight="1">
      <c r="A46" s="15">
        <v>48</v>
      </c>
      <c r="B46" s="16"/>
      <c r="C46" s="15"/>
      <c r="D46" s="15"/>
      <c r="E46" s="15"/>
      <c r="F46" s="21"/>
      <c r="G46" s="21"/>
      <c r="H46" s="21"/>
      <c r="I46" s="21"/>
      <c r="J46" s="21"/>
      <c r="K46" s="21"/>
      <c r="L46" s="21"/>
      <c r="M46" s="21"/>
      <c r="N46" s="21"/>
      <c r="O46" s="21"/>
      <c r="P46" s="21"/>
      <c r="Q46" s="21"/>
      <c r="R46" s="21"/>
      <c r="S46" s="21"/>
      <c r="T46" s="21"/>
      <c r="U46" s="21"/>
      <c r="V46" s="21"/>
      <c r="W46" s="21"/>
      <c r="X46" s="21"/>
      <c r="Y46" s="21"/>
      <c r="Z46" s="21" t="str">
        <f t="shared" si="6"/>
        <v/>
      </c>
      <c r="AA46" s="21" t="str">
        <f t="shared" si="7"/>
        <v/>
      </c>
      <c r="AB46" s="21" t="str">
        <f t="shared" si="8"/>
        <v/>
      </c>
      <c r="AC46" s="22" t="str">
        <f t="shared" si="9"/>
        <v/>
      </c>
      <c r="AD46" s="22" t="str">
        <f t="shared" si="10"/>
        <v/>
      </c>
      <c r="AE46" s="17" t="str">
        <f t="shared" si="11"/>
        <v/>
      </c>
      <c r="AF46" s="23"/>
    </row>
    <row r="47" spans="1:32" ht="30" customHeight="1">
      <c r="A47" s="15">
        <v>49</v>
      </c>
      <c r="B47" s="16"/>
      <c r="C47" s="15"/>
      <c r="D47" s="15"/>
      <c r="E47" s="15"/>
      <c r="F47" s="21"/>
      <c r="G47" s="21"/>
      <c r="H47" s="21"/>
      <c r="I47" s="21"/>
      <c r="J47" s="21"/>
      <c r="K47" s="21"/>
      <c r="L47" s="21"/>
      <c r="M47" s="21"/>
      <c r="N47" s="21"/>
      <c r="O47" s="21"/>
      <c r="P47" s="21"/>
      <c r="Q47" s="21"/>
      <c r="R47" s="21"/>
      <c r="S47" s="21"/>
      <c r="T47" s="21"/>
      <c r="U47" s="21"/>
      <c r="V47" s="21"/>
      <c r="W47" s="21"/>
      <c r="X47" s="21"/>
      <c r="Y47" s="21"/>
      <c r="Z47" s="21" t="str">
        <f t="shared" si="6"/>
        <v/>
      </c>
      <c r="AA47" s="21" t="str">
        <f t="shared" si="7"/>
        <v/>
      </c>
      <c r="AB47" s="21" t="str">
        <f t="shared" si="8"/>
        <v/>
      </c>
      <c r="AC47" s="22" t="str">
        <f t="shared" si="9"/>
        <v/>
      </c>
      <c r="AD47" s="22" t="str">
        <f t="shared" si="10"/>
        <v/>
      </c>
      <c r="AE47" s="17" t="str">
        <f t="shared" si="11"/>
        <v/>
      </c>
      <c r="AF47" s="23"/>
    </row>
    <row r="48" spans="1:32" ht="30" customHeight="1">
      <c r="A48" s="15">
        <v>50</v>
      </c>
      <c r="B48" s="16"/>
      <c r="C48" s="15"/>
      <c r="D48" s="15"/>
      <c r="E48" s="15"/>
      <c r="F48" s="21"/>
      <c r="G48" s="21"/>
      <c r="H48" s="21"/>
      <c r="I48" s="21"/>
      <c r="J48" s="21"/>
      <c r="K48" s="21"/>
      <c r="L48" s="21"/>
      <c r="M48" s="21"/>
      <c r="N48" s="21"/>
      <c r="O48" s="21"/>
      <c r="P48" s="21"/>
      <c r="Q48" s="21"/>
      <c r="R48" s="21"/>
      <c r="S48" s="21"/>
      <c r="T48" s="21"/>
      <c r="U48" s="21"/>
      <c r="V48" s="21"/>
      <c r="W48" s="21"/>
      <c r="X48" s="21"/>
      <c r="Y48" s="21"/>
      <c r="Z48" s="21" t="str">
        <f t="shared" si="6"/>
        <v/>
      </c>
      <c r="AA48" s="21" t="str">
        <f t="shared" si="7"/>
        <v/>
      </c>
      <c r="AB48" s="21" t="str">
        <f t="shared" si="8"/>
        <v/>
      </c>
      <c r="AC48" s="22" t="str">
        <f t="shared" si="9"/>
        <v/>
      </c>
      <c r="AD48" s="22" t="str">
        <f t="shared" si="10"/>
        <v/>
      </c>
      <c r="AE48" s="17" t="str">
        <f t="shared" si="11"/>
        <v/>
      </c>
      <c r="AF48" s="23"/>
    </row>
    <row r="49" spans="1:32" ht="30" customHeight="1">
      <c r="A49" s="15">
        <v>51</v>
      </c>
      <c r="B49" s="16"/>
      <c r="C49" s="15"/>
      <c r="D49" s="15"/>
      <c r="E49" s="15"/>
      <c r="F49" s="21"/>
      <c r="G49" s="21"/>
      <c r="H49" s="21"/>
      <c r="I49" s="21"/>
      <c r="J49" s="21"/>
      <c r="K49" s="21"/>
      <c r="L49" s="21"/>
      <c r="M49" s="21"/>
      <c r="N49" s="21"/>
      <c r="O49" s="21"/>
      <c r="P49" s="21"/>
      <c r="Q49" s="21"/>
      <c r="R49" s="21"/>
      <c r="S49" s="21"/>
      <c r="T49" s="21"/>
      <c r="U49" s="21"/>
      <c r="V49" s="21"/>
      <c r="W49" s="21"/>
      <c r="X49" s="21"/>
      <c r="Y49" s="21"/>
      <c r="Z49" s="21" t="str">
        <f t="shared" si="6"/>
        <v/>
      </c>
      <c r="AA49" s="21" t="str">
        <f t="shared" si="7"/>
        <v/>
      </c>
      <c r="AB49" s="21" t="str">
        <f t="shared" si="8"/>
        <v/>
      </c>
      <c r="AC49" s="22" t="str">
        <f t="shared" si="9"/>
        <v/>
      </c>
      <c r="AD49" s="22" t="str">
        <f t="shared" si="10"/>
        <v/>
      </c>
      <c r="AE49" s="17" t="str">
        <f t="shared" si="11"/>
        <v/>
      </c>
      <c r="AF49" s="23"/>
    </row>
    <row r="50" spans="1:32" ht="30" customHeight="1">
      <c r="A50" s="15">
        <v>52</v>
      </c>
      <c r="B50" s="16"/>
      <c r="C50" s="15"/>
      <c r="D50" s="15"/>
      <c r="E50" s="15"/>
      <c r="F50" s="21"/>
      <c r="G50" s="21"/>
      <c r="H50" s="21"/>
      <c r="I50" s="21"/>
      <c r="J50" s="21"/>
      <c r="K50" s="21"/>
      <c r="L50" s="21"/>
      <c r="M50" s="21"/>
      <c r="N50" s="21"/>
      <c r="O50" s="21"/>
      <c r="P50" s="21"/>
      <c r="Q50" s="21"/>
      <c r="R50" s="21"/>
      <c r="S50" s="21"/>
      <c r="T50" s="21"/>
      <c r="U50" s="21"/>
      <c r="V50" s="21"/>
      <c r="W50" s="21"/>
      <c r="X50" s="21"/>
      <c r="Y50" s="21"/>
      <c r="Z50" s="21" t="str">
        <f t="shared" si="6"/>
        <v/>
      </c>
      <c r="AA50" s="21" t="str">
        <f t="shared" si="7"/>
        <v/>
      </c>
      <c r="AB50" s="21" t="str">
        <f t="shared" si="8"/>
        <v/>
      </c>
      <c r="AC50" s="22" t="str">
        <f t="shared" si="9"/>
        <v/>
      </c>
      <c r="AD50" s="22" t="str">
        <f t="shared" si="10"/>
        <v/>
      </c>
      <c r="AE50" s="17" t="str">
        <f t="shared" si="11"/>
        <v/>
      </c>
      <c r="AF50" s="23"/>
    </row>
    <row r="51" spans="1:32" ht="30" customHeight="1">
      <c r="A51" s="15">
        <v>53</v>
      </c>
      <c r="B51" s="16"/>
      <c r="C51" s="15"/>
      <c r="D51" s="15"/>
      <c r="E51" s="15"/>
      <c r="F51" s="21"/>
      <c r="G51" s="21"/>
      <c r="H51" s="21"/>
      <c r="I51" s="21"/>
      <c r="J51" s="21"/>
      <c r="K51" s="21"/>
      <c r="L51" s="21"/>
      <c r="M51" s="21"/>
      <c r="N51" s="21"/>
      <c r="O51" s="21"/>
      <c r="P51" s="21"/>
      <c r="Q51" s="21"/>
      <c r="R51" s="21"/>
      <c r="S51" s="21"/>
      <c r="T51" s="21"/>
      <c r="U51" s="21"/>
      <c r="V51" s="21"/>
      <c r="W51" s="21"/>
      <c r="X51" s="21"/>
      <c r="Y51" s="21"/>
      <c r="Z51" s="21" t="str">
        <f t="shared" si="6"/>
        <v/>
      </c>
      <c r="AA51" s="21" t="str">
        <f t="shared" si="7"/>
        <v/>
      </c>
      <c r="AB51" s="21" t="str">
        <f t="shared" si="8"/>
        <v/>
      </c>
      <c r="AC51" s="22" t="str">
        <f t="shared" si="9"/>
        <v/>
      </c>
      <c r="AD51" s="22" t="str">
        <f t="shared" si="10"/>
        <v/>
      </c>
      <c r="AE51" s="17" t="str">
        <f t="shared" si="11"/>
        <v/>
      </c>
      <c r="AF51" s="23"/>
    </row>
    <row r="52" spans="1:32" ht="30" customHeight="1">
      <c r="A52" s="15">
        <v>54</v>
      </c>
      <c r="B52" s="16"/>
      <c r="C52" s="15"/>
      <c r="D52" s="15"/>
      <c r="E52" s="15"/>
      <c r="F52" s="21"/>
      <c r="G52" s="21"/>
      <c r="H52" s="21"/>
      <c r="I52" s="21"/>
      <c r="J52" s="21"/>
      <c r="K52" s="21"/>
      <c r="L52" s="21"/>
      <c r="M52" s="21"/>
      <c r="N52" s="21"/>
      <c r="O52" s="21"/>
      <c r="P52" s="21"/>
      <c r="Q52" s="21"/>
      <c r="R52" s="21"/>
      <c r="S52" s="21"/>
      <c r="T52" s="21"/>
      <c r="U52" s="21"/>
      <c r="V52" s="21"/>
      <c r="W52" s="21"/>
      <c r="X52" s="21"/>
      <c r="Y52" s="21"/>
      <c r="Z52" s="21" t="str">
        <f t="shared" si="6"/>
        <v/>
      </c>
      <c r="AA52" s="21" t="str">
        <f t="shared" si="7"/>
        <v/>
      </c>
      <c r="AB52" s="21" t="str">
        <f t="shared" si="8"/>
        <v/>
      </c>
      <c r="AC52" s="22" t="str">
        <f t="shared" si="9"/>
        <v/>
      </c>
      <c r="AD52" s="22" t="str">
        <f t="shared" si="10"/>
        <v/>
      </c>
      <c r="AE52" s="17" t="str">
        <f t="shared" si="11"/>
        <v/>
      </c>
      <c r="AF52" s="23"/>
    </row>
    <row r="53" spans="1:32" ht="30" customHeight="1">
      <c r="A53" s="15">
        <v>55</v>
      </c>
      <c r="B53" s="16"/>
      <c r="C53" s="15"/>
      <c r="D53" s="15"/>
      <c r="E53" s="15"/>
      <c r="F53" s="21"/>
      <c r="G53" s="21"/>
      <c r="H53" s="21"/>
      <c r="I53" s="21"/>
      <c r="J53" s="21"/>
      <c r="K53" s="21"/>
      <c r="L53" s="21"/>
      <c r="M53" s="21"/>
      <c r="N53" s="21"/>
      <c r="O53" s="21"/>
      <c r="P53" s="21"/>
      <c r="Q53" s="21"/>
      <c r="R53" s="21"/>
      <c r="S53" s="21"/>
      <c r="T53" s="21"/>
      <c r="U53" s="21"/>
      <c r="V53" s="21"/>
      <c r="W53" s="21"/>
      <c r="X53" s="21"/>
      <c r="Y53" s="21"/>
      <c r="Z53" s="21" t="str">
        <f t="shared" si="6"/>
        <v/>
      </c>
      <c r="AA53" s="21" t="str">
        <f t="shared" si="7"/>
        <v/>
      </c>
      <c r="AB53" s="21" t="str">
        <f t="shared" si="8"/>
        <v/>
      </c>
      <c r="AC53" s="22" t="str">
        <f t="shared" si="9"/>
        <v/>
      </c>
      <c r="AD53" s="22" t="str">
        <f t="shared" si="10"/>
        <v/>
      </c>
      <c r="AE53" s="17" t="str">
        <f t="shared" si="11"/>
        <v/>
      </c>
      <c r="AF53" s="23"/>
    </row>
    <row r="54" spans="1:32" ht="30" customHeight="1">
      <c r="A54" s="15">
        <v>56</v>
      </c>
      <c r="B54" s="16"/>
      <c r="C54" s="15"/>
      <c r="D54" s="15"/>
      <c r="E54" s="15"/>
      <c r="F54" s="21"/>
      <c r="G54" s="21"/>
      <c r="H54" s="21"/>
      <c r="I54" s="21"/>
      <c r="J54" s="21"/>
      <c r="K54" s="21"/>
      <c r="L54" s="21"/>
      <c r="M54" s="21"/>
      <c r="N54" s="21"/>
      <c r="O54" s="21"/>
      <c r="P54" s="21"/>
      <c r="Q54" s="21"/>
      <c r="R54" s="21"/>
      <c r="S54" s="21"/>
      <c r="T54" s="21"/>
      <c r="U54" s="21"/>
      <c r="V54" s="21"/>
      <c r="W54" s="21"/>
      <c r="X54" s="21"/>
      <c r="Y54" s="21"/>
      <c r="Z54" s="21" t="str">
        <f t="shared" si="6"/>
        <v/>
      </c>
      <c r="AA54" s="21" t="str">
        <f t="shared" si="7"/>
        <v/>
      </c>
      <c r="AB54" s="21" t="str">
        <f t="shared" si="8"/>
        <v/>
      </c>
      <c r="AC54" s="22" t="str">
        <f t="shared" si="9"/>
        <v/>
      </c>
      <c r="AD54" s="22" t="str">
        <f t="shared" si="10"/>
        <v/>
      </c>
      <c r="AE54" s="17" t="str">
        <f t="shared" si="11"/>
        <v/>
      </c>
      <c r="AF54" s="23"/>
    </row>
    <row r="55" spans="1:32" ht="30" customHeight="1">
      <c r="A55" s="15">
        <v>57</v>
      </c>
      <c r="B55" s="16"/>
      <c r="C55" s="15"/>
      <c r="D55" s="15"/>
      <c r="E55" s="15"/>
      <c r="F55" s="21"/>
      <c r="G55" s="21"/>
      <c r="H55" s="21"/>
      <c r="I55" s="21"/>
      <c r="J55" s="21"/>
      <c r="K55" s="21"/>
      <c r="L55" s="21"/>
      <c r="M55" s="21"/>
      <c r="N55" s="21"/>
      <c r="O55" s="21"/>
      <c r="P55" s="21"/>
      <c r="Q55" s="21"/>
      <c r="R55" s="21"/>
      <c r="S55" s="21"/>
      <c r="T55" s="21"/>
      <c r="U55" s="21"/>
      <c r="V55" s="21"/>
      <c r="W55" s="21"/>
      <c r="X55" s="21"/>
      <c r="Y55" s="21"/>
      <c r="Z55" s="21" t="str">
        <f t="shared" si="6"/>
        <v/>
      </c>
      <c r="AA55" s="21" t="str">
        <f t="shared" si="7"/>
        <v/>
      </c>
      <c r="AB55" s="21" t="str">
        <f t="shared" si="8"/>
        <v/>
      </c>
      <c r="AC55" s="22" t="str">
        <f t="shared" si="9"/>
        <v/>
      </c>
      <c r="AD55" s="22" t="str">
        <f t="shared" si="10"/>
        <v/>
      </c>
      <c r="AE55" s="17" t="str">
        <f t="shared" si="11"/>
        <v/>
      </c>
      <c r="AF55" s="23"/>
    </row>
    <row r="56" spans="1:32" ht="30" customHeight="1">
      <c r="A56" s="15">
        <v>58</v>
      </c>
      <c r="B56" s="16"/>
      <c r="C56" s="15"/>
      <c r="D56" s="15"/>
      <c r="E56" s="15"/>
      <c r="F56" s="21"/>
      <c r="G56" s="21"/>
      <c r="H56" s="21"/>
      <c r="I56" s="21"/>
      <c r="J56" s="21"/>
      <c r="K56" s="21"/>
      <c r="L56" s="21"/>
      <c r="M56" s="21"/>
      <c r="N56" s="21"/>
      <c r="O56" s="21"/>
      <c r="P56" s="21"/>
      <c r="Q56" s="21"/>
      <c r="R56" s="21"/>
      <c r="S56" s="21"/>
      <c r="T56" s="21"/>
      <c r="U56" s="21"/>
      <c r="V56" s="21"/>
      <c r="W56" s="21"/>
      <c r="X56" s="21"/>
      <c r="Y56" s="21"/>
      <c r="Z56" s="21" t="str">
        <f t="shared" si="6"/>
        <v/>
      </c>
      <c r="AA56" s="21" t="str">
        <f t="shared" si="7"/>
        <v/>
      </c>
      <c r="AB56" s="21" t="str">
        <f t="shared" si="8"/>
        <v/>
      </c>
      <c r="AC56" s="22" t="str">
        <f t="shared" si="9"/>
        <v/>
      </c>
      <c r="AD56" s="22" t="str">
        <f t="shared" si="10"/>
        <v/>
      </c>
      <c r="AE56" s="17" t="str">
        <f t="shared" si="11"/>
        <v/>
      </c>
      <c r="AF56" s="23"/>
    </row>
    <row r="57" spans="1:32" ht="30" customHeight="1">
      <c r="A57" s="15">
        <v>59</v>
      </c>
      <c r="B57" s="16"/>
      <c r="C57" s="15"/>
      <c r="D57" s="15"/>
      <c r="E57" s="15"/>
      <c r="F57" s="21"/>
      <c r="G57" s="21"/>
      <c r="H57" s="21"/>
      <c r="I57" s="21"/>
      <c r="J57" s="21"/>
      <c r="K57" s="21"/>
      <c r="L57" s="21"/>
      <c r="M57" s="21"/>
      <c r="N57" s="21"/>
      <c r="O57" s="21"/>
      <c r="P57" s="21"/>
      <c r="Q57" s="21"/>
      <c r="R57" s="21"/>
      <c r="S57" s="21"/>
      <c r="T57" s="21"/>
      <c r="U57" s="21"/>
      <c r="V57" s="21"/>
      <c r="W57" s="21"/>
      <c r="X57" s="21"/>
      <c r="Y57" s="21"/>
      <c r="Z57" s="21" t="str">
        <f t="shared" si="6"/>
        <v/>
      </c>
      <c r="AA57" s="21" t="str">
        <f t="shared" si="7"/>
        <v/>
      </c>
      <c r="AB57" s="21" t="str">
        <f t="shared" si="8"/>
        <v/>
      </c>
      <c r="AC57" s="22" t="str">
        <f t="shared" si="9"/>
        <v/>
      </c>
      <c r="AD57" s="22" t="str">
        <f t="shared" si="10"/>
        <v/>
      </c>
      <c r="AE57" s="17" t="str">
        <f t="shared" si="11"/>
        <v/>
      </c>
      <c r="AF57" s="23"/>
    </row>
    <row r="58" spans="1:32" ht="30" customHeight="1">
      <c r="A58" s="15">
        <v>60</v>
      </c>
      <c r="B58" s="16"/>
      <c r="C58" s="15"/>
      <c r="D58" s="15"/>
      <c r="E58" s="15"/>
      <c r="F58" s="21"/>
      <c r="G58" s="21"/>
      <c r="H58" s="21"/>
      <c r="I58" s="21"/>
      <c r="J58" s="21"/>
      <c r="K58" s="21"/>
      <c r="L58" s="21"/>
      <c r="M58" s="21"/>
      <c r="N58" s="21"/>
      <c r="O58" s="21"/>
      <c r="P58" s="21"/>
      <c r="Q58" s="21"/>
      <c r="R58" s="21"/>
      <c r="S58" s="21"/>
      <c r="T58" s="21"/>
      <c r="U58" s="21"/>
      <c r="V58" s="21"/>
      <c r="W58" s="21"/>
      <c r="X58" s="21"/>
      <c r="Y58" s="21"/>
      <c r="Z58" s="21" t="str">
        <f t="shared" si="6"/>
        <v/>
      </c>
      <c r="AA58" s="21" t="str">
        <f t="shared" si="7"/>
        <v/>
      </c>
      <c r="AB58" s="21" t="str">
        <f t="shared" si="8"/>
        <v/>
      </c>
      <c r="AC58" s="22" t="str">
        <f t="shared" si="9"/>
        <v/>
      </c>
      <c r="AD58" s="22" t="str">
        <f t="shared" si="10"/>
        <v/>
      </c>
      <c r="AE58" s="17" t="str">
        <f t="shared" si="11"/>
        <v/>
      </c>
      <c r="AF58" s="23"/>
    </row>
    <row r="59" spans="1:32" ht="30" customHeight="1">
      <c r="A59" s="15">
        <v>61</v>
      </c>
      <c r="B59" s="16"/>
      <c r="C59" s="15"/>
      <c r="D59" s="15"/>
      <c r="E59" s="15"/>
      <c r="F59" s="21"/>
      <c r="G59" s="21"/>
      <c r="H59" s="21"/>
      <c r="I59" s="21"/>
      <c r="J59" s="21"/>
      <c r="K59" s="21"/>
      <c r="L59" s="21"/>
      <c r="M59" s="21"/>
      <c r="N59" s="21"/>
      <c r="O59" s="21"/>
      <c r="P59" s="21"/>
      <c r="Q59" s="21"/>
      <c r="R59" s="21"/>
      <c r="S59" s="21"/>
      <c r="T59" s="21"/>
      <c r="U59" s="21"/>
      <c r="V59" s="21"/>
      <c r="W59" s="21"/>
      <c r="X59" s="21"/>
      <c r="Y59" s="21"/>
      <c r="Z59" s="21" t="str">
        <f t="shared" si="6"/>
        <v/>
      </c>
      <c r="AA59" s="21" t="str">
        <f t="shared" si="7"/>
        <v/>
      </c>
      <c r="AB59" s="21" t="str">
        <f t="shared" si="8"/>
        <v/>
      </c>
      <c r="AC59" s="22" t="str">
        <f t="shared" si="9"/>
        <v/>
      </c>
      <c r="AD59" s="22" t="str">
        <f t="shared" si="10"/>
        <v/>
      </c>
      <c r="AE59" s="17" t="str">
        <f t="shared" si="11"/>
        <v/>
      </c>
      <c r="AF59" s="23"/>
    </row>
    <row r="60" spans="1:32" ht="30" customHeight="1">
      <c r="A60" s="15">
        <v>62</v>
      </c>
      <c r="B60" s="16"/>
      <c r="C60" s="15"/>
      <c r="D60" s="15"/>
      <c r="E60" s="15"/>
      <c r="F60" s="21"/>
      <c r="G60" s="21"/>
      <c r="H60" s="21"/>
      <c r="I60" s="21"/>
      <c r="J60" s="21"/>
      <c r="K60" s="21"/>
      <c r="L60" s="21"/>
      <c r="M60" s="21"/>
      <c r="N60" s="21"/>
      <c r="O60" s="21"/>
      <c r="P60" s="21"/>
      <c r="Q60" s="21"/>
      <c r="R60" s="21"/>
      <c r="S60" s="21"/>
      <c r="T60" s="21"/>
      <c r="U60" s="21"/>
      <c r="V60" s="21"/>
      <c r="W60" s="21"/>
      <c r="X60" s="21"/>
      <c r="Y60" s="21"/>
      <c r="Z60" s="21" t="str">
        <f t="shared" si="6"/>
        <v/>
      </c>
      <c r="AA60" s="21" t="str">
        <f t="shared" si="7"/>
        <v/>
      </c>
      <c r="AB60" s="21" t="str">
        <f t="shared" si="8"/>
        <v/>
      </c>
      <c r="AC60" s="22" t="str">
        <f t="shared" si="9"/>
        <v/>
      </c>
      <c r="AD60" s="22" t="str">
        <f t="shared" si="10"/>
        <v/>
      </c>
      <c r="AE60" s="17" t="str">
        <f t="shared" si="11"/>
        <v/>
      </c>
      <c r="AF60" s="23"/>
    </row>
    <row r="61" spans="1:32" ht="30" customHeight="1">
      <c r="A61" s="15">
        <v>63</v>
      </c>
      <c r="B61" s="16"/>
      <c r="C61" s="15"/>
      <c r="D61" s="15"/>
      <c r="E61" s="15"/>
      <c r="F61" s="21"/>
      <c r="G61" s="21"/>
      <c r="H61" s="21"/>
      <c r="I61" s="21"/>
      <c r="J61" s="21"/>
      <c r="K61" s="21"/>
      <c r="L61" s="21"/>
      <c r="M61" s="21"/>
      <c r="N61" s="21"/>
      <c r="O61" s="21"/>
      <c r="P61" s="21"/>
      <c r="Q61" s="21"/>
      <c r="R61" s="21"/>
      <c r="S61" s="21"/>
      <c r="T61" s="21"/>
      <c r="U61" s="21"/>
      <c r="V61" s="21"/>
      <c r="W61" s="21"/>
      <c r="X61" s="21"/>
      <c r="Y61" s="21"/>
      <c r="Z61" s="21" t="str">
        <f t="shared" si="6"/>
        <v/>
      </c>
      <c r="AA61" s="21" t="str">
        <f t="shared" si="7"/>
        <v/>
      </c>
      <c r="AB61" s="21" t="str">
        <f t="shared" si="8"/>
        <v/>
      </c>
      <c r="AC61" s="22" t="str">
        <f t="shared" si="9"/>
        <v/>
      </c>
      <c r="AD61" s="22" t="str">
        <f t="shared" si="10"/>
        <v/>
      </c>
      <c r="AE61" s="17" t="str">
        <f t="shared" si="11"/>
        <v/>
      </c>
      <c r="AF61" s="23"/>
    </row>
    <row r="62" spans="1:32" ht="30" customHeight="1">
      <c r="A62" s="15">
        <v>64</v>
      </c>
      <c r="B62" s="16"/>
      <c r="C62" s="15"/>
      <c r="D62" s="15"/>
      <c r="E62" s="15"/>
      <c r="F62" s="21"/>
      <c r="G62" s="21"/>
      <c r="H62" s="21"/>
      <c r="I62" s="21"/>
      <c r="J62" s="21"/>
      <c r="K62" s="21"/>
      <c r="L62" s="21"/>
      <c r="M62" s="21"/>
      <c r="N62" s="21"/>
      <c r="O62" s="21"/>
      <c r="P62" s="21"/>
      <c r="Q62" s="21"/>
      <c r="R62" s="21"/>
      <c r="S62" s="21"/>
      <c r="T62" s="21"/>
      <c r="U62" s="21"/>
      <c r="V62" s="21"/>
      <c r="W62" s="21"/>
      <c r="X62" s="21"/>
      <c r="Y62" s="21"/>
      <c r="Z62" s="21" t="str">
        <f t="shared" si="6"/>
        <v/>
      </c>
      <c r="AA62" s="21" t="str">
        <f t="shared" si="7"/>
        <v/>
      </c>
      <c r="AB62" s="21" t="str">
        <f t="shared" si="8"/>
        <v/>
      </c>
      <c r="AC62" s="22" t="str">
        <f t="shared" si="9"/>
        <v/>
      </c>
      <c r="AD62" s="22" t="str">
        <f t="shared" si="10"/>
        <v/>
      </c>
      <c r="AE62" s="17" t="str">
        <f t="shared" si="11"/>
        <v/>
      </c>
      <c r="AF62" s="23"/>
    </row>
    <row r="63" spans="1:32" ht="30" customHeight="1">
      <c r="A63" s="15">
        <v>65</v>
      </c>
      <c r="B63" s="16"/>
      <c r="C63" s="15"/>
      <c r="D63" s="15"/>
      <c r="E63" s="15"/>
      <c r="F63" s="21"/>
      <c r="G63" s="21"/>
      <c r="H63" s="21"/>
      <c r="I63" s="21"/>
      <c r="J63" s="21"/>
      <c r="K63" s="21"/>
      <c r="L63" s="21"/>
      <c r="M63" s="21"/>
      <c r="N63" s="21"/>
      <c r="O63" s="21"/>
      <c r="P63" s="21"/>
      <c r="Q63" s="21"/>
      <c r="R63" s="21"/>
      <c r="S63" s="21"/>
      <c r="T63" s="21"/>
      <c r="U63" s="21"/>
      <c r="V63" s="21"/>
      <c r="W63" s="21"/>
      <c r="X63" s="21"/>
      <c r="Y63" s="21"/>
      <c r="Z63" s="21" t="str">
        <f t="shared" ref="Z63:Z94" si="12">IF(B63="","",IF(COUNTIF(F63:G63,"Fail")&gt;0,1,0))</f>
        <v/>
      </c>
      <c r="AA63" s="21" t="str">
        <f t="shared" ref="AA63:AA94" si="13">IF(B63="","",IF(COUNTIF(H63:S63,"Fail")&gt;0,1,0))</f>
        <v/>
      </c>
      <c r="AB63" s="21" t="str">
        <f t="shared" ref="AB63:AB94" si="14">IF(B63="","",IF(COUNTIF(T63:Y63,"Fail")&gt;0,1,0))</f>
        <v/>
      </c>
      <c r="AC63" s="22" t="str">
        <f t="shared" ref="AC63:AC94" si="15">IF(B63="","",0.1*Z63+0.8*AA63+0.1*AB63)</f>
        <v/>
      </c>
      <c r="AD63" s="22" t="str">
        <f t="shared" ref="AD63:AD94" si="16">IF(B63="","",IF(C63="Batch 1",0.3,0.2))</f>
        <v/>
      </c>
      <c r="AE63" s="17" t="str">
        <f t="shared" ref="AE63:AE94" si="17">IF(B63="","",IF(AC63&lt;=AD63,"Đạt","Không đạt"))</f>
        <v/>
      </c>
      <c r="AF63" s="23"/>
    </row>
    <row r="64" spans="1:32" ht="30" customHeight="1">
      <c r="A64" s="15">
        <v>66</v>
      </c>
      <c r="B64" s="16"/>
      <c r="C64" s="15"/>
      <c r="D64" s="15"/>
      <c r="E64" s="15"/>
      <c r="F64" s="21"/>
      <c r="G64" s="21"/>
      <c r="H64" s="21"/>
      <c r="I64" s="21"/>
      <c r="J64" s="21"/>
      <c r="K64" s="21"/>
      <c r="L64" s="21"/>
      <c r="M64" s="21"/>
      <c r="N64" s="21"/>
      <c r="O64" s="21"/>
      <c r="P64" s="21"/>
      <c r="Q64" s="21"/>
      <c r="R64" s="21"/>
      <c r="S64" s="21"/>
      <c r="T64" s="21"/>
      <c r="U64" s="21"/>
      <c r="V64" s="21"/>
      <c r="W64" s="21"/>
      <c r="X64" s="21"/>
      <c r="Y64" s="21"/>
      <c r="Z64" s="21" t="str">
        <f t="shared" si="12"/>
        <v/>
      </c>
      <c r="AA64" s="21" t="str">
        <f t="shared" si="13"/>
        <v/>
      </c>
      <c r="AB64" s="21" t="str">
        <f t="shared" si="14"/>
        <v/>
      </c>
      <c r="AC64" s="22" t="str">
        <f t="shared" si="15"/>
        <v/>
      </c>
      <c r="AD64" s="22" t="str">
        <f t="shared" si="16"/>
        <v/>
      </c>
      <c r="AE64" s="17" t="str">
        <f t="shared" si="17"/>
        <v/>
      </c>
      <c r="AF64" s="23"/>
    </row>
    <row r="65" spans="1:32" ht="30" customHeight="1">
      <c r="A65" s="15">
        <v>67</v>
      </c>
      <c r="B65" s="16"/>
      <c r="C65" s="15"/>
      <c r="D65" s="15"/>
      <c r="E65" s="15"/>
      <c r="F65" s="21"/>
      <c r="G65" s="21"/>
      <c r="H65" s="21"/>
      <c r="I65" s="21"/>
      <c r="J65" s="21"/>
      <c r="K65" s="21"/>
      <c r="L65" s="21"/>
      <c r="M65" s="21"/>
      <c r="N65" s="21"/>
      <c r="O65" s="21"/>
      <c r="P65" s="21"/>
      <c r="Q65" s="21"/>
      <c r="R65" s="21"/>
      <c r="S65" s="21"/>
      <c r="T65" s="21"/>
      <c r="U65" s="21"/>
      <c r="V65" s="21"/>
      <c r="W65" s="21"/>
      <c r="X65" s="21"/>
      <c r="Y65" s="21"/>
      <c r="Z65" s="21" t="str">
        <f t="shared" si="12"/>
        <v/>
      </c>
      <c r="AA65" s="21" t="str">
        <f t="shared" si="13"/>
        <v/>
      </c>
      <c r="AB65" s="21" t="str">
        <f t="shared" si="14"/>
        <v/>
      </c>
      <c r="AC65" s="22" t="str">
        <f t="shared" si="15"/>
        <v/>
      </c>
      <c r="AD65" s="22" t="str">
        <f t="shared" si="16"/>
        <v/>
      </c>
      <c r="AE65" s="17" t="str">
        <f t="shared" si="17"/>
        <v/>
      </c>
      <c r="AF65" s="23"/>
    </row>
    <row r="66" spans="1:32" ht="30" customHeight="1">
      <c r="A66" s="15">
        <v>68</v>
      </c>
      <c r="B66" s="16"/>
      <c r="C66" s="15"/>
      <c r="D66" s="15"/>
      <c r="E66" s="15"/>
      <c r="F66" s="21"/>
      <c r="G66" s="21"/>
      <c r="H66" s="21"/>
      <c r="I66" s="21"/>
      <c r="J66" s="21"/>
      <c r="K66" s="21"/>
      <c r="L66" s="21"/>
      <c r="M66" s="21"/>
      <c r="N66" s="21"/>
      <c r="O66" s="21"/>
      <c r="P66" s="21"/>
      <c r="Q66" s="21"/>
      <c r="R66" s="21"/>
      <c r="S66" s="21"/>
      <c r="T66" s="21"/>
      <c r="U66" s="21"/>
      <c r="V66" s="21"/>
      <c r="W66" s="21"/>
      <c r="X66" s="21"/>
      <c r="Y66" s="21"/>
      <c r="Z66" s="21" t="str">
        <f t="shared" si="12"/>
        <v/>
      </c>
      <c r="AA66" s="21" t="str">
        <f t="shared" si="13"/>
        <v/>
      </c>
      <c r="AB66" s="21" t="str">
        <f t="shared" si="14"/>
        <v/>
      </c>
      <c r="AC66" s="22" t="str">
        <f t="shared" si="15"/>
        <v/>
      </c>
      <c r="AD66" s="22" t="str">
        <f t="shared" si="16"/>
        <v/>
      </c>
      <c r="AE66" s="17" t="str">
        <f t="shared" si="17"/>
        <v/>
      </c>
      <c r="AF66" s="23"/>
    </row>
    <row r="67" spans="1:32" ht="30" customHeight="1">
      <c r="A67" s="15">
        <v>69</v>
      </c>
      <c r="B67" s="16"/>
      <c r="C67" s="15"/>
      <c r="D67" s="15"/>
      <c r="E67" s="15"/>
      <c r="F67" s="21"/>
      <c r="G67" s="21"/>
      <c r="H67" s="21"/>
      <c r="I67" s="21"/>
      <c r="J67" s="21"/>
      <c r="K67" s="21"/>
      <c r="L67" s="21"/>
      <c r="M67" s="21"/>
      <c r="N67" s="21"/>
      <c r="O67" s="21"/>
      <c r="P67" s="21"/>
      <c r="Q67" s="21"/>
      <c r="R67" s="21"/>
      <c r="S67" s="21"/>
      <c r="T67" s="21"/>
      <c r="U67" s="21"/>
      <c r="V67" s="21"/>
      <c r="W67" s="21"/>
      <c r="X67" s="21"/>
      <c r="Y67" s="21"/>
      <c r="Z67" s="21" t="str">
        <f t="shared" si="12"/>
        <v/>
      </c>
      <c r="AA67" s="21" t="str">
        <f t="shared" si="13"/>
        <v/>
      </c>
      <c r="AB67" s="21" t="str">
        <f t="shared" si="14"/>
        <v/>
      </c>
      <c r="AC67" s="22" t="str">
        <f t="shared" si="15"/>
        <v/>
      </c>
      <c r="AD67" s="22" t="str">
        <f t="shared" si="16"/>
        <v/>
      </c>
      <c r="AE67" s="17" t="str">
        <f t="shared" si="17"/>
        <v/>
      </c>
      <c r="AF67" s="23"/>
    </row>
    <row r="68" spans="1:32" ht="30" customHeight="1">
      <c r="A68" s="15">
        <v>70</v>
      </c>
      <c r="B68" s="16"/>
      <c r="C68" s="15"/>
      <c r="D68" s="15"/>
      <c r="E68" s="15"/>
      <c r="F68" s="21"/>
      <c r="G68" s="21"/>
      <c r="H68" s="21"/>
      <c r="I68" s="21"/>
      <c r="J68" s="21"/>
      <c r="K68" s="21"/>
      <c r="L68" s="21"/>
      <c r="M68" s="21"/>
      <c r="N68" s="21"/>
      <c r="O68" s="21"/>
      <c r="P68" s="21"/>
      <c r="Q68" s="21"/>
      <c r="R68" s="21"/>
      <c r="S68" s="21"/>
      <c r="T68" s="21"/>
      <c r="U68" s="21"/>
      <c r="V68" s="21"/>
      <c r="W68" s="21"/>
      <c r="X68" s="21"/>
      <c r="Y68" s="21"/>
      <c r="Z68" s="21" t="str">
        <f t="shared" si="12"/>
        <v/>
      </c>
      <c r="AA68" s="21" t="str">
        <f t="shared" si="13"/>
        <v/>
      </c>
      <c r="AB68" s="21" t="str">
        <f t="shared" si="14"/>
        <v/>
      </c>
      <c r="AC68" s="22" t="str">
        <f t="shared" si="15"/>
        <v/>
      </c>
      <c r="AD68" s="22" t="str">
        <f t="shared" si="16"/>
        <v/>
      </c>
      <c r="AE68" s="17" t="str">
        <f t="shared" si="17"/>
        <v/>
      </c>
      <c r="AF68" s="23"/>
    </row>
    <row r="69" spans="1:32" ht="30" customHeight="1">
      <c r="A69" s="15">
        <v>71</v>
      </c>
      <c r="B69" s="16"/>
      <c r="C69" s="15"/>
      <c r="D69" s="15"/>
      <c r="E69" s="15"/>
      <c r="F69" s="21"/>
      <c r="G69" s="21"/>
      <c r="H69" s="21"/>
      <c r="I69" s="21"/>
      <c r="J69" s="21"/>
      <c r="K69" s="21"/>
      <c r="L69" s="21"/>
      <c r="M69" s="21"/>
      <c r="N69" s="21"/>
      <c r="O69" s="21"/>
      <c r="P69" s="21"/>
      <c r="Q69" s="21"/>
      <c r="R69" s="21"/>
      <c r="S69" s="21"/>
      <c r="T69" s="21"/>
      <c r="U69" s="21"/>
      <c r="V69" s="21"/>
      <c r="W69" s="21"/>
      <c r="X69" s="21"/>
      <c r="Y69" s="21"/>
      <c r="Z69" s="21" t="str">
        <f t="shared" si="12"/>
        <v/>
      </c>
      <c r="AA69" s="21" t="str">
        <f t="shared" si="13"/>
        <v/>
      </c>
      <c r="AB69" s="21" t="str">
        <f t="shared" si="14"/>
        <v/>
      </c>
      <c r="AC69" s="22" t="str">
        <f t="shared" si="15"/>
        <v/>
      </c>
      <c r="AD69" s="22" t="str">
        <f t="shared" si="16"/>
        <v/>
      </c>
      <c r="AE69" s="17" t="str">
        <f t="shared" si="17"/>
        <v/>
      </c>
      <c r="AF69" s="23"/>
    </row>
    <row r="70" spans="1:32" ht="30" customHeight="1">
      <c r="A70" s="15">
        <v>72</v>
      </c>
      <c r="B70" s="16"/>
      <c r="C70" s="15"/>
      <c r="D70" s="15"/>
      <c r="E70" s="15"/>
      <c r="F70" s="21"/>
      <c r="G70" s="21"/>
      <c r="H70" s="21"/>
      <c r="I70" s="21"/>
      <c r="J70" s="21"/>
      <c r="K70" s="21"/>
      <c r="L70" s="21"/>
      <c r="M70" s="21"/>
      <c r="N70" s="21"/>
      <c r="O70" s="21"/>
      <c r="P70" s="21"/>
      <c r="Q70" s="21"/>
      <c r="R70" s="21"/>
      <c r="S70" s="21"/>
      <c r="T70" s="21"/>
      <c r="U70" s="21"/>
      <c r="V70" s="21"/>
      <c r="W70" s="21"/>
      <c r="X70" s="21"/>
      <c r="Y70" s="21"/>
      <c r="Z70" s="21" t="str">
        <f t="shared" si="12"/>
        <v/>
      </c>
      <c r="AA70" s="21" t="str">
        <f t="shared" si="13"/>
        <v/>
      </c>
      <c r="AB70" s="21" t="str">
        <f t="shared" si="14"/>
        <v/>
      </c>
      <c r="AC70" s="22" t="str">
        <f t="shared" si="15"/>
        <v/>
      </c>
      <c r="AD70" s="22" t="str">
        <f t="shared" si="16"/>
        <v/>
      </c>
      <c r="AE70" s="17" t="str">
        <f t="shared" si="17"/>
        <v/>
      </c>
      <c r="AF70" s="23"/>
    </row>
    <row r="71" spans="1:32" ht="30" customHeight="1">
      <c r="A71" s="15">
        <v>73</v>
      </c>
      <c r="B71" s="16"/>
      <c r="C71" s="15"/>
      <c r="D71" s="15"/>
      <c r="E71" s="15"/>
      <c r="F71" s="21"/>
      <c r="G71" s="21"/>
      <c r="H71" s="21"/>
      <c r="I71" s="21"/>
      <c r="J71" s="21"/>
      <c r="K71" s="21"/>
      <c r="L71" s="21"/>
      <c r="M71" s="21"/>
      <c r="N71" s="21"/>
      <c r="O71" s="21"/>
      <c r="P71" s="21"/>
      <c r="Q71" s="21"/>
      <c r="R71" s="21"/>
      <c r="S71" s="21"/>
      <c r="T71" s="21"/>
      <c r="U71" s="21"/>
      <c r="V71" s="21"/>
      <c r="W71" s="21"/>
      <c r="X71" s="21"/>
      <c r="Y71" s="21"/>
      <c r="Z71" s="21" t="str">
        <f t="shared" si="12"/>
        <v/>
      </c>
      <c r="AA71" s="21" t="str">
        <f t="shared" si="13"/>
        <v/>
      </c>
      <c r="AB71" s="21" t="str">
        <f t="shared" si="14"/>
        <v/>
      </c>
      <c r="AC71" s="22" t="str">
        <f t="shared" si="15"/>
        <v/>
      </c>
      <c r="AD71" s="22" t="str">
        <f t="shared" si="16"/>
        <v/>
      </c>
      <c r="AE71" s="17" t="str">
        <f t="shared" si="17"/>
        <v/>
      </c>
      <c r="AF71" s="23"/>
    </row>
    <row r="72" spans="1:32" ht="30" customHeight="1">
      <c r="A72" s="15">
        <v>74</v>
      </c>
      <c r="B72" s="16"/>
      <c r="C72" s="15"/>
      <c r="D72" s="15"/>
      <c r="E72" s="15"/>
      <c r="F72" s="21"/>
      <c r="G72" s="21"/>
      <c r="H72" s="21"/>
      <c r="I72" s="21"/>
      <c r="J72" s="21"/>
      <c r="K72" s="21"/>
      <c r="L72" s="21"/>
      <c r="M72" s="21"/>
      <c r="N72" s="21"/>
      <c r="O72" s="21"/>
      <c r="P72" s="21"/>
      <c r="Q72" s="21"/>
      <c r="R72" s="21"/>
      <c r="S72" s="21"/>
      <c r="T72" s="21"/>
      <c r="U72" s="21"/>
      <c r="V72" s="21"/>
      <c r="W72" s="21"/>
      <c r="X72" s="21"/>
      <c r="Y72" s="21"/>
      <c r="Z72" s="21" t="str">
        <f t="shared" si="12"/>
        <v/>
      </c>
      <c r="AA72" s="21" t="str">
        <f t="shared" si="13"/>
        <v/>
      </c>
      <c r="AB72" s="21" t="str">
        <f t="shared" si="14"/>
        <v/>
      </c>
      <c r="AC72" s="22" t="str">
        <f t="shared" si="15"/>
        <v/>
      </c>
      <c r="AD72" s="22" t="str">
        <f t="shared" si="16"/>
        <v/>
      </c>
      <c r="AE72" s="17" t="str">
        <f t="shared" si="17"/>
        <v/>
      </c>
      <c r="AF72" s="23"/>
    </row>
    <row r="73" spans="1:32" ht="30" customHeight="1">
      <c r="A73" s="15">
        <v>75</v>
      </c>
      <c r="B73" s="16"/>
      <c r="C73" s="15"/>
      <c r="D73" s="15"/>
      <c r="E73" s="15"/>
      <c r="F73" s="21"/>
      <c r="G73" s="21"/>
      <c r="H73" s="21"/>
      <c r="I73" s="21"/>
      <c r="J73" s="21"/>
      <c r="K73" s="21"/>
      <c r="L73" s="21"/>
      <c r="M73" s="21"/>
      <c r="N73" s="21"/>
      <c r="O73" s="21"/>
      <c r="P73" s="21"/>
      <c r="Q73" s="21"/>
      <c r="R73" s="21"/>
      <c r="S73" s="21"/>
      <c r="T73" s="21"/>
      <c r="U73" s="21"/>
      <c r="V73" s="21"/>
      <c r="W73" s="21"/>
      <c r="X73" s="21"/>
      <c r="Y73" s="21"/>
      <c r="Z73" s="21" t="str">
        <f t="shared" si="12"/>
        <v/>
      </c>
      <c r="AA73" s="21" t="str">
        <f t="shared" si="13"/>
        <v/>
      </c>
      <c r="AB73" s="21" t="str">
        <f t="shared" si="14"/>
        <v/>
      </c>
      <c r="AC73" s="22" t="str">
        <f t="shared" si="15"/>
        <v/>
      </c>
      <c r="AD73" s="22" t="str">
        <f t="shared" si="16"/>
        <v/>
      </c>
      <c r="AE73" s="17" t="str">
        <f t="shared" si="17"/>
        <v/>
      </c>
      <c r="AF73" s="23"/>
    </row>
    <row r="74" spans="1:32" ht="30" customHeight="1">
      <c r="A74" s="15">
        <v>76</v>
      </c>
      <c r="B74" s="16"/>
      <c r="C74" s="15"/>
      <c r="D74" s="15"/>
      <c r="E74" s="15"/>
      <c r="F74" s="21"/>
      <c r="G74" s="21"/>
      <c r="H74" s="21"/>
      <c r="I74" s="21"/>
      <c r="J74" s="21"/>
      <c r="K74" s="21"/>
      <c r="L74" s="21"/>
      <c r="M74" s="21"/>
      <c r="N74" s="21"/>
      <c r="O74" s="21"/>
      <c r="P74" s="21"/>
      <c r="Q74" s="21"/>
      <c r="R74" s="21"/>
      <c r="S74" s="21"/>
      <c r="T74" s="21"/>
      <c r="U74" s="21"/>
      <c r="V74" s="21"/>
      <c r="W74" s="21"/>
      <c r="X74" s="21"/>
      <c r="Y74" s="21"/>
      <c r="Z74" s="21" t="str">
        <f t="shared" si="12"/>
        <v/>
      </c>
      <c r="AA74" s="21" t="str">
        <f t="shared" si="13"/>
        <v/>
      </c>
      <c r="AB74" s="21" t="str">
        <f t="shared" si="14"/>
        <v/>
      </c>
      <c r="AC74" s="22" t="str">
        <f t="shared" si="15"/>
        <v/>
      </c>
      <c r="AD74" s="22" t="str">
        <f t="shared" si="16"/>
        <v/>
      </c>
      <c r="AE74" s="17" t="str">
        <f t="shared" si="17"/>
        <v/>
      </c>
      <c r="AF74" s="23"/>
    </row>
    <row r="75" spans="1:32" ht="30" customHeight="1">
      <c r="A75" s="15">
        <v>77</v>
      </c>
      <c r="B75" s="16"/>
      <c r="C75" s="15"/>
      <c r="D75" s="15"/>
      <c r="E75" s="15"/>
      <c r="F75" s="21"/>
      <c r="G75" s="21"/>
      <c r="H75" s="21"/>
      <c r="I75" s="21"/>
      <c r="J75" s="21"/>
      <c r="K75" s="21"/>
      <c r="L75" s="21"/>
      <c r="M75" s="21"/>
      <c r="N75" s="21"/>
      <c r="O75" s="21"/>
      <c r="P75" s="21"/>
      <c r="Q75" s="21"/>
      <c r="R75" s="21"/>
      <c r="S75" s="21"/>
      <c r="T75" s="21"/>
      <c r="U75" s="21"/>
      <c r="V75" s="21"/>
      <c r="W75" s="21"/>
      <c r="X75" s="21"/>
      <c r="Y75" s="21"/>
      <c r="Z75" s="21" t="str">
        <f t="shared" si="12"/>
        <v/>
      </c>
      <c r="AA75" s="21" t="str">
        <f t="shared" si="13"/>
        <v/>
      </c>
      <c r="AB75" s="21" t="str">
        <f t="shared" si="14"/>
        <v/>
      </c>
      <c r="AC75" s="22" t="str">
        <f t="shared" si="15"/>
        <v/>
      </c>
      <c r="AD75" s="22" t="str">
        <f t="shared" si="16"/>
        <v/>
      </c>
      <c r="AE75" s="17" t="str">
        <f t="shared" si="17"/>
        <v/>
      </c>
      <c r="AF75" s="23"/>
    </row>
    <row r="76" spans="1:32" ht="30" customHeight="1">
      <c r="A76" s="15">
        <v>78</v>
      </c>
      <c r="B76" s="16"/>
      <c r="C76" s="15"/>
      <c r="D76" s="15"/>
      <c r="E76" s="15"/>
      <c r="F76" s="21"/>
      <c r="G76" s="21"/>
      <c r="H76" s="21"/>
      <c r="I76" s="21"/>
      <c r="J76" s="21"/>
      <c r="K76" s="21"/>
      <c r="L76" s="21"/>
      <c r="M76" s="21"/>
      <c r="N76" s="21"/>
      <c r="O76" s="21"/>
      <c r="P76" s="21"/>
      <c r="Q76" s="21"/>
      <c r="R76" s="21"/>
      <c r="S76" s="21"/>
      <c r="T76" s="21"/>
      <c r="U76" s="21"/>
      <c r="V76" s="21"/>
      <c r="W76" s="21"/>
      <c r="X76" s="21"/>
      <c r="Y76" s="21"/>
      <c r="Z76" s="21" t="str">
        <f t="shared" si="12"/>
        <v/>
      </c>
      <c r="AA76" s="21" t="str">
        <f t="shared" si="13"/>
        <v/>
      </c>
      <c r="AB76" s="21" t="str">
        <f t="shared" si="14"/>
        <v/>
      </c>
      <c r="AC76" s="22" t="str">
        <f t="shared" si="15"/>
        <v/>
      </c>
      <c r="AD76" s="22" t="str">
        <f t="shared" si="16"/>
        <v/>
      </c>
      <c r="AE76" s="17" t="str">
        <f t="shared" si="17"/>
        <v/>
      </c>
      <c r="AF76" s="23"/>
    </row>
    <row r="77" spans="1:32" ht="30" customHeight="1">
      <c r="A77" s="15">
        <v>79</v>
      </c>
      <c r="B77" s="16"/>
      <c r="C77" s="15"/>
      <c r="D77" s="15"/>
      <c r="E77" s="15"/>
      <c r="F77" s="21"/>
      <c r="G77" s="21"/>
      <c r="H77" s="21"/>
      <c r="I77" s="21"/>
      <c r="J77" s="21"/>
      <c r="K77" s="21"/>
      <c r="L77" s="21"/>
      <c r="M77" s="21"/>
      <c r="N77" s="21"/>
      <c r="O77" s="21"/>
      <c r="P77" s="21"/>
      <c r="Q77" s="21"/>
      <c r="R77" s="21"/>
      <c r="S77" s="21"/>
      <c r="T77" s="21"/>
      <c r="U77" s="21"/>
      <c r="V77" s="21"/>
      <c r="W77" s="21"/>
      <c r="X77" s="21"/>
      <c r="Y77" s="21"/>
      <c r="Z77" s="21" t="str">
        <f t="shared" si="12"/>
        <v/>
      </c>
      <c r="AA77" s="21" t="str">
        <f t="shared" si="13"/>
        <v/>
      </c>
      <c r="AB77" s="21" t="str">
        <f t="shared" si="14"/>
        <v/>
      </c>
      <c r="AC77" s="22" t="str">
        <f t="shared" si="15"/>
        <v/>
      </c>
      <c r="AD77" s="22" t="str">
        <f t="shared" si="16"/>
        <v/>
      </c>
      <c r="AE77" s="17" t="str">
        <f t="shared" si="17"/>
        <v/>
      </c>
      <c r="AF77" s="23"/>
    </row>
    <row r="78" spans="1:32" ht="30" customHeight="1">
      <c r="A78" s="15">
        <v>80</v>
      </c>
      <c r="B78" s="16"/>
      <c r="C78" s="15"/>
      <c r="D78" s="15"/>
      <c r="E78" s="15"/>
      <c r="F78" s="21"/>
      <c r="G78" s="21"/>
      <c r="H78" s="21"/>
      <c r="I78" s="21"/>
      <c r="J78" s="21"/>
      <c r="K78" s="21"/>
      <c r="L78" s="21"/>
      <c r="M78" s="21"/>
      <c r="N78" s="21"/>
      <c r="O78" s="21"/>
      <c r="P78" s="21"/>
      <c r="Q78" s="21"/>
      <c r="R78" s="21"/>
      <c r="S78" s="21"/>
      <c r="T78" s="21"/>
      <c r="U78" s="21"/>
      <c r="V78" s="21"/>
      <c r="W78" s="21"/>
      <c r="X78" s="21"/>
      <c r="Y78" s="21"/>
      <c r="Z78" s="21" t="str">
        <f t="shared" si="12"/>
        <v/>
      </c>
      <c r="AA78" s="21" t="str">
        <f t="shared" si="13"/>
        <v/>
      </c>
      <c r="AB78" s="21" t="str">
        <f t="shared" si="14"/>
        <v/>
      </c>
      <c r="AC78" s="22" t="str">
        <f t="shared" si="15"/>
        <v/>
      </c>
      <c r="AD78" s="22" t="str">
        <f t="shared" si="16"/>
        <v/>
      </c>
      <c r="AE78" s="17" t="str">
        <f t="shared" si="17"/>
        <v/>
      </c>
      <c r="AF78" s="23"/>
    </row>
    <row r="79" spans="1:32" ht="30" customHeight="1">
      <c r="A79" s="15">
        <v>81</v>
      </c>
      <c r="B79" s="16"/>
      <c r="C79" s="15"/>
      <c r="D79" s="15"/>
      <c r="E79" s="15"/>
      <c r="F79" s="21"/>
      <c r="G79" s="21"/>
      <c r="H79" s="21"/>
      <c r="I79" s="21"/>
      <c r="J79" s="21"/>
      <c r="K79" s="21"/>
      <c r="L79" s="21"/>
      <c r="M79" s="21"/>
      <c r="N79" s="21"/>
      <c r="O79" s="21"/>
      <c r="P79" s="21"/>
      <c r="Q79" s="21"/>
      <c r="R79" s="21"/>
      <c r="S79" s="21"/>
      <c r="T79" s="21"/>
      <c r="U79" s="21"/>
      <c r="V79" s="21"/>
      <c r="W79" s="21"/>
      <c r="X79" s="21"/>
      <c r="Y79" s="21"/>
      <c r="Z79" s="21" t="str">
        <f t="shared" si="12"/>
        <v/>
      </c>
      <c r="AA79" s="21" t="str">
        <f t="shared" si="13"/>
        <v/>
      </c>
      <c r="AB79" s="21" t="str">
        <f t="shared" si="14"/>
        <v/>
      </c>
      <c r="AC79" s="22" t="str">
        <f t="shared" si="15"/>
        <v/>
      </c>
      <c r="AD79" s="22" t="str">
        <f t="shared" si="16"/>
        <v/>
      </c>
      <c r="AE79" s="17" t="str">
        <f t="shared" si="17"/>
        <v/>
      </c>
      <c r="AF79" s="23"/>
    </row>
    <row r="80" spans="1:32" ht="30" customHeight="1">
      <c r="A80" s="15">
        <v>82</v>
      </c>
      <c r="B80" s="16"/>
      <c r="C80" s="15"/>
      <c r="D80" s="15"/>
      <c r="E80" s="15"/>
      <c r="F80" s="21"/>
      <c r="G80" s="21"/>
      <c r="H80" s="21"/>
      <c r="I80" s="21"/>
      <c r="J80" s="21"/>
      <c r="K80" s="21"/>
      <c r="L80" s="21"/>
      <c r="M80" s="21"/>
      <c r="N80" s="21"/>
      <c r="O80" s="21"/>
      <c r="P80" s="21"/>
      <c r="Q80" s="21"/>
      <c r="R80" s="21"/>
      <c r="S80" s="21"/>
      <c r="T80" s="21"/>
      <c r="U80" s="21"/>
      <c r="V80" s="21"/>
      <c r="W80" s="21"/>
      <c r="X80" s="21"/>
      <c r="Y80" s="21"/>
      <c r="Z80" s="21" t="str">
        <f t="shared" si="12"/>
        <v/>
      </c>
      <c r="AA80" s="21" t="str">
        <f t="shared" si="13"/>
        <v/>
      </c>
      <c r="AB80" s="21" t="str">
        <f t="shared" si="14"/>
        <v/>
      </c>
      <c r="AC80" s="22" t="str">
        <f t="shared" si="15"/>
        <v/>
      </c>
      <c r="AD80" s="22" t="str">
        <f t="shared" si="16"/>
        <v/>
      </c>
      <c r="AE80" s="17" t="str">
        <f t="shared" si="17"/>
        <v/>
      </c>
      <c r="AF80" s="23"/>
    </row>
    <row r="81" spans="1:32" ht="30" customHeight="1">
      <c r="A81" s="15">
        <v>83</v>
      </c>
      <c r="B81" s="16"/>
      <c r="C81" s="15"/>
      <c r="D81" s="15"/>
      <c r="E81" s="15"/>
      <c r="F81" s="21"/>
      <c r="G81" s="21"/>
      <c r="H81" s="21"/>
      <c r="I81" s="21"/>
      <c r="J81" s="21"/>
      <c r="K81" s="21"/>
      <c r="L81" s="21"/>
      <c r="M81" s="21"/>
      <c r="N81" s="21"/>
      <c r="O81" s="21"/>
      <c r="P81" s="21"/>
      <c r="Q81" s="21"/>
      <c r="R81" s="21"/>
      <c r="S81" s="21"/>
      <c r="T81" s="21"/>
      <c r="U81" s="21"/>
      <c r="V81" s="21"/>
      <c r="W81" s="21"/>
      <c r="X81" s="21"/>
      <c r="Y81" s="21"/>
      <c r="Z81" s="21" t="str">
        <f t="shared" si="12"/>
        <v/>
      </c>
      <c r="AA81" s="21" t="str">
        <f t="shared" si="13"/>
        <v/>
      </c>
      <c r="AB81" s="21" t="str">
        <f t="shared" si="14"/>
        <v/>
      </c>
      <c r="AC81" s="22" t="str">
        <f t="shared" si="15"/>
        <v/>
      </c>
      <c r="AD81" s="22" t="str">
        <f t="shared" si="16"/>
        <v/>
      </c>
      <c r="AE81" s="17" t="str">
        <f t="shared" si="17"/>
        <v/>
      </c>
      <c r="AF81" s="23"/>
    </row>
    <row r="82" spans="1:32" ht="30" customHeight="1">
      <c r="A82" s="15">
        <v>84</v>
      </c>
      <c r="B82" s="16"/>
      <c r="C82" s="15"/>
      <c r="D82" s="15"/>
      <c r="E82" s="15"/>
      <c r="F82" s="21"/>
      <c r="G82" s="21"/>
      <c r="H82" s="21"/>
      <c r="I82" s="21"/>
      <c r="J82" s="21"/>
      <c r="K82" s="21"/>
      <c r="L82" s="21"/>
      <c r="M82" s="21"/>
      <c r="N82" s="21"/>
      <c r="O82" s="21"/>
      <c r="P82" s="21"/>
      <c r="Q82" s="21"/>
      <c r="R82" s="21"/>
      <c r="S82" s="21"/>
      <c r="T82" s="21"/>
      <c r="U82" s="21"/>
      <c r="V82" s="21"/>
      <c r="W82" s="21"/>
      <c r="X82" s="21"/>
      <c r="Y82" s="21"/>
      <c r="Z82" s="21" t="str">
        <f t="shared" si="12"/>
        <v/>
      </c>
      <c r="AA82" s="21" t="str">
        <f t="shared" si="13"/>
        <v/>
      </c>
      <c r="AB82" s="21" t="str">
        <f t="shared" si="14"/>
        <v/>
      </c>
      <c r="AC82" s="22" t="str">
        <f t="shared" si="15"/>
        <v/>
      </c>
      <c r="AD82" s="22" t="str">
        <f t="shared" si="16"/>
        <v/>
      </c>
      <c r="AE82" s="17" t="str">
        <f t="shared" si="17"/>
        <v/>
      </c>
      <c r="AF82" s="23"/>
    </row>
    <row r="83" spans="1:32" ht="30" customHeight="1">
      <c r="A83" s="15">
        <v>85</v>
      </c>
      <c r="B83" s="16"/>
      <c r="C83" s="15"/>
      <c r="D83" s="15"/>
      <c r="E83" s="15"/>
      <c r="F83" s="21"/>
      <c r="G83" s="21"/>
      <c r="H83" s="21"/>
      <c r="I83" s="21"/>
      <c r="J83" s="21"/>
      <c r="K83" s="21"/>
      <c r="L83" s="21"/>
      <c r="M83" s="21"/>
      <c r="N83" s="21"/>
      <c r="O83" s="21"/>
      <c r="P83" s="21"/>
      <c r="Q83" s="21"/>
      <c r="R83" s="21"/>
      <c r="S83" s="21"/>
      <c r="T83" s="21"/>
      <c r="U83" s="21"/>
      <c r="V83" s="21"/>
      <c r="W83" s="21"/>
      <c r="X83" s="21"/>
      <c r="Y83" s="21"/>
      <c r="Z83" s="21" t="str">
        <f t="shared" si="12"/>
        <v/>
      </c>
      <c r="AA83" s="21" t="str">
        <f t="shared" si="13"/>
        <v/>
      </c>
      <c r="AB83" s="21" t="str">
        <f t="shared" si="14"/>
        <v/>
      </c>
      <c r="AC83" s="22" t="str">
        <f t="shared" si="15"/>
        <v/>
      </c>
      <c r="AD83" s="22" t="str">
        <f t="shared" si="16"/>
        <v/>
      </c>
      <c r="AE83" s="17" t="str">
        <f t="shared" si="17"/>
        <v/>
      </c>
      <c r="AF83" s="23"/>
    </row>
    <row r="84" spans="1:32" ht="30" customHeight="1">
      <c r="A84" s="15">
        <v>86</v>
      </c>
      <c r="B84" s="16"/>
      <c r="C84" s="15"/>
      <c r="D84" s="15"/>
      <c r="E84" s="15"/>
      <c r="F84" s="21"/>
      <c r="G84" s="21"/>
      <c r="H84" s="21"/>
      <c r="I84" s="21"/>
      <c r="J84" s="21"/>
      <c r="K84" s="21"/>
      <c r="L84" s="21"/>
      <c r="M84" s="21"/>
      <c r="N84" s="21"/>
      <c r="O84" s="21"/>
      <c r="P84" s="21"/>
      <c r="Q84" s="21"/>
      <c r="R84" s="21"/>
      <c r="S84" s="21"/>
      <c r="T84" s="21"/>
      <c r="U84" s="21"/>
      <c r="V84" s="21"/>
      <c r="W84" s="21"/>
      <c r="X84" s="21"/>
      <c r="Y84" s="21"/>
      <c r="Z84" s="21" t="str">
        <f t="shared" si="12"/>
        <v/>
      </c>
      <c r="AA84" s="21" t="str">
        <f t="shared" si="13"/>
        <v/>
      </c>
      <c r="AB84" s="21" t="str">
        <f t="shared" si="14"/>
        <v/>
      </c>
      <c r="AC84" s="22" t="str">
        <f t="shared" si="15"/>
        <v/>
      </c>
      <c r="AD84" s="22" t="str">
        <f t="shared" si="16"/>
        <v/>
      </c>
      <c r="AE84" s="17" t="str">
        <f t="shared" si="17"/>
        <v/>
      </c>
      <c r="AF84" s="23"/>
    </row>
    <row r="85" spans="1:32" ht="30" customHeight="1">
      <c r="A85" s="15">
        <v>87</v>
      </c>
      <c r="B85" s="16"/>
      <c r="C85" s="15"/>
      <c r="D85" s="15"/>
      <c r="E85" s="15"/>
      <c r="F85" s="21"/>
      <c r="G85" s="21"/>
      <c r="H85" s="21"/>
      <c r="I85" s="21"/>
      <c r="J85" s="21"/>
      <c r="K85" s="21"/>
      <c r="L85" s="21"/>
      <c r="M85" s="21"/>
      <c r="N85" s="21"/>
      <c r="O85" s="21"/>
      <c r="P85" s="21"/>
      <c r="Q85" s="21"/>
      <c r="R85" s="21"/>
      <c r="S85" s="21"/>
      <c r="T85" s="21"/>
      <c r="U85" s="21"/>
      <c r="V85" s="21"/>
      <c r="W85" s="21"/>
      <c r="X85" s="21"/>
      <c r="Y85" s="21"/>
      <c r="Z85" s="21" t="str">
        <f t="shared" si="12"/>
        <v/>
      </c>
      <c r="AA85" s="21" t="str">
        <f t="shared" si="13"/>
        <v/>
      </c>
      <c r="AB85" s="21" t="str">
        <f t="shared" si="14"/>
        <v/>
      </c>
      <c r="AC85" s="22" t="str">
        <f t="shared" si="15"/>
        <v/>
      </c>
      <c r="AD85" s="22" t="str">
        <f t="shared" si="16"/>
        <v/>
      </c>
      <c r="AE85" s="17" t="str">
        <f t="shared" si="17"/>
        <v/>
      </c>
      <c r="AF85" s="23"/>
    </row>
    <row r="86" spans="1:32" ht="30" customHeight="1">
      <c r="A86" s="15">
        <v>88</v>
      </c>
      <c r="B86" s="16"/>
      <c r="C86" s="15"/>
      <c r="D86" s="15"/>
      <c r="E86" s="15"/>
      <c r="F86" s="21"/>
      <c r="G86" s="21"/>
      <c r="H86" s="21"/>
      <c r="I86" s="21"/>
      <c r="J86" s="21"/>
      <c r="K86" s="21"/>
      <c r="L86" s="21"/>
      <c r="M86" s="21"/>
      <c r="N86" s="21"/>
      <c r="O86" s="21"/>
      <c r="P86" s="21"/>
      <c r="Q86" s="21"/>
      <c r="R86" s="21"/>
      <c r="S86" s="21"/>
      <c r="T86" s="21"/>
      <c r="U86" s="21"/>
      <c r="V86" s="21"/>
      <c r="W86" s="21"/>
      <c r="X86" s="21"/>
      <c r="Y86" s="21"/>
      <c r="Z86" s="21" t="str">
        <f t="shared" si="12"/>
        <v/>
      </c>
      <c r="AA86" s="21" t="str">
        <f t="shared" si="13"/>
        <v/>
      </c>
      <c r="AB86" s="21" t="str">
        <f t="shared" si="14"/>
        <v/>
      </c>
      <c r="AC86" s="22" t="str">
        <f t="shared" si="15"/>
        <v/>
      </c>
      <c r="AD86" s="22" t="str">
        <f t="shared" si="16"/>
        <v/>
      </c>
      <c r="AE86" s="17" t="str">
        <f t="shared" si="17"/>
        <v/>
      </c>
      <c r="AF86" s="23"/>
    </row>
    <row r="87" spans="1:32" ht="30" customHeight="1">
      <c r="A87" s="15">
        <v>89</v>
      </c>
      <c r="B87" s="16"/>
      <c r="C87" s="15"/>
      <c r="D87" s="15"/>
      <c r="E87" s="15"/>
      <c r="F87" s="21"/>
      <c r="G87" s="21"/>
      <c r="H87" s="21"/>
      <c r="I87" s="21"/>
      <c r="J87" s="21"/>
      <c r="K87" s="21"/>
      <c r="L87" s="21"/>
      <c r="M87" s="21"/>
      <c r="N87" s="21"/>
      <c r="O87" s="21"/>
      <c r="P87" s="21"/>
      <c r="Q87" s="21"/>
      <c r="R87" s="21"/>
      <c r="S87" s="21"/>
      <c r="T87" s="21"/>
      <c r="U87" s="21"/>
      <c r="V87" s="21"/>
      <c r="W87" s="21"/>
      <c r="X87" s="21"/>
      <c r="Y87" s="21"/>
      <c r="Z87" s="21" t="str">
        <f t="shared" si="12"/>
        <v/>
      </c>
      <c r="AA87" s="21" t="str">
        <f t="shared" si="13"/>
        <v/>
      </c>
      <c r="AB87" s="21" t="str">
        <f t="shared" si="14"/>
        <v/>
      </c>
      <c r="AC87" s="22" t="str">
        <f t="shared" si="15"/>
        <v/>
      </c>
      <c r="AD87" s="22" t="str">
        <f t="shared" si="16"/>
        <v/>
      </c>
      <c r="AE87" s="17" t="str">
        <f t="shared" si="17"/>
        <v/>
      </c>
      <c r="AF87" s="23"/>
    </row>
    <row r="88" spans="1:32" ht="30" customHeight="1">
      <c r="A88" s="15">
        <v>90</v>
      </c>
      <c r="B88" s="16"/>
      <c r="C88" s="15"/>
      <c r="D88" s="15"/>
      <c r="E88" s="15"/>
      <c r="F88" s="21"/>
      <c r="G88" s="21"/>
      <c r="H88" s="21"/>
      <c r="I88" s="21"/>
      <c r="J88" s="21"/>
      <c r="K88" s="21"/>
      <c r="L88" s="21"/>
      <c r="M88" s="21"/>
      <c r="N88" s="21"/>
      <c r="O88" s="21"/>
      <c r="P88" s="21"/>
      <c r="Q88" s="21"/>
      <c r="R88" s="21"/>
      <c r="S88" s="21"/>
      <c r="T88" s="21"/>
      <c r="U88" s="21"/>
      <c r="V88" s="21"/>
      <c r="W88" s="21"/>
      <c r="X88" s="21"/>
      <c r="Y88" s="21"/>
      <c r="Z88" s="21" t="str">
        <f t="shared" si="12"/>
        <v/>
      </c>
      <c r="AA88" s="21" t="str">
        <f t="shared" si="13"/>
        <v/>
      </c>
      <c r="AB88" s="21" t="str">
        <f t="shared" si="14"/>
        <v/>
      </c>
      <c r="AC88" s="22" t="str">
        <f t="shared" si="15"/>
        <v/>
      </c>
      <c r="AD88" s="22" t="str">
        <f t="shared" si="16"/>
        <v/>
      </c>
      <c r="AE88" s="17" t="str">
        <f t="shared" si="17"/>
        <v/>
      </c>
      <c r="AF88" s="23"/>
    </row>
    <row r="89" spans="1:32" ht="30" customHeight="1">
      <c r="A89" s="15">
        <v>91</v>
      </c>
      <c r="B89" s="16"/>
      <c r="C89" s="15"/>
      <c r="D89" s="15"/>
      <c r="E89" s="15"/>
      <c r="F89" s="21"/>
      <c r="G89" s="21"/>
      <c r="H89" s="21"/>
      <c r="I89" s="21"/>
      <c r="J89" s="21"/>
      <c r="K89" s="21"/>
      <c r="L89" s="21"/>
      <c r="M89" s="21"/>
      <c r="N89" s="21"/>
      <c r="O89" s="21"/>
      <c r="P89" s="21"/>
      <c r="Q89" s="21"/>
      <c r="R89" s="21"/>
      <c r="S89" s="21"/>
      <c r="T89" s="21"/>
      <c r="U89" s="21"/>
      <c r="V89" s="21"/>
      <c r="W89" s="21"/>
      <c r="X89" s="21"/>
      <c r="Y89" s="21"/>
      <c r="Z89" s="21" t="str">
        <f t="shared" si="12"/>
        <v/>
      </c>
      <c r="AA89" s="21" t="str">
        <f t="shared" si="13"/>
        <v/>
      </c>
      <c r="AB89" s="21" t="str">
        <f t="shared" si="14"/>
        <v/>
      </c>
      <c r="AC89" s="22" t="str">
        <f t="shared" si="15"/>
        <v/>
      </c>
      <c r="AD89" s="22" t="str">
        <f t="shared" si="16"/>
        <v/>
      </c>
      <c r="AE89" s="17" t="str">
        <f t="shared" si="17"/>
        <v/>
      </c>
      <c r="AF89" s="23"/>
    </row>
    <row r="90" spans="1:32" ht="30" customHeight="1">
      <c r="A90" s="15">
        <v>92</v>
      </c>
      <c r="B90" s="16"/>
      <c r="C90" s="15"/>
      <c r="D90" s="15"/>
      <c r="E90" s="15"/>
      <c r="F90" s="21"/>
      <c r="G90" s="21"/>
      <c r="H90" s="21"/>
      <c r="I90" s="21"/>
      <c r="J90" s="21"/>
      <c r="K90" s="21"/>
      <c r="L90" s="21"/>
      <c r="M90" s="21"/>
      <c r="N90" s="21"/>
      <c r="O90" s="21"/>
      <c r="P90" s="21"/>
      <c r="Q90" s="21"/>
      <c r="R90" s="21"/>
      <c r="S90" s="21"/>
      <c r="T90" s="21"/>
      <c r="U90" s="21"/>
      <c r="V90" s="21"/>
      <c r="W90" s="21"/>
      <c r="X90" s="21"/>
      <c r="Y90" s="21"/>
      <c r="Z90" s="21" t="str">
        <f t="shared" si="12"/>
        <v/>
      </c>
      <c r="AA90" s="21" t="str">
        <f t="shared" si="13"/>
        <v/>
      </c>
      <c r="AB90" s="21" t="str">
        <f t="shared" si="14"/>
        <v/>
      </c>
      <c r="AC90" s="22" t="str">
        <f t="shared" si="15"/>
        <v/>
      </c>
      <c r="AD90" s="22" t="str">
        <f t="shared" si="16"/>
        <v/>
      </c>
      <c r="AE90" s="17" t="str">
        <f t="shared" si="17"/>
        <v/>
      </c>
      <c r="AF90" s="23"/>
    </row>
    <row r="91" spans="1:32" ht="30" customHeight="1">
      <c r="A91" s="15">
        <v>93</v>
      </c>
      <c r="B91" s="16"/>
      <c r="C91" s="15"/>
      <c r="D91" s="15"/>
      <c r="E91" s="15"/>
      <c r="F91" s="21"/>
      <c r="G91" s="21"/>
      <c r="H91" s="21"/>
      <c r="I91" s="21"/>
      <c r="J91" s="21"/>
      <c r="K91" s="21"/>
      <c r="L91" s="21"/>
      <c r="M91" s="21"/>
      <c r="N91" s="21"/>
      <c r="O91" s="21"/>
      <c r="P91" s="21"/>
      <c r="Q91" s="21"/>
      <c r="R91" s="21"/>
      <c r="S91" s="21"/>
      <c r="T91" s="21"/>
      <c r="U91" s="21"/>
      <c r="V91" s="21"/>
      <c r="W91" s="21"/>
      <c r="X91" s="21"/>
      <c r="Y91" s="21"/>
      <c r="Z91" s="21" t="str">
        <f t="shared" si="12"/>
        <v/>
      </c>
      <c r="AA91" s="21" t="str">
        <f t="shared" si="13"/>
        <v/>
      </c>
      <c r="AB91" s="21" t="str">
        <f t="shared" si="14"/>
        <v/>
      </c>
      <c r="AC91" s="22" t="str">
        <f t="shared" si="15"/>
        <v/>
      </c>
      <c r="AD91" s="22" t="str">
        <f t="shared" si="16"/>
        <v/>
      </c>
      <c r="AE91" s="17" t="str">
        <f t="shared" si="17"/>
        <v/>
      </c>
      <c r="AF91" s="23"/>
    </row>
    <row r="92" spans="1:32" ht="30" customHeight="1">
      <c r="A92" s="15">
        <v>94</v>
      </c>
      <c r="B92" s="16"/>
      <c r="C92" s="15"/>
      <c r="D92" s="15"/>
      <c r="E92" s="15"/>
      <c r="F92" s="21"/>
      <c r="G92" s="21"/>
      <c r="H92" s="21"/>
      <c r="I92" s="21"/>
      <c r="J92" s="21"/>
      <c r="K92" s="21"/>
      <c r="L92" s="21"/>
      <c r="M92" s="21"/>
      <c r="N92" s="21"/>
      <c r="O92" s="21"/>
      <c r="P92" s="21"/>
      <c r="Q92" s="21"/>
      <c r="R92" s="21"/>
      <c r="S92" s="21"/>
      <c r="T92" s="21"/>
      <c r="U92" s="21"/>
      <c r="V92" s="21"/>
      <c r="W92" s="21"/>
      <c r="X92" s="21"/>
      <c r="Y92" s="21"/>
      <c r="Z92" s="21" t="str">
        <f t="shared" si="12"/>
        <v/>
      </c>
      <c r="AA92" s="21" t="str">
        <f t="shared" si="13"/>
        <v/>
      </c>
      <c r="AB92" s="21" t="str">
        <f t="shared" si="14"/>
        <v/>
      </c>
      <c r="AC92" s="22" t="str">
        <f t="shared" si="15"/>
        <v/>
      </c>
      <c r="AD92" s="22" t="str">
        <f t="shared" si="16"/>
        <v/>
      </c>
      <c r="AE92" s="17" t="str">
        <f t="shared" si="17"/>
        <v/>
      </c>
      <c r="AF92" s="23"/>
    </row>
    <row r="93" spans="1:32" ht="30" customHeight="1">
      <c r="A93" s="15">
        <v>95</v>
      </c>
      <c r="B93" s="16"/>
      <c r="C93" s="15"/>
      <c r="D93" s="15"/>
      <c r="E93" s="15"/>
      <c r="F93" s="21"/>
      <c r="G93" s="21"/>
      <c r="H93" s="21"/>
      <c r="I93" s="21"/>
      <c r="J93" s="21"/>
      <c r="K93" s="21"/>
      <c r="L93" s="21"/>
      <c r="M93" s="21"/>
      <c r="N93" s="21"/>
      <c r="O93" s="21"/>
      <c r="P93" s="21"/>
      <c r="Q93" s="21"/>
      <c r="R93" s="21"/>
      <c r="S93" s="21"/>
      <c r="T93" s="21"/>
      <c r="U93" s="21"/>
      <c r="V93" s="21"/>
      <c r="W93" s="21"/>
      <c r="X93" s="21"/>
      <c r="Y93" s="21"/>
      <c r="Z93" s="21" t="str">
        <f t="shared" si="12"/>
        <v/>
      </c>
      <c r="AA93" s="21" t="str">
        <f t="shared" si="13"/>
        <v/>
      </c>
      <c r="AB93" s="21" t="str">
        <f t="shared" si="14"/>
        <v/>
      </c>
      <c r="AC93" s="22" t="str">
        <f t="shared" si="15"/>
        <v/>
      </c>
      <c r="AD93" s="22" t="str">
        <f t="shared" si="16"/>
        <v/>
      </c>
      <c r="AE93" s="17" t="str">
        <f t="shared" si="17"/>
        <v/>
      </c>
      <c r="AF93" s="23"/>
    </row>
    <row r="94" spans="1:32" ht="30" customHeight="1">
      <c r="A94" s="15">
        <v>96</v>
      </c>
      <c r="B94" s="16"/>
      <c r="C94" s="15"/>
      <c r="D94" s="15"/>
      <c r="E94" s="15"/>
      <c r="F94" s="21"/>
      <c r="G94" s="21"/>
      <c r="H94" s="21"/>
      <c r="I94" s="21"/>
      <c r="J94" s="21"/>
      <c r="K94" s="21"/>
      <c r="L94" s="21"/>
      <c r="M94" s="21"/>
      <c r="N94" s="21"/>
      <c r="O94" s="21"/>
      <c r="P94" s="21"/>
      <c r="Q94" s="21"/>
      <c r="R94" s="21"/>
      <c r="S94" s="21"/>
      <c r="T94" s="21"/>
      <c r="U94" s="21"/>
      <c r="V94" s="21"/>
      <c r="W94" s="21"/>
      <c r="X94" s="21"/>
      <c r="Y94" s="21"/>
      <c r="Z94" s="21" t="str">
        <f t="shared" si="12"/>
        <v/>
      </c>
      <c r="AA94" s="21" t="str">
        <f t="shared" si="13"/>
        <v/>
      </c>
      <c r="AB94" s="21" t="str">
        <f t="shared" si="14"/>
        <v/>
      </c>
      <c r="AC94" s="22" t="str">
        <f t="shared" si="15"/>
        <v/>
      </c>
      <c r="AD94" s="22" t="str">
        <f t="shared" si="16"/>
        <v/>
      </c>
      <c r="AE94" s="17" t="str">
        <f t="shared" si="17"/>
        <v/>
      </c>
      <c r="AF94" s="23"/>
    </row>
    <row r="95" spans="1:32" ht="30" customHeight="1">
      <c r="A95" s="15">
        <v>97</v>
      </c>
      <c r="B95" s="16"/>
      <c r="C95" s="15"/>
      <c r="D95" s="15"/>
      <c r="E95" s="15"/>
      <c r="F95" s="21"/>
      <c r="G95" s="21"/>
      <c r="H95" s="21"/>
      <c r="I95" s="21"/>
      <c r="J95" s="21"/>
      <c r="K95" s="21"/>
      <c r="L95" s="21"/>
      <c r="M95" s="21"/>
      <c r="N95" s="21"/>
      <c r="O95" s="21"/>
      <c r="P95" s="21"/>
      <c r="Q95" s="21"/>
      <c r="R95" s="21"/>
      <c r="S95" s="21"/>
      <c r="T95" s="21"/>
      <c r="U95" s="21"/>
      <c r="V95" s="21"/>
      <c r="W95" s="21"/>
      <c r="X95" s="21"/>
      <c r="Y95" s="21"/>
      <c r="Z95" s="21" t="str">
        <f t="shared" ref="Z95:Z126" si="18">IF(B95="","",IF(COUNTIF(F95:G95,"Fail")&gt;0,1,0))</f>
        <v/>
      </c>
      <c r="AA95" s="21" t="str">
        <f t="shared" ref="AA95:AA126" si="19">IF(B95="","",IF(COUNTIF(H95:S95,"Fail")&gt;0,1,0))</f>
        <v/>
      </c>
      <c r="AB95" s="21" t="str">
        <f t="shared" ref="AB95:AB126" si="20">IF(B95="","",IF(COUNTIF(T95:Y95,"Fail")&gt;0,1,0))</f>
        <v/>
      </c>
      <c r="AC95" s="22" t="str">
        <f t="shared" ref="AC95:AC126" si="21">IF(B95="","",0.1*Z95+0.8*AA95+0.1*AB95)</f>
        <v/>
      </c>
      <c r="AD95" s="22" t="str">
        <f t="shared" ref="AD95:AD126" si="22">IF(B95="","",IF(C95="Batch 1",0.3,0.2))</f>
        <v/>
      </c>
      <c r="AE95" s="17" t="str">
        <f t="shared" ref="AE95:AE126" si="23">IF(B95="","",IF(AC95&lt;=AD95,"Đạt","Không đạt"))</f>
        <v/>
      </c>
      <c r="AF95" s="23"/>
    </row>
    <row r="96" spans="1:32" ht="30" customHeight="1">
      <c r="A96" s="15">
        <v>98</v>
      </c>
      <c r="B96" s="16"/>
      <c r="C96" s="15"/>
      <c r="D96" s="15"/>
      <c r="E96" s="15"/>
      <c r="F96" s="21"/>
      <c r="G96" s="21"/>
      <c r="H96" s="21"/>
      <c r="I96" s="21"/>
      <c r="J96" s="21"/>
      <c r="K96" s="21"/>
      <c r="L96" s="21"/>
      <c r="M96" s="21"/>
      <c r="N96" s="21"/>
      <c r="O96" s="21"/>
      <c r="P96" s="21"/>
      <c r="Q96" s="21"/>
      <c r="R96" s="21"/>
      <c r="S96" s="21"/>
      <c r="T96" s="21"/>
      <c r="U96" s="21"/>
      <c r="V96" s="21"/>
      <c r="W96" s="21"/>
      <c r="X96" s="21"/>
      <c r="Y96" s="21"/>
      <c r="Z96" s="21" t="str">
        <f t="shared" si="18"/>
        <v/>
      </c>
      <c r="AA96" s="21" t="str">
        <f t="shared" si="19"/>
        <v/>
      </c>
      <c r="AB96" s="21" t="str">
        <f t="shared" si="20"/>
        <v/>
      </c>
      <c r="AC96" s="22" t="str">
        <f t="shared" si="21"/>
        <v/>
      </c>
      <c r="AD96" s="22" t="str">
        <f t="shared" si="22"/>
        <v/>
      </c>
      <c r="AE96" s="17" t="str">
        <f t="shared" si="23"/>
        <v/>
      </c>
      <c r="AF96" s="23"/>
    </row>
    <row r="97" spans="1:32" ht="30" customHeight="1">
      <c r="A97" s="15">
        <v>99</v>
      </c>
      <c r="B97" s="16"/>
      <c r="C97" s="15"/>
      <c r="D97" s="15"/>
      <c r="E97" s="15"/>
      <c r="F97" s="21"/>
      <c r="G97" s="21"/>
      <c r="H97" s="21"/>
      <c r="I97" s="21"/>
      <c r="J97" s="21"/>
      <c r="K97" s="21"/>
      <c r="L97" s="21"/>
      <c r="M97" s="21"/>
      <c r="N97" s="21"/>
      <c r="O97" s="21"/>
      <c r="P97" s="21"/>
      <c r="Q97" s="21"/>
      <c r="R97" s="21"/>
      <c r="S97" s="21"/>
      <c r="T97" s="21"/>
      <c r="U97" s="21"/>
      <c r="V97" s="21"/>
      <c r="W97" s="21"/>
      <c r="X97" s="21"/>
      <c r="Y97" s="21"/>
      <c r="Z97" s="21" t="str">
        <f t="shared" si="18"/>
        <v/>
      </c>
      <c r="AA97" s="21" t="str">
        <f t="shared" si="19"/>
        <v/>
      </c>
      <c r="AB97" s="21" t="str">
        <f t="shared" si="20"/>
        <v/>
      </c>
      <c r="AC97" s="22" t="str">
        <f t="shared" si="21"/>
        <v/>
      </c>
      <c r="AD97" s="22" t="str">
        <f t="shared" si="22"/>
        <v/>
      </c>
      <c r="AE97" s="17" t="str">
        <f t="shared" si="23"/>
        <v/>
      </c>
      <c r="AF97" s="23"/>
    </row>
    <row r="98" spans="1:32" ht="30" customHeight="1">
      <c r="A98" s="15">
        <v>100</v>
      </c>
      <c r="B98" s="16"/>
      <c r="C98" s="15"/>
      <c r="D98" s="15"/>
      <c r="E98" s="15"/>
      <c r="F98" s="21"/>
      <c r="G98" s="21"/>
      <c r="H98" s="21"/>
      <c r="I98" s="21"/>
      <c r="J98" s="21"/>
      <c r="K98" s="21"/>
      <c r="L98" s="21"/>
      <c r="M98" s="21"/>
      <c r="N98" s="21"/>
      <c r="O98" s="21"/>
      <c r="P98" s="21"/>
      <c r="Q98" s="21"/>
      <c r="R98" s="21"/>
      <c r="S98" s="21"/>
      <c r="T98" s="21"/>
      <c r="U98" s="21"/>
      <c r="V98" s="21"/>
      <c r="W98" s="21"/>
      <c r="X98" s="21"/>
      <c r="Y98" s="21"/>
      <c r="Z98" s="21" t="str">
        <f t="shared" si="18"/>
        <v/>
      </c>
      <c r="AA98" s="21" t="str">
        <f t="shared" si="19"/>
        <v/>
      </c>
      <c r="AB98" s="21" t="str">
        <f t="shared" si="20"/>
        <v/>
      </c>
      <c r="AC98" s="22" t="str">
        <f t="shared" si="21"/>
        <v/>
      </c>
      <c r="AD98" s="22" t="str">
        <f t="shared" si="22"/>
        <v/>
      </c>
      <c r="AE98" s="17" t="str">
        <f t="shared" si="23"/>
        <v/>
      </c>
      <c r="AF98" s="23"/>
    </row>
    <row r="99" spans="1:32" ht="30" customHeight="1">
      <c r="A99" s="15">
        <v>101</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si="18"/>
        <v/>
      </c>
      <c r="AA99" s="21" t="str">
        <f t="shared" si="19"/>
        <v/>
      </c>
      <c r="AB99" s="21" t="str">
        <f t="shared" si="20"/>
        <v/>
      </c>
      <c r="AC99" s="22" t="str">
        <f t="shared" si="21"/>
        <v/>
      </c>
      <c r="AD99" s="22" t="str">
        <f t="shared" si="22"/>
        <v/>
      </c>
      <c r="AE99" s="17" t="str">
        <f t="shared" si="23"/>
        <v/>
      </c>
      <c r="AF99" s="23"/>
    </row>
    <row r="100" spans="1:32" ht="30" customHeight="1">
      <c r="A100" s="15">
        <v>102</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18"/>
        <v/>
      </c>
      <c r="AA100" s="21" t="str">
        <f t="shared" si="19"/>
        <v/>
      </c>
      <c r="AB100" s="21" t="str">
        <f t="shared" si="20"/>
        <v/>
      </c>
      <c r="AC100" s="22" t="str">
        <f t="shared" si="21"/>
        <v/>
      </c>
      <c r="AD100" s="22" t="str">
        <f t="shared" si="22"/>
        <v/>
      </c>
      <c r="AE100" s="17" t="str">
        <f t="shared" si="23"/>
        <v/>
      </c>
      <c r="AF100" s="23"/>
    </row>
    <row r="101" spans="1:32" ht="30" customHeight="1">
      <c r="A101" s="15">
        <v>103</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18"/>
        <v/>
      </c>
      <c r="AA101" s="21" t="str">
        <f t="shared" si="19"/>
        <v/>
      </c>
      <c r="AB101" s="21" t="str">
        <f t="shared" si="20"/>
        <v/>
      </c>
      <c r="AC101" s="22" t="str">
        <f t="shared" si="21"/>
        <v/>
      </c>
      <c r="AD101" s="22" t="str">
        <f t="shared" si="22"/>
        <v/>
      </c>
      <c r="AE101" s="17" t="str">
        <f t="shared" si="23"/>
        <v/>
      </c>
      <c r="AF101" s="23"/>
    </row>
    <row r="102" spans="1:32" ht="30" customHeight="1">
      <c r="A102" s="15">
        <v>104</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8"/>
        <v/>
      </c>
      <c r="AA102" s="21" t="str">
        <f t="shared" si="19"/>
        <v/>
      </c>
      <c r="AB102" s="21" t="str">
        <f t="shared" si="20"/>
        <v/>
      </c>
      <c r="AC102" s="22" t="str">
        <f t="shared" si="21"/>
        <v/>
      </c>
      <c r="AD102" s="22" t="str">
        <f t="shared" si="22"/>
        <v/>
      </c>
      <c r="AE102" s="17" t="str">
        <f t="shared" si="23"/>
        <v/>
      </c>
      <c r="AF102" s="23"/>
    </row>
    <row r="103" spans="1:32" ht="30" customHeight="1">
      <c r="A103" s="15">
        <v>105</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8"/>
        <v/>
      </c>
      <c r="AA103" s="21" t="str">
        <f t="shared" si="19"/>
        <v/>
      </c>
      <c r="AB103" s="21" t="str">
        <f t="shared" si="20"/>
        <v/>
      </c>
      <c r="AC103" s="22" t="str">
        <f t="shared" si="21"/>
        <v/>
      </c>
      <c r="AD103" s="22" t="str">
        <f t="shared" si="22"/>
        <v/>
      </c>
      <c r="AE103" s="17" t="str">
        <f t="shared" si="23"/>
        <v/>
      </c>
      <c r="AF103" s="23"/>
    </row>
    <row r="104" spans="1:32" ht="30" customHeight="1">
      <c r="A104" s="15">
        <v>106</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8"/>
        <v/>
      </c>
      <c r="AA104" s="21" t="str">
        <f t="shared" si="19"/>
        <v/>
      </c>
      <c r="AB104" s="21" t="str">
        <f t="shared" si="20"/>
        <v/>
      </c>
      <c r="AC104" s="22" t="str">
        <f t="shared" si="21"/>
        <v/>
      </c>
      <c r="AD104" s="22" t="str">
        <f t="shared" si="22"/>
        <v/>
      </c>
      <c r="AE104" s="17" t="str">
        <f t="shared" si="23"/>
        <v/>
      </c>
      <c r="AF104" s="23"/>
    </row>
    <row r="105" spans="1:32" ht="30" customHeight="1">
      <c r="A105" s="15">
        <v>107</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8"/>
        <v/>
      </c>
      <c r="AA105" s="21" t="str">
        <f t="shared" si="19"/>
        <v/>
      </c>
      <c r="AB105" s="21" t="str">
        <f t="shared" si="20"/>
        <v/>
      </c>
      <c r="AC105" s="22" t="str">
        <f t="shared" si="21"/>
        <v/>
      </c>
      <c r="AD105" s="22" t="str">
        <f t="shared" si="22"/>
        <v/>
      </c>
      <c r="AE105" s="17" t="str">
        <f t="shared" si="23"/>
        <v/>
      </c>
      <c r="AF105" s="23"/>
    </row>
    <row r="106" spans="1:32" ht="30" customHeight="1">
      <c r="A106" s="15">
        <v>108</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8"/>
        <v/>
      </c>
      <c r="AA106" s="21" t="str">
        <f t="shared" si="19"/>
        <v/>
      </c>
      <c r="AB106" s="21" t="str">
        <f t="shared" si="20"/>
        <v/>
      </c>
      <c r="AC106" s="22" t="str">
        <f t="shared" si="21"/>
        <v/>
      </c>
      <c r="AD106" s="22" t="str">
        <f t="shared" si="22"/>
        <v/>
      </c>
      <c r="AE106" s="17" t="str">
        <f t="shared" si="23"/>
        <v/>
      </c>
      <c r="AF106" s="23"/>
    </row>
    <row r="107" spans="1:32" ht="30" customHeight="1">
      <c r="A107" s="15">
        <v>109</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8"/>
        <v/>
      </c>
      <c r="AA107" s="21" t="str">
        <f t="shared" si="19"/>
        <v/>
      </c>
      <c r="AB107" s="21" t="str">
        <f t="shared" si="20"/>
        <v/>
      </c>
      <c r="AC107" s="22" t="str">
        <f t="shared" si="21"/>
        <v/>
      </c>
      <c r="AD107" s="22" t="str">
        <f t="shared" si="22"/>
        <v/>
      </c>
      <c r="AE107" s="17" t="str">
        <f t="shared" si="23"/>
        <v/>
      </c>
      <c r="AF107" s="23"/>
    </row>
    <row r="108" spans="1:32" ht="30" customHeight="1">
      <c r="A108" s="15">
        <v>110</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8"/>
        <v/>
      </c>
      <c r="AA108" s="21" t="str">
        <f t="shared" si="19"/>
        <v/>
      </c>
      <c r="AB108" s="21" t="str">
        <f t="shared" si="20"/>
        <v/>
      </c>
      <c r="AC108" s="22" t="str">
        <f t="shared" si="21"/>
        <v/>
      </c>
      <c r="AD108" s="22" t="str">
        <f t="shared" si="22"/>
        <v/>
      </c>
      <c r="AE108" s="17" t="str">
        <f t="shared" si="23"/>
        <v/>
      </c>
      <c r="AF108" s="23"/>
    </row>
    <row r="109" spans="1:32" ht="30" customHeight="1">
      <c r="A109" s="15">
        <v>111</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8"/>
        <v/>
      </c>
      <c r="AA109" s="21" t="str">
        <f t="shared" si="19"/>
        <v/>
      </c>
      <c r="AB109" s="21" t="str">
        <f t="shared" si="20"/>
        <v/>
      </c>
      <c r="AC109" s="22" t="str">
        <f t="shared" si="21"/>
        <v/>
      </c>
      <c r="AD109" s="22" t="str">
        <f t="shared" si="22"/>
        <v/>
      </c>
      <c r="AE109" s="17" t="str">
        <f t="shared" si="23"/>
        <v/>
      </c>
      <c r="AF109" s="23"/>
    </row>
    <row r="110" spans="1:32" ht="30" customHeight="1">
      <c r="A110" s="15">
        <v>112</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8"/>
        <v/>
      </c>
      <c r="AA110" s="21" t="str">
        <f t="shared" si="19"/>
        <v/>
      </c>
      <c r="AB110" s="21" t="str">
        <f t="shared" si="20"/>
        <v/>
      </c>
      <c r="AC110" s="22" t="str">
        <f t="shared" si="21"/>
        <v/>
      </c>
      <c r="AD110" s="22" t="str">
        <f t="shared" si="22"/>
        <v/>
      </c>
      <c r="AE110" s="17" t="str">
        <f t="shared" si="23"/>
        <v/>
      </c>
      <c r="AF110" s="23"/>
    </row>
    <row r="111" spans="1:32" ht="30" customHeight="1">
      <c r="A111" s="15">
        <v>113</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8"/>
        <v/>
      </c>
      <c r="AA111" s="21" t="str">
        <f t="shared" si="19"/>
        <v/>
      </c>
      <c r="AB111" s="21" t="str">
        <f t="shared" si="20"/>
        <v/>
      </c>
      <c r="AC111" s="22" t="str">
        <f t="shared" si="21"/>
        <v/>
      </c>
      <c r="AD111" s="22" t="str">
        <f t="shared" si="22"/>
        <v/>
      </c>
      <c r="AE111" s="17" t="str">
        <f t="shared" si="23"/>
        <v/>
      </c>
      <c r="AF111" s="23"/>
    </row>
    <row r="112" spans="1:32" ht="30" customHeight="1">
      <c r="A112" s="15">
        <v>114</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8"/>
        <v/>
      </c>
      <c r="AA112" s="21" t="str">
        <f t="shared" si="19"/>
        <v/>
      </c>
      <c r="AB112" s="21" t="str">
        <f t="shared" si="20"/>
        <v/>
      </c>
      <c r="AC112" s="22" t="str">
        <f t="shared" si="21"/>
        <v/>
      </c>
      <c r="AD112" s="22" t="str">
        <f t="shared" si="22"/>
        <v/>
      </c>
      <c r="AE112" s="17" t="str">
        <f t="shared" si="23"/>
        <v/>
      </c>
      <c r="AF112" s="23"/>
    </row>
    <row r="113" spans="1:32" ht="30" customHeight="1">
      <c r="A113" s="15">
        <v>115</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8"/>
        <v/>
      </c>
      <c r="AA113" s="21" t="str">
        <f t="shared" si="19"/>
        <v/>
      </c>
      <c r="AB113" s="21" t="str">
        <f t="shared" si="20"/>
        <v/>
      </c>
      <c r="AC113" s="22" t="str">
        <f t="shared" si="21"/>
        <v/>
      </c>
      <c r="AD113" s="22" t="str">
        <f t="shared" si="22"/>
        <v/>
      </c>
      <c r="AE113" s="17" t="str">
        <f t="shared" si="23"/>
        <v/>
      </c>
      <c r="AF113" s="23"/>
    </row>
    <row r="114" spans="1:32" ht="30" customHeight="1">
      <c r="A114" s="15">
        <v>116</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8"/>
        <v/>
      </c>
      <c r="AA114" s="21" t="str">
        <f t="shared" si="19"/>
        <v/>
      </c>
      <c r="AB114" s="21" t="str">
        <f t="shared" si="20"/>
        <v/>
      </c>
      <c r="AC114" s="22" t="str">
        <f t="shared" si="21"/>
        <v/>
      </c>
      <c r="AD114" s="22" t="str">
        <f t="shared" si="22"/>
        <v/>
      </c>
      <c r="AE114" s="17" t="str">
        <f t="shared" si="23"/>
        <v/>
      </c>
      <c r="AF114" s="23"/>
    </row>
    <row r="115" spans="1:32" ht="30" customHeight="1">
      <c r="A115" s="15">
        <v>117</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8"/>
        <v/>
      </c>
      <c r="AA115" s="21" t="str">
        <f t="shared" si="19"/>
        <v/>
      </c>
      <c r="AB115" s="21" t="str">
        <f t="shared" si="20"/>
        <v/>
      </c>
      <c r="AC115" s="22" t="str">
        <f t="shared" si="21"/>
        <v/>
      </c>
      <c r="AD115" s="22" t="str">
        <f t="shared" si="22"/>
        <v/>
      </c>
      <c r="AE115" s="17" t="str">
        <f t="shared" si="23"/>
        <v/>
      </c>
      <c r="AF115" s="23"/>
    </row>
    <row r="116" spans="1:32" ht="30" customHeight="1">
      <c r="A116" s="15">
        <v>118</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8"/>
        <v/>
      </c>
      <c r="AA116" s="21" t="str">
        <f t="shared" si="19"/>
        <v/>
      </c>
      <c r="AB116" s="21" t="str">
        <f t="shared" si="20"/>
        <v/>
      </c>
      <c r="AC116" s="22" t="str">
        <f t="shared" si="21"/>
        <v/>
      </c>
      <c r="AD116" s="22" t="str">
        <f t="shared" si="22"/>
        <v/>
      </c>
      <c r="AE116" s="17" t="str">
        <f t="shared" si="23"/>
        <v/>
      </c>
      <c r="AF116" s="23"/>
    </row>
    <row r="117" spans="1:32" ht="30" customHeight="1">
      <c r="A117" s="15">
        <v>119</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8"/>
        <v/>
      </c>
      <c r="AA117" s="21" t="str">
        <f t="shared" si="19"/>
        <v/>
      </c>
      <c r="AB117" s="21" t="str">
        <f t="shared" si="20"/>
        <v/>
      </c>
      <c r="AC117" s="22" t="str">
        <f t="shared" si="21"/>
        <v/>
      </c>
      <c r="AD117" s="22" t="str">
        <f t="shared" si="22"/>
        <v/>
      </c>
      <c r="AE117" s="17" t="str">
        <f t="shared" si="23"/>
        <v/>
      </c>
      <c r="AF117" s="23"/>
    </row>
    <row r="118" spans="1:32" ht="30" customHeight="1">
      <c r="A118" s="15">
        <v>120</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8"/>
        <v/>
      </c>
      <c r="AA118" s="21" t="str">
        <f t="shared" si="19"/>
        <v/>
      </c>
      <c r="AB118" s="21" t="str">
        <f t="shared" si="20"/>
        <v/>
      </c>
      <c r="AC118" s="22" t="str">
        <f t="shared" si="21"/>
        <v/>
      </c>
      <c r="AD118" s="22" t="str">
        <f t="shared" si="22"/>
        <v/>
      </c>
      <c r="AE118" s="17" t="str">
        <f t="shared" si="23"/>
        <v/>
      </c>
      <c r="AF118" s="23"/>
    </row>
    <row r="119" spans="1:32" ht="30" customHeight="1">
      <c r="A119" s="15">
        <v>121</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8"/>
        <v/>
      </c>
      <c r="AA119" s="21" t="str">
        <f t="shared" si="19"/>
        <v/>
      </c>
      <c r="AB119" s="21" t="str">
        <f t="shared" si="20"/>
        <v/>
      </c>
      <c r="AC119" s="22" t="str">
        <f t="shared" si="21"/>
        <v/>
      </c>
      <c r="AD119" s="22" t="str">
        <f t="shared" si="22"/>
        <v/>
      </c>
      <c r="AE119" s="17" t="str">
        <f t="shared" si="23"/>
        <v/>
      </c>
      <c r="AF119" s="23"/>
    </row>
    <row r="120" spans="1:32" ht="30" customHeight="1">
      <c r="A120" s="15">
        <v>122</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8"/>
        <v/>
      </c>
      <c r="AA120" s="21" t="str">
        <f t="shared" si="19"/>
        <v/>
      </c>
      <c r="AB120" s="21" t="str">
        <f t="shared" si="20"/>
        <v/>
      </c>
      <c r="AC120" s="22" t="str">
        <f t="shared" si="21"/>
        <v/>
      </c>
      <c r="AD120" s="22" t="str">
        <f t="shared" si="22"/>
        <v/>
      </c>
      <c r="AE120" s="17" t="str">
        <f t="shared" si="23"/>
        <v/>
      </c>
      <c r="AF120" s="23"/>
    </row>
    <row r="121" spans="1:32" ht="30" customHeight="1">
      <c r="A121" s="15">
        <v>123</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8"/>
        <v/>
      </c>
      <c r="AA121" s="21" t="str">
        <f t="shared" si="19"/>
        <v/>
      </c>
      <c r="AB121" s="21" t="str">
        <f t="shared" si="20"/>
        <v/>
      </c>
      <c r="AC121" s="22" t="str">
        <f t="shared" si="21"/>
        <v/>
      </c>
      <c r="AD121" s="22" t="str">
        <f t="shared" si="22"/>
        <v/>
      </c>
      <c r="AE121" s="17" t="str">
        <f t="shared" si="23"/>
        <v/>
      </c>
      <c r="AF121" s="23"/>
    </row>
    <row r="122" spans="1:32" ht="30" customHeight="1">
      <c r="A122" s="15">
        <v>124</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8"/>
        <v/>
      </c>
      <c r="AA122" s="21" t="str">
        <f t="shared" si="19"/>
        <v/>
      </c>
      <c r="AB122" s="21" t="str">
        <f t="shared" si="20"/>
        <v/>
      </c>
      <c r="AC122" s="22" t="str">
        <f t="shared" si="21"/>
        <v/>
      </c>
      <c r="AD122" s="22" t="str">
        <f t="shared" si="22"/>
        <v/>
      </c>
      <c r="AE122" s="17" t="str">
        <f t="shared" si="23"/>
        <v/>
      </c>
      <c r="AF122" s="23"/>
    </row>
    <row r="123" spans="1:32" ht="30" customHeight="1">
      <c r="A123" s="15">
        <v>125</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8"/>
        <v/>
      </c>
      <c r="AA123" s="21" t="str">
        <f t="shared" si="19"/>
        <v/>
      </c>
      <c r="AB123" s="21" t="str">
        <f t="shared" si="20"/>
        <v/>
      </c>
      <c r="AC123" s="22" t="str">
        <f t="shared" si="21"/>
        <v/>
      </c>
      <c r="AD123" s="22" t="str">
        <f t="shared" si="22"/>
        <v/>
      </c>
      <c r="AE123" s="17" t="str">
        <f t="shared" si="23"/>
        <v/>
      </c>
      <c r="AF123" s="23"/>
    </row>
    <row r="124" spans="1:32" ht="30" customHeight="1">
      <c r="A124" s="15">
        <v>126</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8"/>
        <v/>
      </c>
      <c r="AA124" s="21" t="str">
        <f t="shared" si="19"/>
        <v/>
      </c>
      <c r="AB124" s="21" t="str">
        <f t="shared" si="20"/>
        <v/>
      </c>
      <c r="AC124" s="22" t="str">
        <f t="shared" si="21"/>
        <v/>
      </c>
      <c r="AD124" s="22" t="str">
        <f t="shared" si="22"/>
        <v/>
      </c>
      <c r="AE124" s="17" t="str">
        <f t="shared" si="23"/>
        <v/>
      </c>
      <c r="AF124" s="23"/>
    </row>
    <row r="125" spans="1:32" ht="30" customHeight="1">
      <c r="A125" s="15">
        <v>127</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8"/>
        <v/>
      </c>
      <c r="AA125" s="21" t="str">
        <f t="shared" si="19"/>
        <v/>
      </c>
      <c r="AB125" s="21" t="str">
        <f t="shared" si="20"/>
        <v/>
      </c>
      <c r="AC125" s="22" t="str">
        <f t="shared" si="21"/>
        <v/>
      </c>
      <c r="AD125" s="22" t="str">
        <f t="shared" si="22"/>
        <v/>
      </c>
      <c r="AE125" s="17" t="str">
        <f t="shared" si="23"/>
        <v/>
      </c>
      <c r="AF125" s="23"/>
    </row>
    <row r="126" spans="1:32" ht="30" customHeight="1">
      <c r="A126" s="15">
        <v>128</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8"/>
        <v/>
      </c>
      <c r="AA126" s="21" t="str">
        <f t="shared" si="19"/>
        <v/>
      </c>
      <c r="AB126" s="21" t="str">
        <f t="shared" si="20"/>
        <v/>
      </c>
      <c r="AC126" s="22" t="str">
        <f t="shared" si="21"/>
        <v/>
      </c>
      <c r="AD126" s="22" t="str">
        <f t="shared" si="22"/>
        <v/>
      </c>
      <c r="AE126" s="17" t="str">
        <f t="shared" si="23"/>
        <v/>
      </c>
      <c r="AF126" s="23"/>
    </row>
    <row r="127" spans="1:32" ht="30" customHeight="1">
      <c r="A127" s="15">
        <v>129</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ref="Z127:Z158" si="24">IF(B127="","",IF(COUNTIF(F127:G127,"Fail")&gt;0,1,0))</f>
        <v/>
      </c>
      <c r="AA127" s="21" t="str">
        <f t="shared" ref="AA127:AA158" si="25">IF(B127="","",IF(COUNTIF(H127:S127,"Fail")&gt;0,1,0))</f>
        <v/>
      </c>
      <c r="AB127" s="21" t="str">
        <f t="shared" ref="AB127:AB158" si="26">IF(B127="","",IF(COUNTIF(T127:Y127,"Fail")&gt;0,1,0))</f>
        <v/>
      </c>
      <c r="AC127" s="22" t="str">
        <f t="shared" ref="AC127:AC158" si="27">IF(B127="","",0.1*Z127+0.8*AA127+0.1*AB127)</f>
        <v/>
      </c>
      <c r="AD127" s="22" t="str">
        <f t="shared" ref="AD127:AD158" si="28">IF(B127="","",IF(C127="Batch 1",0.3,0.2))</f>
        <v/>
      </c>
      <c r="AE127" s="17" t="str">
        <f t="shared" ref="AE127:AE158" si="29">IF(B127="","",IF(AC127&lt;=AD127,"Đạt","Không đạt"))</f>
        <v/>
      </c>
      <c r="AF127" s="23"/>
    </row>
    <row r="128" spans="1:32" ht="30" customHeight="1">
      <c r="A128" s="15">
        <v>130</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24"/>
        <v/>
      </c>
      <c r="AA128" s="21" t="str">
        <f t="shared" si="25"/>
        <v/>
      </c>
      <c r="AB128" s="21" t="str">
        <f t="shared" si="26"/>
        <v/>
      </c>
      <c r="AC128" s="22" t="str">
        <f t="shared" si="27"/>
        <v/>
      </c>
      <c r="AD128" s="22" t="str">
        <f t="shared" si="28"/>
        <v/>
      </c>
      <c r="AE128" s="17" t="str">
        <f t="shared" si="29"/>
        <v/>
      </c>
      <c r="AF128" s="23"/>
    </row>
    <row r="129" spans="1:32" ht="30" customHeight="1">
      <c r="A129" s="15">
        <v>131</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24"/>
        <v/>
      </c>
      <c r="AA129" s="21" t="str">
        <f t="shared" si="25"/>
        <v/>
      </c>
      <c r="AB129" s="21" t="str">
        <f t="shared" si="26"/>
        <v/>
      </c>
      <c r="AC129" s="22" t="str">
        <f t="shared" si="27"/>
        <v/>
      </c>
      <c r="AD129" s="22" t="str">
        <f t="shared" si="28"/>
        <v/>
      </c>
      <c r="AE129" s="17" t="str">
        <f t="shared" si="29"/>
        <v/>
      </c>
      <c r="AF129" s="23"/>
    </row>
    <row r="130" spans="1:32" ht="30" customHeight="1">
      <c r="A130" s="15">
        <v>132</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24"/>
        <v/>
      </c>
      <c r="AA130" s="21" t="str">
        <f t="shared" si="25"/>
        <v/>
      </c>
      <c r="AB130" s="21" t="str">
        <f t="shared" si="26"/>
        <v/>
      </c>
      <c r="AC130" s="22" t="str">
        <f t="shared" si="27"/>
        <v/>
      </c>
      <c r="AD130" s="22" t="str">
        <f t="shared" si="28"/>
        <v/>
      </c>
      <c r="AE130" s="17" t="str">
        <f t="shared" si="29"/>
        <v/>
      </c>
      <c r="AF130" s="23"/>
    </row>
    <row r="131" spans="1:32" ht="30" customHeight="1">
      <c r="A131" s="15">
        <v>133</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si="24"/>
        <v/>
      </c>
      <c r="AA131" s="21" t="str">
        <f t="shared" si="25"/>
        <v/>
      </c>
      <c r="AB131" s="21" t="str">
        <f t="shared" si="26"/>
        <v/>
      </c>
      <c r="AC131" s="22" t="str">
        <f t="shared" si="27"/>
        <v/>
      </c>
      <c r="AD131" s="22" t="str">
        <f t="shared" si="28"/>
        <v/>
      </c>
      <c r="AE131" s="17" t="str">
        <f t="shared" si="29"/>
        <v/>
      </c>
      <c r="AF131" s="23"/>
    </row>
    <row r="132" spans="1:32" ht="30" customHeight="1">
      <c r="A132" s="15">
        <v>134</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4"/>
        <v/>
      </c>
      <c r="AA132" s="21" t="str">
        <f t="shared" si="25"/>
        <v/>
      </c>
      <c r="AB132" s="21" t="str">
        <f t="shared" si="26"/>
        <v/>
      </c>
      <c r="AC132" s="22" t="str">
        <f t="shared" si="27"/>
        <v/>
      </c>
      <c r="AD132" s="22" t="str">
        <f t="shared" si="28"/>
        <v/>
      </c>
      <c r="AE132" s="17" t="str">
        <f t="shared" si="29"/>
        <v/>
      </c>
      <c r="AF132" s="23"/>
    </row>
    <row r="133" spans="1:32" ht="30" customHeight="1">
      <c r="A133" s="15">
        <v>135</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4"/>
        <v/>
      </c>
      <c r="AA133" s="21" t="str">
        <f t="shared" si="25"/>
        <v/>
      </c>
      <c r="AB133" s="21" t="str">
        <f t="shared" si="26"/>
        <v/>
      </c>
      <c r="AC133" s="22" t="str">
        <f t="shared" si="27"/>
        <v/>
      </c>
      <c r="AD133" s="22" t="str">
        <f t="shared" si="28"/>
        <v/>
      </c>
      <c r="AE133" s="17" t="str">
        <f t="shared" si="29"/>
        <v/>
      </c>
      <c r="AF133" s="23"/>
    </row>
    <row r="134" spans="1:32" ht="30" customHeight="1">
      <c r="A134" s="15">
        <v>136</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4"/>
        <v/>
      </c>
      <c r="AA134" s="21" t="str">
        <f t="shared" si="25"/>
        <v/>
      </c>
      <c r="AB134" s="21" t="str">
        <f t="shared" si="26"/>
        <v/>
      </c>
      <c r="AC134" s="22" t="str">
        <f t="shared" si="27"/>
        <v/>
      </c>
      <c r="AD134" s="22" t="str">
        <f t="shared" si="28"/>
        <v/>
      </c>
      <c r="AE134" s="17" t="str">
        <f t="shared" si="29"/>
        <v/>
      </c>
      <c r="AF134" s="23"/>
    </row>
    <row r="135" spans="1:32" ht="30" customHeight="1">
      <c r="A135" s="15">
        <v>137</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4"/>
        <v/>
      </c>
      <c r="AA135" s="21" t="str">
        <f t="shared" si="25"/>
        <v/>
      </c>
      <c r="AB135" s="21" t="str">
        <f t="shared" si="26"/>
        <v/>
      </c>
      <c r="AC135" s="22" t="str">
        <f t="shared" si="27"/>
        <v/>
      </c>
      <c r="AD135" s="22" t="str">
        <f t="shared" si="28"/>
        <v/>
      </c>
      <c r="AE135" s="17" t="str">
        <f t="shared" si="29"/>
        <v/>
      </c>
      <c r="AF135" s="23"/>
    </row>
    <row r="136" spans="1:32" ht="30" customHeight="1">
      <c r="A136" s="15">
        <v>138</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4"/>
        <v/>
      </c>
      <c r="AA136" s="21" t="str">
        <f t="shared" si="25"/>
        <v/>
      </c>
      <c r="AB136" s="21" t="str">
        <f t="shared" si="26"/>
        <v/>
      </c>
      <c r="AC136" s="22" t="str">
        <f t="shared" si="27"/>
        <v/>
      </c>
      <c r="AD136" s="22" t="str">
        <f t="shared" si="28"/>
        <v/>
      </c>
      <c r="AE136" s="17" t="str">
        <f t="shared" si="29"/>
        <v/>
      </c>
      <c r="AF136" s="23"/>
    </row>
    <row r="137" spans="1:32" ht="30" customHeight="1">
      <c r="A137" s="15">
        <v>139</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4"/>
        <v/>
      </c>
      <c r="AA137" s="21" t="str">
        <f t="shared" si="25"/>
        <v/>
      </c>
      <c r="AB137" s="21" t="str">
        <f t="shared" si="26"/>
        <v/>
      </c>
      <c r="AC137" s="22" t="str">
        <f t="shared" si="27"/>
        <v/>
      </c>
      <c r="AD137" s="22" t="str">
        <f t="shared" si="28"/>
        <v/>
      </c>
      <c r="AE137" s="17" t="str">
        <f t="shared" si="29"/>
        <v/>
      </c>
      <c r="AF137" s="23"/>
    </row>
    <row r="138" spans="1:32" ht="30" customHeight="1">
      <c r="A138" s="15">
        <v>140</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4"/>
        <v/>
      </c>
      <c r="AA138" s="21" t="str">
        <f t="shared" si="25"/>
        <v/>
      </c>
      <c r="AB138" s="21" t="str">
        <f t="shared" si="26"/>
        <v/>
      </c>
      <c r="AC138" s="22" t="str">
        <f t="shared" si="27"/>
        <v/>
      </c>
      <c r="AD138" s="22" t="str">
        <f t="shared" si="28"/>
        <v/>
      </c>
      <c r="AE138" s="17" t="str">
        <f t="shared" si="29"/>
        <v/>
      </c>
      <c r="AF138" s="23"/>
    </row>
    <row r="139" spans="1:32" ht="30" customHeight="1">
      <c r="A139" s="15">
        <v>141</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4"/>
        <v/>
      </c>
      <c r="AA139" s="21" t="str">
        <f t="shared" si="25"/>
        <v/>
      </c>
      <c r="AB139" s="21" t="str">
        <f t="shared" si="26"/>
        <v/>
      </c>
      <c r="AC139" s="22" t="str">
        <f t="shared" si="27"/>
        <v/>
      </c>
      <c r="AD139" s="22" t="str">
        <f t="shared" si="28"/>
        <v/>
      </c>
      <c r="AE139" s="17" t="str">
        <f t="shared" si="29"/>
        <v/>
      </c>
      <c r="AF139" s="23"/>
    </row>
    <row r="140" spans="1:32" ht="30" customHeight="1">
      <c r="A140" s="15">
        <v>142</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4"/>
        <v/>
      </c>
      <c r="AA140" s="21" t="str">
        <f t="shared" si="25"/>
        <v/>
      </c>
      <c r="AB140" s="21" t="str">
        <f t="shared" si="26"/>
        <v/>
      </c>
      <c r="AC140" s="22" t="str">
        <f t="shared" si="27"/>
        <v/>
      </c>
      <c r="AD140" s="22" t="str">
        <f t="shared" si="28"/>
        <v/>
      </c>
      <c r="AE140" s="17" t="str">
        <f t="shared" si="29"/>
        <v/>
      </c>
      <c r="AF140" s="23"/>
    </row>
    <row r="141" spans="1:32" ht="30" customHeight="1">
      <c r="A141" s="15">
        <v>143</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4"/>
        <v/>
      </c>
      <c r="AA141" s="21" t="str">
        <f t="shared" si="25"/>
        <v/>
      </c>
      <c r="AB141" s="21" t="str">
        <f t="shared" si="26"/>
        <v/>
      </c>
      <c r="AC141" s="22" t="str">
        <f t="shared" si="27"/>
        <v/>
      </c>
      <c r="AD141" s="22" t="str">
        <f t="shared" si="28"/>
        <v/>
      </c>
      <c r="AE141" s="17" t="str">
        <f t="shared" si="29"/>
        <v/>
      </c>
      <c r="AF141" s="23"/>
    </row>
    <row r="142" spans="1:32" ht="30" customHeight="1">
      <c r="A142" s="15">
        <v>144</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4"/>
        <v/>
      </c>
      <c r="AA142" s="21" t="str">
        <f t="shared" si="25"/>
        <v/>
      </c>
      <c r="AB142" s="21" t="str">
        <f t="shared" si="26"/>
        <v/>
      </c>
      <c r="AC142" s="22" t="str">
        <f t="shared" si="27"/>
        <v/>
      </c>
      <c r="AD142" s="22" t="str">
        <f t="shared" si="28"/>
        <v/>
      </c>
      <c r="AE142" s="17" t="str">
        <f t="shared" si="29"/>
        <v/>
      </c>
      <c r="AF142" s="23"/>
    </row>
    <row r="143" spans="1:32" ht="30" customHeight="1">
      <c r="A143" s="15">
        <v>145</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4"/>
        <v/>
      </c>
      <c r="AA143" s="21" t="str">
        <f t="shared" si="25"/>
        <v/>
      </c>
      <c r="AB143" s="21" t="str">
        <f t="shared" si="26"/>
        <v/>
      </c>
      <c r="AC143" s="22" t="str">
        <f t="shared" si="27"/>
        <v/>
      </c>
      <c r="AD143" s="22" t="str">
        <f t="shared" si="28"/>
        <v/>
      </c>
      <c r="AE143" s="17" t="str">
        <f t="shared" si="29"/>
        <v/>
      </c>
      <c r="AF143" s="23"/>
    </row>
    <row r="144" spans="1:32" ht="30" customHeight="1">
      <c r="A144" s="15">
        <v>146</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4"/>
        <v/>
      </c>
      <c r="AA144" s="21" t="str">
        <f t="shared" si="25"/>
        <v/>
      </c>
      <c r="AB144" s="21" t="str">
        <f t="shared" si="26"/>
        <v/>
      </c>
      <c r="AC144" s="22" t="str">
        <f t="shared" si="27"/>
        <v/>
      </c>
      <c r="AD144" s="22" t="str">
        <f t="shared" si="28"/>
        <v/>
      </c>
      <c r="AE144" s="17" t="str">
        <f t="shared" si="29"/>
        <v/>
      </c>
      <c r="AF144" s="23"/>
    </row>
    <row r="145" spans="1:32" ht="30" customHeight="1">
      <c r="A145" s="15">
        <v>147</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4"/>
        <v/>
      </c>
      <c r="AA145" s="21" t="str">
        <f t="shared" si="25"/>
        <v/>
      </c>
      <c r="AB145" s="21" t="str">
        <f t="shared" si="26"/>
        <v/>
      </c>
      <c r="AC145" s="22" t="str">
        <f t="shared" si="27"/>
        <v/>
      </c>
      <c r="AD145" s="22" t="str">
        <f t="shared" si="28"/>
        <v/>
      </c>
      <c r="AE145" s="17" t="str">
        <f t="shared" si="29"/>
        <v/>
      </c>
      <c r="AF145" s="23"/>
    </row>
    <row r="146" spans="1:32" ht="30" customHeight="1">
      <c r="A146" s="15">
        <v>148</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4"/>
        <v/>
      </c>
      <c r="AA146" s="21" t="str">
        <f t="shared" si="25"/>
        <v/>
      </c>
      <c r="AB146" s="21" t="str">
        <f t="shared" si="26"/>
        <v/>
      </c>
      <c r="AC146" s="22" t="str">
        <f t="shared" si="27"/>
        <v/>
      </c>
      <c r="AD146" s="22" t="str">
        <f t="shared" si="28"/>
        <v/>
      </c>
      <c r="AE146" s="17" t="str">
        <f t="shared" si="29"/>
        <v/>
      </c>
      <c r="AF146" s="23"/>
    </row>
    <row r="147" spans="1:32" ht="30" customHeight="1">
      <c r="A147" s="15">
        <v>149</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4"/>
        <v/>
      </c>
      <c r="AA147" s="21" t="str">
        <f t="shared" si="25"/>
        <v/>
      </c>
      <c r="AB147" s="21" t="str">
        <f t="shared" si="26"/>
        <v/>
      </c>
      <c r="AC147" s="22" t="str">
        <f t="shared" si="27"/>
        <v/>
      </c>
      <c r="AD147" s="22" t="str">
        <f t="shared" si="28"/>
        <v/>
      </c>
      <c r="AE147" s="17" t="str">
        <f t="shared" si="29"/>
        <v/>
      </c>
      <c r="AF147" s="23"/>
    </row>
    <row r="148" spans="1:32" ht="30" customHeight="1">
      <c r="A148" s="15">
        <v>150</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4"/>
        <v/>
      </c>
      <c r="AA148" s="21" t="str">
        <f t="shared" si="25"/>
        <v/>
      </c>
      <c r="AB148" s="21" t="str">
        <f t="shared" si="26"/>
        <v/>
      </c>
      <c r="AC148" s="22" t="str">
        <f t="shared" si="27"/>
        <v/>
      </c>
      <c r="AD148" s="22" t="str">
        <f t="shared" si="28"/>
        <v/>
      </c>
      <c r="AE148" s="17" t="str">
        <f t="shared" si="29"/>
        <v/>
      </c>
      <c r="AF148" s="23"/>
    </row>
    <row r="149" spans="1:32" ht="30" customHeight="1">
      <c r="A149" s="15">
        <v>151</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4"/>
        <v/>
      </c>
      <c r="AA149" s="21" t="str">
        <f t="shared" si="25"/>
        <v/>
      </c>
      <c r="AB149" s="21" t="str">
        <f t="shared" si="26"/>
        <v/>
      </c>
      <c r="AC149" s="22" t="str">
        <f t="shared" si="27"/>
        <v/>
      </c>
      <c r="AD149" s="22" t="str">
        <f t="shared" si="28"/>
        <v/>
      </c>
      <c r="AE149" s="17" t="str">
        <f t="shared" si="29"/>
        <v/>
      </c>
      <c r="AF149" s="23"/>
    </row>
    <row r="150" spans="1:32" ht="30" customHeight="1">
      <c r="A150" s="15">
        <v>152</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4"/>
        <v/>
      </c>
      <c r="AA150" s="21" t="str">
        <f t="shared" si="25"/>
        <v/>
      </c>
      <c r="AB150" s="21" t="str">
        <f t="shared" si="26"/>
        <v/>
      </c>
      <c r="AC150" s="22" t="str">
        <f t="shared" si="27"/>
        <v/>
      </c>
      <c r="AD150" s="22" t="str">
        <f t="shared" si="28"/>
        <v/>
      </c>
      <c r="AE150" s="17" t="str">
        <f t="shared" si="29"/>
        <v/>
      </c>
      <c r="AF150" s="23"/>
    </row>
    <row r="151" spans="1:32" ht="30" customHeight="1">
      <c r="A151" s="15">
        <v>153</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4"/>
        <v/>
      </c>
      <c r="AA151" s="21" t="str">
        <f t="shared" si="25"/>
        <v/>
      </c>
      <c r="AB151" s="21" t="str">
        <f t="shared" si="26"/>
        <v/>
      </c>
      <c r="AC151" s="22" t="str">
        <f t="shared" si="27"/>
        <v/>
      </c>
      <c r="AD151" s="22" t="str">
        <f t="shared" si="28"/>
        <v/>
      </c>
      <c r="AE151" s="17" t="str">
        <f t="shared" si="29"/>
        <v/>
      </c>
      <c r="AF151" s="23"/>
    </row>
    <row r="152" spans="1:32" ht="30" customHeight="1">
      <c r="A152" s="15">
        <v>154</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4"/>
        <v/>
      </c>
      <c r="AA152" s="21" t="str">
        <f t="shared" si="25"/>
        <v/>
      </c>
      <c r="AB152" s="21" t="str">
        <f t="shared" si="26"/>
        <v/>
      </c>
      <c r="AC152" s="22" t="str">
        <f t="shared" si="27"/>
        <v/>
      </c>
      <c r="AD152" s="22" t="str">
        <f t="shared" si="28"/>
        <v/>
      </c>
      <c r="AE152" s="17" t="str">
        <f t="shared" si="29"/>
        <v/>
      </c>
      <c r="AF152" s="23"/>
    </row>
    <row r="153" spans="1:32" ht="30" customHeight="1">
      <c r="A153" s="15">
        <v>155</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4"/>
        <v/>
      </c>
      <c r="AA153" s="21" t="str">
        <f t="shared" si="25"/>
        <v/>
      </c>
      <c r="AB153" s="21" t="str">
        <f t="shared" si="26"/>
        <v/>
      </c>
      <c r="AC153" s="22" t="str">
        <f t="shared" si="27"/>
        <v/>
      </c>
      <c r="AD153" s="22" t="str">
        <f t="shared" si="28"/>
        <v/>
      </c>
      <c r="AE153" s="17" t="str">
        <f t="shared" si="29"/>
        <v/>
      </c>
      <c r="AF153" s="23"/>
    </row>
    <row r="154" spans="1:32" ht="30" customHeight="1">
      <c r="A154" s="15">
        <v>156</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4"/>
        <v/>
      </c>
      <c r="AA154" s="21" t="str">
        <f t="shared" si="25"/>
        <v/>
      </c>
      <c r="AB154" s="21" t="str">
        <f t="shared" si="26"/>
        <v/>
      </c>
      <c r="AC154" s="22" t="str">
        <f t="shared" si="27"/>
        <v/>
      </c>
      <c r="AD154" s="22" t="str">
        <f t="shared" si="28"/>
        <v/>
      </c>
      <c r="AE154" s="17" t="str">
        <f t="shared" si="29"/>
        <v/>
      </c>
      <c r="AF154" s="23"/>
    </row>
    <row r="155" spans="1:32" ht="30" customHeight="1">
      <c r="A155" s="15">
        <v>157</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4"/>
        <v/>
      </c>
      <c r="AA155" s="21" t="str">
        <f t="shared" si="25"/>
        <v/>
      </c>
      <c r="AB155" s="21" t="str">
        <f t="shared" si="26"/>
        <v/>
      </c>
      <c r="AC155" s="22" t="str">
        <f t="shared" si="27"/>
        <v/>
      </c>
      <c r="AD155" s="22" t="str">
        <f t="shared" si="28"/>
        <v/>
      </c>
      <c r="AE155" s="17" t="str">
        <f t="shared" si="29"/>
        <v/>
      </c>
      <c r="AF155" s="23"/>
    </row>
    <row r="156" spans="1:32" ht="30" customHeight="1">
      <c r="A156" s="15">
        <v>158</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4"/>
        <v/>
      </c>
      <c r="AA156" s="21" t="str">
        <f t="shared" si="25"/>
        <v/>
      </c>
      <c r="AB156" s="21" t="str">
        <f t="shared" si="26"/>
        <v/>
      </c>
      <c r="AC156" s="22" t="str">
        <f t="shared" si="27"/>
        <v/>
      </c>
      <c r="AD156" s="22" t="str">
        <f t="shared" si="28"/>
        <v/>
      </c>
      <c r="AE156" s="17" t="str">
        <f t="shared" si="29"/>
        <v/>
      </c>
      <c r="AF156" s="23"/>
    </row>
    <row r="157" spans="1:32" ht="30" customHeight="1">
      <c r="A157" s="15">
        <v>159</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4"/>
        <v/>
      </c>
      <c r="AA157" s="21" t="str">
        <f t="shared" si="25"/>
        <v/>
      </c>
      <c r="AB157" s="21" t="str">
        <f t="shared" si="26"/>
        <v/>
      </c>
      <c r="AC157" s="22" t="str">
        <f t="shared" si="27"/>
        <v/>
      </c>
      <c r="AD157" s="22" t="str">
        <f t="shared" si="28"/>
        <v/>
      </c>
      <c r="AE157" s="17" t="str">
        <f t="shared" si="29"/>
        <v/>
      </c>
      <c r="AF157" s="23"/>
    </row>
    <row r="158" spans="1:32" ht="30" customHeight="1">
      <c r="A158" s="15">
        <v>160</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4"/>
        <v/>
      </c>
      <c r="AA158" s="21" t="str">
        <f t="shared" si="25"/>
        <v/>
      </c>
      <c r="AB158" s="21" t="str">
        <f t="shared" si="26"/>
        <v/>
      </c>
      <c r="AC158" s="22" t="str">
        <f t="shared" si="27"/>
        <v/>
      </c>
      <c r="AD158" s="22" t="str">
        <f t="shared" si="28"/>
        <v/>
      </c>
      <c r="AE158" s="17" t="str">
        <f t="shared" si="29"/>
        <v/>
      </c>
      <c r="AF158" s="23"/>
    </row>
    <row r="159" spans="1:32" ht="30" customHeight="1">
      <c r="A159" s="15">
        <v>161</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ref="Z159:Z190" si="30">IF(B159="","",IF(COUNTIF(F159:G159,"Fail")&gt;0,1,0))</f>
        <v/>
      </c>
      <c r="AA159" s="21" t="str">
        <f t="shared" ref="AA159:AA190" si="31">IF(B159="","",IF(COUNTIF(H159:S159,"Fail")&gt;0,1,0))</f>
        <v/>
      </c>
      <c r="AB159" s="21" t="str">
        <f t="shared" ref="AB159:AB190" si="32">IF(B159="","",IF(COUNTIF(T159:Y159,"Fail")&gt;0,1,0))</f>
        <v/>
      </c>
      <c r="AC159" s="22" t="str">
        <f t="shared" ref="AC159:AC190" si="33">IF(B159="","",0.1*Z159+0.8*AA159+0.1*AB159)</f>
        <v/>
      </c>
      <c r="AD159" s="22" t="str">
        <f t="shared" ref="AD159:AD190" si="34">IF(B159="","",IF(C159="Batch 1",0.3,0.2))</f>
        <v/>
      </c>
      <c r="AE159" s="17" t="str">
        <f t="shared" ref="AE159:AE190" si="35">IF(B159="","",IF(AC159&lt;=AD159,"Đạt","Không đạt"))</f>
        <v/>
      </c>
      <c r="AF159" s="23"/>
    </row>
    <row r="160" spans="1:32" ht="30" customHeight="1">
      <c r="A160" s="15">
        <v>162</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30"/>
        <v/>
      </c>
      <c r="AA160" s="21" t="str">
        <f t="shared" si="31"/>
        <v/>
      </c>
      <c r="AB160" s="21" t="str">
        <f t="shared" si="32"/>
        <v/>
      </c>
      <c r="AC160" s="22" t="str">
        <f t="shared" si="33"/>
        <v/>
      </c>
      <c r="AD160" s="22" t="str">
        <f t="shared" si="34"/>
        <v/>
      </c>
      <c r="AE160" s="17" t="str">
        <f t="shared" si="35"/>
        <v/>
      </c>
      <c r="AF160" s="23"/>
    </row>
    <row r="161" spans="1:32" ht="30" customHeight="1">
      <c r="A161" s="15">
        <v>163</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30"/>
        <v/>
      </c>
      <c r="AA161" s="21" t="str">
        <f t="shared" si="31"/>
        <v/>
      </c>
      <c r="AB161" s="21" t="str">
        <f t="shared" si="32"/>
        <v/>
      </c>
      <c r="AC161" s="22" t="str">
        <f t="shared" si="33"/>
        <v/>
      </c>
      <c r="AD161" s="22" t="str">
        <f t="shared" si="34"/>
        <v/>
      </c>
      <c r="AE161" s="17" t="str">
        <f t="shared" si="35"/>
        <v/>
      </c>
      <c r="AF161" s="23"/>
    </row>
    <row r="162" spans="1:32" ht="30" customHeight="1">
      <c r="A162" s="15">
        <v>164</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30"/>
        <v/>
      </c>
      <c r="AA162" s="21" t="str">
        <f t="shared" si="31"/>
        <v/>
      </c>
      <c r="AB162" s="21" t="str">
        <f t="shared" si="32"/>
        <v/>
      </c>
      <c r="AC162" s="22" t="str">
        <f t="shared" si="33"/>
        <v/>
      </c>
      <c r="AD162" s="22" t="str">
        <f t="shared" si="34"/>
        <v/>
      </c>
      <c r="AE162" s="17" t="str">
        <f t="shared" si="35"/>
        <v/>
      </c>
      <c r="AF162" s="23"/>
    </row>
    <row r="163" spans="1:32" ht="30" customHeight="1">
      <c r="A163" s="15">
        <v>165</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si="30"/>
        <v/>
      </c>
      <c r="AA163" s="21" t="str">
        <f t="shared" si="31"/>
        <v/>
      </c>
      <c r="AB163" s="21" t="str">
        <f t="shared" si="32"/>
        <v/>
      </c>
      <c r="AC163" s="22" t="str">
        <f t="shared" si="33"/>
        <v/>
      </c>
      <c r="AD163" s="22" t="str">
        <f t="shared" si="34"/>
        <v/>
      </c>
      <c r="AE163" s="17" t="str">
        <f t="shared" si="35"/>
        <v/>
      </c>
      <c r="AF163" s="23"/>
    </row>
    <row r="164" spans="1:32" ht="30" customHeight="1">
      <c r="A164" s="15">
        <v>166</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0"/>
        <v/>
      </c>
      <c r="AA164" s="21" t="str">
        <f t="shared" si="31"/>
        <v/>
      </c>
      <c r="AB164" s="21" t="str">
        <f t="shared" si="32"/>
        <v/>
      </c>
      <c r="AC164" s="22" t="str">
        <f t="shared" si="33"/>
        <v/>
      </c>
      <c r="AD164" s="22" t="str">
        <f t="shared" si="34"/>
        <v/>
      </c>
      <c r="AE164" s="17" t="str">
        <f t="shared" si="35"/>
        <v/>
      </c>
      <c r="AF164" s="23"/>
    </row>
    <row r="165" spans="1:32" ht="30" customHeight="1">
      <c r="A165" s="15">
        <v>167</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0"/>
        <v/>
      </c>
      <c r="AA165" s="21" t="str">
        <f t="shared" si="31"/>
        <v/>
      </c>
      <c r="AB165" s="21" t="str">
        <f t="shared" si="32"/>
        <v/>
      </c>
      <c r="AC165" s="22" t="str">
        <f t="shared" si="33"/>
        <v/>
      </c>
      <c r="AD165" s="22" t="str">
        <f t="shared" si="34"/>
        <v/>
      </c>
      <c r="AE165" s="17" t="str">
        <f t="shared" si="35"/>
        <v/>
      </c>
      <c r="AF165" s="23"/>
    </row>
    <row r="166" spans="1:32" ht="30" customHeight="1">
      <c r="A166" s="15">
        <v>168</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0"/>
        <v/>
      </c>
      <c r="AA166" s="21" t="str">
        <f t="shared" si="31"/>
        <v/>
      </c>
      <c r="AB166" s="21" t="str">
        <f t="shared" si="32"/>
        <v/>
      </c>
      <c r="AC166" s="22" t="str">
        <f t="shared" si="33"/>
        <v/>
      </c>
      <c r="AD166" s="22" t="str">
        <f t="shared" si="34"/>
        <v/>
      </c>
      <c r="AE166" s="17" t="str">
        <f t="shared" si="35"/>
        <v/>
      </c>
      <c r="AF166" s="23"/>
    </row>
    <row r="167" spans="1:32" ht="30" customHeight="1">
      <c r="A167" s="15">
        <v>169</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0"/>
        <v/>
      </c>
      <c r="AA167" s="21" t="str">
        <f t="shared" si="31"/>
        <v/>
      </c>
      <c r="AB167" s="21" t="str">
        <f t="shared" si="32"/>
        <v/>
      </c>
      <c r="AC167" s="22" t="str">
        <f t="shared" si="33"/>
        <v/>
      </c>
      <c r="AD167" s="22" t="str">
        <f t="shared" si="34"/>
        <v/>
      </c>
      <c r="AE167" s="17" t="str">
        <f t="shared" si="35"/>
        <v/>
      </c>
      <c r="AF167" s="23"/>
    </row>
    <row r="168" spans="1:32" ht="30" customHeight="1">
      <c r="A168" s="15">
        <v>170</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0"/>
        <v/>
      </c>
      <c r="AA168" s="21" t="str">
        <f t="shared" si="31"/>
        <v/>
      </c>
      <c r="AB168" s="21" t="str">
        <f t="shared" si="32"/>
        <v/>
      </c>
      <c r="AC168" s="22" t="str">
        <f t="shared" si="33"/>
        <v/>
      </c>
      <c r="AD168" s="22" t="str">
        <f t="shared" si="34"/>
        <v/>
      </c>
      <c r="AE168" s="17" t="str">
        <f t="shared" si="35"/>
        <v/>
      </c>
      <c r="AF168" s="23"/>
    </row>
    <row r="169" spans="1:32" ht="30" customHeight="1">
      <c r="A169" s="15">
        <v>171</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0"/>
        <v/>
      </c>
      <c r="AA169" s="21" t="str">
        <f t="shared" si="31"/>
        <v/>
      </c>
      <c r="AB169" s="21" t="str">
        <f t="shared" si="32"/>
        <v/>
      </c>
      <c r="AC169" s="22" t="str">
        <f t="shared" si="33"/>
        <v/>
      </c>
      <c r="AD169" s="22" t="str">
        <f t="shared" si="34"/>
        <v/>
      </c>
      <c r="AE169" s="17" t="str">
        <f t="shared" si="35"/>
        <v/>
      </c>
      <c r="AF169" s="23"/>
    </row>
    <row r="170" spans="1:32" ht="30" customHeight="1">
      <c r="A170" s="15">
        <v>172</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0"/>
        <v/>
      </c>
      <c r="AA170" s="21" t="str">
        <f t="shared" si="31"/>
        <v/>
      </c>
      <c r="AB170" s="21" t="str">
        <f t="shared" si="32"/>
        <v/>
      </c>
      <c r="AC170" s="22" t="str">
        <f t="shared" si="33"/>
        <v/>
      </c>
      <c r="AD170" s="22" t="str">
        <f t="shared" si="34"/>
        <v/>
      </c>
      <c r="AE170" s="17" t="str">
        <f t="shared" si="35"/>
        <v/>
      </c>
      <c r="AF170" s="23"/>
    </row>
    <row r="171" spans="1:32" ht="30" customHeight="1">
      <c r="A171" s="15">
        <v>173</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0"/>
        <v/>
      </c>
      <c r="AA171" s="21" t="str">
        <f t="shared" si="31"/>
        <v/>
      </c>
      <c r="AB171" s="21" t="str">
        <f t="shared" si="32"/>
        <v/>
      </c>
      <c r="AC171" s="22" t="str">
        <f t="shared" si="33"/>
        <v/>
      </c>
      <c r="AD171" s="22" t="str">
        <f t="shared" si="34"/>
        <v/>
      </c>
      <c r="AE171" s="17" t="str">
        <f t="shared" si="35"/>
        <v/>
      </c>
      <c r="AF171" s="23"/>
    </row>
    <row r="172" spans="1:32" ht="30" customHeight="1">
      <c r="A172" s="15">
        <v>174</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0"/>
        <v/>
      </c>
      <c r="AA172" s="21" t="str">
        <f t="shared" si="31"/>
        <v/>
      </c>
      <c r="AB172" s="21" t="str">
        <f t="shared" si="32"/>
        <v/>
      </c>
      <c r="AC172" s="22" t="str">
        <f t="shared" si="33"/>
        <v/>
      </c>
      <c r="AD172" s="22" t="str">
        <f t="shared" si="34"/>
        <v/>
      </c>
      <c r="AE172" s="17" t="str">
        <f t="shared" si="35"/>
        <v/>
      </c>
      <c r="AF172" s="23"/>
    </row>
    <row r="173" spans="1:32" ht="30" customHeight="1">
      <c r="A173" s="15">
        <v>175</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0"/>
        <v/>
      </c>
      <c r="AA173" s="21" t="str">
        <f t="shared" si="31"/>
        <v/>
      </c>
      <c r="AB173" s="21" t="str">
        <f t="shared" si="32"/>
        <v/>
      </c>
      <c r="AC173" s="22" t="str">
        <f t="shared" si="33"/>
        <v/>
      </c>
      <c r="AD173" s="22" t="str">
        <f t="shared" si="34"/>
        <v/>
      </c>
      <c r="AE173" s="17" t="str">
        <f t="shared" si="35"/>
        <v/>
      </c>
      <c r="AF173" s="23"/>
    </row>
    <row r="174" spans="1:32" ht="30" customHeight="1">
      <c r="A174" s="15">
        <v>176</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0"/>
        <v/>
      </c>
      <c r="AA174" s="21" t="str">
        <f t="shared" si="31"/>
        <v/>
      </c>
      <c r="AB174" s="21" t="str">
        <f t="shared" si="32"/>
        <v/>
      </c>
      <c r="AC174" s="22" t="str">
        <f t="shared" si="33"/>
        <v/>
      </c>
      <c r="AD174" s="22" t="str">
        <f t="shared" si="34"/>
        <v/>
      </c>
      <c r="AE174" s="17" t="str">
        <f t="shared" si="35"/>
        <v/>
      </c>
      <c r="AF174" s="23"/>
    </row>
    <row r="175" spans="1:32" ht="30" customHeight="1">
      <c r="A175" s="15">
        <v>177</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0"/>
        <v/>
      </c>
      <c r="AA175" s="21" t="str">
        <f t="shared" si="31"/>
        <v/>
      </c>
      <c r="AB175" s="21" t="str">
        <f t="shared" si="32"/>
        <v/>
      </c>
      <c r="AC175" s="22" t="str">
        <f t="shared" si="33"/>
        <v/>
      </c>
      <c r="AD175" s="22" t="str">
        <f t="shared" si="34"/>
        <v/>
      </c>
      <c r="AE175" s="17" t="str">
        <f t="shared" si="35"/>
        <v/>
      </c>
      <c r="AF175" s="23"/>
    </row>
    <row r="176" spans="1:32" ht="30" customHeight="1">
      <c r="A176" s="15">
        <v>178</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0"/>
        <v/>
      </c>
      <c r="AA176" s="21" t="str">
        <f t="shared" si="31"/>
        <v/>
      </c>
      <c r="AB176" s="21" t="str">
        <f t="shared" si="32"/>
        <v/>
      </c>
      <c r="AC176" s="22" t="str">
        <f t="shared" si="33"/>
        <v/>
      </c>
      <c r="AD176" s="22" t="str">
        <f t="shared" si="34"/>
        <v/>
      </c>
      <c r="AE176" s="17" t="str">
        <f t="shared" si="35"/>
        <v/>
      </c>
      <c r="AF176" s="23"/>
    </row>
    <row r="177" spans="1:32" ht="30" customHeight="1">
      <c r="A177" s="15">
        <v>179</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0"/>
        <v/>
      </c>
      <c r="AA177" s="21" t="str">
        <f t="shared" si="31"/>
        <v/>
      </c>
      <c r="AB177" s="21" t="str">
        <f t="shared" si="32"/>
        <v/>
      </c>
      <c r="AC177" s="22" t="str">
        <f t="shared" si="33"/>
        <v/>
      </c>
      <c r="AD177" s="22" t="str">
        <f t="shared" si="34"/>
        <v/>
      </c>
      <c r="AE177" s="17" t="str">
        <f t="shared" si="35"/>
        <v/>
      </c>
      <c r="AF177" s="23"/>
    </row>
    <row r="178" spans="1:32" ht="30" customHeight="1">
      <c r="A178" s="15">
        <v>180</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0"/>
        <v/>
      </c>
      <c r="AA178" s="21" t="str">
        <f t="shared" si="31"/>
        <v/>
      </c>
      <c r="AB178" s="21" t="str">
        <f t="shared" si="32"/>
        <v/>
      </c>
      <c r="AC178" s="22" t="str">
        <f t="shared" si="33"/>
        <v/>
      </c>
      <c r="AD178" s="22" t="str">
        <f t="shared" si="34"/>
        <v/>
      </c>
      <c r="AE178" s="17" t="str">
        <f t="shared" si="35"/>
        <v/>
      </c>
      <c r="AF178" s="23"/>
    </row>
    <row r="179" spans="1:32" ht="30" customHeight="1">
      <c r="A179" s="15">
        <v>181</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0"/>
        <v/>
      </c>
      <c r="AA179" s="21" t="str">
        <f t="shared" si="31"/>
        <v/>
      </c>
      <c r="AB179" s="21" t="str">
        <f t="shared" si="32"/>
        <v/>
      </c>
      <c r="AC179" s="22" t="str">
        <f t="shared" si="33"/>
        <v/>
      </c>
      <c r="AD179" s="22" t="str">
        <f t="shared" si="34"/>
        <v/>
      </c>
      <c r="AE179" s="17" t="str">
        <f t="shared" si="35"/>
        <v/>
      </c>
      <c r="AF179" s="23"/>
    </row>
    <row r="180" spans="1:32" ht="30" customHeight="1">
      <c r="A180" s="15">
        <v>182</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0"/>
        <v/>
      </c>
      <c r="AA180" s="21" t="str">
        <f t="shared" si="31"/>
        <v/>
      </c>
      <c r="AB180" s="21" t="str">
        <f t="shared" si="32"/>
        <v/>
      </c>
      <c r="AC180" s="22" t="str">
        <f t="shared" si="33"/>
        <v/>
      </c>
      <c r="AD180" s="22" t="str">
        <f t="shared" si="34"/>
        <v/>
      </c>
      <c r="AE180" s="17" t="str">
        <f t="shared" si="35"/>
        <v/>
      </c>
      <c r="AF180" s="23"/>
    </row>
    <row r="181" spans="1:32" ht="30" customHeight="1">
      <c r="A181" s="15">
        <v>183</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0"/>
        <v/>
      </c>
      <c r="AA181" s="21" t="str">
        <f t="shared" si="31"/>
        <v/>
      </c>
      <c r="AB181" s="21" t="str">
        <f t="shared" si="32"/>
        <v/>
      </c>
      <c r="AC181" s="22" t="str">
        <f t="shared" si="33"/>
        <v/>
      </c>
      <c r="AD181" s="22" t="str">
        <f t="shared" si="34"/>
        <v/>
      </c>
      <c r="AE181" s="17" t="str">
        <f t="shared" si="35"/>
        <v/>
      </c>
      <c r="AF181" s="23"/>
    </row>
    <row r="182" spans="1:32" ht="30" customHeight="1">
      <c r="A182" s="15">
        <v>184</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0"/>
        <v/>
      </c>
      <c r="AA182" s="21" t="str">
        <f t="shared" si="31"/>
        <v/>
      </c>
      <c r="AB182" s="21" t="str">
        <f t="shared" si="32"/>
        <v/>
      </c>
      <c r="AC182" s="22" t="str">
        <f t="shared" si="33"/>
        <v/>
      </c>
      <c r="AD182" s="22" t="str">
        <f t="shared" si="34"/>
        <v/>
      </c>
      <c r="AE182" s="17" t="str">
        <f t="shared" si="35"/>
        <v/>
      </c>
      <c r="AF182" s="23"/>
    </row>
    <row r="183" spans="1:32" ht="30" customHeight="1">
      <c r="A183" s="15">
        <v>185</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0"/>
        <v/>
      </c>
      <c r="AA183" s="21" t="str">
        <f t="shared" si="31"/>
        <v/>
      </c>
      <c r="AB183" s="21" t="str">
        <f t="shared" si="32"/>
        <v/>
      </c>
      <c r="AC183" s="22" t="str">
        <f t="shared" si="33"/>
        <v/>
      </c>
      <c r="AD183" s="22" t="str">
        <f t="shared" si="34"/>
        <v/>
      </c>
      <c r="AE183" s="17" t="str">
        <f t="shared" si="35"/>
        <v/>
      </c>
      <c r="AF183" s="23"/>
    </row>
    <row r="184" spans="1:32" ht="30" customHeight="1">
      <c r="A184" s="15">
        <v>186</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0"/>
        <v/>
      </c>
      <c r="AA184" s="21" t="str">
        <f t="shared" si="31"/>
        <v/>
      </c>
      <c r="AB184" s="21" t="str">
        <f t="shared" si="32"/>
        <v/>
      </c>
      <c r="AC184" s="22" t="str">
        <f t="shared" si="33"/>
        <v/>
      </c>
      <c r="AD184" s="22" t="str">
        <f t="shared" si="34"/>
        <v/>
      </c>
      <c r="AE184" s="17" t="str">
        <f t="shared" si="35"/>
        <v/>
      </c>
      <c r="AF184" s="23"/>
    </row>
    <row r="185" spans="1:32" ht="30" customHeight="1">
      <c r="A185" s="15">
        <v>187</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0"/>
        <v/>
      </c>
      <c r="AA185" s="21" t="str">
        <f t="shared" si="31"/>
        <v/>
      </c>
      <c r="AB185" s="21" t="str">
        <f t="shared" si="32"/>
        <v/>
      </c>
      <c r="AC185" s="22" t="str">
        <f t="shared" si="33"/>
        <v/>
      </c>
      <c r="AD185" s="22" t="str">
        <f t="shared" si="34"/>
        <v/>
      </c>
      <c r="AE185" s="17" t="str">
        <f t="shared" si="35"/>
        <v/>
      </c>
      <c r="AF185" s="23"/>
    </row>
    <row r="186" spans="1:32" ht="30" customHeight="1">
      <c r="A186" s="15">
        <v>188</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0"/>
        <v/>
      </c>
      <c r="AA186" s="21" t="str">
        <f t="shared" si="31"/>
        <v/>
      </c>
      <c r="AB186" s="21" t="str">
        <f t="shared" si="32"/>
        <v/>
      </c>
      <c r="AC186" s="22" t="str">
        <f t="shared" si="33"/>
        <v/>
      </c>
      <c r="AD186" s="22" t="str">
        <f t="shared" si="34"/>
        <v/>
      </c>
      <c r="AE186" s="17" t="str">
        <f t="shared" si="35"/>
        <v/>
      </c>
      <c r="AF186" s="23"/>
    </row>
    <row r="187" spans="1:32" ht="30" customHeight="1">
      <c r="A187" s="15">
        <v>189</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0"/>
        <v/>
      </c>
      <c r="AA187" s="21" t="str">
        <f t="shared" si="31"/>
        <v/>
      </c>
      <c r="AB187" s="21" t="str">
        <f t="shared" si="32"/>
        <v/>
      </c>
      <c r="AC187" s="22" t="str">
        <f t="shared" si="33"/>
        <v/>
      </c>
      <c r="AD187" s="22" t="str">
        <f t="shared" si="34"/>
        <v/>
      </c>
      <c r="AE187" s="17" t="str">
        <f t="shared" si="35"/>
        <v/>
      </c>
      <c r="AF187" s="23"/>
    </row>
    <row r="188" spans="1:32" ht="30" customHeight="1">
      <c r="A188" s="15">
        <v>190</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0"/>
        <v/>
      </c>
      <c r="AA188" s="21" t="str">
        <f t="shared" si="31"/>
        <v/>
      </c>
      <c r="AB188" s="21" t="str">
        <f t="shared" si="32"/>
        <v/>
      </c>
      <c r="AC188" s="22" t="str">
        <f t="shared" si="33"/>
        <v/>
      </c>
      <c r="AD188" s="22" t="str">
        <f t="shared" si="34"/>
        <v/>
      </c>
      <c r="AE188" s="17" t="str">
        <f t="shared" si="35"/>
        <v/>
      </c>
      <c r="AF188" s="23"/>
    </row>
    <row r="189" spans="1:32" ht="30" customHeight="1">
      <c r="A189" s="15">
        <v>191</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0"/>
        <v/>
      </c>
      <c r="AA189" s="21" t="str">
        <f t="shared" si="31"/>
        <v/>
      </c>
      <c r="AB189" s="21" t="str">
        <f t="shared" si="32"/>
        <v/>
      </c>
      <c r="AC189" s="22" t="str">
        <f t="shared" si="33"/>
        <v/>
      </c>
      <c r="AD189" s="22" t="str">
        <f t="shared" si="34"/>
        <v/>
      </c>
      <c r="AE189" s="17" t="str">
        <f t="shared" si="35"/>
        <v/>
      </c>
      <c r="AF189" s="23"/>
    </row>
    <row r="190" spans="1:32" ht="30" customHeight="1">
      <c r="A190" s="15">
        <v>192</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0"/>
        <v/>
      </c>
      <c r="AA190" s="21" t="str">
        <f t="shared" si="31"/>
        <v/>
      </c>
      <c r="AB190" s="21" t="str">
        <f t="shared" si="32"/>
        <v/>
      </c>
      <c r="AC190" s="22" t="str">
        <f t="shared" si="33"/>
        <v/>
      </c>
      <c r="AD190" s="22" t="str">
        <f t="shared" si="34"/>
        <v/>
      </c>
      <c r="AE190" s="17" t="str">
        <f t="shared" si="35"/>
        <v/>
      </c>
      <c r="AF190" s="23"/>
    </row>
    <row r="191" spans="1:32" ht="30" customHeight="1">
      <c r="A191" s="15">
        <v>193</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ref="Z191:Z196" si="36">IF(B191="","",IF(COUNTIF(F191:G191,"Fail")&gt;0,1,0))</f>
        <v/>
      </c>
      <c r="AA191" s="21" t="str">
        <f t="shared" ref="AA191:AA196" si="37">IF(B191="","",IF(COUNTIF(H191:S191,"Fail")&gt;0,1,0))</f>
        <v/>
      </c>
      <c r="AB191" s="21" t="str">
        <f t="shared" ref="AB191:AB196" si="38">IF(B191="","",IF(COUNTIF(T191:Y191,"Fail")&gt;0,1,0))</f>
        <v/>
      </c>
      <c r="AC191" s="22" t="str">
        <f t="shared" ref="AC191:AC222" si="39">IF(B191="","",0.1*Z191+0.8*AA191+0.1*AB191)</f>
        <v/>
      </c>
      <c r="AD191" s="22" t="str">
        <f t="shared" ref="AD191:AD196" si="40">IF(B191="","",IF(C191="Batch 1",0.3,0.2))</f>
        <v/>
      </c>
      <c r="AE191" s="17" t="str">
        <f t="shared" ref="AE191:AE222" si="41">IF(B191="","",IF(AC191&lt;=AD191,"Đạt","Không đạt"))</f>
        <v/>
      </c>
      <c r="AF191" s="23"/>
    </row>
    <row r="192" spans="1:32" ht="30" customHeight="1">
      <c r="A192" s="15">
        <v>194</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6"/>
        <v/>
      </c>
      <c r="AA192" s="21" t="str">
        <f t="shared" si="37"/>
        <v/>
      </c>
      <c r="AB192" s="21" t="str">
        <f t="shared" si="38"/>
        <v/>
      </c>
      <c r="AC192" s="22" t="str">
        <f t="shared" si="39"/>
        <v/>
      </c>
      <c r="AD192" s="22" t="str">
        <f t="shared" si="40"/>
        <v/>
      </c>
      <c r="AE192" s="17" t="str">
        <f t="shared" si="41"/>
        <v/>
      </c>
      <c r="AF192" s="23"/>
    </row>
    <row r="193" spans="1:32" ht="30" customHeight="1">
      <c r="A193" s="15">
        <v>195</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6"/>
        <v/>
      </c>
      <c r="AA193" s="21" t="str">
        <f t="shared" si="37"/>
        <v/>
      </c>
      <c r="AB193" s="21" t="str">
        <f t="shared" si="38"/>
        <v/>
      </c>
      <c r="AC193" s="22" t="str">
        <f t="shared" si="39"/>
        <v/>
      </c>
      <c r="AD193" s="22" t="str">
        <f t="shared" si="40"/>
        <v/>
      </c>
      <c r="AE193" s="17" t="str">
        <f t="shared" si="41"/>
        <v/>
      </c>
      <c r="AF193" s="23"/>
    </row>
    <row r="194" spans="1:32" ht="30" customHeight="1">
      <c r="A194" s="15">
        <v>196</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6"/>
        <v/>
      </c>
      <c r="AA194" s="21" t="str">
        <f t="shared" si="37"/>
        <v/>
      </c>
      <c r="AB194" s="21" t="str">
        <f t="shared" si="38"/>
        <v/>
      </c>
      <c r="AC194" s="22" t="str">
        <f t="shared" si="39"/>
        <v/>
      </c>
      <c r="AD194" s="22" t="str">
        <f t="shared" si="40"/>
        <v/>
      </c>
      <c r="AE194" s="17" t="str">
        <f t="shared" si="41"/>
        <v/>
      </c>
      <c r="AF194" s="23"/>
    </row>
    <row r="195" spans="1:32" ht="30" customHeight="1">
      <c r="A195" s="15">
        <v>197</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si="36"/>
        <v/>
      </c>
      <c r="AA195" s="21" t="str">
        <f t="shared" si="37"/>
        <v/>
      </c>
      <c r="AB195" s="21" t="str">
        <f t="shared" si="38"/>
        <v/>
      </c>
      <c r="AC195" s="22" t="str">
        <f t="shared" si="39"/>
        <v/>
      </c>
      <c r="AD195" s="22" t="str">
        <f t="shared" si="40"/>
        <v/>
      </c>
      <c r="AE195" s="17" t="str">
        <f t="shared" si="41"/>
        <v/>
      </c>
      <c r="AF195" s="23"/>
    </row>
    <row r="196" spans="1:32" ht="30" customHeight="1">
      <c r="A196" s="15">
        <v>198</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6"/>
        <v/>
      </c>
      <c r="AA196" s="21" t="str">
        <f t="shared" si="37"/>
        <v/>
      </c>
      <c r="AB196" s="21" t="str">
        <f t="shared" si="38"/>
        <v/>
      </c>
      <c r="AC196" s="22" t="str">
        <f t="shared" si="39"/>
        <v/>
      </c>
      <c r="AD196" s="22" t="str">
        <f t="shared" si="40"/>
        <v/>
      </c>
      <c r="AE196" s="17" t="str">
        <f t="shared" si="41"/>
        <v/>
      </c>
      <c r="AF196" s="23"/>
    </row>
  </sheetData>
  <mergeCells count="9">
    <mergeCell ref="Z1:AF1"/>
    <mergeCell ref="F1:G1"/>
    <mergeCell ref="A1:A2"/>
    <mergeCell ref="T1:Y1"/>
    <mergeCell ref="H1:S1"/>
    <mergeCell ref="C1:C2"/>
    <mergeCell ref="B1:B2"/>
    <mergeCell ref="D1:D2"/>
    <mergeCell ref="E1:E2"/>
  </mergeCells>
  <conditionalFormatting sqref="F2:Y196">
    <cfRule type="cellIs" dxfId="7" priority="1" operator="equal">
      <formula>"WARN"</formula>
    </cfRule>
  </conditionalFormatting>
  <conditionalFormatting sqref="F3:Y196">
    <cfRule type="cellIs" dxfId="6" priority="3" operator="equal">
      <formula>"Fail"</formula>
    </cfRule>
    <cfRule type="cellIs" dxfId="5" priority="4" operator="equal">
      <formula>"Pass"</formula>
    </cfRule>
    <cfRule type="cellIs" dxfId="4" priority="5" operator="equal">
      <formula>"N/A"</formula>
    </cfRule>
  </conditionalFormatting>
  <conditionalFormatting sqref="AE3:AE196">
    <cfRule type="cellIs" dxfId="3" priority="6" operator="equal">
      <formula>"Không đạt"</formula>
    </cfRule>
    <cfRule type="cellIs" dxfId="2" priority="7" operator="equal">
      <formula>"Đạt"</formula>
    </cfRule>
  </conditionalFormatting>
  <dataValidations count="2">
    <dataValidation type="list" allowBlank="1" sqref="F3:Y196" xr:uid="{00000000-0002-0000-0200-000000000000}">
      <formula1>"Pass,Fail,N/A,WARN"</formula1>
    </dataValidation>
    <dataValidation type="list" allowBlank="1" sqref="C3:C196"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5" t="s">
        <v>155</v>
      </c>
      <c r="C2" s="44"/>
      <c r="D2" s="44"/>
      <c r="E2" s="44"/>
      <c r="F2" s="44"/>
      <c r="G2" s="44"/>
      <c r="H2" s="44"/>
    </row>
    <row r="4" spans="2:9" ht="31.5" customHeight="1">
      <c r="B4" s="3" t="s">
        <v>105</v>
      </c>
      <c r="C4" s="3" t="s">
        <v>156</v>
      </c>
      <c r="D4" s="3" t="s">
        <v>157</v>
      </c>
      <c r="E4" s="3" t="s">
        <v>158</v>
      </c>
      <c r="F4" s="3" t="s">
        <v>159</v>
      </c>
      <c r="G4" s="3" t="s">
        <v>160</v>
      </c>
      <c r="H4" s="3" t="s">
        <v>161</v>
      </c>
      <c r="I4" s="3" t="s">
        <v>162</v>
      </c>
    </row>
    <row r="5" spans="2:9" ht="21.75" customHeight="1">
      <c r="B5" s="15" t="s">
        <v>163</v>
      </c>
      <c r="C5" s="18">
        <v>0.3</v>
      </c>
      <c r="D5" s="15">
        <f>COUNTIF('Review theo bảng'!$C$3:$C$196,B5)</f>
        <v>0</v>
      </c>
      <c r="E5" s="15">
        <f>COUNTIFS('Review theo bảng'!$C$3:$C$196,B5,'Review theo bảng'!$AE$3:$AE$196,"Đạt")</f>
        <v>0</v>
      </c>
      <c r="F5" s="15">
        <f>COUNTIFS('Review theo bảng'!$C$3:$C$196,B5,'Review theo bảng'!$AE$3:$AE$196,"Không đạt")</f>
        <v>0</v>
      </c>
      <c r="G5" s="19">
        <f>IFERROR(AVERAGEIF('Review theo bảng'!$C$3:$C$196,B5,'Review theo bảng'!$AC$3:$AC$196),0)</f>
        <v>0</v>
      </c>
      <c r="H5" s="19">
        <f>IFERROR(F5/D5,0)</f>
        <v>0</v>
      </c>
      <c r="I5" s="20" t="str">
        <f>IF(D5=0,"Chưa có dữ liệu",IF(H5&lt;=C5,"Đạt yêu cầu","Không đạt yêu cầu"))</f>
        <v>Chưa có dữ liệu</v>
      </c>
    </row>
    <row r="6" spans="2:9" ht="21.75" customHeight="1">
      <c r="B6" s="15" t="s">
        <v>141</v>
      </c>
      <c r="C6" s="18">
        <v>0.2</v>
      </c>
      <c r="D6" s="15">
        <f>COUNTIF('Review theo bảng'!$C$3:$C$196,B6)</f>
        <v>3</v>
      </c>
      <c r="E6" s="15">
        <f>COUNTIFS('Review theo bảng'!$C$3:$C$196,B6,'Review theo bảng'!$AE$3:$AE$196,"Đạt")</f>
        <v>0</v>
      </c>
      <c r="F6" s="15">
        <f>COUNTIFS('Review theo bảng'!$C$3:$C$196,B6,'Review theo bảng'!$AE$3:$AE$196,"Không đạt")</f>
        <v>3</v>
      </c>
      <c r="G6" s="19">
        <f>IFERROR(AVERAGEIF('Review theo bảng'!$C$3:$C$196,B6,'Review theo bảng'!$AC$3:$AC$196),0)</f>
        <v>0.9</v>
      </c>
      <c r="H6" s="19">
        <f>IFERROR(F6/D6,0)</f>
        <v>1</v>
      </c>
      <c r="I6" s="20" t="str">
        <f>IF(D6=0,"Chưa có dữ liệu",IF(H6&lt;=C6,"Đạt yêu cầu","Không đạt yêu cầu"))</f>
        <v>Không đạt yêu cầu</v>
      </c>
    </row>
    <row r="7" spans="2:9" ht="21.75" customHeight="1">
      <c r="B7" s="15" t="s">
        <v>164</v>
      </c>
      <c r="C7" s="18">
        <v>0.2</v>
      </c>
      <c r="D7" s="15">
        <f>COUNTIF('Review theo bảng'!$C$3:$C$196,B7)</f>
        <v>0</v>
      </c>
      <c r="E7" s="15">
        <f>COUNTIFS('Review theo bảng'!$C$3:$C$196,B7,'Review theo bảng'!$AE$3:$AE$196,"Đạt")</f>
        <v>0</v>
      </c>
      <c r="F7" s="15">
        <f>COUNTIFS('Review theo bảng'!$C$3:$C$196,B7,'Review theo bảng'!$AE$3:$AE$196,"Không đạt")</f>
        <v>0</v>
      </c>
      <c r="G7" s="19">
        <f>IFERROR(AVERAGEIF('Review theo bảng'!$C$3:$C$196,B7,'Review theo bảng'!$AC$3:$AC$196),0)</f>
        <v>0</v>
      </c>
      <c r="H7" s="19">
        <f>IFERROR(F7/D7,0)</f>
        <v>0</v>
      </c>
      <c r="I7" s="20" t="str">
        <f>IF(D7=0,"Chưa có dữ liệu",IF(H7&lt;=C7,"Đạt yêu cầu","Không đạt yêu cầu"))</f>
        <v>Chưa có dữ liệu</v>
      </c>
    </row>
    <row r="9" spans="2:9" ht="30" customHeight="1">
      <c r="B9" s="43" t="s">
        <v>165</v>
      </c>
      <c r="C9" s="44"/>
      <c r="D9" s="44"/>
      <c r="E9" s="44"/>
      <c r="F9" s="44"/>
      <c r="G9" s="44"/>
      <c r="H9" s="44"/>
      <c r="I9" s="44"/>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6"/>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2" t="s">
        <v>166</v>
      </c>
      <c r="B1" s="32" t="s">
        <v>167</v>
      </c>
      <c r="C1" s="32" t="s">
        <v>2</v>
      </c>
      <c r="D1" s="32" t="s">
        <v>0</v>
      </c>
      <c r="E1" s="32" t="s">
        <v>168</v>
      </c>
      <c r="F1" s="32" t="s">
        <v>169</v>
      </c>
      <c r="G1" s="32" t="s">
        <v>170</v>
      </c>
      <c r="H1" s="32" t="s">
        <v>171</v>
      </c>
      <c r="I1" s="32" t="s">
        <v>172</v>
      </c>
      <c r="J1" s="32" t="s">
        <v>173</v>
      </c>
    </row>
    <row r="2" spans="1:10" ht="42">
      <c r="A2" s="33" t="s">
        <v>140</v>
      </c>
      <c r="B2" s="33" t="s">
        <v>174</v>
      </c>
      <c r="C2" s="33" t="s">
        <v>7</v>
      </c>
      <c r="D2" s="33" t="s">
        <v>175</v>
      </c>
      <c r="E2" s="33" t="s">
        <v>176</v>
      </c>
      <c r="F2" s="34" t="s">
        <v>143</v>
      </c>
      <c r="G2" s="33" t="s">
        <v>143</v>
      </c>
      <c r="H2" s="35" t="s">
        <v>177</v>
      </c>
      <c r="I2" s="35" t="s">
        <v>178</v>
      </c>
      <c r="J2" s="33" t="s">
        <v>179</v>
      </c>
    </row>
    <row r="3" spans="1:10" ht="28">
      <c r="A3" s="33" t="s">
        <v>140</v>
      </c>
      <c r="B3" s="33" t="s">
        <v>174</v>
      </c>
      <c r="C3" s="33" t="s">
        <v>11</v>
      </c>
      <c r="D3" s="33" t="s">
        <v>175</v>
      </c>
      <c r="E3" s="33" t="s">
        <v>180</v>
      </c>
      <c r="F3" s="36" t="s">
        <v>181</v>
      </c>
      <c r="G3" s="33" t="s">
        <v>144</v>
      </c>
      <c r="H3" s="35" t="s">
        <v>182</v>
      </c>
      <c r="I3" s="35" t="s">
        <v>183</v>
      </c>
      <c r="J3" s="33" t="s">
        <v>179</v>
      </c>
    </row>
    <row r="4" spans="1:10" ht="56">
      <c r="A4" s="33" t="s">
        <v>140</v>
      </c>
      <c r="B4" s="33" t="s">
        <v>174</v>
      </c>
      <c r="C4" s="33" t="s">
        <v>16</v>
      </c>
      <c r="D4" s="33" t="s">
        <v>184</v>
      </c>
      <c r="E4" s="33" t="s">
        <v>185</v>
      </c>
      <c r="F4" s="37" t="s">
        <v>186</v>
      </c>
      <c r="G4" s="33" t="s">
        <v>145</v>
      </c>
      <c r="H4" s="35" t="s">
        <v>187</v>
      </c>
      <c r="I4" s="35" t="s">
        <v>188</v>
      </c>
      <c r="J4" s="33" t="s">
        <v>179</v>
      </c>
    </row>
    <row r="5" spans="1:10" ht="42">
      <c r="A5" s="33" t="s">
        <v>140</v>
      </c>
      <c r="B5" s="33" t="s">
        <v>174</v>
      </c>
      <c r="C5" s="33" t="s">
        <v>20</v>
      </c>
      <c r="D5" s="33" t="s">
        <v>184</v>
      </c>
      <c r="E5" s="33" t="s">
        <v>189</v>
      </c>
      <c r="F5" s="37" t="s">
        <v>186</v>
      </c>
      <c r="G5" s="33" t="s">
        <v>145</v>
      </c>
      <c r="H5" s="35" t="s">
        <v>190</v>
      </c>
      <c r="I5" s="35" t="s">
        <v>191</v>
      </c>
      <c r="J5" s="33" t="s">
        <v>179</v>
      </c>
    </row>
    <row r="6" spans="1:10" ht="56">
      <c r="A6" s="33" t="s">
        <v>140</v>
      </c>
      <c r="B6" s="33" t="s">
        <v>174</v>
      </c>
      <c r="C6" s="33" t="s">
        <v>24</v>
      </c>
      <c r="D6" s="33" t="s">
        <v>184</v>
      </c>
      <c r="E6" s="33" t="s">
        <v>192</v>
      </c>
      <c r="F6" s="37" t="s">
        <v>186</v>
      </c>
      <c r="G6" s="33" t="s">
        <v>145</v>
      </c>
      <c r="H6" s="35" t="s">
        <v>193</v>
      </c>
      <c r="I6" s="35" t="s">
        <v>194</v>
      </c>
      <c r="J6" s="33" t="s">
        <v>179</v>
      </c>
    </row>
    <row r="7" spans="1:10" ht="70">
      <c r="A7" s="33" t="s">
        <v>140</v>
      </c>
      <c r="B7" s="33" t="s">
        <v>174</v>
      </c>
      <c r="C7" s="33" t="s">
        <v>28</v>
      </c>
      <c r="D7" s="33" t="s">
        <v>184</v>
      </c>
      <c r="E7" s="33" t="s">
        <v>195</v>
      </c>
      <c r="F7" s="37" t="s">
        <v>186</v>
      </c>
      <c r="G7" s="33" t="s">
        <v>145</v>
      </c>
      <c r="H7" s="35" t="s">
        <v>196</v>
      </c>
      <c r="I7" s="35" t="s">
        <v>197</v>
      </c>
      <c r="J7" s="33" t="s">
        <v>179</v>
      </c>
    </row>
    <row r="8" spans="1:10" ht="98">
      <c r="A8" s="33" t="s">
        <v>140</v>
      </c>
      <c r="B8" s="33" t="s">
        <v>174</v>
      </c>
      <c r="C8" s="33" t="s">
        <v>32</v>
      </c>
      <c r="D8" s="33" t="s">
        <v>184</v>
      </c>
      <c r="E8" s="33" t="s">
        <v>198</v>
      </c>
      <c r="F8" s="37" t="s">
        <v>186</v>
      </c>
      <c r="G8" s="33" t="s">
        <v>145</v>
      </c>
      <c r="H8" s="35" t="s">
        <v>199</v>
      </c>
      <c r="I8" s="35" t="s">
        <v>200</v>
      </c>
      <c r="J8" s="33" t="s">
        <v>179</v>
      </c>
    </row>
    <row r="9" spans="1:10" ht="84">
      <c r="A9" s="33" t="s">
        <v>140</v>
      </c>
      <c r="B9" s="33" t="s">
        <v>174</v>
      </c>
      <c r="C9" s="33" t="s">
        <v>36</v>
      </c>
      <c r="D9" s="33" t="s">
        <v>184</v>
      </c>
      <c r="E9" s="33" t="s">
        <v>201</v>
      </c>
      <c r="F9" s="33" t="s">
        <v>202</v>
      </c>
      <c r="G9" s="33" t="s">
        <v>145</v>
      </c>
      <c r="H9" s="35" t="s">
        <v>203</v>
      </c>
      <c r="I9" s="35" t="s">
        <v>204</v>
      </c>
      <c r="J9" s="33" t="s">
        <v>179</v>
      </c>
    </row>
    <row r="10" spans="1:10" ht="42">
      <c r="A10" s="33" t="s">
        <v>140</v>
      </c>
      <c r="B10" s="33" t="s">
        <v>174</v>
      </c>
      <c r="C10" s="33" t="s">
        <v>40</v>
      </c>
      <c r="D10" s="33" t="s">
        <v>184</v>
      </c>
      <c r="E10" s="33" t="s">
        <v>205</v>
      </c>
      <c r="F10" s="36" t="s">
        <v>181</v>
      </c>
      <c r="G10" s="33" t="s">
        <v>144</v>
      </c>
      <c r="H10" s="35" t="s">
        <v>206</v>
      </c>
      <c r="I10" s="35" t="s">
        <v>207</v>
      </c>
      <c r="J10" s="33" t="s">
        <v>179</v>
      </c>
    </row>
    <row r="11" spans="1:10" ht="98">
      <c r="A11" s="33" t="s">
        <v>140</v>
      </c>
      <c r="B11" s="33" t="s">
        <v>174</v>
      </c>
      <c r="C11" s="33" t="s">
        <v>44</v>
      </c>
      <c r="D11" s="33" t="s">
        <v>184</v>
      </c>
      <c r="E11" s="33" t="s">
        <v>208</v>
      </c>
      <c r="F11" s="34" t="s">
        <v>143</v>
      </c>
      <c r="G11" s="33" t="s">
        <v>143</v>
      </c>
      <c r="H11" s="35" t="s">
        <v>209</v>
      </c>
      <c r="I11" s="35" t="s">
        <v>210</v>
      </c>
      <c r="J11" s="33" t="s">
        <v>179</v>
      </c>
    </row>
    <row r="12" spans="1:10" ht="28">
      <c r="A12" s="33" t="s">
        <v>140</v>
      </c>
      <c r="B12" s="33" t="s">
        <v>174</v>
      </c>
      <c r="C12" s="33" t="s">
        <v>48</v>
      </c>
      <c r="D12" s="33" t="s">
        <v>184</v>
      </c>
      <c r="E12" s="33" t="s">
        <v>211</v>
      </c>
      <c r="F12" s="37" t="s">
        <v>186</v>
      </c>
      <c r="G12" s="33" t="s">
        <v>145</v>
      </c>
      <c r="H12" s="35" t="s">
        <v>212</v>
      </c>
      <c r="I12" s="35" t="s">
        <v>213</v>
      </c>
      <c r="J12" s="33" t="s">
        <v>179</v>
      </c>
    </row>
    <row r="13" spans="1:10" ht="42">
      <c r="A13" s="33" t="s">
        <v>140</v>
      </c>
      <c r="B13" s="33" t="s">
        <v>174</v>
      </c>
      <c r="C13" s="33" t="s">
        <v>52</v>
      </c>
      <c r="D13" s="33" t="s">
        <v>184</v>
      </c>
      <c r="E13" s="33" t="s">
        <v>214</v>
      </c>
      <c r="F13" s="37" t="s">
        <v>186</v>
      </c>
      <c r="G13" s="33" t="s">
        <v>145</v>
      </c>
      <c r="H13" s="35" t="s">
        <v>215</v>
      </c>
      <c r="I13" s="35" t="s">
        <v>216</v>
      </c>
      <c r="J13" s="33" t="s">
        <v>179</v>
      </c>
    </row>
    <row r="14" spans="1:10" ht="42">
      <c r="A14" s="33" t="s">
        <v>140</v>
      </c>
      <c r="B14" s="33" t="s">
        <v>174</v>
      </c>
      <c r="C14" s="33" t="s">
        <v>56</v>
      </c>
      <c r="D14" s="33" t="s">
        <v>184</v>
      </c>
      <c r="E14" s="33" t="s">
        <v>217</v>
      </c>
      <c r="F14" s="37" t="s">
        <v>186</v>
      </c>
      <c r="G14" s="33" t="s">
        <v>145</v>
      </c>
      <c r="H14" s="35" t="s">
        <v>218</v>
      </c>
      <c r="I14" s="35" t="s">
        <v>219</v>
      </c>
      <c r="J14" s="33" t="s">
        <v>179</v>
      </c>
    </row>
    <row r="15" spans="1:10" ht="42">
      <c r="A15" s="33" t="s">
        <v>140</v>
      </c>
      <c r="B15" s="33" t="s">
        <v>174</v>
      </c>
      <c r="C15" s="33" t="s">
        <v>60</v>
      </c>
      <c r="D15" s="33" t="s">
        <v>184</v>
      </c>
      <c r="E15" s="33" t="s">
        <v>220</v>
      </c>
      <c r="F15" s="37" t="s">
        <v>186</v>
      </c>
      <c r="G15" s="33" t="s">
        <v>145</v>
      </c>
      <c r="H15" s="35" t="s">
        <v>221</v>
      </c>
      <c r="I15" s="35" t="s">
        <v>222</v>
      </c>
      <c r="J15" s="33" t="s">
        <v>179</v>
      </c>
    </row>
    <row r="16" spans="1:10" ht="28">
      <c r="A16" s="33" t="s">
        <v>140</v>
      </c>
      <c r="B16" s="33" t="s">
        <v>174</v>
      </c>
      <c r="C16" s="33" t="s">
        <v>65</v>
      </c>
      <c r="D16" s="33" t="s">
        <v>223</v>
      </c>
      <c r="E16" s="33" t="s">
        <v>224</v>
      </c>
      <c r="F16" s="37" t="s">
        <v>186</v>
      </c>
      <c r="G16" s="33" t="s">
        <v>145</v>
      </c>
      <c r="H16" s="35" t="s">
        <v>225</v>
      </c>
      <c r="I16" s="35" t="s">
        <v>226</v>
      </c>
      <c r="J16" s="33" t="s">
        <v>179</v>
      </c>
    </row>
    <row r="17" spans="1:10" ht="42">
      <c r="A17" s="33" t="s">
        <v>140</v>
      </c>
      <c r="B17" s="33" t="s">
        <v>174</v>
      </c>
      <c r="C17" s="33" t="s">
        <v>69</v>
      </c>
      <c r="D17" s="33" t="s">
        <v>223</v>
      </c>
      <c r="E17" s="33" t="s">
        <v>227</v>
      </c>
      <c r="F17" s="34" t="s">
        <v>143</v>
      </c>
      <c r="G17" s="33" t="s">
        <v>143</v>
      </c>
      <c r="H17" s="35" t="s">
        <v>228</v>
      </c>
      <c r="I17" s="35" t="s">
        <v>229</v>
      </c>
      <c r="J17" s="33" t="s">
        <v>179</v>
      </c>
    </row>
    <row r="18" spans="1:10" ht="28">
      <c r="A18" s="33" t="s">
        <v>140</v>
      </c>
      <c r="B18" s="33" t="s">
        <v>174</v>
      </c>
      <c r="C18" s="33" t="s">
        <v>73</v>
      </c>
      <c r="D18" s="33" t="s">
        <v>223</v>
      </c>
      <c r="E18" s="33" t="s">
        <v>230</v>
      </c>
      <c r="F18" s="37" t="s">
        <v>186</v>
      </c>
      <c r="G18" s="33" t="s">
        <v>145</v>
      </c>
      <c r="H18" s="35" t="s">
        <v>231</v>
      </c>
      <c r="I18" s="35" t="s">
        <v>232</v>
      </c>
      <c r="J18" s="33" t="s">
        <v>179</v>
      </c>
    </row>
    <row r="19" spans="1:10" ht="28">
      <c r="A19" s="33" t="s">
        <v>140</v>
      </c>
      <c r="B19" s="33" t="s">
        <v>174</v>
      </c>
      <c r="C19" s="33" t="s">
        <v>77</v>
      </c>
      <c r="D19" s="33" t="s">
        <v>223</v>
      </c>
      <c r="E19" s="33" t="s">
        <v>233</v>
      </c>
      <c r="F19" s="34" t="s">
        <v>143</v>
      </c>
      <c r="G19" s="33" t="s">
        <v>143</v>
      </c>
      <c r="H19" s="35" t="s">
        <v>234</v>
      </c>
      <c r="I19" s="35" t="s">
        <v>235</v>
      </c>
      <c r="J19" s="33" t="s">
        <v>179</v>
      </c>
    </row>
    <row r="20" spans="1:10" ht="56">
      <c r="A20" s="33" t="s">
        <v>140</v>
      </c>
      <c r="B20" s="33" t="s">
        <v>174</v>
      </c>
      <c r="C20" s="33" t="s">
        <v>81</v>
      </c>
      <c r="D20" s="33" t="s">
        <v>223</v>
      </c>
      <c r="E20" s="33" t="s">
        <v>236</v>
      </c>
      <c r="F20" s="34" t="s">
        <v>143</v>
      </c>
      <c r="G20" s="33" t="s">
        <v>143</v>
      </c>
      <c r="H20" s="35" t="s">
        <v>237</v>
      </c>
      <c r="I20" s="35" t="s">
        <v>238</v>
      </c>
      <c r="J20" s="33" t="s">
        <v>179</v>
      </c>
    </row>
    <row r="21" spans="1:10" ht="28">
      <c r="A21" s="33" t="s">
        <v>140</v>
      </c>
      <c r="B21" s="33" t="s">
        <v>174</v>
      </c>
      <c r="C21" s="33" t="s">
        <v>85</v>
      </c>
      <c r="D21" s="33" t="s">
        <v>223</v>
      </c>
      <c r="E21" s="33" t="s">
        <v>239</v>
      </c>
      <c r="F21" s="37" t="s">
        <v>186</v>
      </c>
      <c r="G21" s="33" t="s">
        <v>145</v>
      </c>
      <c r="H21" s="35" t="s">
        <v>240</v>
      </c>
      <c r="I21" s="35" t="s">
        <v>241</v>
      </c>
      <c r="J21" s="33" t="s">
        <v>179</v>
      </c>
    </row>
    <row r="22" spans="1:10" ht="56">
      <c r="A22" s="33" t="s">
        <v>140</v>
      </c>
      <c r="B22" s="33" t="s">
        <v>174</v>
      </c>
      <c r="C22" s="33" t="s">
        <v>242</v>
      </c>
      <c r="D22" s="33" t="s">
        <v>243</v>
      </c>
      <c r="E22" s="33" t="s">
        <v>244</v>
      </c>
      <c r="F22" s="37" t="s">
        <v>186</v>
      </c>
      <c r="G22" s="33" t="s">
        <v>145</v>
      </c>
      <c r="H22" s="35" t="s">
        <v>245</v>
      </c>
      <c r="I22" s="35" t="s">
        <v>246</v>
      </c>
      <c r="J22" s="33" t="s">
        <v>179</v>
      </c>
    </row>
    <row r="23" spans="1:10" ht="28">
      <c r="A23" s="33" t="s">
        <v>140</v>
      </c>
      <c r="B23" s="33" t="s">
        <v>174</v>
      </c>
      <c r="C23" s="33" t="s">
        <v>247</v>
      </c>
      <c r="D23" s="33" t="s">
        <v>243</v>
      </c>
      <c r="E23" s="33" t="s">
        <v>248</v>
      </c>
      <c r="F23" s="37" t="s">
        <v>186</v>
      </c>
      <c r="G23" s="33" t="s">
        <v>145</v>
      </c>
      <c r="H23" s="35" t="s">
        <v>249</v>
      </c>
      <c r="I23" s="35" t="s">
        <v>250</v>
      </c>
      <c r="J23" s="33" t="s">
        <v>179</v>
      </c>
    </row>
    <row r="24" spans="1:10" ht="42">
      <c r="A24" s="33" t="s">
        <v>140</v>
      </c>
      <c r="B24" s="33" t="s">
        <v>174</v>
      </c>
      <c r="C24" s="33" t="s">
        <v>251</v>
      </c>
      <c r="D24" s="33" t="s">
        <v>243</v>
      </c>
      <c r="E24" s="33" t="s">
        <v>252</v>
      </c>
      <c r="F24" s="37" t="s">
        <v>186</v>
      </c>
      <c r="G24" s="33" t="s">
        <v>145</v>
      </c>
      <c r="H24" s="35" t="s">
        <v>253</v>
      </c>
      <c r="I24" s="35" t="s">
        <v>254</v>
      </c>
      <c r="J24" s="33" t="s">
        <v>179</v>
      </c>
    </row>
    <row r="25" spans="1:10">
      <c r="A25" s="33" t="s">
        <v>140</v>
      </c>
      <c r="B25" s="33" t="s">
        <v>174</v>
      </c>
      <c r="C25" s="33" t="s">
        <v>255</v>
      </c>
      <c r="D25" s="33" t="s">
        <v>243</v>
      </c>
      <c r="E25" s="33" t="s">
        <v>256</v>
      </c>
      <c r="F25" s="37" t="s">
        <v>186</v>
      </c>
      <c r="G25" s="33" t="s">
        <v>145</v>
      </c>
      <c r="H25" s="35" t="s">
        <v>257</v>
      </c>
      <c r="I25" s="35"/>
      <c r="J25" s="33" t="s">
        <v>179</v>
      </c>
    </row>
    <row r="26" spans="1:10">
      <c r="A26" s="33" t="s">
        <v>140</v>
      </c>
      <c r="B26" s="33" t="s">
        <v>174</v>
      </c>
      <c r="C26" s="33" t="s">
        <v>258</v>
      </c>
      <c r="D26" s="33" t="s">
        <v>243</v>
      </c>
      <c r="E26" s="33" t="s">
        <v>259</v>
      </c>
      <c r="F26" s="37" t="s">
        <v>186</v>
      </c>
      <c r="G26" s="33" t="s">
        <v>145</v>
      </c>
      <c r="H26" s="35" t="s">
        <v>260</v>
      </c>
      <c r="I26" s="35"/>
      <c r="J26" s="33" t="s">
        <v>179</v>
      </c>
    </row>
    <row r="27" spans="1:10" ht="42">
      <c r="A27" s="33" t="s">
        <v>147</v>
      </c>
      <c r="B27" s="33" t="s">
        <v>174</v>
      </c>
      <c r="C27" s="33" t="s">
        <v>7</v>
      </c>
      <c r="D27" s="33" t="s">
        <v>175</v>
      </c>
      <c r="E27" s="33" t="s">
        <v>176</v>
      </c>
      <c r="F27" s="34" t="s">
        <v>143</v>
      </c>
      <c r="G27" s="33" t="s">
        <v>143</v>
      </c>
      <c r="H27" s="35" t="s">
        <v>261</v>
      </c>
      <c r="I27" s="35" t="s">
        <v>178</v>
      </c>
      <c r="J27" s="33" t="s">
        <v>262</v>
      </c>
    </row>
    <row r="28" spans="1:10" ht="28">
      <c r="A28" s="33" t="s">
        <v>147</v>
      </c>
      <c r="B28" s="33" t="s">
        <v>174</v>
      </c>
      <c r="C28" s="33" t="s">
        <v>11</v>
      </c>
      <c r="D28" s="33" t="s">
        <v>175</v>
      </c>
      <c r="E28" s="33" t="s">
        <v>180</v>
      </c>
      <c r="F28" s="36" t="s">
        <v>181</v>
      </c>
      <c r="G28" s="33" t="s">
        <v>144</v>
      </c>
      <c r="H28" s="35" t="s">
        <v>263</v>
      </c>
      <c r="I28" s="35" t="s">
        <v>183</v>
      </c>
      <c r="J28" s="33" t="s">
        <v>262</v>
      </c>
    </row>
    <row r="29" spans="1:10" ht="56">
      <c r="A29" s="33" t="s">
        <v>147</v>
      </c>
      <c r="B29" s="33" t="s">
        <v>174</v>
      </c>
      <c r="C29" s="33" t="s">
        <v>16</v>
      </c>
      <c r="D29" s="33" t="s">
        <v>184</v>
      </c>
      <c r="E29" s="33" t="s">
        <v>185</v>
      </c>
      <c r="F29" s="37" t="s">
        <v>186</v>
      </c>
      <c r="G29" s="33" t="s">
        <v>145</v>
      </c>
      <c r="H29" s="35" t="s">
        <v>187</v>
      </c>
      <c r="I29" s="35" t="s">
        <v>188</v>
      </c>
      <c r="J29" s="33" t="s">
        <v>262</v>
      </c>
    </row>
    <row r="30" spans="1:10" ht="56">
      <c r="A30" s="33" t="s">
        <v>147</v>
      </c>
      <c r="B30" s="33" t="s">
        <v>174</v>
      </c>
      <c r="C30" s="33" t="s">
        <v>20</v>
      </c>
      <c r="D30" s="33" t="s">
        <v>184</v>
      </c>
      <c r="E30" s="33" t="s">
        <v>189</v>
      </c>
      <c r="F30" s="37" t="s">
        <v>186</v>
      </c>
      <c r="G30" s="33" t="s">
        <v>145</v>
      </c>
      <c r="H30" s="35" t="s">
        <v>190</v>
      </c>
      <c r="I30" s="35" t="s">
        <v>191</v>
      </c>
      <c r="J30" s="33" t="s">
        <v>262</v>
      </c>
    </row>
    <row r="31" spans="1:10" ht="56">
      <c r="A31" s="33" t="s">
        <v>147</v>
      </c>
      <c r="B31" s="33" t="s">
        <v>174</v>
      </c>
      <c r="C31" s="33" t="s">
        <v>24</v>
      </c>
      <c r="D31" s="33" t="s">
        <v>184</v>
      </c>
      <c r="E31" s="33" t="s">
        <v>192</v>
      </c>
      <c r="F31" s="37" t="s">
        <v>186</v>
      </c>
      <c r="G31" s="33" t="s">
        <v>145</v>
      </c>
      <c r="H31" s="35" t="s">
        <v>193</v>
      </c>
      <c r="I31" s="35" t="s">
        <v>194</v>
      </c>
      <c r="J31" s="33" t="s">
        <v>262</v>
      </c>
    </row>
    <row r="32" spans="1:10" ht="70">
      <c r="A32" s="33" t="s">
        <v>147</v>
      </c>
      <c r="B32" s="33" t="s">
        <v>174</v>
      </c>
      <c r="C32" s="33" t="s">
        <v>28</v>
      </c>
      <c r="D32" s="33" t="s">
        <v>184</v>
      </c>
      <c r="E32" s="33" t="s">
        <v>195</v>
      </c>
      <c r="F32" s="37" t="s">
        <v>186</v>
      </c>
      <c r="G32" s="33" t="s">
        <v>145</v>
      </c>
      <c r="H32" s="35" t="s">
        <v>196</v>
      </c>
      <c r="I32" s="35" t="s">
        <v>197</v>
      </c>
      <c r="J32" s="33" t="s">
        <v>262</v>
      </c>
    </row>
    <row r="33" spans="1:10" ht="98">
      <c r="A33" s="33" t="s">
        <v>147</v>
      </c>
      <c r="B33" s="33" t="s">
        <v>174</v>
      </c>
      <c r="C33" s="33" t="s">
        <v>32</v>
      </c>
      <c r="D33" s="33" t="s">
        <v>184</v>
      </c>
      <c r="E33" s="33" t="s">
        <v>198</v>
      </c>
      <c r="F33" s="37" t="s">
        <v>186</v>
      </c>
      <c r="G33" s="33" t="s">
        <v>145</v>
      </c>
      <c r="H33" s="35" t="s">
        <v>199</v>
      </c>
      <c r="I33" s="35" t="s">
        <v>200</v>
      </c>
      <c r="J33" s="33" t="s">
        <v>262</v>
      </c>
    </row>
    <row r="34" spans="1:10" ht="84">
      <c r="A34" s="33" t="s">
        <v>147</v>
      </c>
      <c r="B34" s="33" t="s">
        <v>174</v>
      </c>
      <c r="C34" s="33" t="s">
        <v>36</v>
      </c>
      <c r="D34" s="33" t="s">
        <v>184</v>
      </c>
      <c r="E34" s="33" t="s">
        <v>201</v>
      </c>
      <c r="F34" s="33" t="s">
        <v>202</v>
      </c>
      <c r="G34" s="33" t="s">
        <v>145</v>
      </c>
      <c r="H34" s="35" t="s">
        <v>203</v>
      </c>
      <c r="I34" s="35" t="s">
        <v>204</v>
      </c>
      <c r="J34" s="33" t="s">
        <v>262</v>
      </c>
    </row>
    <row r="35" spans="1:10" ht="42">
      <c r="A35" s="33" t="s">
        <v>147</v>
      </c>
      <c r="B35" s="33" t="s">
        <v>174</v>
      </c>
      <c r="C35" s="33" t="s">
        <v>40</v>
      </c>
      <c r="D35" s="33" t="s">
        <v>184</v>
      </c>
      <c r="E35" s="33" t="s">
        <v>205</v>
      </c>
      <c r="F35" s="36" t="s">
        <v>181</v>
      </c>
      <c r="G35" s="33" t="s">
        <v>144</v>
      </c>
      <c r="H35" s="35" t="s">
        <v>264</v>
      </c>
      <c r="I35" s="35" t="s">
        <v>207</v>
      </c>
      <c r="J35" s="33" t="s">
        <v>262</v>
      </c>
    </row>
    <row r="36" spans="1:10" ht="98">
      <c r="A36" s="33" t="s">
        <v>147</v>
      </c>
      <c r="B36" s="33" t="s">
        <v>174</v>
      </c>
      <c r="C36" s="33" t="s">
        <v>44</v>
      </c>
      <c r="D36" s="33" t="s">
        <v>184</v>
      </c>
      <c r="E36" s="33" t="s">
        <v>208</v>
      </c>
      <c r="F36" s="34" t="s">
        <v>143</v>
      </c>
      <c r="G36" s="33" t="s">
        <v>143</v>
      </c>
      <c r="H36" s="35" t="s">
        <v>265</v>
      </c>
      <c r="I36" s="35" t="s">
        <v>210</v>
      </c>
      <c r="J36" s="33" t="s">
        <v>262</v>
      </c>
    </row>
    <row r="37" spans="1:10" ht="28">
      <c r="A37" s="33" t="s">
        <v>147</v>
      </c>
      <c r="B37" s="33" t="s">
        <v>174</v>
      </c>
      <c r="C37" s="33" t="s">
        <v>48</v>
      </c>
      <c r="D37" s="33" t="s">
        <v>184</v>
      </c>
      <c r="E37" s="33" t="s">
        <v>211</v>
      </c>
      <c r="F37" s="37" t="s">
        <v>186</v>
      </c>
      <c r="G37" s="33" t="s">
        <v>145</v>
      </c>
      <c r="H37" s="35" t="s">
        <v>266</v>
      </c>
      <c r="I37" s="35" t="s">
        <v>213</v>
      </c>
      <c r="J37" s="33" t="s">
        <v>262</v>
      </c>
    </row>
    <row r="38" spans="1:10" ht="42">
      <c r="A38" s="33" t="s">
        <v>147</v>
      </c>
      <c r="B38" s="33" t="s">
        <v>174</v>
      </c>
      <c r="C38" s="33" t="s">
        <v>52</v>
      </c>
      <c r="D38" s="33" t="s">
        <v>184</v>
      </c>
      <c r="E38" s="33" t="s">
        <v>214</v>
      </c>
      <c r="F38" s="37" t="s">
        <v>186</v>
      </c>
      <c r="G38" s="33" t="s">
        <v>145</v>
      </c>
      <c r="H38" s="35" t="s">
        <v>215</v>
      </c>
      <c r="I38" s="35" t="s">
        <v>216</v>
      </c>
      <c r="J38" s="33" t="s">
        <v>262</v>
      </c>
    </row>
    <row r="39" spans="1:10" ht="42">
      <c r="A39" s="33" t="s">
        <v>147</v>
      </c>
      <c r="B39" s="33" t="s">
        <v>174</v>
      </c>
      <c r="C39" s="33" t="s">
        <v>56</v>
      </c>
      <c r="D39" s="33" t="s">
        <v>184</v>
      </c>
      <c r="E39" s="33" t="s">
        <v>217</v>
      </c>
      <c r="F39" s="37" t="s">
        <v>186</v>
      </c>
      <c r="G39" s="33" t="s">
        <v>145</v>
      </c>
      <c r="H39" s="35" t="s">
        <v>218</v>
      </c>
      <c r="I39" s="35" t="s">
        <v>219</v>
      </c>
      <c r="J39" s="33" t="s">
        <v>262</v>
      </c>
    </row>
    <row r="40" spans="1:10" ht="42">
      <c r="A40" s="33" t="s">
        <v>147</v>
      </c>
      <c r="B40" s="33" t="s">
        <v>174</v>
      </c>
      <c r="C40" s="33" t="s">
        <v>60</v>
      </c>
      <c r="D40" s="33" t="s">
        <v>184</v>
      </c>
      <c r="E40" s="33" t="s">
        <v>220</v>
      </c>
      <c r="F40" s="37" t="s">
        <v>186</v>
      </c>
      <c r="G40" s="33" t="s">
        <v>145</v>
      </c>
      <c r="H40" s="35" t="s">
        <v>221</v>
      </c>
      <c r="I40" s="35" t="s">
        <v>222</v>
      </c>
      <c r="J40" s="33" t="s">
        <v>262</v>
      </c>
    </row>
    <row r="41" spans="1:10" ht="28">
      <c r="A41" s="33" t="s">
        <v>147</v>
      </c>
      <c r="B41" s="33" t="s">
        <v>174</v>
      </c>
      <c r="C41" s="33" t="s">
        <v>65</v>
      </c>
      <c r="D41" s="33" t="s">
        <v>223</v>
      </c>
      <c r="E41" s="33" t="s">
        <v>224</v>
      </c>
      <c r="F41" s="37" t="s">
        <v>186</v>
      </c>
      <c r="G41" s="33" t="s">
        <v>145</v>
      </c>
      <c r="H41" s="35" t="s">
        <v>225</v>
      </c>
      <c r="I41" s="35" t="s">
        <v>226</v>
      </c>
      <c r="J41" s="33" t="s">
        <v>262</v>
      </c>
    </row>
    <row r="42" spans="1:10" ht="42">
      <c r="A42" s="33" t="s">
        <v>147</v>
      </c>
      <c r="B42" s="33" t="s">
        <v>174</v>
      </c>
      <c r="C42" s="33" t="s">
        <v>69</v>
      </c>
      <c r="D42" s="33" t="s">
        <v>223</v>
      </c>
      <c r="E42" s="33" t="s">
        <v>227</v>
      </c>
      <c r="F42" s="34" t="s">
        <v>143</v>
      </c>
      <c r="G42" s="33" t="s">
        <v>143</v>
      </c>
      <c r="H42" s="35" t="s">
        <v>267</v>
      </c>
      <c r="I42" s="35" t="s">
        <v>229</v>
      </c>
      <c r="J42" s="33" t="s">
        <v>262</v>
      </c>
    </row>
    <row r="43" spans="1:10" ht="28">
      <c r="A43" s="33" t="s">
        <v>147</v>
      </c>
      <c r="B43" s="33" t="s">
        <v>174</v>
      </c>
      <c r="C43" s="33" t="s">
        <v>73</v>
      </c>
      <c r="D43" s="33" t="s">
        <v>223</v>
      </c>
      <c r="E43" s="33" t="s">
        <v>230</v>
      </c>
      <c r="F43" s="37" t="s">
        <v>186</v>
      </c>
      <c r="G43" s="33" t="s">
        <v>145</v>
      </c>
      <c r="H43" s="35" t="s">
        <v>231</v>
      </c>
      <c r="I43" s="35" t="s">
        <v>232</v>
      </c>
      <c r="J43" s="33" t="s">
        <v>262</v>
      </c>
    </row>
    <row r="44" spans="1:10" ht="28">
      <c r="A44" s="33" t="s">
        <v>147</v>
      </c>
      <c r="B44" s="33" t="s">
        <v>174</v>
      </c>
      <c r="C44" s="33" t="s">
        <v>77</v>
      </c>
      <c r="D44" s="33" t="s">
        <v>223</v>
      </c>
      <c r="E44" s="33" t="s">
        <v>233</v>
      </c>
      <c r="F44" s="34" t="s">
        <v>143</v>
      </c>
      <c r="G44" s="33" t="s">
        <v>143</v>
      </c>
      <c r="H44" s="35" t="s">
        <v>268</v>
      </c>
      <c r="I44" s="35" t="s">
        <v>235</v>
      </c>
      <c r="J44" s="33" t="s">
        <v>262</v>
      </c>
    </row>
    <row r="45" spans="1:10" ht="56">
      <c r="A45" s="33" t="s">
        <v>147</v>
      </c>
      <c r="B45" s="33" t="s">
        <v>174</v>
      </c>
      <c r="C45" s="33" t="s">
        <v>81</v>
      </c>
      <c r="D45" s="33" t="s">
        <v>223</v>
      </c>
      <c r="E45" s="33" t="s">
        <v>236</v>
      </c>
      <c r="F45" s="34" t="s">
        <v>143</v>
      </c>
      <c r="G45" s="33" t="s">
        <v>143</v>
      </c>
      <c r="H45" s="35" t="s">
        <v>269</v>
      </c>
      <c r="I45" s="35" t="s">
        <v>238</v>
      </c>
      <c r="J45" s="33" t="s">
        <v>262</v>
      </c>
    </row>
    <row r="46" spans="1:10" ht="28">
      <c r="A46" s="33" t="s">
        <v>147</v>
      </c>
      <c r="B46" s="33" t="s">
        <v>174</v>
      </c>
      <c r="C46" s="33" t="s">
        <v>85</v>
      </c>
      <c r="D46" s="33" t="s">
        <v>223</v>
      </c>
      <c r="E46" s="33" t="s">
        <v>239</v>
      </c>
      <c r="F46" s="37" t="s">
        <v>186</v>
      </c>
      <c r="G46" s="33" t="s">
        <v>145</v>
      </c>
      <c r="H46" s="35" t="s">
        <v>270</v>
      </c>
      <c r="I46" s="35" t="s">
        <v>241</v>
      </c>
      <c r="J46" s="33" t="s">
        <v>262</v>
      </c>
    </row>
    <row r="47" spans="1:10" ht="56">
      <c r="A47" s="33" t="s">
        <v>147</v>
      </c>
      <c r="B47" s="33" t="s">
        <v>174</v>
      </c>
      <c r="C47" s="33" t="s">
        <v>242</v>
      </c>
      <c r="D47" s="33" t="s">
        <v>243</v>
      </c>
      <c r="E47" s="33" t="s">
        <v>244</v>
      </c>
      <c r="F47" s="37" t="s">
        <v>186</v>
      </c>
      <c r="G47" s="33" t="s">
        <v>145</v>
      </c>
      <c r="H47" s="35" t="s">
        <v>245</v>
      </c>
      <c r="I47" s="35" t="s">
        <v>246</v>
      </c>
      <c r="J47" s="33" t="s">
        <v>262</v>
      </c>
    </row>
    <row r="48" spans="1:10" ht="28">
      <c r="A48" s="33" t="s">
        <v>147</v>
      </c>
      <c r="B48" s="33" t="s">
        <v>174</v>
      </c>
      <c r="C48" s="33" t="s">
        <v>247</v>
      </c>
      <c r="D48" s="33" t="s">
        <v>243</v>
      </c>
      <c r="E48" s="33" t="s">
        <v>248</v>
      </c>
      <c r="F48" s="37" t="s">
        <v>186</v>
      </c>
      <c r="G48" s="33" t="s">
        <v>145</v>
      </c>
      <c r="H48" s="35" t="s">
        <v>249</v>
      </c>
      <c r="I48" s="35" t="s">
        <v>250</v>
      </c>
      <c r="J48" s="33" t="s">
        <v>262</v>
      </c>
    </row>
    <row r="49" spans="1:10" ht="42">
      <c r="A49" s="33" t="s">
        <v>147</v>
      </c>
      <c r="B49" s="33" t="s">
        <v>174</v>
      </c>
      <c r="C49" s="33" t="s">
        <v>251</v>
      </c>
      <c r="D49" s="33" t="s">
        <v>243</v>
      </c>
      <c r="E49" s="33" t="s">
        <v>252</v>
      </c>
      <c r="F49" s="37" t="s">
        <v>186</v>
      </c>
      <c r="G49" s="33" t="s">
        <v>145</v>
      </c>
      <c r="H49" s="35" t="s">
        <v>253</v>
      </c>
      <c r="I49" s="35" t="s">
        <v>254</v>
      </c>
      <c r="J49" s="33" t="s">
        <v>262</v>
      </c>
    </row>
    <row r="50" spans="1:10">
      <c r="A50" s="33" t="s">
        <v>147</v>
      </c>
      <c r="B50" s="33" t="s">
        <v>174</v>
      </c>
      <c r="C50" s="33" t="s">
        <v>255</v>
      </c>
      <c r="D50" s="33" t="s">
        <v>243</v>
      </c>
      <c r="E50" s="33" t="s">
        <v>256</v>
      </c>
      <c r="F50" s="37" t="s">
        <v>186</v>
      </c>
      <c r="G50" s="33" t="s">
        <v>145</v>
      </c>
      <c r="H50" s="35" t="s">
        <v>257</v>
      </c>
      <c r="I50" s="35"/>
      <c r="J50" s="33" t="s">
        <v>262</v>
      </c>
    </row>
    <row r="51" spans="1:10">
      <c r="A51" s="33" t="s">
        <v>147</v>
      </c>
      <c r="B51" s="33" t="s">
        <v>174</v>
      </c>
      <c r="C51" s="33" t="s">
        <v>258</v>
      </c>
      <c r="D51" s="33" t="s">
        <v>243</v>
      </c>
      <c r="E51" s="33" t="s">
        <v>259</v>
      </c>
      <c r="F51" s="37" t="s">
        <v>186</v>
      </c>
      <c r="G51" s="33" t="s">
        <v>145</v>
      </c>
      <c r="H51" s="35" t="s">
        <v>260</v>
      </c>
      <c r="I51" s="35"/>
      <c r="J51" s="33" t="s">
        <v>262</v>
      </c>
    </row>
    <row r="52" spans="1:10" ht="42">
      <c r="A52" s="33" t="s">
        <v>149</v>
      </c>
      <c r="B52" s="33" t="s">
        <v>174</v>
      </c>
      <c r="C52" s="33" t="s">
        <v>7</v>
      </c>
      <c r="D52" s="33" t="s">
        <v>175</v>
      </c>
      <c r="E52" s="33" t="s">
        <v>176</v>
      </c>
      <c r="F52" s="34" t="s">
        <v>143</v>
      </c>
      <c r="G52" s="33" t="s">
        <v>143</v>
      </c>
      <c r="H52" s="35" t="s">
        <v>271</v>
      </c>
      <c r="I52" s="35" t="s">
        <v>178</v>
      </c>
      <c r="J52" s="33" t="s">
        <v>272</v>
      </c>
    </row>
    <row r="53" spans="1:10" ht="28">
      <c r="A53" s="33" t="s">
        <v>149</v>
      </c>
      <c r="B53" s="33" t="s">
        <v>174</v>
      </c>
      <c r="C53" s="33" t="s">
        <v>11</v>
      </c>
      <c r="D53" s="33" t="s">
        <v>175</v>
      </c>
      <c r="E53" s="33" t="s">
        <v>180</v>
      </c>
      <c r="F53" s="36" t="s">
        <v>181</v>
      </c>
      <c r="G53" s="33" t="s">
        <v>144</v>
      </c>
      <c r="H53" s="35" t="s">
        <v>273</v>
      </c>
      <c r="I53" s="35" t="s">
        <v>183</v>
      </c>
      <c r="J53" s="33" t="s">
        <v>272</v>
      </c>
    </row>
    <row r="54" spans="1:10" ht="56">
      <c r="A54" s="33" t="s">
        <v>149</v>
      </c>
      <c r="B54" s="33" t="s">
        <v>174</v>
      </c>
      <c r="C54" s="33" t="s">
        <v>16</v>
      </c>
      <c r="D54" s="33" t="s">
        <v>184</v>
      </c>
      <c r="E54" s="33" t="s">
        <v>185</v>
      </c>
      <c r="F54" s="37" t="s">
        <v>186</v>
      </c>
      <c r="G54" s="33" t="s">
        <v>145</v>
      </c>
      <c r="H54" s="35" t="s">
        <v>187</v>
      </c>
      <c r="I54" s="35" t="s">
        <v>188</v>
      </c>
      <c r="J54" s="33" t="s">
        <v>272</v>
      </c>
    </row>
    <row r="55" spans="1:10" ht="56">
      <c r="A55" s="33" t="s">
        <v>149</v>
      </c>
      <c r="B55" s="33" t="s">
        <v>174</v>
      </c>
      <c r="C55" s="33" t="s">
        <v>20</v>
      </c>
      <c r="D55" s="33" t="s">
        <v>184</v>
      </c>
      <c r="E55" s="33" t="s">
        <v>189</v>
      </c>
      <c r="F55" s="37" t="s">
        <v>186</v>
      </c>
      <c r="G55" s="33" t="s">
        <v>145</v>
      </c>
      <c r="H55" s="35" t="s">
        <v>190</v>
      </c>
      <c r="I55" s="35" t="s">
        <v>191</v>
      </c>
      <c r="J55" s="33" t="s">
        <v>272</v>
      </c>
    </row>
    <row r="56" spans="1:10" ht="56">
      <c r="A56" s="33" t="s">
        <v>149</v>
      </c>
      <c r="B56" s="33" t="s">
        <v>174</v>
      </c>
      <c r="C56" s="33" t="s">
        <v>24</v>
      </c>
      <c r="D56" s="33" t="s">
        <v>184</v>
      </c>
      <c r="E56" s="33" t="s">
        <v>192</v>
      </c>
      <c r="F56" s="37" t="s">
        <v>186</v>
      </c>
      <c r="G56" s="33" t="s">
        <v>145</v>
      </c>
      <c r="H56" s="35" t="s">
        <v>193</v>
      </c>
      <c r="I56" s="35" t="s">
        <v>194</v>
      </c>
      <c r="J56" s="33" t="s">
        <v>272</v>
      </c>
    </row>
    <row r="57" spans="1:10" ht="70">
      <c r="A57" s="33" t="s">
        <v>149</v>
      </c>
      <c r="B57" s="33" t="s">
        <v>174</v>
      </c>
      <c r="C57" s="33" t="s">
        <v>28</v>
      </c>
      <c r="D57" s="33" t="s">
        <v>184</v>
      </c>
      <c r="E57" s="33" t="s">
        <v>195</v>
      </c>
      <c r="F57" s="37" t="s">
        <v>186</v>
      </c>
      <c r="G57" s="33" t="s">
        <v>145</v>
      </c>
      <c r="H57" s="35" t="s">
        <v>196</v>
      </c>
      <c r="I57" s="35" t="s">
        <v>197</v>
      </c>
      <c r="J57" s="33" t="s">
        <v>272</v>
      </c>
    </row>
    <row r="58" spans="1:10" ht="98">
      <c r="A58" s="33" t="s">
        <v>149</v>
      </c>
      <c r="B58" s="33" t="s">
        <v>174</v>
      </c>
      <c r="C58" s="33" t="s">
        <v>32</v>
      </c>
      <c r="D58" s="33" t="s">
        <v>184</v>
      </c>
      <c r="E58" s="33" t="s">
        <v>198</v>
      </c>
      <c r="F58" s="37" t="s">
        <v>186</v>
      </c>
      <c r="G58" s="33" t="s">
        <v>145</v>
      </c>
      <c r="H58" s="35" t="s">
        <v>199</v>
      </c>
      <c r="I58" s="35" t="s">
        <v>200</v>
      </c>
      <c r="J58" s="33" t="s">
        <v>272</v>
      </c>
    </row>
    <row r="59" spans="1:10" ht="84">
      <c r="A59" s="33" t="s">
        <v>149</v>
      </c>
      <c r="B59" s="33" t="s">
        <v>174</v>
      </c>
      <c r="C59" s="33" t="s">
        <v>36</v>
      </c>
      <c r="D59" s="33" t="s">
        <v>184</v>
      </c>
      <c r="E59" s="33" t="s">
        <v>201</v>
      </c>
      <c r="F59" s="33" t="s">
        <v>202</v>
      </c>
      <c r="G59" s="33" t="s">
        <v>145</v>
      </c>
      <c r="H59" s="35" t="s">
        <v>203</v>
      </c>
      <c r="I59" s="35" t="s">
        <v>204</v>
      </c>
      <c r="J59" s="33" t="s">
        <v>272</v>
      </c>
    </row>
    <row r="60" spans="1:10" ht="42">
      <c r="A60" s="33" t="s">
        <v>149</v>
      </c>
      <c r="B60" s="33" t="s">
        <v>174</v>
      </c>
      <c r="C60" s="33" t="s">
        <v>40</v>
      </c>
      <c r="D60" s="33" t="s">
        <v>184</v>
      </c>
      <c r="E60" s="33" t="s">
        <v>205</v>
      </c>
      <c r="F60" s="36" t="s">
        <v>181</v>
      </c>
      <c r="G60" s="33" t="s">
        <v>144</v>
      </c>
      <c r="H60" s="35" t="s">
        <v>274</v>
      </c>
      <c r="I60" s="35" t="s">
        <v>207</v>
      </c>
      <c r="J60" s="33" t="s">
        <v>272</v>
      </c>
    </row>
    <row r="61" spans="1:10" ht="84">
      <c r="A61" s="33" t="s">
        <v>149</v>
      </c>
      <c r="B61" s="33" t="s">
        <v>174</v>
      </c>
      <c r="C61" s="33" t="s">
        <v>44</v>
      </c>
      <c r="D61" s="33" t="s">
        <v>184</v>
      </c>
      <c r="E61" s="33" t="s">
        <v>208</v>
      </c>
      <c r="F61" s="34" t="s">
        <v>143</v>
      </c>
      <c r="G61" s="33" t="s">
        <v>143</v>
      </c>
      <c r="H61" s="35" t="s">
        <v>275</v>
      </c>
      <c r="I61" s="35" t="s">
        <v>210</v>
      </c>
      <c r="J61" s="33" t="s">
        <v>272</v>
      </c>
    </row>
    <row r="62" spans="1:10" ht="28">
      <c r="A62" s="33" t="s">
        <v>149</v>
      </c>
      <c r="B62" s="33" t="s">
        <v>174</v>
      </c>
      <c r="C62" s="33" t="s">
        <v>48</v>
      </c>
      <c r="D62" s="33" t="s">
        <v>184</v>
      </c>
      <c r="E62" s="33" t="s">
        <v>211</v>
      </c>
      <c r="F62" s="37" t="s">
        <v>186</v>
      </c>
      <c r="G62" s="33" t="s">
        <v>145</v>
      </c>
      <c r="H62" s="35" t="s">
        <v>276</v>
      </c>
      <c r="I62" s="35" t="s">
        <v>213</v>
      </c>
      <c r="J62" s="33" t="s">
        <v>272</v>
      </c>
    </row>
    <row r="63" spans="1:10" ht="42">
      <c r="A63" s="33" t="s">
        <v>149</v>
      </c>
      <c r="B63" s="33" t="s">
        <v>174</v>
      </c>
      <c r="C63" s="33" t="s">
        <v>52</v>
      </c>
      <c r="D63" s="33" t="s">
        <v>184</v>
      </c>
      <c r="E63" s="33" t="s">
        <v>214</v>
      </c>
      <c r="F63" s="37" t="s">
        <v>186</v>
      </c>
      <c r="G63" s="33" t="s">
        <v>145</v>
      </c>
      <c r="H63" s="35" t="s">
        <v>215</v>
      </c>
      <c r="I63" s="35" t="s">
        <v>216</v>
      </c>
      <c r="J63" s="33" t="s">
        <v>272</v>
      </c>
    </row>
    <row r="64" spans="1:10" ht="42">
      <c r="A64" s="33" t="s">
        <v>149</v>
      </c>
      <c r="B64" s="33" t="s">
        <v>174</v>
      </c>
      <c r="C64" s="33" t="s">
        <v>56</v>
      </c>
      <c r="D64" s="33" t="s">
        <v>184</v>
      </c>
      <c r="E64" s="33" t="s">
        <v>217</v>
      </c>
      <c r="F64" s="37" t="s">
        <v>186</v>
      </c>
      <c r="G64" s="33" t="s">
        <v>145</v>
      </c>
      <c r="H64" s="35" t="s">
        <v>218</v>
      </c>
      <c r="I64" s="35" t="s">
        <v>219</v>
      </c>
      <c r="J64" s="33" t="s">
        <v>272</v>
      </c>
    </row>
    <row r="65" spans="1:10" ht="42">
      <c r="A65" s="33" t="s">
        <v>149</v>
      </c>
      <c r="B65" s="33" t="s">
        <v>174</v>
      </c>
      <c r="C65" s="33" t="s">
        <v>60</v>
      </c>
      <c r="D65" s="33" t="s">
        <v>184</v>
      </c>
      <c r="E65" s="33" t="s">
        <v>220</v>
      </c>
      <c r="F65" s="37" t="s">
        <v>186</v>
      </c>
      <c r="G65" s="33" t="s">
        <v>145</v>
      </c>
      <c r="H65" s="35" t="s">
        <v>221</v>
      </c>
      <c r="I65" s="35" t="s">
        <v>222</v>
      </c>
      <c r="J65" s="33" t="s">
        <v>272</v>
      </c>
    </row>
    <row r="66" spans="1:10" ht="28">
      <c r="A66" s="33" t="s">
        <v>149</v>
      </c>
      <c r="B66" s="33" t="s">
        <v>174</v>
      </c>
      <c r="C66" s="33" t="s">
        <v>65</v>
      </c>
      <c r="D66" s="33" t="s">
        <v>223</v>
      </c>
      <c r="E66" s="33" t="s">
        <v>224</v>
      </c>
      <c r="F66" s="37" t="s">
        <v>186</v>
      </c>
      <c r="G66" s="33" t="s">
        <v>145</v>
      </c>
      <c r="H66" s="35" t="s">
        <v>225</v>
      </c>
      <c r="I66" s="35" t="s">
        <v>226</v>
      </c>
      <c r="J66" s="33" t="s">
        <v>272</v>
      </c>
    </row>
    <row r="67" spans="1:10" ht="42">
      <c r="A67" s="33" t="s">
        <v>149</v>
      </c>
      <c r="B67" s="33" t="s">
        <v>174</v>
      </c>
      <c r="C67" s="33" t="s">
        <v>69</v>
      </c>
      <c r="D67" s="33" t="s">
        <v>223</v>
      </c>
      <c r="E67" s="33" t="s">
        <v>227</v>
      </c>
      <c r="F67" s="34" t="s">
        <v>143</v>
      </c>
      <c r="G67" s="33" t="s">
        <v>143</v>
      </c>
      <c r="H67" s="35" t="s">
        <v>277</v>
      </c>
      <c r="I67" s="35" t="s">
        <v>229</v>
      </c>
      <c r="J67" s="33" t="s">
        <v>272</v>
      </c>
    </row>
    <row r="68" spans="1:10" ht="28">
      <c r="A68" s="33" t="s">
        <v>149</v>
      </c>
      <c r="B68" s="33" t="s">
        <v>174</v>
      </c>
      <c r="C68" s="33" t="s">
        <v>73</v>
      </c>
      <c r="D68" s="33" t="s">
        <v>223</v>
      </c>
      <c r="E68" s="33" t="s">
        <v>230</v>
      </c>
      <c r="F68" s="37" t="s">
        <v>186</v>
      </c>
      <c r="G68" s="33" t="s">
        <v>145</v>
      </c>
      <c r="H68" s="35" t="s">
        <v>231</v>
      </c>
      <c r="I68" s="35" t="s">
        <v>232</v>
      </c>
      <c r="J68" s="33" t="s">
        <v>272</v>
      </c>
    </row>
    <row r="69" spans="1:10" ht="28">
      <c r="A69" s="33" t="s">
        <v>149</v>
      </c>
      <c r="B69" s="33" t="s">
        <v>174</v>
      </c>
      <c r="C69" s="33" t="s">
        <v>77</v>
      </c>
      <c r="D69" s="33" t="s">
        <v>223</v>
      </c>
      <c r="E69" s="33" t="s">
        <v>233</v>
      </c>
      <c r="F69" s="34" t="s">
        <v>143</v>
      </c>
      <c r="G69" s="33" t="s">
        <v>143</v>
      </c>
      <c r="H69" s="35" t="s">
        <v>278</v>
      </c>
      <c r="I69" s="35" t="s">
        <v>235</v>
      </c>
      <c r="J69" s="33" t="s">
        <v>272</v>
      </c>
    </row>
    <row r="70" spans="1:10" ht="56">
      <c r="A70" s="33" t="s">
        <v>149</v>
      </c>
      <c r="B70" s="33" t="s">
        <v>174</v>
      </c>
      <c r="C70" s="33" t="s">
        <v>81</v>
      </c>
      <c r="D70" s="33" t="s">
        <v>223</v>
      </c>
      <c r="E70" s="33" t="s">
        <v>236</v>
      </c>
      <c r="F70" s="34" t="s">
        <v>143</v>
      </c>
      <c r="G70" s="33" t="s">
        <v>143</v>
      </c>
      <c r="H70" s="35" t="s">
        <v>279</v>
      </c>
      <c r="I70" s="35" t="s">
        <v>238</v>
      </c>
      <c r="J70" s="33" t="s">
        <v>272</v>
      </c>
    </row>
    <row r="71" spans="1:10" ht="28">
      <c r="A71" s="33" t="s">
        <v>149</v>
      </c>
      <c r="B71" s="33" t="s">
        <v>174</v>
      </c>
      <c r="C71" s="33" t="s">
        <v>85</v>
      </c>
      <c r="D71" s="33" t="s">
        <v>223</v>
      </c>
      <c r="E71" s="33" t="s">
        <v>239</v>
      </c>
      <c r="F71" s="37" t="s">
        <v>186</v>
      </c>
      <c r="G71" s="33" t="s">
        <v>145</v>
      </c>
      <c r="H71" s="35" t="s">
        <v>280</v>
      </c>
      <c r="I71" s="35" t="s">
        <v>241</v>
      </c>
      <c r="J71" s="33" t="s">
        <v>272</v>
      </c>
    </row>
    <row r="72" spans="1:10" ht="56">
      <c r="A72" s="33" t="s">
        <v>149</v>
      </c>
      <c r="B72" s="33" t="s">
        <v>174</v>
      </c>
      <c r="C72" s="33" t="s">
        <v>242</v>
      </c>
      <c r="D72" s="33" t="s">
        <v>243</v>
      </c>
      <c r="E72" s="33" t="s">
        <v>244</v>
      </c>
      <c r="F72" s="37" t="s">
        <v>186</v>
      </c>
      <c r="G72" s="33" t="s">
        <v>145</v>
      </c>
      <c r="H72" s="35" t="s">
        <v>245</v>
      </c>
      <c r="I72" s="35" t="s">
        <v>246</v>
      </c>
      <c r="J72" s="33" t="s">
        <v>272</v>
      </c>
    </row>
    <row r="73" spans="1:10" ht="28">
      <c r="A73" s="33" t="s">
        <v>149</v>
      </c>
      <c r="B73" s="33" t="s">
        <v>174</v>
      </c>
      <c r="C73" s="33" t="s">
        <v>247</v>
      </c>
      <c r="D73" s="33" t="s">
        <v>243</v>
      </c>
      <c r="E73" s="33" t="s">
        <v>248</v>
      </c>
      <c r="F73" s="37" t="s">
        <v>186</v>
      </c>
      <c r="G73" s="33" t="s">
        <v>145</v>
      </c>
      <c r="H73" s="35" t="s">
        <v>249</v>
      </c>
      <c r="I73" s="35" t="s">
        <v>250</v>
      </c>
      <c r="J73" s="33" t="s">
        <v>272</v>
      </c>
    </row>
    <row r="74" spans="1:10" ht="42">
      <c r="A74" s="33" t="s">
        <v>149</v>
      </c>
      <c r="B74" s="33" t="s">
        <v>174</v>
      </c>
      <c r="C74" s="33" t="s">
        <v>251</v>
      </c>
      <c r="D74" s="33" t="s">
        <v>243</v>
      </c>
      <c r="E74" s="33" t="s">
        <v>252</v>
      </c>
      <c r="F74" s="37" t="s">
        <v>186</v>
      </c>
      <c r="G74" s="33" t="s">
        <v>145</v>
      </c>
      <c r="H74" s="35" t="s">
        <v>253</v>
      </c>
      <c r="I74" s="35" t="s">
        <v>254</v>
      </c>
      <c r="J74" s="33" t="s">
        <v>272</v>
      </c>
    </row>
    <row r="75" spans="1:10">
      <c r="A75" s="33" t="s">
        <v>149</v>
      </c>
      <c r="B75" s="33" t="s">
        <v>174</v>
      </c>
      <c r="C75" s="33" t="s">
        <v>255</v>
      </c>
      <c r="D75" s="33" t="s">
        <v>243</v>
      </c>
      <c r="E75" s="33" t="s">
        <v>256</v>
      </c>
      <c r="F75" s="37" t="s">
        <v>186</v>
      </c>
      <c r="G75" s="33" t="s">
        <v>145</v>
      </c>
      <c r="H75" s="35" t="s">
        <v>281</v>
      </c>
      <c r="I75" s="35"/>
      <c r="J75" s="33" t="s">
        <v>272</v>
      </c>
    </row>
    <row r="76" spans="1:10">
      <c r="A76" s="33" t="s">
        <v>149</v>
      </c>
      <c r="B76" s="33" t="s">
        <v>174</v>
      </c>
      <c r="C76" s="33" t="s">
        <v>258</v>
      </c>
      <c r="D76" s="33" t="s">
        <v>243</v>
      </c>
      <c r="E76" s="33" t="s">
        <v>259</v>
      </c>
      <c r="F76" s="37" t="s">
        <v>186</v>
      </c>
      <c r="G76" s="33" t="s">
        <v>145</v>
      </c>
      <c r="H76" s="35" t="s">
        <v>260</v>
      </c>
      <c r="I76" s="35"/>
      <c r="J76" s="33" t="s">
        <v>272</v>
      </c>
    </row>
    <row r="77" spans="1:10" ht="42">
      <c r="A77" s="33" t="s">
        <v>151</v>
      </c>
      <c r="B77" s="33" t="s">
        <v>282</v>
      </c>
      <c r="C77" s="33" t="s">
        <v>7</v>
      </c>
      <c r="D77" s="33" t="s">
        <v>175</v>
      </c>
      <c r="E77" s="33" t="s">
        <v>176</v>
      </c>
      <c r="F77" s="37" t="s">
        <v>186</v>
      </c>
      <c r="G77" s="33" t="s">
        <v>145</v>
      </c>
      <c r="H77" s="35" t="s">
        <v>283</v>
      </c>
      <c r="I77" s="35" t="s">
        <v>178</v>
      </c>
      <c r="J77" s="33" t="s">
        <v>284</v>
      </c>
    </row>
    <row r="78" spans="1:10" ht="42">
      <c r="A78" s="33" t="s">
        <v>151</v>
      </c>
      <c r="B78" s="33" t="s">
        <v>282</v>
      </c>
      <c r="C78" s="33" t="s">
        <v>11</v>
      </c>
      <c r="D78" s="33" t="s">
        <v>175</v>
      </c>
      <c r="E78" s="33" t="s">
        <v>180</v>
      </c>
      <c r="F78" s="36" t="s">
        <v>181</v>
      </c>
      <c r="G78" s="33" t="s">
        <v>144</v>
      </c>
      <c r="H78" s="35" t="s">
        <v>285</v>
      </c>
      <c r="I78" s="35" t="s">
        <v>183</v>
      </c>
      <c r="J78" s="33" t="s">
        <v>284</v>
      </c>
    </row>
    <row r="79" spans="1:10" ht="56">
      <c r="A79" s="33" t="s">
        <v>151</v>
      </c>
      <c r="B79" s="33" t="s">
        <v>282</v>
      </c>
      <c r="C79" s="33" t="s">
        <v>16</v>
      </c>
      <c r="D79" s="33" t="s">
        <v>184</v>
      </c>
      <c r="E79" s="33" t="s">
        <v>185</v>
      </c>
      <c r="F79" s="33" t="s">
        <v>202</v>
      </c>
      <c r="G79" s="33" t="s">
        <v>145</v>
      </c>
      <c r="H79" s="35" t="s">
        <v>286</v>
      </c>
      <c r="I79" s="35" t="s">
        <v>188</v>
      </c>
      <c r="J79" s="33" t="s">
        <v>284</v>
      </c>
    </row>
    <row r="80" spans="1:10" ht="56">
      <c r="A80" s="33" t="s">
        <v>151</v>
      </c>
      <c r="B80" s="33" t="s">
        <v>282</v>
      </c>
      <c r="C80" s="33" t="s">
        <v>20</v>
      </c>
      <c r="D80" s="33" t="s">
        <v>184</v>
      </c>
      <c r="E80" s="33" t="s">
        <v>189</v>
      </c>
      <c r="F80" s="33" t="s">
        <v>202</v>
      </c>
      <c r="G80" s="33" t="s">
        <v>145</v>
      </c>
      <c r="H80" s="35" t="s">
        <v>286</v>
      </c>
      <c r="I80" s="35" t="s">
        <v>191</v>
      </c>
      <c r="J80" s="33" t="s">
        <v>284</v>
      </c>
    </row>
    <row r="81" spans="1:10" ht="56">
      <c r="A81" s="33" t="s">
        <v>151</v>
      </c>
      <c r="B81" s="33" t="s">
        <v>282</v>
      </c>
      <c r="C81" s="33" t="s">
        <v>24</v>
      </c>
      <c r="D81" s="33" t="s">
        <v>184</v>
      </c>
      <c r="E81" s="33" t="s">
        <v>192</v>
      </c>
      <c r="F81" s="37" t="s">
        <v>186</v>
      </c>
      <c r="G81" s="33" t="s">
        <v>145</v>
      </c>
      <c r="H81" s="35" t="s">
        <v>193</v>
      </c>
      <c r="I81" s="35" t="s">
        <v>194</v>
      </c>
      <c r="J81" s="33" t="s">
        <v>284</v>
      </c>
    </row>
    <row r="82" spans="1:10" ht="70">
      <c r="A82" s="33" t="s">
        <v>151</v>
      </c>
      <c r="B82" s="33" t="s">
        <v>282</v>
      </c>
      <c r="C82" s="33" t="s">
        <v>28</v>
      </c>
      <c r="D82" s="33" t="s">
        <v>184</v>
      </c>
      <c r="E82" s="33" t="s">
        <v>195</v>
      </c>
      <c r="F82" s="33" t="s">
        <v>202</v>
      </c>
      <c r="G82" s="33" t="s">
        <v>145</v>
      </c>
      <c r="H82" s="35" t="s">
        <v>286</v>
      </c>
      <c r="I82" s="35" t="s">
        <v>197</v>
      </c>
      <c r="J82" s="33" t="s">
        <v>284</v>
      </c>
    </row>
    <row r="83" spans="1:10" ht="98">
      <c r="A83" s="33" t="s">
        <v>151</v>
      </c>
      <c r="B83" s="33" t="s">
        <v>282</v>
      </c>
      <c r="C83" s="33" t="s">
        <v>32</v>
      </c>
      <c r="D83" s="33" t="s">
        <v>184</v>
      </c>
      <c r="E83" s="33" t="s">
        <v>198</v>
      </c>
      <c r="F83" s="37" t="s">
        <v>186</v>
      </c>
      <c r="G83" s="33" t="s">
        <v>145</v>
      </c>
      <c r="H83" s="35" t="s">
        <v>199</v>
      </c>
      <c r="I83" s="35" t="s">
        <v>200</v>
      </c>
      <c r="J83" s="33" t="s">
        <v>284</v>
      </c>
    </row>
    <row r="84" spans="1:10" ht="84">
      <c r="A84" s="33" t="s">
        <v>151</v>
      </c>
      <c r="B84" s="33" t="s">
        <v>282</v>
      </c>
      <c r="C84" s="33" t="s">
        <v>36</v>
      </c>
      <c r="D84" s="33" t="s">
        <v>184</v>
      </c>
      <c r="E84" s="33" t="s">
        <v>201</v>
      </c>
      <c r="F84" s="33" t="s">
        <v>202</v>
      </c>
      <c r="G84" s="33" t="s">
        <v>145</v>
      </c>
      <c r="H84" s="35" t="s">
        <v>203</v>
      </c>
      <c r="I84" s="35" t="s">
        <v>204</v>
      </c>
      <c r="J84" s="33" t="s">
        <v>284</v>
      </c>
    </row>
    <row r="85" spans="1:10" ht="42">
      <c r="A85" s="33" t="s">
        <v>151</v>
      </c>
      <c r="B85" s="33" t="s">
        <v>282</v>
      </c>
      <c r="C85" s="33" t="s">
        <v>40</v>
      </c>
      <c r="D85" s="33" t="s">
        <v>184</v>
      </c>
      <c r="E85" s="33" t="s">
        <v>205</v>
      </c>
      <c r="F85" s="37" t="s">
        <v>186</v>
      </c>
      <c r="G85" s="33" t="s">
        <v>145</v>
      </c>
      <c r="H85" s="35" t="s">
        <v>287</v>
      </c>
      <c r="I85" s="35" t="s">
        <v>207</v>
      </c>
      <c r="J85" s="33" t="s">
        <v>284</v>
      </c>
    </row>
    <row r="86" spans="1:10" ht="42">
      <c r="A86" s="33" t="s">
        <v>151</v>
      </c>
      <c r="B86" s="33" t="s">
        <v>282</v>
      </c>
      <c r="C86" s="33" t="s">
        <v>44</v>
      </c>
      <c r="D86" s="33" t="s">
        <v>184</v>
      </c>
      <c r="E86" s="33" t="s">
        <v>208</v>
      </c>
      <c r="F86" s="37" t="s">
        <v>186</v>
      </c>
      <c r="G86" s="33" t="s">
        <v>145</v>
      </c>
      <c r="H86" s="35" t="s">
        <v>288</v>
      </c>
      <c r="I86" s="35" t="s">
        <v>210</v>
      </c>
      <c r="J86" s="33" t="s">
        <v>284</v>
      </c>
    </row>
    <row r="87" spans="1:10" ht="28">
      <c r="A87" s="33" t="s">
        <v>151</v>
      </c>
      <c r="B87" s="33" t="s">
        <v>282</v>
      </c>
      <c r="C87" s="33" t="s">
        <v>48</v>
      </c>
      <c r="D87" s="33" t="s">
        <v>184</v>
      </c>
      <c r="E87" s="33" t="s">
        <v>211</v>
      </c>
      <c r="F87" s="33" t="s">
        <v>202</v>
      </c>
      <c r="G87" s="33" t="s">
        <v>145</v>
      </c>
      <c r="H87" s="35" t="s">
        <v>289</v>
      </c>
      <c r="I87" s="35" t="s">
        <v>213</v>
      </c>
      <c r="J87" s="33" t="s">
        <v>284</v>
      </c>
    </row>
    <row r="88" spans="1:10" ht="42">
      <c r="A88" s="33" t="s">
        <v>151</v>
      </c>
      <c r="B88" s="33" t="s">
        <v>282</v>
      </c>
      <c r="C88" s="33" t="s">
        <v>52</v>
      </c>
      <c r="D88" s="33" t="s">
        <v>184</v>
      </c>
      <c r="E88" s="33" t="s">
        <v>214</v>
      </c>
      <c r="F88" s="37" t="s">
        <v>186</v>
      </c>
      <c r="G88" s="33" t="s">
        <v>145</v>
      </c>
      <c r="H88" s="35" t="s">
        <v>215</v>
      </c>
      <c r="I88" s="35" t="s">
        <v>216</v>
      </c>
      <c r="J88" s="33" t="s">
        <v>284</v>
      </c>
    </row>
    <row r="89" spans="1:10" ht="42">
      <c r="A89" s="33" t="s">
        <v>151</v>
      </c>
      <c r="B89" s="33" t="s">
        <v>282</v>
      </c>
      <c r="C89" s="33" t="s">
        <v>56</v>
      </c>
      <c r="D89" s="33" t="s">
        <v>184</v>
      </c>
      <c r="E89" s="33" t="s">
        <v>217</v>
      </c>
      <c r="F89" s="37" t="s">
        <v>186</v>
      </c>
      <c r="G89" s="33" t="s">
        <v>145</v>
      </c>
      <c r="H89" s="35" t="s">
        <v>218</v>
      </c>
      <c r="I89" s="35" t="s">
        <v>219</v>
      </c>
      <c r="J89" s="33" t="s">
        <v>284</v>
      </c>
    </row>
    <row r="90" spans="1:10" ht="42">
      <c r="A90" s="33" t="s">
        <v>151</v>
      </c>
      <c r="B90" s="33" t="s">
        <v>282</v>
      </c>
      <c r="C90" s="33" t="s">
        <v>60</v>
      </c>
      <c r="D90" s="33" t="s">
        <v>184</v>
      </c>
      <c r="E90" s="33" t="s">
        <v>220</v>
      </c>
      <c r="F90" s="37" t="s">
        <v>186</v>
      </c>
      <c r="G90" s="33" t="s">
        <v>145</v>
      </c>
      <c r="H90" s="35" t="s">
        <v>221</v>
      </c>
      <c r="I90" s="35" t="s">
        <v>222</v>
      </c>
      <c r="J90" s="33" t="s">
        <v>284</v>
      </c>
    </row>
    <row r="91" spans="1:10" ht="28">
      <c r="A91" s="33" t="s">
        <v>151</v>
      </c>
      <c r="B91" s="33" t="s">
        <v>282</v>
      </c>
      <c r="C91" s="33" t="s">
        <v>65</v>
      </c>
      <c r="D91" s="33" t="s">
        <v>223</v>
      </c>
      <c r="E91" s="33" t="s">
        <v>224</v>
      </c>
      <c r="F91" s="37" t="s">
        <v>186</v>
      </c>
      <c r="G91" s="33" t="s">
        <v>145</v>
      </c>
      <c r="H91" s="35" t="s">
        <v>225</v>
      </c>
      <c r="I91" s="35" t="s">
        <v>226</v>
      </c>
      <c r="J91" s="33" t="s">
        <v>284</v>
      </c>
    </row>
    <row r="92" spans="1:10" ht="42">
      <c r="A92" s="33" t="s">
        <v>151</v>
      </c>
      <c r="B92" s="33" t="s">
        <v>282</v>
      </c>
      <c r="C92" s="33" t="s">
        <v>69</v>
      </c>
      <c r="D92" s="33" t="s">
        <v>223</v>
      </c>
      <c r="E92" s="33" t="s">
        <v>227</v>
      </c>
      <c r="F92" s="37" t="s">
        <v>186</v>
      </c>
      <c r="G92" s="33" t="s">
        <v>145</v>
      </c>
      <c r="H92" s="35" t="s">
        <v>290</v>
      </c>
      <c r="I92" s="35" t="s">
        <v>229</v>
      </c>
      <c r="J92" s="33" t="s">
        <v>284</v>
      </c>
    </row>
    <row r="93" spans="1:10" ht="28">
      <c r="A93" s="33" t="s">
        <v>151</v>
      </c>
      <c r="B93" s="33" t="s">
        <v>282</v>
      </c>
      <c r="C93" s="33" t="s">
        <v>73</v>
      </c>
      <c r="D93" s="33" t="s">
        <v>223</v>
      </c>
      <c r="E93" s="33" t="s">
        <v>230</v>
      </c>
      <c r="F93" s="34" t="s">
        <v>143</v>
      </c>
      <c r="G93" s="33" t="s">
        <v>143</v>
      </c>
      <c r="H93" s="35" t="s">
        <v>291</v>
      </c>
      <c r="I93" s="35" t="s">
        <v>232</v>
      </c>
      <c r="J93" s="33" t="s">
        <v>284</v>
      </c>
    </row>
    <row r="94" spans="1:10" ht="28">
      <c r="A94" s="33" t="s">
        <v>151</v>
      </c>
      <c r="B94" s="33" t="s">
        <v>282</v>
      </c>
      <c r="C94" s="33" t="s">
        <v>77</v>
      </c>
      <c r="D94" s="33" t="s">
        <v>223</v>
      </c>
      <c r="E94" s="33" t="s">
        <v>233</v>
      </c>
      <c r="F94" s="33" t="s">
        <v>202</v>
      </c>
      <c r="G94" s="33" t="s">
        <v>145</v>
      </c>
      <c r="H94" s="35" t="s">
        <v>292</v>
      </c>
      <c r="I94" s="35" t="s">
        <v>235</v>
      </c>
      <c r="J94" s="33" t="s">
        <v>284</v>
      </c>
    </row>
    <row r="95" spans="1:10" ht="56">
      <c r="A95" s="33" t="s">
        <v>151</v>
      </c>
      <c r="B95" s="33" t="s">
        <v>282</v>
      </c>
      <c r="C95" s="33" t="s">
        <v>81</v>
      </c>
      <c r="D95" s="33" t="s">
        <v>223</v>
      </c>
      <c r="E95" s="33" t="s">
        <v>236</v>
      </c>
      <c r="F95" s="33" t="s">
        <v>202</v>
      </c>
      <c r="G95" s="33" t="s">
        <v>145</v>
      </c>
      <c r="H95" s="35" t="s">
        <v>293</v>
      </c>
      <c r="I95" s="35" t="s">
        <v>238</v>
      </c>
      <c r="J95" s="33" t="s">
        <v>284</v>
      </c>
    </row>
    <row r="96" spans="1:10" ht="28">
      <c r="A96" s="33" t="s">
        <v>151</v>
      </c>
      <c r="B96" s="33" t="s">
        <v>282</v>
      </c>
      <c r="C96" s="33" t="s">
        <v>85</v>
      </c>
      <c r="D96" s="33" t="s">
        <v>223</v>
      </c>
      <c r="E96" s="33" t="s">
        <v>239</v>
      </c>
      <c r="F96" s="33" t="s">
        <v>202</v>
      </c>
      <c r="G96" s="33" t="s">
        <v>145</v>
      </c>
      <c r="H96" s="35" t="s">
        <v>294</v>
      </c>
      <c r="I96" s="35" t="s">
        <v>241</v>
      </c>
      <c r="J96" s="33" t="s">
        <v>284</v>
      </c>
    </row>
    <row r="97" spans="1:10" ht="56">
      <c r="A97" s="33" t="s">
        <v>151</v>
      </c>
      <c r="B97" s="33" t="s">
        <v>282</v>
      </c>
      <c r="C97" s="33" t="s">
        <v>242</v>
      </c>
      <c r="D97" s="33" t="s">
        <v>243</v>
      </c>
      <c r="E97" s="33" t="s">
        <v>244</v>
      </c>
      <c r="F97" s="33" t="s">
        <v>202</v>
      </c>
      <c r="G97" s="33" t="s">
        <v>145</v>
      </c>
      <c r="H97" s="35" t="s">
        <v>286</v>
      </c>
      <c r="I97" s="35" t="s">
        <v>246</v>
      </c>
      <c r="J97" s="33" t="s">
        <v>284</v>
      </c>
    </row>
    <row r="98" spans="1:10" ht="28">
      <c r="A98" s="33" t="s">
        <v>151</v>
      </c>
      <c r="B98" s="33" t="s">
        <v>282</v>
      </c>
      <c r="C98" s="33" t="s">
        <v>247</v>
      </c>
      <c r="D98" s="33" t="s">
        <v>243</v>
      </c>
      <c r="E98" s="33" t="s">
        <v>248</v>
      </c>
      <c r="F98" s="33" t="s">
        <v>202</v>
      </c>
      <c r="G98" s="33" t="s">
        <v>145</v>
      </c>
      <c r="H98" s="35" t="s">
        <v>286</v>
      </c>
      <c r="I98" s="35" t="s">
        <v>250</v>
      </c>
      <c r="J98" s="33" t="s">
        <v>284</v>
      </c>
    </row>
    <row r="99" spans="1:10" ht="42">
      <c r="A99" s="33" t="s">
        <v>151</v>
      </c>
      <c r="B99" s="33" t="s">
        <v>282</v>
      </c>
      <c r="C99" s="33" t="s">
        <v>251</v>
      </c>
      <c r="D99" s="33" t="s">
        <v>243</v>
      </c>
      <c r="E99" s="33" t="s">
        <v>252</v>
      </c>
      <c r="F99" s="37" t="s">
        <v>186</v>
      </c>
      <c r="G99" s="33" t="s">
        <v>145</v>
      </c>
      <c r="H99" s="35" t="s">
        <v>253</v>
      </c>
      <c r="I99" s="35" t="s">
        <v>254</v>
      </c>
      <c r="J99" s="33" t="s">
        <v>284</v>
      </c>
    </row>
    <row r="100" spans="1:10">
      <c r="A100" s="33" t="s">
        <v>151</v>
      </c>
      <c r="B100" s="33" t="s">
        <v>282</v>
      </c>
      <c r="C100" s="33" t="s">
        <v>255</v>
      </c>
      <c r="D100" s="33" t="s">
        <v>243</v>
      </c>
      <c r="E100" s="33" t="s">
        <v>256</v>
      </c>
      <c r="F100" s="33" t="s">
        <v>202</v>
      </c>
      <c r="G100" s="33" t="s">
        <v>145</v>
      </c>
      <c r="H100" s="35" t="s">
        <v>295</v>
      </c>
      <c r="I100" s="35"/>
      <c r="J100" s="33" t="s">
        <v>284</v>
      </c>
    </row>
    <row r="101" spans="1:10">
      <c r="A101" s="33" t="s">
        <v>151</v>
      </c>
      <c r="B101" s="33" t="s">
        <v>282</v>
      </c>
      <c r="C101" s="33" t="s">
        <v>258</v>
      </c>
      <c r="D101" s="33" t="s">
        <v>243</v>
      </c>
      <c r="E101" s="33" t="s">
        <v>259</v>
      </c>
      <c r="F101" s="33" t="s">
        <v>202</v>
      </c>
      <c r="G101" s="33" t="s">
        <v>145</v>
      </c>
      <c r="H101" s="35" t="s">
        <v>296</v>
      </c>
      <c r="I101" s="35"/>
      <c r="J101" s="33" t="s">
        <v>284</v>
      </c>
    </row>
    <row r="102" spans="1:10" ht="42">
      <c r="A102" s="33" t="s">
        <v>152</v>
      </c>
      <c r="B102" s="33" t="s">
        <v>174</v>
      </c>
      <c r="C102" s="33" t="s">
        <v>7</v>
      </c>
      <c r="D102" s="33" t="s">
        <v>175</v>
      </c>
      <c r="E102" s="33" t="s">
        <v>176</v>
      </c>
      <c r="F102" s="37" t="s">
        <v>186</v>
      </c>
      <c r="G102" s="33" t="s">
        <v>145</v>
      </c>
      <c r="H102" s="35" t="s">
        <v>297</v>
      </c>
      <c r="I102" s="35" t="s">
        <v>178</v>
      </c>
      <c r="J102" s="33" t="s">
        <v>298</v>
      </c>
    </row>
    <row r="103" spans="1:10" ht="28">
      <c r="A103" s="33" t="s">
        <v>152</v>
      </c>
      <c r="B103" s="33" t="s">
        <v>174</v>
      </c>
      <c r="C103" s="33" t="s">
        <v>11</v>
      </c>
      <c r="D103" s="33" t="s">
        <v>175</v>
      </c>
      <c r="E103" s="33" t="s">
        <v>180</v>
      </c>
      <c r="F103" s="37" t="s">
        <v>186</v>
      </c>
      <c r="G103" s="33" t="s">
        <v>145</v>
      </c>
      <c r="H103" s="35" t="s">
        <v>299</v>
      </c>
      <c r="I103" s="35" t="s">
        <v>183</v>
      </c>
      <c r="J103" s="33" t="s">
        <v>298</v>
      </c>
    </row>
    <row r="104" spans="1:10" ht="56">
      <c r="A104" s="33" t="s">
        <v>152</v>
      </c>
      <c r="B104" s="33" t="s">
        <v>174</v>
      </c>
      <c r="C104" s="33" t="s">
        <v>16</v>
      </c>
      <c r="D104" s="33" t="s">
        <v>184</v>
      </c>
      <c r="E104" s="33" t="s">
        <v>185</v>
      </c>
      <c r="F104" s="37" t="s">
        <v>186</v>
      </c>
      <c r="G104" s="33" t="s">
        <v>145</v>
      </c>
      <c r="H104" s="35" t="s">
        <v>300</v>
      </c>
      <c r="I104" s="35" t="s">
        <v>188</v>
      </c>
      <c r="J104" s="33" t="s">
        <v>298</v>
      </c>
    </row>
    <row r="105" spans="1:10" ht="56">
      <c r="A105" s="33" t="s">
        <v>152</v>
      </c>
      <c r="B105" s="33" t="s">
        <v>174</v>
      </c>
      <c r="C105" s="33" t="s">
        <v>20</v>
      </c>
      <c r="D105" s="33" t="s">
        <v>184</v>
      </c>
      <c r="E105" s="33" t="s">
        <v>189</v>
      </c>
      <c r="F105" s="37" t="s">
        <v>186</v>
      </c>
      <c r="G105" s="33" t="s">
        <v>145</v>
      </c>
      <c r="H105" s="35" t="s">
        <v>190</v>
      </c>
      <c r="I105" s="35" t="s">
        <v>191</v>
      </c>
      <c r="J105" s="33" t="s">
        <v>298</v>
      </c>
    </row>
    <row r="106" spans="1:10" ht="56">
      <c r="A106" s="33" t="s">
        <v>152</v>
      </c>
      <c r="B106" s="33" t="s">
        <v>174</v>
      </c>
      <c r="C106" s="33" t="s">
        <v>24</v>
      </c>
      <c r="D106" s="33" t="s">
        <v>184</v>
      </c>
      <c r="E106" s="33" t="s">
        <v>192</v>
      </c>
      <c r="F106" s="37" t="s">
        <v>186</v>
      </c>
      <c r="G106" s="33" t="s">
        <v>145</v>
      </c>
      <c r="H106" s="35" t="s">
        <v>193</v>
      </c>
      <c r="I106" s="35" t="s">
        <v>194</v>
      </c>
      <c r="J106" s="33" t="s">
        <v>298</v>
      </c>
    </row>
    <row r="107" spans="1:10" ht="70">
      <c r="A107" s="33" t="s">
        <v>152</v>
      </c>
      <c r="B107" s="33" t="s">
        <v>174</v>
      </c>
      <c r="C107" s="33" t="s">
        <v>28</v>
      </c>
      <c r="D107" s="33" t="s">
        <v>184</v>
      </c>
      <c r="E107" s="33" t="s">
        <v>195</v>
      </c>
      <c r="F107" s="37" t="s">
        <v>186</v>
      </c>
      <c r="G107" s="33" t="s">
        <v>145</v>
      </c>
      <c r="H107" s="35" t="s">
        <v>301</v>
      </c>
      <c r="I107" s="35" t="s">
        <v>197</v>
      </c>
      <c r="J107" s="33" t="s">
        <v>298</v>
      </c>
    </row>
    <row r="108" spans="1:10" ht="98">
      <c r="A108" s="33" t="s">
        <v>152</v>
      </c>
      <c r="B108" s="33" t="s">
        <v>174</v>
      </c>
      <c r="C108" s="33" t="s">
        <v>32</v>
      </c>
      <c r="D108" s="33" t="s">
        <v>184</v>
      </c>
      <c r="E108" s="33" t="s">
        <v>198</v>
      </c>
      <c r="F108" s="37" t="s">
        <v>186</v>
      </c>
      <c r="G108" s="33" t="s">
        <v>145</v>
      </c>
      <c r="H108" s="35" t="s">
        <v>199</v>
      </c>
      <c r="I108" s="35" t="s">
        <v>200</v>
      </c>
      <c r="J108" s="33" t="s">
        <v>298</v>
      </c>
    </row>
    <row r="109" spans="1:10" ht="84">
      <c r="A109" s="33" t="s">
        <v>152</v>
      </c>
      <c r="B109" s="33" t="s">
        <v>174</v>
      </c>
      <c r="C109" s="33" t="s">
        <v>36</v>
      </c>
      <c r="D109" s="33" t="s">
        <v>184</v>
      </c>
      <c r="E109" s="33" t="s">
        <v>201</v>
      </c>
      <c r="F109" s="33" t="s">
        <v>202</v>
      </c>
      <c r="G109" s="33" t="s">
        <v>145</v>
      </c>
      <c r="H109" s="35" t="s">
        <v>203</v>
      </c>
      <c r="I109" s="35" t="s">
        <v>204</v>
      </c>
      <c r="J109" s="33" t="s">
        <v>298</v>
      </c>
    </row>
    <row r="110" spans="1:10" ht="42">
      <c r="A110" s="33" t="s">
        <v>152</v>
      </c>
      <c r="B110" s="33" t="s">
        <v>174</v>
      </c>
      <c r="C110" s="33" t="s">
        <v>40</v>
      </c>
      <c r="D110" s="33" t="s">
        <v>184</v>
      </c>
      <c r="E110" s="33" t="s">
        <v>205</v>
      </c>
      <c r="F110" s="37" t="s">
        <v>186</v>
      </c>
      <c r="G110" s="33" t="s">
        <v>145</v>
      </c>
      <c r="H110" s="35" t="s">
        <v>302</v>
      </c>
      <c r="I110" s="35" t="s">
        <v>207</v>
      </c>
      <c r="J110" s="33" t="s">
        <v>298</v>
      </c>
    </row>
    <row r="111" spans="1:10" ht="42">
      <c r="A111" s="33" t="s">
        <v>152</v>
      </c>
      <c r="B111" s="33" t="s">
        <v>174</v>
      </c>
      <c r="C111" s="33" t="s">
        <v>44</v>
      </c>
      <c r="D111" s="33" t="s">
        <v>184</v>
      </c>
      <c r="E111" s="33" t="s">
        <v>208</v>
      </c>
      <c r="F111" s="37" t="s">
        <v>186</v>
      </c>
      <c r="G111" s="33" t="s">
        <v>145</v>
      </c>
      <c r="H111" s="35" t="s">
        <v>288</v>
      </c>
      <c r="I111" s="35" t="s">
        <v>210</v>
      </c>
      <c r="J111" s="33" t="s">
        <v>298</v>
      </c>
    </row>
    <row r="112" spans="1:10" ht="56">
      <c r="A112" s="33" t="s">
        <v>152</v>
      </c>
      <c r="B112" s="33" t="s">
        <v>174</v>
      </c>
      <c r="C112" s="33" t="s">
        <v>48</v>
      </c>
      <c r="D112" s="33" t="s">
        <v>184</v>
      </c>
      <c r="E112" s="33" t="s">
        <v>211</v>
      </c>
      <c r="F112" s="37" t="s">
        <v>186</v>
      </c>
      <c r="G112" s="33" t="s">
        <v>145</v>
      </c>
      <c r="H112" s="35" t="s">
        <v>303</v>
      </c>
      <c r="I112" s="35" t="s">
        <v>213</v>
      </c>
      <c r="J112" s="33" t="s">
        <v>298</v>
      </c>
    </row>
    <row r="113" spans="1:10" ht="42">
      <c r="A113" s="33" t="s">
        <v>152</v>
      </c>
      <c r="B113" s="33" t="s">
        <v>174</v>
      </c>
      <c r="C113" s="33" t="s">
        <v>52</v>
      </c>
      <c r="D113" s="33" t="s">
        <v>184</v>
      </c>
      <c r="E113" s="33" t="s">
        <v>214</v>
      </c>
      <c r="F113" s="37" t="s">
        <v>186</v>
      </c>
      <c r="G113" s="33" t="s">
        <v>145</v>
      </c>
      <c r="H113" s="35" t="s">
        <v>215</v>
      </c>
      <c r="I113" s="35" t="s">
        <v>216</v>
      </c>
      <c r="J113" s="33" t="s">
        <v>298</v>
      </c>
    </row>
    <row r="114" spans="1:10" ht="42">
      <c r="A114" s="33" t="s">
        <v>152</v>
      </c>
      <c r="B114" s="33" t="s">
        <v>174</v>
      </c>
      <c r="C114" s="33" t="s">
        <v>56</v>
      </c>
      <c r="D114" s="33" t="s">
        <v>184</v>
      </c>
      <c r="E114" s="33" t="s">
        <v>217</v>
      </c>
      <c r="F114" s="37" t="s">
        <v>186</v>
      </c>
      <c r="G114" s="33" t="s">
        <v>145</v>
      </c>
      <c r="H114" s="35" t="s">
        <v>218</v>
      </c>
      <c r="I114" s="35" t="s">
        <v>219</v>
      </c>
      <c r="J114" s="33" t="s">
        <v>298</v>
      </c>
    </row>
    <row r="115" spans="1:10" ht="42">
      <c r="A115" s="33" t="s">
        <v>152</v>
      </c>
      <c r="B115" s="33" t="s">
        <v>174</v>
      </c>
      <c r="C115" s="33" t="s">
        <v>60</v>
      </c>
      <c r="D115" s="33" t="s">
        <v>184</v>
      </c>
      <c r="E115" s="33" t="s">
        <v>220</v>
      </c>
      <c r="F115" s="37" t="s">
        <v>186</v>
      </c>
      <c r="G115" s="33" t="s">
        <v>145</v>
      </c>
      <c r="H115" s="35" t="s">
        <v>221</v>
      </c>
      <c r="I115" s="35" t="s">
        <v>222</v>
      </c>
      <c r="J115" s="33" t="s">
        <v>298</v>
      </c>
    </row>
    <row r="116" spans="1:10" ht="28">
      <c r="A116" s="33" t="s">
        <v>152</v>
      </c>
      <c r="B116" s="33" t="s">
        <v>174</v>
      </c>
      <c r="C116" s="33" t="s">
        <v>65</v>
      </c>
      <c r="D116" s="33" t="s">
        <v>223</v>
      </c>
      <c r="E116" s="33" t="s">
        <v>224</v>
      </c>
      <c r="F116" s="37" t="s">
        <v>186</v>
      </c>
      <c r="G116" s="33" t="s">
        <v>145</v>
      </c>
      <c r="H116" s="35" t="s">
        <v>225</v>
      </c>
      <c r="I116" s="35" t="s">
        <v>226</v>
      </c>
      <c r="J116" s="33" t="s">
        <v>298</v>
      </c>
    </row>
    <row r="117" spans="1:10" ht="42">
      <c r="A117" s="33" t="s">
        <v>152</v>
      </c>
      <c r="B117" s="33" t="s">
        <v>174</v>
      </c>
      <c r="C117" s="33" t="s">
        <v>69</v>
      </c>
      <c r="D117" s="33" t="s">
        <v>223</v>
      </c>
      <c r="E117" s="33" t="s">
        <v>227</v>
      </c>
      <c r="F117" s="37" t="s">
        <v>186</v>
      </c>
      <c r="G117" s="33" t="s">
        <v>145</v>
      </c>
      <c r="H117" s="35" t="s">
        <v>290</v>
      </c>
      <c r="I117" s="35" t="s">
        <v>229</v>
      </c>
      <c r="J117" s="33" t="s">
        <v>298</v>
      </c>
    </row>
    <row r="118" spans="1:10" ht="28">
      <c r="A118" s="33" t="s">
        <v>152</v>
      </c>
      <c r="B118" s="33" t="s">
        <v>174</v>
      </c>
      <c r="C118" s="33" t="s">
        <v>73</v>
      </c>
      <c r="D118" s="33" t="s">
        <v>223</v>
      </c>
      <c r="E118" s="33" t="s">
        <v>230</v>
      </c>
      <c r="F118" s="37" t="s">
        <v>186</v>
      </c>
      <c r="G118" s="33" t="s">
        <v>145</v>
      </c>
      <c r="H118" s="35" t="s">
        <v>231</v>
      </c>
      <c r="I118" s="35" t="s">
        <v>232</v>
      </c>
      <c r="J118" s="33" t="s">
        <v>298</v>
      </c>
    </row>
    <row r="119" spans="1:10" ht="28">
      <c r="A119" s="33" t="s">
        <v>152</v>
      </c>
      <c r="B119" s="33" t="s">
        <v>174</v>
      </c>
      <c r="C119" s="33" t="s">
        <v>77</v>
      </c>
      <c r="D119" s="33" t="s">
        <v>223</v>
      </c>
      <c r="E119" s="33" t="s">
        <v>233</v>
      </c>
      <c r="F119" s="33" t="s">
        <v>202</v>
      </c>
      <c r="G119" s="33" t="s">
        <v>145</v>
      </c>
      <c r="H119" s="35" t="s">
        <v>292</v>
      </c>
      <c r="I119" s="35" t="s">
        <v>235</v>
      </c>
      <c r="J119" s="33" t="s">
        <v>298</v>
      </c>
    </row>
    <row r="120" spans="1:10" ht="56">
      <c r="A120" s="33" t="s">
        <v>152</v>
      </c>
      <c r="B120" s="33" t="s">
        <v>174</v>
      </c>
      <c r="C120" s="33" t="s">
        <v>81</v>
      </c>
      <c r="D120" s="33" t="s">
        <v>223</v>
      </c>
      <c r="E120" s="33" t="s">
        <v>236</v>
      </c>
      <c r="F120" s="33" t="s">
        <v>202</v>
      </c>
      <c r="G120" s="33" t="s">
        <v>145</v>
      </c>
      <c r="H120" s="35" t="s">
        <v>293</v>
      </c>
      <c r="I120" s="35" t="s">
        <v>238</v>
      </c>
      <c r="J120" s="33" t="s">
        <v>298</v>
      </c>
    </row>
    <row r="121" spans="1:10" ht="28">
      <c r="A121" s="33" t="s">
        <v>152</v>
      </c>
      <c r="B121" s="33" t="s">
        <v>174</v>
      </c>
      <c r="C121" s="33" t="s">
        <v>85</v>
      </c>
      <c r="D121" s="33" t="s">
        <v>223</v>
      </c>
      <c r="E121" s="33" t="s">
        <v>239</v>
      </c>
      <c r="F121" s="33" t="s">
        <v>202</v>
      </c>
      <c r="G121" s="33" t="s">
        <v>145</v>
      </c>
      <c r="H121" s="35" t="s">
        <v>294</v>
      </c>
      <c r="I121" s="35" t="s">
        <v>241</v>
      </c>
      <c r="J121" s="33" t="s">
        <v>298</v>
      </c>
    </row>
    <row r="122" spans="1:10" ht="56">
      <c r="A122" s="33" t="s">
        <v>152</v>
      </c>
      <c r="B122" s="33" t="s">
        <v>174</v>
      </c>
      <c r="C122" s="33" t="s">
        <v>242</v>
      </c>
      <c r="D122" s="33" t="s">
        <v>243</v>
      </c>
      <c r="E122" s="33" t="s">
        <v>244</v>
      </c>
      <c r="F122" s="37" t="s">
        <v>186</v>
      </c>
      <c r="G122" s="33" t="s">
        <v>145</v>
      </c>
      <c r="H122" s="35" t="s">
        <v>245</v>
      </c>
      <c r="I122" s="35" t="s">
        <v>246</v>
      </c>
      <c r="J122" s="33" t="s">
        <v>298</v>
      </c>
    </row>
    <row r="123" spans="1:10" ht="28">
      <c r="A123" s="33" t="s">
        <v>152</v>
      </c>
      <c r="B123" s="33" t="s">
        <v>174</v>
      </c>
      <c r="C123" s="33" t="s">
        <v>247</v>
      </c>
      <c r="D123" s="33" t="s">
        <v>243</v>
      </c>
      <c r="E123" s="33" t="s">
        <v>248</v>
      </c>
      <c r="F123" s="37" t="s">
        <v>186</v>
      </c>
      <c r="G123" s="33" t="s">
        <v>145</v>
      </c>
      <c r="H123" s="35" t="s">
        <v>249</v>
      </c>
      <c r="I123" s="35" t="s">
        <v>250</v>
      </c>
      <c r="J123" s="33" t="s">
        <v>298</v>
      </c>
    </row>
    <row r="124" spans="1:10" ht="42">
      <c r="A124" s="33" t="s">
        <v>152</v>
      </c>
      <c r="B124" s="33" t="s">
        <v>174</v>
      </c>
      <c r="C124" s="33" t="s">
        <v>251</v>
      </c>
      <c r="D124" s="33" t="s">
        <v>243</v>
      </c>
      <c r="E124" s="33" t="s">
        <v>252</v>
      </c>
      <c r="F124" s="37" t="s">
        <v>186</v>
      </c>
      <c r="G124" s="33" t="s">
        <v>145</v>
      </c>
      <c r="H124" s="35" t="s">
        <v>253</v>
      </c>
      <c r="I124" s="35" t="s">
        <v>254</v>
      </c>
      <c r="J124" s="33" t="s">
        <v>298</v>
      </c>
    </row>
    <row r="125" spans="1:10">
      <c r="A125" s="33" t="s">
        <v>152</v>
      </c>
      <c r="B125" s="33" t="s">
        <v>174</v>
      </c>
      <c r="C125" s="33" t="s">
        <v>255</v>
      </c>
      <c r="D125" s="33" t="s">
        <v>243</v>
      </c>
      <c r="E125" s="33" t="s">
        <v>256</v>
      </c>
      <c r="F125" s="37" t="s">
        <v>186</v>
      </c>
      <c r="G125" s="33" t="s">
        <v>145</v>
      </c>
      <c r="H125" s="35" t="s">
        <v>304</v>
      </c>
      <c r="I125" s="35"/>
      <c r="J125" s="33" t="s">
        <v>298</v>
      </c>
    </row>
    <row r="126" spans="1:10">
      <c r="A126" s="33" t="s">
        <v>152</v>
      </c>
      <c r="B126" s="33" t="s">
        <v>174</v>
      </c>
      <c r="C126" s="33" t="s">
        <v>258</v>
      </c>
      <c r="D126" s="33" t="s">
        <v>243</v>
      </c>
      <c r="E126" s="33" t="s">
        <v>259</v>
      </c>
      <c r="F126" s="37" t="s">
        <v>186</v>
      </c>
      <c r="G126" s="33" t="s">
        <v>145</v>
      </c>
      <c r="H126" s="35" t="s">
        <v>260</v>
      </c>
      <c r="I126" s="35"/>
      <c r="J126" s="33" t="s">
        <v>298</v>
      </c>
    </row>
    <row r="127" spans="1:10" ht="42">
      <c r="A127" s="33" t="s">
        <v>153</v>
      </c>
      <c r="B127" s="33" t="s">
        <v>174</v>
      </c>
      <c r="C127" s="33" t="s">
        <v>7</v>
      </c>
      <c r="D127" s="33" t="s">
        <v>175</v>
      </c>
      <c r="E127" s="33" t="s">
        <v>176</v>
      </c>
      <c r="F127" s="37" t="s">
        <v>186</v>
      </c>
      <c r="G127" s="33" t="s">
        <v>145</v>
      </c>
      <c r="H127" s="35" t="s">
        <v>305</v>
      </c>
      <c r="I127" s="35" t="s">
        <v>178</v>
      </c>
      <c r="J127" s="33" t="s">
        <v>306</v>
      </c>
    </row>
    <row r="128" spans="1:10" ht="28">
      <c r="A128" s="33" t="s">
        <v>153</v>
      </c>
      <c r="B128" s="33" t="s">
        <v>174</v>
      </c>
      <c r="C128" s="33" t="s">
        <v>11</v>
      </c>
      <c r="D128" s="33" t="s">
        <v>175</v>
      </c>
      <c r="E128" s="33" t="s">
        <v>180</v>
      </c>
      <c r="F128" s="37" t="s">
        <v>186</v>
      </c>
      <c r="G128" s="33" t="s">
        <v>145</v>
      </c>
      <c r="H128" s="35" t="s">
        <v>307</v>
      </c>
      <c r="I128" s="35" t="s">
        <v>183</v>
      </c>
      <c r="J128" s="33" t="s">
        <v>306</v>
      </c>
    </row>
    <row r="129" spans="1:10" ht="56">
      <c r="A129" s="33" t="s">
        <v>153</v>
      </c>
      <c r="B129" s="33" t="s">
        <v>174</v>
      </c>
      <c r="C129" s="33" t="s">
        <v>16</v>
      </c>
      <c r="D129" s="33" t="s">
        <v>184</v>
      </c>
      <c r="E129" s="33" t="s">
        <v>185</v>
      </c>
      <c r="F129" s="37" t="s">
        <v>186</v>
      </c>
      <c r="G129" s="33" t="s">
        <v>145</v>
      </c>
      <c r="H129" s="35" t="s">
        <v>308</v>
      </c>
      <c r="I129" s="35" t="s">
        <v>188</v>
      </c>
      <c r="J129" s="33" t="s">
        <v>306</v>
      </c>
    </row>
    <row r="130" spans="1:10" ht="56">
      <c r="A130" s="33" t="s">
        <v>153</v>
      </c>
      <c r="B130" s="33" t="s">
        <v>174</v>
      </c>
      <c r="C130" s="33" t="s">
        <v>20</v>
      </c>
      <c r="D130" s="33" t="s">
        <v>184</v>
      </c>
      <c r="E130" s="33" t="s">
        <v>189</v>
      </c>
      <c r="F130" s="37" t="s">
        <v>186</v>
      </c>
      <c r="G130" s="33" t="s">
        <v>145</v>
      </c>
      <c r="H130" s="35" t="s">
        <v>190</v>
      </c>
      <c r="I130" s="35" t="s">
        <v>191</v>
      </c>
      <c r="J130" s="33" t="s">
        <v>306</v>
      </c>
    </row>
    <row r="131" spans="1:10" ht="56">
      <c r="A131" s="33" t="s">
        <v>153</v>
      </c>
      <c r="B131" s="33" t="s">
        <v>174</v>
      </c>
      <c r="C131" s="33" t="s">
        <v>24</v>
      </c>
      <c r="D131" s="33" t="s">
        <v>184</v>
      </c>
      <c r="E131" s="33" t="s">
        <v>192</v>
      </c>
      <c r="F131" s="37" t="s">
        <v>186</v>
      </c>
      <c r="G131" s="33" t="s">
        <v>145</v>
      </c>
      <c r="H131" s="35" t="s">
        <v>193</v>
      </c>
      <c r="I131" s="35" t="s">
        <v>194</v>
      </c>
      <c r="J131" s="33" t="s">
        <v>306</v>
      </c>
    </row>
    <row r="132" spans="1:10" ht="70">
      <c r="A132" s="33" t="s">
        <v>153</v>
      </c>
      <c r="B132" s="33" t="s">
        <v>174</v>
      </c>
      <c r="C132" s="33" t="s">
        <v>28</v>
      </c>
      <c r="D132" s="33" t="s">
        <v>184</v>
      </c>
      <c r="E132" s="33" t="s">
        <v>195</v>
      </c>
      <c r="F132" s="37" t="s">
        <v>186</v>
      </c>
      <c r="G132" s="33" t="s">
        <v>145</v>
      </c>
      <c r="H132" s="35" t="s">
        <v>309</v>
      </c>
      <c r="I132" s="35" t="s">
        <v>197</v>
      </c>
      <c r="J132" s="33" t="s">
        <v>306</v>
      </c>
    </row>
    <row r="133" spans="1:10" ht="98">
      <c r="A133" s="33" t="s">
        <v>153</v>
      </c>
      <c r="B133" s="33" t="s">
        <v>174</v>
      </c>
      <c r="C133" s="33" t="s">
        <v>32</v>
      </c>
      <c r="D133" s="33" t="s">
        <v>184</v>
      </c>
      <c r="E133" s="33" t="s">
        <v>198</v>
      </c>
      <c r="F133" s="37" t="s">
        <v>186</v>
      </c>
      <c r="G133" s="33" t="s">
        <v>145</v>
      </c>
      <c r="H133" s="35" t="s">
        <v>199</v>
      </c>
      <c r="I133" s="35" t="s">
        <v>200</v>
      </c>
      <c r="J133" s="33" t="s">
        <v>306</v>
      </c>
    </row>
    <row r="134" spans="1:10" ht="84">
      <c r="A134" s="33" t="s">
        <v>153</v>
      </c>
      <c r="B134" s="33" t="s">
        <v>174</v>
      </c>
      <c r="C134" s="33" t="s">
        <v>36</v>
      </c>
      <c r="D134" s="33" t="s">
        <v>184</v>
      </c>
      <c r="E134" s="33" t="s">
        <v>201</v>
      </c>
      <c r="F134" s="33" t="s">
        <v>202</v>
      </c>
      <c r="G134" s="33" t="s">
        <v>145</v>
      </c>
      <c r="H134" s="35" t="s">
        <v>203</v>
      </c>
      <c r="I134" s="35" t="s">
        <v>204</v>
      </c>
      <c r="J134" s="33" t="s">
        <v>306</v>
      </c>
    </row>
    <row r="135" spans="1:10" ht="42">
      <c r="A135" s="33" t="s">
        <v>153</v>
      </c>
      <c r="B135" s="33" t="s">
        <v>174</v>
      </c>
      <c r="C135" s="33" t="s">
        <v>40</v>
      </c>
      <c r="D135" s="33" t="s">
        <v>184</v>
      </c>
      <c r="E135" s="33" t="s">
        <v>205</v>
      </c>
      <c r="F135" s="37" t="s">
        <v>186</v>
      </c>
      <c r="G135" s="33" t="s">
        <v>145</v>
      </c>
      <c r="H135" s="35" t="s">
        <v>310</v>
      </c>
      <c r="I135" s="35" t="s">
        <v>207</v>
      </c>
      <c r="J135" s="33" t="s">
        <v>306</v>
      </c>
    </row>
    <row r="136" spans="1:10" ht="42">
      <c r="A136" s="33" t="s">
        <v>153</v>
      </c>
      <c r="B136" s="33" t="s">
        <v>174</v>
      </c>
      <c r="C136" s="33" t="s">
        <v>44</v>
      </c>
      <c r="D136" s="33" t="s">
        <v>184</v>
      </c>
      <c r="E136" s="33" t="s">
        <v>208</v>
      </c>
      <c r="F136" s="37" t="s">
        <v>186</v>
      </c>
      <c r="G136" s="33" t="s">
        <v>145</v>
      </c>
      <c r="H136" s="35" t="s">
        <v>288</v>
      </c>
      <c r="I136" s="35" t="s">
        <v>210</v>
      </c>
      <c r="J136" s="33" t="s">
        <v>306</v>
      </c>
    </row>
    <row r="137" spans="1:10" ht="28">
      <c r="A137" s="33" t="s">
        <v>153</v>
      </c>
      <c r="B137" s="33" t="s">
        <v>174</v>
      </c>
      <c r="C137" s="33" t="s">
        <v>48</v>
      </c>
      <c r="D137" s="33" t="s">
        <v>184</v>
      </c>
      <c r="E137" s="33" t="s">
        <v>211</v>
      </c>
      <c r="F137" s="37" t="s">
        <v>186</v>
      </c>
      <c r="G137" s="33" t="s">
        <v>145</v>
      </c>
      <c r="H137" s="35" t="s">
        <v>311</v>
      </c>
      <c r="I137" s="35" t="s">
        <v>213</v>
      </c>
      <c r="J137" s="33" t="s">
        <v>306</v>
      </c>
    </row>
    <row r="138" spans="1:10" ht="42">
      <c r="A138" s="33" t="s">
        <v>153</v>
      </c>
      <c r="B138" s="33" t="s">
        <v>174</v>
      </c>
      <c r="C138" s="33" t="s">
        <v>52</v>
      </c>
      <c r="D138" s="33" t="s">
        <v>184</v>
      </c>
      <c r="E138" s="33" t="s">
        <v>214</v>
      </c>
      <c r="F138" s="37" t="s">
        <v>186</v>
      </c>
      <c r="G138" s="33" t="s">
        <v>145</v>
      </c>
      <c r="H138" s="35" t="s">
        <v>215</v>
      </c>
      <c r="I138" s="35" t="s">
        <v>216</v>
      </c>
      <c r="J138" s="33" t="s">
        <v>306</v>
      </c>
    </row>
    <row r="139" spans="1:10" ht="42">
      <c r="A139" s="33" t="s">
        <v>153</v>
      </c>
      <c r="B139" s="33" t="s">
        <v>174</v>
      </c>
      <c r="C139" s="33" t="s">
        <v>56</v>
      </c>
      <c r="D139" s="33" t="s">
        <v>184</v>
      </c>
      <c r="E139" s="33" t="s">
        <v>217</v>
      </c>
      <c r="F139" s="37" t="s">
        <v>186</v>
      </c>
      <c r="G139" s="33" t="s">
        <v>145</v>
      </c>
      <c r="H139" s="35" t="s">
        <v>218</v>
      </c>
      <c r="I139" s="35" t="s">
        <v>219</v>
      </c>
      <c r="J139" s="33" t="s">
        <v>306</v>
      </c>
    </row>
    <row r="140" spans="1:10" ht="42">
      <c r="A140" s="33" t="s">
        <v>153</v>
      </c>
      <c r="B140" s="33" t="s">
        <v>174</v>
      </c>
      <c r="C140" s="33" t="s">
        <v>60</v>
      </c>
      <c r="D140" s="33" t="s">
        <v>184</v>
      </c>
      <c r="E140" s="33" t="s">
        <v>220</v>
      </c>
      <c r="F140" s="37" t="s">
        <v>186</v>
      </c>
      <c r="G140" s="33" t="s">
        <v>145</v>
      </c>
      <c r="H140" s="35" t="s">
        <v>221</v>
      </c>
      <c r="I140" s="35" t="s">
        <v>222</v>
      </c>
      <c r="J140" s="33" t="s">
        <v>306</v>
      </c>
    </row>
    <row r="141" spans="1:10" ht="28">
      <c r="A141" s="33" t="s">
        <v>153</v>
      </c>
      <c r="B141" s="33" t="s">
        <v>174</v>
      </c>
      <c r="C141" s="33" t="s">
        <v>65</v>
      </c>
      <c r="D141" s="33" t="s">
        <v>223</v>
      </c>
      <c r="E141" s="33" t="s">
        <v>224</v>
      </c>
      <c r="F141" s="37" t="s">
        <v>186</v>
      </c>
      <c r="G141" s="33" t="s">
        <v>145</v>
      </c>
      <c r="H141" s="35" t="s">
        <v>225</v>
      </c>
      <c r="I141" s="35" t="s">
        <v>226</v>
      </c>
      <c r="J141" s="33" t="s">
        <v>306</v>
      </c>
    </row>
    <row r="142" spans="1:10" ht="42">
      <c r="A142" s="33" t="s">
        <v>153</v>
      </c>
      <c r="B142" s="33" t="s">
        <v>174</v>
      </c>
      <c r="C142" s="33" t="s">
        <v>69</v>
      </c>
      <c r="D142" s="33" t="s">
        <v>223</v>
      </c>
      <c r="E142" s="33" t="s">
        <v>227</v>
      </c>
      <c r="F142" s="37" t="s">
        <v>186</v>
      </c>
      <c r="G142" s="33" t="s">
        <v>145</v>
      </c>
      <c r="H142" s="35" t="s">
        <v>290</v>
      </c>
      <c r="I142" s="35" t="s">
        <v>229</v>
      </c>
      <c r="J142" s="33" t="s">
        <v>306</v>
      </c>
    </row>
    <row r="143" spans="1:10" ht="28">
      <c r="A143" s="33" t="s">
        <v>153</v>
      </c>
      <c r="B143" s="33" t="s">
        <v>174</v>
      </c>
      <c r="C143" s="33" t="s">
        <v>73</v>
      </c>
      <c r="D143" s="33" t="s">
        <v>223</v>
      </c>
      <c r="E143" s="33" t="s">
        <v>230</v>
      </c>
      <c r="F143" s="34" t="s">
        <v>143</v>
      </c>
      <c r="G143" s="33" t="s">
        <v>143</v>
      </c>
      <c r="H143" s="35" t="s">
        <v>312</v>
      </c>
      <c r="I143" s="35" t="s">
        <v>232</v>
      </c>
      <c r="J143" s="33" t="s">
        <v>306</v>
      </c>
    </row>
    <row r="144" spans="1:10" ht="28">
      <c r="A144" s="33" t="s">
        <v>153</v>
      </c>
      <c r="B144" s="33" t="s">
        <v>174</v>
      </c>
      <c r="C144" s="33" t="s">
        <v>77</v>
      </c>
      <c r="D144" s="33" t="s">
        <v>223</v>
      </c>
      <c r="E144" s="33" t="s">
        <v>233</v>
      </c>
      <c r="F144" s="33" t="s">
        <v>202</v>
      </c>
      <c r="G144" s="33" t="s">
        <v>145</v>
      </c>
      <c r="H144" s="35" t="s">
        <v>292</v>
      </c>
      <c r="I144" s="35" t="s">
        <v>235</v>
      </c>
      <c r="J144" s="33" t="s">
        <v>306</v>
      </c>
    </row>
    <row r="145" spans="1:10" ht="56">
      <c r="A145" s="33" t="s">
        <v>153</v>
      </c>
      <c r="B145" s="33" t="s">
        <v>174</v>
      </c>
      <c r="C145" s="33" t="s">
        <v>81</v>
      </c>
      <c r="D145" s="33" t="s">
        <v>223</v>
      </c>
      <c r="E145" s="33" t="s">
        <v>236</v>
      </c>
      <c r="F145" s="33" t="s">
        <v>202</v>
      </c>
      <c r="G145" s="33" t="s">
        <v>145</v>
      </c>
      <c r="H145" s="35" t="s">
        <v>293</v>
      </c>
      <c r="I145" s="35" t="s">
        <v>238</v>
      </c>
      <c r="J145" s="33" t="s">
        <v>306</v>
      </c>
    </row>
    <row r="146" spans="1:10" ht="28">
      <c r="A146" s="33" t="s">
        <v>153</v>
      </c>
      <c r="B146" s="33" t="s">
        <v>174</v>
      </c>
      <c r="C146" s="33" t="s">
        <v>85</v>
      </c>
      <c r="D146" s="33" t="s">
        <v>223</v>
      </c>
      <c r="E146" s="33" t="s">
        <v>239</v>
      </c>
      <c r="F146" s="33" t="s">
        <v>202</v>
      </c>
      <c r="G146" s="33" t="s">
        <v>145</v>
      </c>
      <c r="H146" s="35" t="s">
        <v>294</v>
      </c>
      <c r="I146" s="35" t="s">
        <v>241</v>
      </c>
      <c r="J146" s="33" t="s">
        <v>306</v>
      </c>
    </row>
    <row r="147" spans="1:10" ht="56">
      <c r="A147" s="33" t="s">
        <v>153</v>
      </c>
      <c r="B147" s="33" t="s">
        <v>174</v>
      </c>
      <c r="C147" s="33" t="s">
        <v>242</v>
      </c>
      <c r="D147" s="33" t="s">
        <v>243</v>
      </c>
      <c r="E147" s="33" t="s">
        <v>244</v>
      </c>
      <c r="F147" s="37" t="s">
        <v>186</v>
      </c>
      <c r="G147" s="33" t="s">
        <v>145</v>
      </c>
      <c r="H147" s="35" t="s">
        <v>245</v>
      </c>
      <c r="I147" s="35" t="s">
        <v>246</v>
      </c>
      <c r="J147" s="33" t="s">
        <v>306</v>
      </c>
    </row>
    <row r="148" spans="1:10" ht="28">
      <c r="A148" s="33" t="s">
        <v>153</v>
      </c>
      <c r="B148" s="33" t="s">
        <v>174</v>
      </c>
      <c r="C148" s="33" t="s">
        <v>247</v>
      </c>
      <c r="D148" s="33" t="s">
        <v>243</v>
      </c>
      <c r="E148" s="33" t="s">
        <v>248</v>
      </c>
      <c r="F148" s="37" t="s">
        <v>186</v>
      </c>
      <c r="G148" s="33" t="s">
        <v>145</v>
      </c>
      <c r="H148" s="35" t="s">
        <v>249</v>
      </c>
      <c r="I148" s="35" t="s">
        <v>250</v>
      </c>
      <c r="J148" s="33" t="s">
        <v>306</v>
      </c>
    </row>
    <row r="149" spans="1:10" ht="42">
      <c r="A149" s="33" t="s">
        <v>153</v>
      </c>
      <c r="B149" s="33" t="s">
        <v>174</v>
      </c>
      <c r="C149" s="33" t="s">
        <v>251</v>
      </c>
      <c r="D149" s="33" t="s">
        <v>243</v>
      </c>
      <c r="E149" s="33" t="s">
        <v>252</v>
      </c>
      <c r="F149" s="37" t="s">
        <v>186</v>
      </c>
      <c r="G149" s="33" t="s">
        <v>145</v>
      </c>
      <c r="H149" s="35" t="s">
        <v>253</v>
      </c>
      <c r="I149" s="35" t="s">
        <v>254</v>
      </c>
      <c r="J149" s="33" t="s">
        <v>306</v>
      </c>
    </row>
    <row r="150" spans="1:10">
      <c r="A150" s="33" t="s">
        <v>153</v>
      </c>
      <c r="B150" s="33" t="s">
        <v>174</v>
      </c>
      <c r="C150" s="33" t="s">
        <v>255</v>
      </c>
      <c r="D150" s="33" t="s">
        <v>243</v>
      </c>
      <c r="E150" s="33" t="s">
        <v>256</v>
      </c>
      <c r="F150" s="37" t="s">
        <v>186</v>
      </c>
      <c r="G150" s="33" t="s">
        <v>145</v>
      </c>
      <c r="H150" s="35" t="s">
        <v>313</v>
      </c>
      <c r="I150" s="35"/>
      <c r="J150" s="33" t="s">
        <v>306</v>
      </c>
    </row>
    <row r="151" spans="1:10">
      <c r="A151" s="33" t="s">
        <v>153</v>
      </c>
      <c r="B151" s="33" t="s">
        <v>174</v>
      </c>
      <c r="C151" s="33" t="s">
        <v>258</v>
      </c>
      <c r="D151" s="33" t="s">
        <v>243</v>
      </c>
      <c r="E151" s="33" t="s">
        <v>259</v>
      </c>
      <c r="F151" s="37" t="s">
        <v>186</v>
      </c>
      <c r="G151" s="33" t="s">
        <v>145</v>
      </c>
      <c r="H151" s="35" t="s">
        <v>260</v>
      </c>
      <c r="I151" s="35"/>
      <c r="J151" s="33" t="s">
        <v>306</v>
      </c>
    </row>
    <row r="152" spans="1:10" ht="42">
      <c r="A152" s="33" t="s">
        <v>154</v>
      </c>
      <c r="B152" s="33" t="s">
        <v>174</v>
      </c>
      <c r="C152" s="33" t="s">
        <v>7</v>
      </c>
      <c r="D152" s="33" t="s">
        <v>175</v>
      </c>
      <c r="E152" s="33" t="s">
        <v>176</v>
      </c>
      <c r="F152" s="37" t="s">
        <v>186</v>
      </c>
      <c r="G152" s="33" t="s">
        <v>145</v>
      </c>
      <c r="H152" s="35" t="s">
        <v>314</v>
      </c>
      <c r="I152" s="35" t="s">
        <v>178</v>
      </c>
      <c r="J152" s="33" t="s">
        <v>315</v>
      </c>
    </row>
    <row r="153" spans="1:10" ht="42">
      <c r="A153" s="33" t="s">
        <v>154</v>
      </c>
      <c r="B153" s="33" t="s">
        <v>174</v>
      </c>
      <c r="C153" s="33" t="s">
        <v>11</v>
      </c>
      <c r="D153" s="33" t="s">
        <v>175</v>
      </c>
      <c r="E153" s="33" t="s">
        <v>180</v>
      </c>
      <c r="F153" s="36" t="s">
        <v>181</v>
      </c>
      <c r="G153" s="33" t="s">
        <v>144</v>
      </c>
      <c r="H153" s="35" t="s">
        <v>316</v>
      </c>
      <c r="I153" s="35" t="s">
        <v>183</v>
      </c>
      <c r="J153" s="33" t="s">
        <v>315</v>
      </c>
    </row>
    <row r="154" spans="1:10" ht="56">
      <c r="A154" s="33" t="s">
        <v>154</v>
      </c>
      <c r="B154" s="33" t="s">
        <v>174</v>
      </c>
      <c r="C154" s="33" t="s">
        <v>16</v>
      </c>
      <c r="D154" s="33" t="s">
        <v>184</v>
      </c>
      <c r="E154" s="33" t="s">
        <v>185</v>
      </c>
      <c r="F154" s="37" t="s">
        <v>186</v>
      </c>
      <c r="G154" s="33" t="s">
        <v>145</v>
      </c>
      <c r="H154" s="35" t="s">
        <v>317</v>
      </c>
      <c r="I154" s="35" t="s">
        <v>188</v>
      </c>
      <c r="J154" s="33" t="s">
        <v>315</v>
      </c>
    </row>
    <row r="155" spans="1:10" ht="56">
      <c r="A155" s="33" t="s">
        <v>154</v>
      </c>
      <c r="B155" s="33" t="s">
        <v>174</v>
      </c>
      <c r="C155" s="33" t="s">
        <v>20</v>
      </c>
      <c r="D155" s="33" t="s">
        <v>184</v>
      </c>
      <c r="E155" s="33" t="s">
        <v>189</v>
      </c>
      <c r="F155" s="37" t="s">
        <v>186</v>
      </c>
      <c r="G155" s="33" t="s">
        <v>145</v>
      </c>
      <c r="H155" s="35" t="s">
        <v>190</v>
      </c>
      <c r="I155" s="35" t="s">
        <v>191</v>
      </c>
      <c r="J155" s="33" t="s">
        <v>315</v>
      </c>
    </row>
    <row r="156" spans="1:10" ht="56">
      <c r="A156" s="33" t="s">
        <v>154</v>
      </c>
      <c r="B156" s="33" t="s">
        <v>174</v>
      </c>
      <c r="C156" s="33" t="s">
        <v>24</v>
      </c>
      <c r="D156" s="33" t="s">
        <v>184</v>
      </c>
      <c r="E156" s="33" t="s">
        <v>192</v>
      </c>
      <c r="F156" s="37" t="s">
        <v>186</v>
      </c>
      <c r="G156" s="33" t="s">
        <v>145</v>
      </c>
      <c r="H156" s="35" t="s">
        <v>193</v>
      </c>
      <c r="I156" s="35" t="s">
        <v>194</v>
      </c>
      <c r="J156" s="33" t="s">
        <v>315</v>
      </c>
    </row>
    <row r="157" spans="1:10" ht="70">
      <c r="A157" s="33" t="s">
        <v>154</v>
      </c>
      <c r="B157" s="33" t="s">
        <v>174</v>
      </c>
      <c r="C157" s="33" t="s">
        <v>28</v>
      </c>
      <c r="D157" s="33" t="s">
        <v>184</v>
      </c>
      <c r="E157" s="33" t="s">
        <v>195</v>
      </c>
      <c r="F157" s="37" t="s">
        <v>186</v>
      </c>
      <c r="G157" s="33" t="s">
        <v>145</v>
      </c>
      <c r="H157" s="35" t="s">
        <v>309</v>
      </c>
      <c r="I157" s="35" t="s">
        <v>197</v>
      </c>
      <c r="J157" s="33" t="s">
        <v>315</v>
      </c>
    </row>
    <row r="158" spans="1:10" ht="98">
      <c r="A158" s="33" t="s">
        <v>154</v>
      </c>
      <c r="B158" s="33" t="s">
        <v>174</v>
      </c>
      <c r="C158" s="33" t="s">
        <v>32</v>
      </c>
      <c r="D158" s="33" t="s">
        <v>184</v>
      </c>
      <c r="E158" s="33" t="s">
        <v>198</v>
      </c>
      <c r="F158" s="37" t="s">
        <v>186</v>
      </c>
      <c r="G158" s="33" t="s">
        <v>145</v>
      </c>
      <c r="H158" s="35" t="s">
        <v>199</v>
      </c>
      <c r="I158" s="35" t="s">
        <v>200</v>
      </c>
      <c r="J158" s="33" t="s">
        <v>315</v>
      </c>
    </row>
    <row r="159" spans="1:10" ht="84">
      <c r="A159" s="33" t="s">
        <v>154</v>
      </c>
      <c r="B159" s="33" t="s">
        <v>174</v>
      </c>
      <c r="C159" s="33" t="s">
        <v>36</v>
      </c>
      <c r="D159" s="33" t="s">
        <v>184</v>
      </c>
      <c r="E159" s="33" t="s">
        <v>201</v>
      </c>
      <c r="F159" s="33" t="s">
        <v>202</v>
      </c>
      <c r="G159" s="33" t="s">
        <v>145</v>
      </c>
      <c r="H159" s="35" t="s">
        <v>203</v>
      </c>
      <c r="I159" s="35" t="s">
        <v>204</v>
      </c>
      <c r="J159" s="33" t="s">
        <v>315</v>
      </c>
    </row>
    <row r="160" spans="1:10" ht="42">
      <c r="A160" s="33" t="s">
        <v>154</v>
      </c>
      <c r="B160" s="33" t="s">
        <v>174</v>
      </c>
      <c r="C160" s="33" t="s">
        <v>40</v>
      </c>
      <c r="D160" s="33" t="s">
        <v>184</v>
      </c>
      <c r="E160" s="33" t="s">
        <v>205</v>
      </c>
      <c r="F160" s="33" t="s">
        <v>202</v>
      </c>
      <c r="G160" s="33" t="s">
        <v>145</v>
      </c>
      <c r="H160" s="35" t="s">
        <v>318</v>
      </c>
      <c r="I160" s="35" t="s">
        <v>207</v>
      </c>
      <c r="J160" s="33" t="s">
        <v>315</v>
      </c>
    </row>
    <row r="161" spans="1:10" ht="42">
      <c r="A161" s="33" t="s">
        <v>154</v>
      </c>
      <c r="B161" s="33" t="s">
        <v>174</v>
      </c>
      <c r="C161" s="33" t="s">
        <v>44</v>
      </c>
      <c r="D161" s="33" t="s">
        <v>184</v>
      </c>
      <c r="E161" s="33" t="s">
        <v>208</v>
      </c>
      <c r="F161" s="37" t="s">
        <v>186</v>
      </c>
      <c r="G161" s="33" t="s">
        <v>145</v>
      </c>
      <c r="H161" s="35" t="s">
        <v>288</v>
      </c>
      <c r="I161" s="35" t="s">
        <v>210</v>
      </c>
      <c r="J161" s="33" t="s">
        <v>315</v>
      </c>
    </row>
    <row r="162" spans="1:10" ht="28">
      <c r="A162" s="33" t="s">
        <v>154</v>
      </c>
      <c r="B162" s="33" t="s">
        <v>174</v>
      </c>
      <c r="C162" s="33" t="s">
        <v>48</v>
      </c>
      <c r="D162" s="33" t="s">
        <v>184</v>
      </c>
      <c r="E162" s="33" t="s">
        <v>211</v>
      </c>
      <c r="F162" s="33" t="s">
        <v>202</v>
      </c>
      <c r="G162" s="33" t="s">
        <v>145</v>
      </c>
      <c r="H162" s="35" t="s">
        <v>289</v>
      </c>
      <c r="I162" s="35" t="s">
        <v>213</v>
      </c>
      <c r="J162" s="33" t="s">
        <v>315</v>
      </c>
    </row>
    <row r="163" spans="1:10" ht="42">
      <c r="A163" s="33" t="s">
        <v>154</v>
      </c>
      <c r="B163" s="33" t="s">
        <v>174</v>
      </c>
      <c r="C163" s="33" t="s">
        <v>52</v>
      </c>
      <c r="D163" s="33" t="s">
        <v>184</v>
      </c>
      <c r="E163" s="33" t="s">
        <v>214</v>
      </c>
      <c r="F163" s="37" t="s">
        <v>186</v>
      </c>
      <c r="G163" s="33" t="s">
        <v>145</v>
      </c>
      <c r="H163" s="35" t="s">
        <v>215</v>
      </c>
      <c r="I163" s="35" t="s">
        <v>216</v>
      </c>
      <c r="J163" s="33" t="s">
        <v>315</v>
      </c>
    </row>
    <row r="164" spans="1:10" ht="42">
      <c r="A164" s="33" t="s">
        <v>154</v>
      </c>
      <c r="B164" s="33" t="s">
        <v>174</v>
      </c>
      <c r="C164" s="33" t="s">
        <v>56</v>
      </c>
      <c r="D164" s="33" t="s">
        <v>184</v>
      </c>
      <c r="E164" s="33" t="s">
        <v>217</v>
      </c>
      <c r="F164" s="37" t="s">
        <v>186</v>
      </c>
      <c r="G164" s="33" t="s">
        <v>145</v>
      </c>
      <c r="H164" s="35" t="s">
        <v>218</v>
      </c>
      <c r="I164" s="35" t="s">
        <v>219</v>
      </c>
      <c r="J164" s="33" t="s">
        <v>315</v>
      </c>
    </row>
    <row r="165" spans="1:10" ht="42">
      <c r="A165" s="33" t="s">
        <v>154</v>
      </c>
      <c r="B165" s="33" t="s">
        <v>174</v>
      </c>
      <c r="C165" s="33" t="s">
        <v>60</v>
      </c>
      <c r="D165" s="33" t="s">
        <v>184</v>
      </c>
      <c r="E165" s="33" t="s">
        <v>220</v>
      </c>
      <c r="F165" s="37" t="s">
        <v>186</v>
      </c>
      <c r="G165" s="33" t="s">
        <v>145</v>
      </c>
      <c r="H165" s="35" t="s">
        <v>221</v>
      </c>
      <c r="I165" s="35" t="s">
        <v>222</v>
      </c>
      <c r="J165" s="33" t="s">
        <v>315</v>
      </c>
    </row>
    <row r="166" spans="1:10" ht="28">
      <c r="A166" s="33" t="s">
        <v>154</v>
      </c>
      <c r="B166" s="33" t="s">
        <v>174</v>
      </c>
      <c r="C166" s="33" t="s">
        <v>65</v>
      </c>
      <c r="D166" s="33" t="s">
        <v>223</v>
      </c>
      <c r="E166" s="33" t="s">
        <v>224</v>
      </c>
      <c r="F166" s="37" t="s">
        <v>186</v>
      </c>
      <c r="G166" s="33" t="s">
        <v>145</v>
      </c>
      <c r="H166" s="35" t="s">
        <v>225</v>
      </c>
      <c r="I166" s="35" t="s">
        <v>226</v>
      </c>
      <c r="J166" s="33" t="s">
        <v>315</v>
      </c>
    </row>
    <row r="167" spans="1:10" ht="42">
      <c r="A167" s="33" t="s">
        <v>154</v>
      </c>
      <c r="B167" s="33" t="s">
        <v>174</v>
      </c>
      <c r="C167" s="33" t="s">
        <v>69</v>
      </c>
      <c r="D167" s="33" t="s">
        <v>223</v>
      </c>
      <c r="E167" s="33" t="s">
        <v>227</v>
      </c>
      <c r="F167" s="37" t="s">
        <v>186</v>
      </c>
      <c r="G167" s="33" t="s">
        <v>145</v>
      </c>
      <c r="H167" s="35" t="s">
        <v>290</v>
      </c>
      <c r="I167" s="35" t="s">
        <v>229</v>
      </c>
      <c r="J167" s="33" t="s">
        <v>315</v>
      </c>
    </row>
    <row r="168" spans="1:10" ht="28">
      <c r="A168" s="33" t="s">
        <v>154</v>
      </c>
      <c r="B168" s="33" t="s">
        <v>174</v>
      </c>
      <c r="C168" s="33" t="s">
        <v>73</v>
      </c>
      <c r="D168" s="33" t="s">
        <v>223</v>
      </c>
      <c r="E168" s="33" t="s">
        <v>230</v>
      </c>
      <c r="F168" s="34" t="s">
        <v>143</v>
      </c>
      <c r="G168" s="33" t="s">
        <v>143</v>
      </c>
      <c r="H168" s="35" t="s">
        <v>319</v>
      </c>
      <c r="I168" s="35" t="s">
        <v>232</v>
      </c>
      <c r="J168" s="33" t="s">
        <v>315</v>
      </c>
    </row>
    <row r="169" spans="1:10" ht="28">
      <c r="A169" s="33" t="s">
        <v>154</v>
      </c>
      <c r="B169" s="33" t="s">
        <v>174</v>
      </c>
      <c r="C169" s="33" t="s">
        <v>77</v>
      </c>
      <c r="D169" s="33" t="s">
        <v>223</v>
      </c>
      <c r="E169" s="33" t="s">
        <v>233</v>
      </c>
      <c r="F169" s="33" t="s">
        <v>202</v>
      </c>
      <c r="G169" s="33" t="s">
        <v>145</v>
      </c>
      <c r="H169" s="35" t="s">
        <v>292</v>
      </c>
      <c r="I169" s="35" t="s">
        <v>235</v>
      </c>
      <c r="J169" s="33" t="s">
        <v>315</v>
      </c>
    </row>
    <row r="170" spans="1:10" ht="56">
      <c r="A170" s="33" t="s">
        <v>154</v>
      </c>
      <c r="B170" s="33" t="s">
        <v>174</v>
      </c>
      <c r="C170" s="33" t="s">
        <v>81</v>
      </c>
      <c r="D170" s="33" t="s">
        <v>223</v>
      </c>
      <c r="E170" s="33" t="s">
        <v>236</v>
      </c>
      <c r="F170" s="33" t="s">
        <v>202</v>
      </c>
      <c r="G170" s="33" t="s">
        <v>145</v>
      </c>
      <c r="H170" s="35" t="s">
        <v>293</v>
      </c>
      <c r="I170" s="35" t="s">
        <v>238</v>
      </c>
      <c r="J170" s="33" t="s">
        <v>315</v>
      </c>
    </row>
    <row r="171" spans="1:10" ht="28">
      <c r="A171" s="33" t="s">
        <v>154</v>
      </c>
      <c r="B171" s="33" t="s">
        <v>174</v>
      </c>
      <c r="C171" s="33" t="s">
        <v>85</v>
      </c>
      <c r="D171" s="33" t="s">
        <v>223</v>
      </c>
      <c r="E171" s="33" t="s">
        <v>239</v>
      </c>
      <c r="F171" s="33" t="s">
        <v>202</v>
      </c>
      <c r="G171" s="33" t="s">
        <v>145</v>
      </c>
      <c r="H171" s="35" t="s">
        <v>294</v>
      </c>
      <c r="I171" s="35" t="s">
        <v>241</v>
      </c>
      <c r="J171" s="33" t="s">
        <v>315</v>
      </c>
    </row>
    <row r="172" spans="1:10" ht="56">
      <c r="A172" s="33" t="s">
        <v>154</v>
      </c>
      <c r="B172" s="33" t="s">
        <v>174</v>
      </c>
      <c r="C172" s="33" t="s">
        <v>242</v>
      </c>
      <c r="D172" s="33" t="s">
        <v>243</v>
      </c>
      <c r="E172" s="33" t="s">
        <v>244</v>
      </c>
      <c r="F172" s="37" t="s">
        <v>186</v>
      </c>
      <c r="G172" s="33" t="s">
        <v>145</v>
      </c>
      <c r="H172" s="35" t="s">
        <v>245</v>
      </c>
      <c r="I172" s="35" t="s">
        <v>246</v>
      </c>
      <c r="J172" s="33" t="s">
        <v>315</v>
      </c>
    </row>
    <row r="173" spans="1:10" ht="28">
      <c r="A173" s="33" t="s">
        <v>154</v>
      </c>
      <c r="B173" s="33" t="s">
        <v>174</v>
      </c>
      <c r="C173" s="33" t="s">
        <v>247</v>
      </c>
      <c r="D173" s="33" t="s">
        <v>243</v>
      </c>
      <c r="E173" s="33" t="s">
        <v>248</v>
      </c>
      <c r="F173" s="37" t="s">
        <v>186</v>
      </c>
      <c r="G173" s="33" t="s">
        <v>145</v>
      </c>
      <c r="H173" s="35" t="s">
        <v>249</v>
      </c>
      <c r="I173" s="35" t="s">
        <v>250</v>
      </c>
      <c r="J173" s="33" t="s">
        <v>315</v>
      </c>
    </row>
    <row r="174" spans="1:10" ht="42">
      <c r="A174" s="33" t="s">
        <v>154</v>
      </c>
      <c r="B174" s="33" t="s">
        <v>174</v>
      </c>
      <c r="C174" s="33" t="s">
        <v>251</v>
      </c>
      <c r="D174" s="33" t="s">
        <v>243</v>
      </c>
      <c r="E174" s="33" t="s">
        <v>252</v>
      </c>
      <c r="F174" s="37" t="s">
        <v>186</v>
      </c>
      <c r="G174" s="33" t="s">
        <v>145</v>
      </c>
      <c r="H174" s="35" t="s">
        <v>253</v>
      </c>
      <c r="I174" s="35" t="s">
        <v>254</v>
      </c>
      <c r="J174" s="33" t="s">
        <v>315</v>
      </c>
    </row>
    <row r="175" spans="1:10">
      <c r="A175" s="33" t="s">
        <v>154</v>
      </c>
      <c r="B175" s="33" t="s">
        <v>174</v>
      </c>
      <c r="C175" s="33" t="s">
        <v>255</v>
      </c>
      <c r="D175" s="33" t="s">
        <v>243</v>
      </c>
      <c r="E175" s="33" t="s">
        <v>256</v>
      </c>
      <c r="F175" s="37" t="s">
        <v>186</v>
      </c>
      <c r="G175" s="33" t="s">
        <v>145</v>
      </c>
      <c r="H175" s="35" t="s">
        <v>320</v>
      </c>
      <c r="I175" s="35"/>
      <c r="J175" s="33" t="s">
        <v>315</v>
      </c>
    </row>
    <row r="176" spans="1:10">
      <c r="A176" s="33" t="s">
        <v>154</v>
      </c>
      <c r="B176" s="33" t="s">
        <v>174</v>
      </c>
      <c r="C176" s="33" t="s">
        <v>258</v>
      </c>
      <c r="D176" s="33" t="s">
        <v>243</v>
      </c>
      <c r="E176" s="33" t="s">
        <v>259</v>
      </c>
      <c r="F176" s="37" t="s">
        <v>186</v>
      </c>
      <c r="G176" s="33" t="s">
        <v>145</v>
      </c>
      <c r="H176" s="35" t="s">
        <v>260</v>
      </c>
      <c r="I176" s="35"/>
      <c r="J176" s="33"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2026-08-12T10:48:15Z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