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ZoneC_DEV\zonec-datamart\tools\gold_review\output\"/>
    </mc:Choice>
  </mc:AlternateContent>
  <xr:revisionPtr revIDLastSave="0" documentId="13_ncr:1_{1113383E-9C50-4098-A2ED-8A238481FFFE}" xr6:coauthVersionLast="47" xr6:coauthVersionMax="47" xr10:uidLastSave="{00000000-0000-0000-0000-000000000000}"/>
  <bookViews>
    <workbookView xWindow="-110" yWindow="-110" windowWidth="19420" windowHeight="10420" tabRatio="500" activeTab="1" xr2:uid="{00000000-000D-0000-FFFF-FFFF00000000}"/>
  </bookViews>
  <sheets>
    <sheet name="Hướng dẫn" sheetId="1" r:id="rId1"/>
    <sheet name="Checklist tiêu chí" sheetId="2" r:id="rId2"/>
    <sheet name="Review theo bảng" sheetId="3" r:id="rId3"/>
    <sheet name="Tổng hợp Dashboard"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3" i="3" l="1"/>
  <c r="AA3" i="3"/>
  <c r="AB3" i="3"/>
  <c r="AC3" i="3"/>
  <c r="AD3" i="3"/>
  <c r="AE3" i="3"/>
  <c r="G7" i="4"/>
  <c r="F7" i="4"/>
  <c r="E7" i="4"/>
  <c r="D7" i="4"/>
  <c r="I7" i="4" s="1"/>
  <c r="D6" i="4"/>
  <c r="G5" i="4"/>
  <c r="F5" i="4"/>
  <c r="E5" i="4"/>
  <c r="D5" i="4"/>
  <c r="I5" i="4" s="1"/>
  <c r="AE60" i="3"/>
  <c r="AD60" i="3"/>
  <c r="AC60" i="3"/>
  <c r="AB60" i="3"/>
  <c r="AA60" i="3"/>
  <c r="Z60" i="3"/>
  <c r="AE59" i="3"/>
  <c r="AD59" i="3"/>
  <c r="AC59" i="3"/>
  <c r="AB59" i="3"/>
  <c r="AA59" i="3"/>
  <c r="Z59" i="3"/>
  <c r="AE58" i="3"/>
  <c r="AD58" i="3"/>
  <c r="AC58" i="3"/>
  <c r="AB58" i="3"/>
  <c r="AA58" i="3"/>
  <c r="Z58" i="3"/>
  <c r="AE57" i="3"/>
  <c r="AD57" i="3"/>
  <c r="AC57" i="3"/>
  <c r="AB57" i="3"/>
  <c r="AA57" i="3"/>
  <c r="Z57" i="3"/>
  <c r="AE56" i="3"/>
  <c r="AD56" i="3"/>
  <c r="AC56" i="3"/>
  <c r="AB56" i="3"/>
  <c r="AA56" i="3"/>
  <c r="Z56" i="3"/>
  <c r="AE55" i="3"/>
  <c r="AD55" i="3"/>
  <c r="AC55" i="3"/>
  <c r="AB55" i="3"/>
  <c r="AA55" i="3"/>
  <c r="Z55" i="3"/>
  <c r="AE54" i="3"/>
  <c r="AD54" i="3"/>
  <c r="AC54" i="3"/>
  <c r="AB54" i="3"/>
  <c r="AA54" i="3"/>
  <c r="Z54" i="3"/>
  <c r="AE53" i="3"/>
  <c r="AD53" i="3"/>
  <c r="AC53" i="3"/>
  <c r="AB53" i="3"/>
  <c r="AA53" i="3"/>
  <c r="Z53" i="3"/>
  <c r="AE52" i="3"/>
  <c r="AD52" i="3"/>
  <c r="AC52" i="3"/>
  <c r="AB52" i="3"/>
  <c r="AA52" i="3"/>
  <c r="Z52" i="3"/>
  <c r="AE51" i="3"/>
  <c r="AD51" i="3"/>
  <c r="AC51" i="3"/>
  <c r="AB51" i="3"/>
  <c r="AA51" i="3"/>
  <c r="Z51" i="3"/>
  <c r="AE50" i="3"/>
  <c r="AD50" i="3"/>
  <c r="AC50" i="3"/>
  <c r="AB50" i="3"/>
  <c r="AA50" i="3"/>
  <c r="Z50" i="3"/>
  <c r="AE49" i="3"/>
  <c r="AD49" i="3"/>
  <c r="AC49" i="3"/>
  <c r="AB49" i="3"/>
  <c r="AA49" i="3"/>
  <c r="Z49" i="3"/>
  <c r="AD48" i="3"/>
  <c r="AB48" i="3"/>
  <c r="AA48" i="3"/>
  <c r="Z48" i="3"/>
  <c r="AD47" i="3"/>
  <c r="AB47" i="3"/>
  <c r="AA47" i="3"/>
  <c r="Z47" i="3"/>
  <c r="AC47" i="3" s="1"/>
  <c r="AE47" i="3" s="1"/>
  <c r="AD46" i="3"/>
  <c r="AB46" i="3"/>
  <c r="AA46" i="3"/>
  <c r="Z46" i="3"/>
  <c r="AD45" i="3"/>
  <c r="AB45" i="3"/>
  <c r="AA45" i="3"/>
  <c r="Z45" i="3"/>
  <c r="AC45" i="3" s="1"/>
  <c r="AD44" i="3"/>
  <c r="AB44" i="3"/>
  <c r="AA44" i="3"/>
  <c r="Z44" i="3"/>
  <c r="AD43" i="3"/>
  <c r="AB43" i="3"/>
  <c r="AA43" i="3"/>
  <c r="Z43" i="3"/>
  <c r="AC43" i="3" s="1"/>
  <c r="AE43" i="3" s="1"/>
  <c r="AD42" i="3"/>
  <c r="AB42" i="3"/>
  <c r="AA42" i="3"/>
  <c r="Z42" i="3"/>
  <c r="AC42" i="3" s="1"/>
  <c r="AE42" i="3" s="1"/>
  <c r="AD41" i="3"/>
  <c r="AB41" i="3"/>
  <c r="AA41" i="3"/>
  <c r="Z41" i="3"/>
  <c r="AC41" i="3" s="1"/>
  <c r="AD40" i="3"/>
  <c r="AB40" i="3"/>
  <c r="AA40" i="3"/>
  <c r="Z40" i="3"/>
  <c r="AC40" i="3" s="1"/>
  <c r="AE40" i="3" s="1"/>
  <c r="AD39" i="3"/>
  <c r="AB39" i="3"/>
  <c r="AA39" i="3"/>
  <c r="Z39" i="3"/>
  <c r="AC39" i="3" s="1"/>
  <c r="AE39" i="3" s="1"/>
  <c r="AD38" i="3"/>
  <c r="AB38" i="3"/>
  <c r="AA38" i="3"/>
  <c r="Z38" i="3"/>
  <c r="AD37" i="3"/>
  <c r="AB37" i="3"/>
  <c r="AA37" i="3"/>
  <c r="Z37" i="3"/>
  <c r="AC37" i="3" s="1"/>
  <c r="AD36" i="3"/>
  <c r="AB36" i="3"/>
  <c r="AA36" i="3"/>
  <c r="Z36" i="3"/>
  <c r="AC36" i="3" s="1"/>
  <c r="AE36" i="3" s="1"/>
  <c r="AD35" i="3"/>
  <c r="AB35" i="3"/>
  <c r="AA35" i="3"/>
  <c r="Z35" i="3"/>
  <c r="AC35" i="3" s="1"/>
  <c r="AE35" i="3" s="1"/>
  <c r="AD34" i="3"/>
  <c r="AB34" i="3"/>
  <c r="AA34" i="3"/>
  <c r="Z34" i="3"/>
  <c r="AC34" i="3" s="1"/>
  <c r="AE34" i="3" s="1"/>
  <c r="AD33" i="3"/>
  <c r="AB33" i="3"/>
  <c r="AA33" i="3"/>
  <c r="Z33" i="3"/>
  <c r="AC33" i="3" s="1"/>
  <c r="AE33" i="3" s="1"/>
  <c r="AD32" i="3"/>
  <c r="AB32" i="3"/>
  <c r="AA32" i="3"/>
  <c r="Z32" i="3"/>
  <c r="AD31" i="3"/>
  <c r="AB31" i="3"/>
  <c r="AA31" i="3"/>
  <c r="Z31" i="3"/>
  <c r="AD30" i="3"/>
  <c r="AB30" i="3"/>
  <c r="AA30" i="3"/>
  <c r="Z30" i="3"/>
  <c r="AD29" i="3"/>
  <c r="AB29" i="3"/>
  <c r="AA29" i="3"/>
  <c r="Z29" i="3"/>
  <c r="AC29" i="3" s="1"/>
  <c r="AD28" i="3"/>
  <c r="AB28" i="3"/>
  <c r="AA28" i="3"/>
  <c r="Z28" i="3"/>
  <c r="AC28" i="3" s="1"/>
  <c r="AE28" i="3" s="1"/>
  <c r="AD27" i="3"/>
  <c r="AB27" i="3"/>
  <c r="AA27" i="3"/>
  <c r="Z27" i="3"/>
  <c r="AD26" i="3"/>
  <c r="AB26" i="3"/>
  <c r="AA26" i="3"/>
  <c r="Z26" i="3"/>
  <c r="AC26" i="3" s="1"/>
  <c r="AE26" i="3" s="1"/>
  <c r="AD25" i="3"/>
  <c r="AB25" i="3"/>
  <c r="AA25" i="3"/>
  <c r="Z25" i="3"/>
  <c r="AC25" i="3" s="1"/>
  <c r="AE25" i="3" s="1"/>
  <c r="AD24" i="3"/>
  <c r="AB24" i="3"/>
  <c r="AA24" i="3"/>
  <c r="Z24" i="3"/>
  <c r="AD23" i="3"/>
  <c r="AB23" i="3"/>
  <c r="AA23" i="3"/>
  <c r="Z23" i="3"/>
  <c r="AD22" i="3"/>
  <c r="AB22" i="3"/>
  <c r="AA22" i="3"/>
  <c r="Z22" i="3"/>
  <c r="AD21" i="3"/>
  <c r="AB21" i="3"/>
  <c r="AA21" i="3"/>
  <c r="Z21" i="3"/>
  <c r="AC21" i="3" s="1"/>
  <c r="AD20" i="3"/>
  <c r="AB20" i="3"/>
  <c r="AA20" i="3"/>
  <c r="Z20" i="3"/>
  <c r="AC20" i="3" s="1"/>
  <c r="AE20" i="3" s="1"/>
  <c r="AD19" i="3"/>
  <c r="AB19" i="3"/>
  <c r="AA19" i="3"/>
  <c r="Z19" i="3"/>
  <c r="AD18" i="3"/>
  <c r="AB18" i="3"/>
  <c r="AA18" i="3"/>
  <c r="Z18" i="3"/>
  <c r="AC18" i="3" s="1"/>
  <c r="AE18" i="3" s="1"/>
  <c r="AD17" i="3"/>
  <c r="AB17" i="3"/>
  <c r="AA17" i="3"/>
  <c r="Z17" i="3"/>
  <c r="AC17" i="3" s="1"/>
  <c r="AE17" i="3" s="1"/>
  <c r="AD16" i="3"/>
  <c r="AB16" i="3"/>
  <c r="AA16" i="3"/>
  <c r="Z16" i="3"/>
  <c r="AD15" i="3"/>
  <c r="AB15" i="3"/>
  <c r="AA15" i="3"/>
  <c r="Z15" i="3"/>
  <c r="AD14" i="3"/>
  <c r="AB14" i="3"/>
  <c r="AA14" i="3"/>
  <c r="Z14" i="3"/>
  <c r="AD13" i="3"/>
  <c r="AB13" i="3"/>
  <c r="AA13" i="3"/>
  <c r="Z13" i="3"/>
  <c r="AC13" i="3" s="1"/>
  <c r="AD12" i="3"/>
  <c r="AB12" i="3"/>
  <c r="AA12" i="3"/>
  <c r="Z12" i="3"/>
  <c r="AD11" i="3"/>
  <c r="AB11" i="3"/>
  <c r="AA11" i="3"/>
  <c r="Z11" i="3"/>
  <c r="AD10" i="3"/>
  <c r="AB10" i="3"/>
  <c r="AA10" i="3"/>
  <c r="Z10" i="3"/>
  <c r="AC10" i="3" s="1"/>
  <c r="AE10" i="3" s="1"/>
  <c r="AD9" i="3"/>
  <c r="AB9" i="3"/>
  <c r="AA9" i="3"/>
  <c r="Z9" i="3"/>
  <c r="AC9" i="3" s="1"/>
  <c r="AE9" i="3" s="1"/>
  <c r="AD8" i="3"/>
  <c r="AB8" i="3"/>
  <c r="AA8" i="3"/>
  <c r="Z8" i="3"/>
  <c r="AD7" i="3"/>
  <c r="AB7" i="3"/>
  <c r="AA7" i="3"/>
  <c r="Z7" i="3"/>
  <c r="AD6" i="3"/>
  <c r="AB6" i="3"/>
  <c r="AA6" i="3"/>
  <c r="Z6" i="3"/>
  <c r="AD5" i="3"/>
  <c r="AB5" i="3"/>
  <c r="AA5" i="3"/>
  <c r="Z5" i="3"/>
  <c r="AD4" i="3"/>
  <c r="AB4" i="3"/>
  <c r="AA4" i="3"/>
  <c r="Z4" i="3"/>
  <c r="AC5" i="3" l="1"/>
  <c r="AC7" i="3"/>
  <c r="AE7" i="3" s="1"/>
  <c r="AC11" i="3"/>
  <c r="AE11" i="3" s="1"/>
  <c r="AC19" i="3"/>
  <c r="AC27" i="3"/>
  <c r="AE27" i="3" s="1"/>
  <c r="AC31" i="3"/>
  <c r="AE31" i="3" s="1"/>
  <c r="AE5" i="3"/>
  <c r="AC24" i="3"/>
  <c r="AE24" i="3" s="1"/>
  <c r="AE13" i="3"/>
  <c r="AE21" i="3"/>
  <c r="AC44" i="3"/>
  <c r="AE44" i="3" s="1"/>
  <c r="AC16" i="3"/>
  <c r="AE16" i="3" s="1"/>
  <c r="AE45" i="3"/>
  <c r="AC22" i="3"/>
  <c r="AE22" i="3" s="1"/>
  <c r="AE29" i="3"/>
  <c r="AC48" i="3"/>
  <c r="AE48" i="3" s="1"/>
  <c r="AC46" i="3"/>
  <c r="AE46" i="3" s="1"/>
  <c r="H5" i="4"/>
  <c r="AC38" i="3"/>
  <c r="AE38" i="3" s="1"/>
  <c r="AC32" i="3"/>
  <c r="AE32" i="3" s="1"/>
  <c r="AC14" i="3"/>
  <c r="AE14" i="3" s="1"/>
  <c r="AC15" i="3"/>
  <c r="AE15" i="3" s="1"/>
  <c r="AE19" i="3"/>
  <c r="AE41" i="3"/>
  <c r="AC8" i="3"/>
  <c r="AE8" i="3" s="1"/>
  <c r="AC12" i="3"/>
  <c r="AE12" i="3" s="1"/>
  <c r="AC23" i="3"/>
  <c r="AE23" i="3" s="1"/>
  <c r="H7" i="4"/>
  <c r="AC6" i="3"/>
  <c r="AE6" i="3" s="1"/>
  <c r="AC30" i="3"/>
  <c r="AE30" i="3" s="1"/>
  <c r="AE37" i="3"/>
  <c r="AC4" i="3"/>
  <c r="AE4" i="3" s="1"/>
  <c r="G6" i="4" l="1"/>
  <c r="E6" i="4"/>
  <c r="F6" i="4"/>
  <c r="H6" i="4" s="1"/>
  <c r="I6"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2" authorId="0" shapeId="0" xr:uid="{00000000-0006-0000-0200-000001000000}">
      <text>
        <r>
          <rPr>
            <sz val="11"/>
            <color theme="1"/>
            <rFont val="Calibri"/>
            <family val="2"/>
            <charset val="1"/>
          </rPr>
          <t>Đầy đủ mapping từ tất cả layer nguồn (Silver/manual) sang Gold, không thiếu cột/bảng nguồn theo tài liệu mapping.</t>
        </r>
      </text>
    </comment>
    <comment ref="G2" authorId="0" shapeId="0" xr:uid="{00000000-0006-0000-0200-000002000000}">
      <text>
        <r>
          <rPr>
            <sz val="11"/>
            <color theme="1"/>
            <rFont val="Calibri"/>
            <family val="2"/>
            <charset val="1"/>
          </rPr>
          <t>Tổng số dòng và tổng SUM các cột số đối chiếu khớp với hệ thống on-prem/cũ, chênh lệch phải giải trình được.</t>
        </r>
      </text>
    </comment>
    <comment ref="H2" authorId="0" shapeId="0" xr:uid="{00000000-0006-0000-0200-000003000000}">
      <text>
        <r>
          <rPr>
            <sz val="11"/>
            <color theme="1"/>
            <rFont val="Calibri"/>
            <family val="2"/>
            <charset val="1"/>
          </rPr>
          <t>Danh sách bảng/view Gold khớp với danh sách trong tài liệu thiết kế mapping đã duyệt.</t>
        </r>
      </text>
    </comment>
    <comment ref="I2" authorId="0" shapeId="0" xr:uid="{00000000-0006-0000-0200-000004000000}">
      <text>
        <r>
          <rPr>
            <sz val="11"/>
            <color theme="1"/>
            <rFont val="Calibri"/>
            <family val="2"/>
            <charset val="1"/>
          </rPr>
          <t>Chỉ lấy các bản ghi active (cdc_status active), loại bản ghi đã xóa (cdc_status='D') trừ khi có yêu cầu nghiệp vụ khác kèm giải trình.</t>
        </r>
      </text>
    </comment>
    <comment ref="J2" authorId="0" shapeId="0" xr:uid="{00000000-0006-0000-0200-000005000000}">
      <text>
        <r>
          <rPr>
            <sz val="11"/>
            <color theme="1"/>
            <rFont val="Calibri"/>
            <family val="2"/>
            <charset val="1"/>
          </rPr>
          <t>Áp dụng thống nhất MỘT pattern xác định bản ghi active mới nhất cho toàn bộ các bảng, không có 2 cách viết khác nhau cho cùng 1 logic.</t>
        </r>
      </text>
    </comment>
    <comment ref="K2" authorId="0" shapeId="0" xr:uid="{00000000-0006-0000-0200-000006000000}">
      <text>
        <r>
          <rPr>
            <sz val="11"/>
            <color theme="1"/>
            <rFont val="Calibri"/>
            <family val="2"/>
            <charset val="1"/>
          </rPr>
          <t>Điều kiện lọc trạng thái (rn=1, cdc_status) đặt SAU khi xác định bản ghi mới nhất (WHERE/QUALIFY bên ngoài), không lồng trong điều kiện ON của LEFT JOIN.</t>
        </r>
      </text>
    </comment>
    <comment ref="L2" authorId="0" shapeId="0" xr:uid="{00000000-0006-0000-0200-000007000000}">
      <text>
        <r>
          <rPr>
            <sz val="11"/>
            <color theme="1"/>
            <rFont val="Calibri"/>
            <family val="2"/>
            <charset val="1"/>
          </rPr>
          <t>source_event_date &lt;= :p_data_date áp dụng nhất quán trên mọi Hub/Sat/Link liên quan trong cùng 1 script.</t>
        </r>
      </text>
    </comment>
    <comment ref="M2" authorId="0" shapeId="0" xr:uid="{00000000-0006-0000-0200-000008000000}">
      <text>
        <r>
          <rPr>
            <sz val="11"/>
            <color theme="1"/>
            <rFont val="Calibri"/>
            <family val="2"/>
            <charset val="1"/>
          </rPr>
          <t>Đối chiếu với các lỗi đã từng được DA Data Vault fix trước đó - xác nhận không bị lặp lại khi refactor.</t>
        </r>
      </text>
    </comment>
    <comment ref="N2" authorId="0" shapeId="0" xr:uid="{00000000-0006-0000-0200-000009000000}">
      <text>
        <r>
          <rPr>
            <sz val="11"/>
            <color theme="1"/>
            <rFont val="Calibri"/>
            <family val="2"/>
            <charset val="1"/>
          </rPr>
          <t>Logic SCD Type 2 (DIM) đúng kỹ thuật đã thống nhất: effective_date/end_date/current_flag rõ ràng, KHÔNG dùng MAX(id)+ROW_NUMBER() tăng dần.</t>
        </r>
      </text>
    </comment>
    <comment ref="O2" authorId="0" shapeId="0" xr:uid="{00000000-0006-0000-0200-00000A000000}">
      <text>
        <r>
          <rPr>
            <sz val="11"/>
            <color theme="1"/>
            <rFont val="Calibri"/>
            <family val="2"/>
            <charset val="1"/>
          </rPr>
          <t>CASE WHEN cover đầy đủ các nhánh giá trị như job on-prem tương ứng (kể cả nhánh ELSE/NULL).</t>
        </r>
      </text>
    </comment>
    <comment ref="P2" authorId="0" shapeId="0" xr:uid="{00000000-0006-0000-0200-00000B000000}">
      <text>
        <r>
          <rPr>
            <sz val="11"/>
            <color theme="1"/>
            <rFont val="Calibri"/>
            <family val="2"/>
            <charset val="1"/>
          </rPr>
          <t>Cột SUM/COUNT được COALESCE/NVL về 0 khi cần, đồng bộ với cách xử lý null của code/job cũ.</t>
        </r>
      </text>
    </comment>
    <comment ref="Q2" authorId="0" shapeId="0" xr:uid="{00000000-0006-0000-0200-00000C000000}">
      <text>
        <r>
          <rPr>
            <sz val="11"/>
            <color theme="1"/>
            <rFont val="Calibri"/>
            <family val="2"/>
            <charset val="1"/>
          </rPr>
          <t>Subquery, custom function, điều kiện LIKE được review đúng ý nghĩa nghiệp vụ, không sai lệch so với on-prem.</t>
        </r>
      </text>
    </comment>
    <comment ref="R2" authorId="0" shapeId="0" xr:uid="{00000000-0006-0000-0200-00000D000000}">
      <text>
        <r>
          <rPr>
            <sz val="11"/>
            <color theme="1"/>
            <rFont val="Calibri"/>
            <family val="2"/>
            <charset val="1"/>
          </rPr>
          <t>Điều kiện Aggregation kèm date range/filter chính xác theo kỳ báo cáo.</t>
        </r>
      </text>
    </comment>
    <comment ref="S2" authorId="0" shapeId="0" xr:uid="{00000000-0006-0000-0200-00000E000000}">
      <text>
        <r>
          <rPr>
            <sz val="11"/>
            <color theme="1"/>
            <rFont val="Calibri"/>
            <family val="2"/>
            <charset val="1"/>
          </rPr>
          <t>Join dùng key hợp lý (business key/hash key đúng), không dùng UNION ALL + EXISTS/NOT EXISTS thay cho LEFT JOIN khi không cần thiết.</t>
        </r>
      </text>
    </comment>
    <comment ref="T2" authorId="0" shapeId="0" xr:uid="{00000000-0006-0000-0200-00000F000000}">
      <text>
        <r>
          <rPr>
            <sz val="11"/>
            <color theme="1"/>
            <rFont val="Calibri"/>
            <family val="2"/>
            <charset val="1"/>
          </rPr>
          <t>Toàn bộ logic build trên CTE snapshot từ Silver trước khi tạo bảng Gold (không build trực tiếp nhiều tầng gây sai lệch).</t>
        </r>
      </text>
    </comment>
    <comment ref="U2" authorId="0" shapeId="0" xr:uid="{00000000-0006-0000-0200-000010000000}">
      <text>
        <r>
          <rPr>
            <sz val="11"/>
            <color theme="1"/>
            <rFont val="Calibri"/>
            <family val="2"/>
            <charset val="1"/>
          </rPr>
          <t>Không SELECT *, chỉ select cột cần dùng.</t>
        </r>
      </text>
    </comment>
    <comment ref="V2" authorId="0" shapeId="0" xr:uid="{00000000-0006-0000-0200-000011000000}">
      <text>
        <r>
          <rPr>
            <sz val="11"/>
            <color theme="1"/>
            <rFont val="Calibri"/>
            <family val="2"/>
            <charset val="1"/>
          </rPr>
          <t>CTE không bị scan lại nhiều lần (mỗi CTE chỉ nên được reference hợp lý).</t>
        </r>
      </text>
    </comment>
    <comment ref="W2" authorId="0" shapeId="0" xr:uid="{00000000-0006-0000-0200-000012000000}">
      <text>
        <r>
          <rPr>
            <sz val="11"/>
            <color theme="1"/>
            <rFont val="Calibri"/>
            <family val="2"/>
            <charset val="1"/>
          </rPr>
          <t>Filter dữ liệu trước khi join (partition pruning theo etl_date/ngày dữ liệu), tránh full scan &amp; shuffle không cần thiết.</t>
        </r>
      </text>
    </comment>
    <comment ref="X2" authorId="0" shapeId="0" xr:uid="{00000000-0006-0000-0200-000013000000}">
      <text>
        <r>
          <rPr>
            <sz val="11"/>
            <color theme="1"/>
            <rFont val="Calibri"/>
            <family val="2"/>
            <charset val="1"/>
          </rPr>
          <t>Sử dụng CACHE cho các query lặp lại nhiều lần trong cùng 1 luồng xử lý.</t>
        </r>
      </text>
    </comment>
    <comment ref="Y2" authorId="0" shapeId="0" xr:uid="{00000000-0006-0000-0200-000014000000}">
      <text>
        <r>
          <rPr>
            <sz val="11"/>
            <color theme="1"/>
            <rFont val="Calibri"/>
            <family val="2"/>
            <charset val="1"/>
          </rPr>
          <t>Ưu tiên MAX_BY kết hợp QUALIFY thay cho ROW_NUMBER()+WHERE rn=1 khi phù hợp (hiệu năng tốt hơn).</t>
        </r>
      </text>
    </comment>
    <comment ref="Z2" authorId="0" shapeId="0" xr:uid="{00000000-0006-0000-0200-000015000000}">
      <text>
        <r>
          <rPr>
            <sz val="11"/>
            <color theme="1"/>
            <rFont val="Calibri"/>
            <family val="2"/>
            <charset val="1"/>
          </rPr>
          <t>Không lạm dụng window function nếu không cần thiết; nếu dùng phải có comment giải thích lý do.</t>
        </r>
      </text>
    </comment>
  </commentList>
</comments>
</file>

<file path=xl/sharedStrings.xml><?xml version="1.0" encoding="utf-8"?>
<sst xmlns="http://schemas.openxmlformats.org/spreadsheetml/2006/main" count="1295" uniqueCount="235">
  <si>
    <t>Nhóm</t>
  </si>
  <si>
    <t>Trọng số
nhóm</t>
  </si>
  <si>
    <t>Mã</t>
  </si>
  <si>
    <t>Tiêu chí kiểm tra</t>
  </si>
  <si>
    <t>Điều kiện đạt / Cách kiểm tra</t>
  </si>
  <si>
    <t>Tham chiếu (Technical Document / Issue log / Checklist RVN-OCB)</t>
  </si>
  <si>
    <t>Nhóm 1 - Summary /
Mapping</t>
  </si>
  <si>
    <t>1.1</t>
  </si>
  <si>
    <t>Mapping đầy đủ từ Silver và nguồn upload sang Gold</t>
  </si>
  <si>
    <t>Đối chiếu tài liệu mapping source-to-target với script: đủ cột đầu ra, đủ bảng nguồn cần dùng, không thêm cột ngoài đặc tả. Ghi dữ liệu vào đúng catalog/schema đích ocb_datavault_${env}_curated.&lt;schema&gt;, không hard-code tên catalog.</t>
  </si>
  <si>
    <t>TDD mục III.4.1 Quy ước chung; Quality check tiêu chí 1</t>
  </si>
  <si>
    <t>1.2</t>
  </si>
  <si>
    <t>Danh sách bảng và khung nhìn khớp tài liệu thiết kế</t>
  </si>
  <si>
    <t>Danh sách đối tượng triển khai trong batch khớp danh sách đã thống nhất với OCB. Thay đổi phạm vi hoặc mô hình dữ liệu phải được thống nhất và cập nhật vào tài liệu trước khi triển khai.</t>
  </si>
  <si>
    <t>TDD v1.1 mục I.3 Phạm vi tài liệu; Plan điều chỉnh 5.3.3</t>
  </si>
  <si>
    <t>Nhóm 2 - Logic</t>
  </si>
  <si>
    <t>2.1</t>
  </si>
  <si>
    <t>Chỉ lấy bản ghi Hub đang có hiệu lực</t>
  </si>
  <si>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</si>
  <si>
    <t>TDD v1.1 mục III.4.2.1; Checklist RVN-OCB #1; Issue log #3</t>
  </si>
  <si>
    <t>2.2</t>
  </si>
  <si>
    <t>Dùng một pattern thống nhất để lấy bản ghi hiệu lực</t>
  </si>
  <si>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</si>
  <si>
    <t>TDD v1.1 mục III.4.2.1; Issue log #2</t>
  </si>
  <si>
    <t>2.3</t>
  </si>
  <si>
    <t>Điều kiện trạng thái đặt ở lớp ngoài, không đặt trong ON của LEFT JOIN</t>
  </si>
  <si>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</si>
  <si>
    <t>TDD v1.1 mục III.4.2.3 và III.4.2.4; Issue log #3</t>
  </si>
  <si>
    <t>2.4</t>
  </si>
  <si>
    <t>Điều kiện source_event_date áp dụng nhất quán trong cùng script</t>
  </si>
  <si>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</si>
  <si>
    <t>TDD v1.1 mục III.4.2 và mục "Các trường hợp đặc biệt"; Issue log #1</t>
  </si>
  <si>
    <t>2.5</t>
  </si>
  <si>
    <t>Không lặp lại lỗi logic đã được xử lý trước đó</t>
  </si>
  <si>
    <t>Đối chiếu với các lỗi mà DA Data Vault đã xác nhận sửa ở các lần review trước; script viết lại trên nền tảng mới không quay lại logic cũ. Ghi rõ trong ghi chú các điểm đã từng bị sửa để reviewer đối chiếu nhanh.</t>
  </si>
  <si>
    <t>Issue log #1</t>
  </si>
  <si>
    <t>2.6</t>
  </si>
  <si>
    <t>Bảng DIM áp dụng SCD Type 2 theo cơ chế APPLY CHANGES</t>
  </si>
  <si>
    <t>Bảng DIM dùng APPLY CHANGES INTO … KEYS (…) SEQUENCE BY … STORED AS SCD TYPE 2 trên streaming table. Không tự sinh surrogate key bằng MAX(&lt;DIM_ID&gt;) + ROW_NUMBER() vì trùng khóa khi chạy song song hoặc nạp lại dữ liệu lịch sử.</t>
  </si>
  <si>
    <t>TDD v1.1 mục III.2.3 và III.2.4; Issue log #4</t>
  </si>
  <si>
    <t>2.7</t>
  </si>
  <si>
    <t>CASE WHEN đủ nhánh so với job hiện hữu</t>
  </si>
  <si>
    <t>So từng nhánh CASE WHEN với job on-prem tương ứng, gồm cả nhánh ELSE và giá trị mặc định. Giữ nguyên logic cũ nếu chưa có thay đổi được thống nhất; thay đổi phải ghi vào tài liệu mapping.</t>
  </si>
  <si>
    <t>Checklist RVN-OCB #10</t>
  </si>
  <si>
    <t>2.8</t>
  </si>
  <si>
    <t>Cột SUM và COUNT xử lý giá trị NULL đúng</t>
  </si>
  <si>
    <t>Cột tổng hợp coalesce về 0 khi nghiệp vụ yêu cầu. Nếu code hiện hữu không dùng NVL thì giữ nguyên hành vi của code cũ và bổ sung NVL ở script đối soát để không lệch khi lấy hiệu số.</t>
  </si>
  <si>
    <t>Checklist RVN-OCB #11</t>
  </si>
  <si>
    <t>2.9</t>
  </si>
  <si>
    <t>Subquery, custom function và điều kiện LIKE đúng ý nghĩa nghiệp vụ</t>
  </si>
  <si>
    <t>Đọc lại logic bên trong subquery, custom function và các điều kiện LIKE, xác nhận đúng ý nghĩa nghiệp vụ so với job hiện hữu, không chỉ đúng cú pháp. Ghi lại cách hiểu nghiệp vụ trong mapping để OCB xác nhận.</t>
  </si>
  <si>
    <t>Checklist RVN-OCB #6</t>
  </si>
  <si>
    <t>2.10</t>
  </si>
  <si>
    <t>Aggregation lọc đúng kỳ dữ liệu</t>
  </si>
  <si>
    <t>Điều kiện lọc kỳ báo cáo đi kèm SUM/COUNT/AVG đúng phạm vi ngày hoặc tháng cần xử lý. Bảng nạp theo tháng lọc theo kỳ đang chạy, không quét toàn bộ lịch sử.</t>
  </si>
  <si>
    <t>Checklist RVN-OCB #7</t>
  </si>
  <si>
    <t>2.11</t>
  </si>
  <si>
    <t>Join theo key đúng, không lạm dụng UNION ALL kết hợp EXISTS</t>
  </si>
  <si>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</si>
  <si>
    <t>TDD v1.1 mục III.4.2.3; Checklist RVN-OCB #4</t>
  </si>
  <si>
    <t>2.12</t>
  </si>
  <si>
    <t>Bảng Gold build từ CTE snapshot dữ liệu Silver</t>
  </si>
  <si>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</si>
  <si>
    <t>TDD v1.1 mục III.4.2; Checklist RVN-OCB #4</t>
  </si>
  <si>
    <t>Nhóm 3 - Optimization</t>
  </si>
  <si>
    <t>3.1</t>
  </si>
  <si>
    <t>Không dùng SELECT *</t>
  </si>
  <si>
    <t>Chỉ select các cột thực sự dùng ở Gold, kể cả trong CTE trung gian. Nhánh sts_hub chỉ lấy cột hashkey để join gọn.</t>
  </si>
  <si>
    <t>TDD v1.1 mục III.4.2.2; Checklist RVN-OCB #2</t>
  </si>
  <si>
    <t>3.2</t>
  </si>
  <si>
    <t>CTE không bị tính lại nhiều lần</t>
  </si>
  <si>
    <t>CTE nặng chỉ được tham chiếu một lần. Nếu buộc phải dùng lại nhiều lần thì tách thành bảng trung gian hoặc cache để không tính lại.</t>
  </si>
  <si>
    <t>Checklist RVN-OCB #4</t>
  </si>
  <si>
    <t>3.3</t>
  </si>
  <si>
    <t>Lọc trước khi join, tận dụng partition pruning</t>
  </si>
  <si>
    <t>Đặt điều kiện ngày dữ liệu ngay trong CTE nguồn trước khi join, để giới hạn dữ liệu quét theo partition và giảm shuffle.</t>
  </si>
  <si>
    <t>Checklist RVN-OCB #5</t>
  </si>
  <si>
    <t>3.4</t>
  </si>
  <si>
    <t>Cache kết quả được dùng lại trong cùng luồng</t>
  </si>
  <si>
    <t>Truy vấn dùng lại ở nhiều bước trong cùng một luồng thì cache hoặc vật chất hóa thành Materialized View thay vì tính lại từng lần.</t>
  </si>
  <si>
    <t>TDD v1.1 mục III.2.2; Checklist RVN-OCB #3</t>
  </si>
  <si>
    <t>3.5</t>
  </si>
  <si>
    <t>Dùng MAX_BY thay ROW_NUMBER() kết hợp rn = 1</t>
  </si>
  <si>
    <t>Lấy bản ghi mới nhất bằng max_by(&lt;cột&gt;, source_event_date) với GROUP BY theo pattern chuẩn, thay cho ROW_NUMBER() OVER (…) kết hợp WHERE rn = 1.</t>
  </si>
  <si>
    <t>TDD v1.1 mục III.4.2; Issue log #5</t>
  </si>
  <si>
    <t>3.6</t>
  </si>
  <si>
    <t>Window function dùng có chủ đích và có comment</t>
  </si>
  <si>
    <t>Chỉ dùng window function khi max_by hoặc QUALIFY không đáp ứng được yêu cầu nghiệp vụ. Khi dùng phải ghi comment nêu lý do ngay tại chỗ dùng.</t>
  </si>
  <si>
    <t>Checklist RVN-OCB #8</t>
  </si>
  <si>
    <t>CHECKLIST REVIEW CODE MAPPING SILVER (DATA VAULT 2.0) SANG GOLD (DATA MART) – ZONE C OCB</t>
  </si>
  <si>
    <t>Mục đích</t>
  </si>
  <si>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</si>
  <si>
    <t>Cách sử dụng</t>
  </si>
  <si>
    <t>1. Sheet "Checklist tiêu chí": mô tả điều kiện đạt và cách kiểm tra của từng tiêu chí, kèm mục tài liệu tham chiếu.</t>
  </si>
  <si>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</si>
  <si>
    <t>3. Tỷ lệ lỗi tính tự động theo trọng số đã thống nhất với OCB: Nhóm 1 – Summary/Mapping 10%, Nhóm 2 – Logic 80%, Nhóm 3 – Optimization 10%. Một tiêu chí Fail thì cả nhóm đó tính là lỗi cho bảng đang xét.</t>
  </si>
  <si>
    <t>4. Sheet "Tổng hợp Dashboard": tổng hợp số bảng Đạt / Không đạt theo batch và so với ngưỡng lỗi cho phép (Batch 1: 30%; Batch 2 và Batch 3: 20%).</t>
  </si>
  <si>
    <t>5. Chỉ gửi code và mapping sang OCB khi bảng có kết luận "Đạt". Bảng "Không đạt" phải sửa theo pattern chuẩn nêu tại cột "Điều kiện đạt / Cách kiểm tra" rồi review lại.</t>
  </si>
  <si>
    <t>Bốn lỗi phải kiểm tra kỹ (rút từ Issue log Batch 1)</t>
  </si>
  <si>
    <t>- Điều kiện source_event_date &lt;= :DATADT bị bỏ sót ở một vài bảng trong cùng script, hoặc đặt thêm cận dưới (&gt;= start_date) làm bỏ sót bản ghi trạng thái mới nhất – Issue log #1.</t>
  </si>
  <si>
    <t>- Cùng một mục đích lấy bản ghi hiệu lực nhưng mỗi script lọc cdc_status một kiểu khác nhau – Issue log #2. Toàn bộ Zone C dùng một pattern duy nhất tại mục III.4.2.1.</t>
  </si>
  <si>
    <t>- Điều kiện rn = 1 hoặc cdc_status &lt;&gt; 'D' đặt trong ON của LEFT JOIN thay vì ở lớp ngoài, làm sai kết quả khi không match – Issue log #3.</t>
  </si>
  <si>
    <t>- Bảng DIM sinh surrogate key bằng MAX(&lt;DIM_ID&gt;) + ROW_NUMBER(), trùng khóa khi chạy song song hoặc nạp lại lịch sử – Issue log #4. Dùng APPLY CHANGES … STORED AS SCD TYPE 2.</t>
  </si>
  <si>
    <t>STT</t>
  </si>
  <si>
    <t>Tên bảng / khung nhìn
(Gold)</t>
  </si>
  <si>
    <t>Batch</t>
  </si>
  <si>
    <t>PIC review</t>
  </si>
  <si>
    <t>Ngày review</t>
  </si>
  <si>
    <t>NHÓM 1 - SUMMARY / MAPPING (trọng số 10%)</t>
  </si>
  <si>
    <t>NHÓM 2 - LOGIC (trọng số 80%)</t>
  </si>
  <si>
    <t>NHÓM 3 - OPTIMIZATION (trọng số 10%)</t>
  </si>
  <si>
    <t>KẾT QUẢ TỔNG HỢP (tự động tính)</t>
  </si>
  <si>
    <t>Đủ mapping
Silver → Gold
(1.1)</t>
  </si>
  <si>
    <t>Danh sách bảng
khớp thiết kế
(1.2)</t>
  </si>
  <si>
    <t>Hub hiệu lực
qua sts_hub
(2.1)</t>
  </si>
  <si>
    <t>Một pattern
lấy bản ghi hiệu lực
(2.2)</t>
  </si>
  <si>
    <t>Điều kiện trạng thái
ở lớp ngoài
(2.3)</t>
  </si>
  <si>
    <t>source_event_date
nhất quán
(2.4)</t>
  </si>
  <si>
    <t>Không lặp lỗi
đã xử lý
(2.5)</t>
  </si>
  <si>
    <t>DIM SCD2 bằng
APPLY CHANGES
(2.6)</t>
  </si>
  <si>
    <t>CASE WHEN
đủ nhánh
(2.7)</t>
  </si>
  <si>
    <t>SUM/COUNT
xử lý NULL
(2.8)</t>
  </si>
  <si>
    <t>Subquery/function/
LIKE đúng nghiệp vụ
(2.9)</t>
  </si>
  <si>
    <t>Aggregation
đúng kỳ dữ liệu
(2.10)</t>
  </si>
  <si>
    <t>Join đúng key,
link về hiện hành
(2.11)</t>
  </si>
  <si>
    <t>Build từ CTE
snapshot Silver
(2.12)</t>
  </si>
  <si>
    <t>Không
SELECT *
(3.1)</t>
  </si>
  <si>
    <t>CTE không
tính lại nhiều lần
(3.2)</t>
  </si>
  <si>
    <t>Lọc trước join,
partition pruning
(3.3)</t>
  </si>
  <si>
    <t>Cache truy vấn
dùng lại
(3.4)</t>
  </si>
  <si>
    <t>MAX_BY thay
ROW_NUMBER
(3.5)</t>
  </si>
  <si>
    <t>Window function
có comment
(3.6)</t>
  </si>
  <si>
    <t>N1
Fail?</t>
  </si>
  <si>
    <t>N2
Fail?</t>
  </si>
  <si>
    <t>N3
Fail?</t>
  </si>
  <si>
    <t>Tỷ lệ lỗi
bảng</t>
  </si>
  <si>
    <t>Ngưỡng
cho phép</t>
  </si>
  <si>
    <t>Kết luận</t>
  </si>
  <si>
    <t>Ghi rõ: mã tiêu chí – file script – dòng/CTE</t>
  </si>
  <si>
    <t>TCKH.AR_DIM</t>
  </si>
  <si>
    <t>Batch 2</t>
  </si>
  <si>
    <t>HOP</t>
  </si>
  <si>
    <t>2026-08-05</t>
  </si>
  <si>
    <t>Pass</t>
  </si>
  <si>
    <t>Fail</t>
  </si>
  <si>
    <t>WARN</t>
  </si>
  <si>
    <t>╔══ FAIL: 7 tiêu chí — 2.4, 2.5, 2.6, 2.12, 3.1, X.3, X.8
▼ 2.4 — source_event_date áp dụng đúng dạng theo loại bảng
   • Lý do: 16 satellite không có điều kiện source_event_date nào: sat_account_information (dong 123), sat_account_locked_events_information (dong 183), sat_collateral_information (dong 139), sat_consumer_loan_information (dong 171), sat_drawings_information (dong 189), sat_forex_information (dong 147), sat_letter_of_credit_information (dong 155), sat_limit_information (dong 163), sat_loans_information (dong 131), sat_loans_payment_due_information (dong 231), sat_md_deal_information (dong 216), sat_money_market_information (dong 224), sat_passbook_information (dong 177), sat_repo_information (dong 195), sat_sc_trading_position_information (dong 202), sat_sec_trade_information (dong 208)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2.5 — Không lặp lại lỗi logic cũ đã được DA Data Vault fix
   • Lý do: lặp lại 1 lỗi DA Data Vault đã nêu ở Issue log: Issue#5 ROW_NUMBER()+WHERE rn=1 thay vi MAX_BY (cham hon) @ dòng [412]
   → Cách sửa: 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
▼ 2.6 — SCD Type 2 cho bảng DIM áp dụng đúng kỹ thuật đã thống nhất
   • Lý do: không dùng APPLY CHANGES ... SCD TYPE 2 và cũng không có cột effective_date/end_date/current_flag để tự quản hiệu lực
   → Cách sửa: 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
▼ 2.12 — Build Gold từ CTE snapshot Silver, không build nhiều tầng chồng chéo
   • Lý do: bảng Silver bị đọc ở nhiều khối SELECT khác nhau thay vì snapshot 1 CTE: raw_vault.hub_account ở 2 khối
   → Cách sửa: Mỗi bảng Silver chỉ đọc MỘT lần, snapshot vào một CTE ở đầu script rồi dùng lại. Đọc trực tiếp cùng một bảng raw_vault ở 2 chỗ khác nhau làm lệch thời điểm dữ liệu giữa các phần của cùng một script.
▼ 3.1 — Không SELECT *
   • Lý do: có 1 lần SELECT * ở dòng [392]
   → Cách sửa: Liệt kê tường minh các cột cần dùng, kể cả trong CTE trung gian. SELECT * làm tăng IO/memory và vỡ script khi bảng nguồn thêm cột.
▼ X.3 — [Bổ sung] INSERT INTO phải liệt kê cột khớp DDL   [không tính điểm OCB]
   • Lý do: 1 câu INSERT không liệt kê cột, ở dòng [28]
   → Cách sửa: Viết INSERT INTO &lt;bảng&gt; (COT_1, COT_2, ...) SELECT ... Nếu không liệt kê cột, chỉ cần thêm một cột vào DDL là toàn bộ dữ liệu lệch cột mà không có lỗi nào báo ra.
▼ X.8 — [Bổ sung] JOIN SCHEMA trong thiết kế khớp bảng nguồn trong SQL   [không tính điểm OCB]
   • Lý do: 3/3 bảng khai báo trong JOIN SCHEMA nhưng KHÔNG thấy trong SQL: ['hub_* (18 blocks)', 'sts_hub_* (14 blocks có sts)', 'sat_*_information']
   → Cách sửa: Bảng khai báo ở block JOIN SCHEMA của workbook phải xuất hiện trong SQL và ngược lại. Lệch tên (thiếu tiền tố TB_, sai chính tả) nghĩa là thiết kế và code đi hai đường — phải xác nhận tên bảng thật rồi sửa một trong hai bên.
╔══ CẢNH BÁO — KHÔNG tính lỗi: 3 tiêu chí — 2.10, 3.2, 3.4
    (ô ghi 'Pass', tô vàng nhạt. Chưa sai kết quả, nhưng nếu job chạy chậm thì xem lại đúng các chỗ này để tối ưu)
▼ 2.10 — Aggregation kèm filter date range chính xác
   • Ghi nhận: 16 khối tổng hợp không thấy filter theo ngày/tham số: sat_account, sat_loans, sat_collateral, sat_forex, sat_lc, sat_limit
   → Nếu cần tối ưu: Mỗi khối SUM/COUNT/AVG phải có điều kiện lọc theo kỳ dữ liệu (CDR_DT_ID, DATA_DATE, :DATADT…). Nếu điều kiện nằm ở CTE nguồn thì ghi rõ trong comment để người review không phải truy ngược.
▼ 3.2 — CTE không bị scan lại nhiều lần
   • Ghi nhận: CTE bị tham chiếu lại nhiều lần: sts_account x2, sat_account x2
   → Nếu cần tối ưu: Với CTE nặng (đọc nhiều bảng Silver) bị tham chiếu từ 2 chỗ trở lên: gom lại còn một lần dùng, hoặc vật chất hóa (CACHE / bảng tạm). CTE nhẹ chỉ chứa tham số thì bỏ qua được — tự tick Pass.
▼ 3.4 — Sử dụng CACHE cho query lặp lại trong cùng luồng
   • Ghi nhận: 2 CTE nặng dùng lại &gt;= 2 lần mà không có CACHE: sat_account, sts_account
   → Nếu cần tối ưu: Nếu một kết quả nặng được dùng lại nhiều bước trong cùng luồng, thêm CACHE TABLE / CACHE SELECT. Kết quả nhỏ thì cache còn chậm hơn — tự tick Pass.</t>
  </si>
  <si>
    <t>TCKH.BRANCH_LIST</t>
  </si>
  <si>
    <t xml:space="preserve">
╔══ CẢNH BÁO — KHÔNG tính lỗi: 1 tiêu chí — X.8
    (ô ghi 'Pass', tô vàng nhạt. Chưa sai kết quả, nhưng nếu job chạy chậm thì xem lại đúng các chỗ này để tối ưu)
▼ X.8 — [Bổ sung] JOIN SCHEMA trong thiết kế khớp bảng nguồn trong SQL   [không tính điểm OCB]
   • Ghi nhận: SQL đọc 1 bảng mà JOIN SCHEMA không khai báo: ['CB_OU_DIM']
   → Nếu cần tối ưu: Bảng khai báo ở block JOIN SCHEMA của workbook phải xuất hiện trong SQL và ngược lại. Lệch tên (thiếu tiền tố TB_, sai chính tả) nghĩa là thiết kế và code đi hai đường — phải xác nhận tên bảng thật rồi sửa một trong hai bên.</t>
  </si>
  <si>
    <t>TCKH.CB_OU_DIM</t>
  </si>
  <si>
    <t>╔══ FAIL: 3 tiêu chí — 2.5, 2.6, 3.1
▼ 2.5 — Không lặp lại lỗi logic cũ đã được DA Data Vault fix
   • Lý do: lặp lại 2 lỗi DA Data Vault đã nêu ở Issue log: Issue#4 surrogate key DIM sinh bang MAX(&lt;DIM_ID&gt;) + ROW_NUMBER (trung khi chay song song) @ dòng [5]; Issue#4 COALESCE(MAX(&lt;DIM_ID&gt;),0) lam moc tang dan cho surrogate key @ dòng [97]
   → Cách sửa: 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
▼ 2.6 — SCD Type 2 cho bảng DIM áp dụng đúng kỹ thuật đã thống nhất
   • Lý do: dùng antipattern MAX(ID) + ROW_NUMBER để sinh surrogate key ở dòng [5, 130] (Issue log #4)
   → Cách sửa: 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
▼ 3.1 — Không SELECT *
   • Lý do: có 2 lần SELECT * ở dòng [165, 167]
   → Cách sửa: Liệt kê tường minh các cột cần dùng, kể cả trong CTE trung gian. SELECT * làm tăng IO/memory và vỡ script khi bảng nguồn thêm cột.
╔══ CẢNH BÁO — KHÔNG tính lỗi: 5 tiêu chí — 2.10, 3.2, 3.3, 3.4, 3.6
    (ô ghi 'Pass', tô vàng nhạt. Chưa sai kết quả, nhưng nếu job chạy chậm thì xem lại đúng các chỗ này để tối ưu)
▼ 2.10 — Aggregation kèm filter date range chính xác
   • Ghi nhận: 1 khối tổng hợp không thấy filter theo ngày/tham số: max_id
   → Nếu cần tối ưu: Mỗi khối SUM/COUNT/AVG phải có điều kiện lọc theo kỳ dữ liệu (CDR_DT_ID, DATA_DATE, :DATADT…). Nếu điều kiện nằm ở CTE nguồn thì ghi rõ trong comment để người review không phải truy ngược.
▼ 3.2 — CTE không bị scan lại nhiều lần
   • Ghi nhận: CTE bị tham chiếu lại nhiều lần: hub_active x2, sat_latest x2, source_data x3, changed x2
   → Nếu cần tối ưu: Với CTE nặng (đọc nhiều bảng Silver) bị tham chiếu từ 2 chỗ trở lên: gom lại còn một lần dùng, hoặc vật chất hóa (CACHE / bảng tạm). CTE nhẹ chỉ chứa tham số thì bỏ qua được — tự tick Pass.
▼ 3.3 — Filter trước khi join, tận dụng partition pruning
   • Ghi nhận: 1 bảng join trực tiếp mà không có filter riêng: ou_area_mapping (am)
   → Nếu cần tối ưu: Đưa điều kiện lọc (ngày dữ liệu, trạng thái) vào subquery của từng bảng TRƯỚC khi join, để tận dụng partition pruning. Bảng dim nhỏ không partition thì không cần — tự tick Pass.
▼ 3.4 — Sử dụng CACHE cho query lặp lại trong cùng luồng
   • Ghi nhận: 4 CTE nặng dùng lại &gt;= 2 lần mà không có CACHE: changed, hub_active, sat_latest, source_data
   → Nếu cần tối ưu: Nếu một kết quả nặng được dùng lại nhiều bước trong cùng luồng, thêm CACHE TABLE / CACHE SELECT. Kết quả nhỏ thì cache còn chậm hơn — tự tick Pass.
▼ 3.6 — Không lạm dụng window function; có comment khi dùng
   • Ghi nhận: 1/1 window function không có comment giải thích, ở dòng [130]
   → Nếu cần tối ưu: Mỗi window function cần một comment ngay trên khối CTE chứa nó, nói rõ vì sao không dùng được max_by/QUALIFY đơn giản hơn.
╔══ CHƯA CÓ SỐ LIỆU: 2 tiêu chí — 2.7, 2.9
    (chưa có con số để kết luận, sẽ có sau khi UAT test; đang ghi tạm Pass — cập nhật lại ô sau khi có số)
▼ 2.7 — CASE WHEN cover đủ nhánh như job on-prem
   • Hiện trạng: có 1 CASE, trong đó 0 CASE không có nhánh ELSE (trả NULL âm thầm)
   • Hiện trạng: chưa so từng nhánh WHEN với job on-prem
   → Cần làm: Mở job on-prem tương ứng (DataStage DSX hoặc SQL cũ), đối chiếu từng nhánh WHEN và cả nhánh ELSE. CASE không có ELSE sẽ trả NULL âm thầm — xác nhận đó là ý muốn hay thiếu nhánh.
▼ 2.9 — Subquery / custom function / điều kiện LIKE đúng ý nghĩa nghiệp vụ
   • Hiện trạng: 2 subquery nằm trong điều kiện
   • Hiện trạng: chỉ kiểm được cú pháp; ý nghĩa nghiệp vụ cần đối chiếu job on-prem
   → Cần làm: Đọc lại từng điều kiện LIKE và từng subquery, đối chiếu ý nghĩa nghiệp vụ với on-prem — đúng cú pháp không đủ. Chú ý pattern LIKE có ký tự % ở đầu/cuối và phân biệt chữ hoa/thường.</t>
  </si>
  <si>
    <t>TCKH.CST_DIM_NEW</t>
  </si>
  <si>
    <t>╔══ FAIL: 5 tiêu chí — 2.4, 2.12, X.3, X.4, X.8
▼ 2.4 — source_event_date áp dụng đúng dạng theo loại bảng
   • Lý do: sat_customer_contact (dong 59): dùng = :DATADT nhưng KHÔNG thuộc danh sách 49 bảng transaction, sẽ bỏ sót bản ghi mới nhất nằm trước ngày chạy (Issue log #1)
   • Lý do: sat_customer_contact (dong 59): dùng = :DATADT nhưng KHÔNG thuộc danh sách 49 bảng transaction, sẽ bỏ sót bản ghi mới nhất nằm trước ngày chạy (Issue log #1)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2.12 — Build Gold từ CTE snapshot Silver, không build nhiều tầng chồng chéo
   • Lý do: bảng Silver bị đọc ở nhiều khối SELECT khác nhau thay vì snapshot 1 CTE: raw_vault.sat_customer_contact ở 2 khối
   → Cách sửa: Mỗi bảng Silver chỉ đọc MỘT lần, snapshot vào một CTE ở đầu script rồi dùng lại. Đọc trực tiếp cùng một bảng raw_vault ở 2 chỗ khác nhau làm lệch thời điểm dữ liệu giữa các phần của cùng một script.
▼ X.3 — [Bổ sung] INSERT INTO phải liệt kê cột khớp DDL   [không tính điểm OCB]
   • Lý do: 1 câu INSERT không liệt kê cột, ở dòng [36]
   → Cách sửa: Viết INSERT INTO &lt;bảng&gt; (COT_1, COT_2, ...) SELECT ... Nếu không liệt kê cột, chỉ cần thêm một cột vào DDL là toàn bộ dữ liệu lệch cột mà không có lỗi nào báo ra.
▼ X.4 — [Bổ sung] Idempotent: có DELETE/TRUNCATE khớp khóa trước INSERT   [không tính điểm OCB]
   • Lý do: có INSERT mà không có DELETE/TRUNCATE, chạy lại lần 2 sẽ nhân đôi dữ liệu
   → Cách sửa: Trước INSERT phải có DELETE theo đúng khóa kỳ dữ liệu (hoặc TRUNCATE / INSERT OVERWRITE) để chạy lại không nhân đôi dữ liệu. Chú ý khóa DELETE phải là khóa thực sự phân vùng dữ liệu — ví dụ RT_PL_DTL_ADJ đổi CDR_DT_ID nên phải DELETE theo PST_ENTR_DT.
▼ X.8 — [Bổ sung] JOIN SCHEMA trong thiết kế khớp bảng nguồn trong SQL   [không tính điểm OCB]
   • Lý do: 8/8 bảng khai báo trong JOIN SCHEMA nhưng KHÔNG thấy trong SQL: ['cust_active (CTE)', 'sts_deleted (CTE)', 'sat_info (CTE)', 'sat_kyc (CTE)', 'sat_cls (CTE)', 'cte_pst (CTE)']
   → Cách sửa: Bảng khai báo ở block JOIN SCHEMA của workbook phải xuất hiện trong SQL và ngược lại. Lệch tên (thiếu tiền tố TB_, sai chính tả) nghĩa là thiết kế và code đi hai đường — phải xác nhận tên bảng thật rồi sửa một trong hai bên.
╔══ CHƯA CÓ SỐ LIỆU: 1 tiêu chí — 2.7
    (chưa có con số để kết luận, sẽ có sau khi UAT test; đang ghi tạm Pass — cập nhật lại ô sau khi có số)
▼ 2.7 — CASE WHEN cover đủ nhánh như job on-prem
   • Hiện trạng: có 1 CASE, trong đó 0 CASE không có nhánh ELSE (trả NULL âm thầm)
   • Hiện trạng: chưa so từng nhánh WHEN với job on-prem
   → Cần làm: Mở job on-prem tương ứng (DataStage DSX hoặc SQL cũ), đối chiếu từng nhánh WHEN và cả nhánh ELSE. CASE không có ELSE sẽ trả NULL âm thầm — xác nhận đó là ý muốn hay thiếu nhánh.</t>
  </si>
  <si>
    <t>TCKH.FTP_CONTRACT_HIST</t>
  </si>
  <si>
    <t>Đạt toàn bộ tiêu chí.</t>
  </si>
  <si>
    <t>TCKH.FTP_RATE_LIST_HIST</t>
  </si>
  <si>
    <t>╔══ FAIL: 1 tiêu chí — X.9
▼ X.9 — [Bổ sung] Mọi bảng phải dev lại từ Silver   [không tính điểm OCB]
   • Lý do: 1 nguồn nằm trong lượt chạy nhưng KHÔNG truy được về Silver: ['ftp_rate_list_hist']
   • Lý do: nếu là bảng upload/thủ công thì khai ở cột NOTE của JOIN SCHEMA trong workbook
   → Cách sửa: Quy định đã chốt: tất cả bảng Gold đều dev lại từ Silver. Script phải đọc raw_vault/business_vault, hoặc đọc bảng Gold khác mà bảng đó cũng dev từ Silver (tool truy theo chuỗi, ví dụ v_cdtk_daily → holiday → calendar). Bảng upload/thủ công (có DDL + data nạp tay) LÀ nguồn hợp lệ, nhưng phải khai rõ ở cột NOTE của dòng JOIN SCHEMA tương ứng, ví dụ "TABLE upload thu cong (khong qua ETL/Silver)" — khai rồi thì tool tự chấp nhận. Không khai thì tool không phân biệt được với trường hợp quên dev từ Silver. Lưu ý tên bảng trong SQL phải khớp tên khai ở JOIN SCHEMA, lệch một ký tự là không ghép được.</t>
  </si>
  <si>
    <t>TCKH.GL_ACCT_DIM</t>
  </si>
  <si>
    <t>BAOANH</t>
  </si>
  <si>
    <t>╔══ FAIL: 1 tiêu chí — 2.6
▼ 2.6 — SCD Type 2 cho bảng DIM áp dụng đúng kỹ thuật đã thống nhất
   • Lý do: không dùng APPLY CHANGES ... SCD TYPE 2 và cũng không có cột effective_date/end_date/current_flag để tự quản hiệu lực
   → Cách sửa: 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</si>
  <si>
    <t>GSTX.GSTX_INTF_DUPL_CIF</t>
  </si>
  <si>
    <t>Huy</t>
  </si>
  <si>
    <t xml:space="preserve">
╔══ CHƯA CÓ SỐ LIỆU: 20 tiêu chí — 1.1, 1.2, 2.1, 2.2, 2.3, 2.4, 2.5, 2.6, 2.7, 2.8, 2.9, 2.10, 2.11, 2.12, 3.1, 3.2, 3.3, 3.4, 3.5, 3.6
    (chưa có con số để kết luận, sẽ có sau khi UAT test; đang ghi tạm Pass — cập nhật lại ô sau khi có số)
▼ 1.1 — Đầy đủ mapping từ Silver/manual sang Gold
   • Hiện trạng: TAM HOAN CHAM - schema 'gstx' chua ton tai tren moi truong nen chua deploy/test duoc - tam hoan cham, phai cham lai sau khi tao schema
   → Cần làm: Mở workbook thiết kế, đối chiếu block FIELD MAPPING với danh sách cột trong câu SELECT/INSERT của file SQL. Cột nào thiếu thì bổ sung vào SQL; cột nào SQL có mà thiết kế không có thì bổ sung vào workbook hoặc bỏ khỏi SQL.
▼ 1.2 — Danh sách bảng/view Gold khớp tài liệu thiết kế đã duyệt
   • Hiện trạng: TAM HOAN CHAM - schema 'gstx' chua ton tai tren moi truong nen chua deploy/test duoc - tam hoan cham, phai cham lai sau khi tao schema
   → Cần làm: Đảm bảo object có workbook thiết kế tương ứng trong thư mục --mapping-dir. Muốn đối chiếu với danh sách đã duyệt thì chạy thêm tham số --gold-list "&lt;file danh sách Gold&gt;.xlsx".
▼ 2.1 — Chỉ lấy bản ghi active, loại bản ghi đã xóa (qua sts_hub)
   • Hiện trạng: TAM HOAN CHAM - schema 'gstx' chua ton tai tren moi truong nen chua deploy/test duoc - tam hoan cham, phai cham lai sau khi tao schema
   → Cần làm: 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
▼ 2.2 — Thống nhất MỘT pattern duy nhất xác định bản ghi active mới nhất
   • Hiện trạng: TAM HOAN CHAM - schema 'gstx' chua ton tai tren moi truong nen chua deploy/test duoc - tam hoan cham, phai cham lai sau khi tao schema
   → Cần làm: 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
▼ 2.3 — Điều kiện lọc trạng thái đặt SAU khi xác định bản ghi mới nhất
   • Hiện trạng: TAM HOAN CHAM - schema 'gstx' chua ton tai tren moi truong nen chua deploy/test duoc - tam hoan cham, phai cham lai sau khi tao schema
   → Cần làm: 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
▼ 2.4 — source_event_date áp dụng đúng dạng theo loại bảng
   • Hiện trạng: TAM HOAN CHAM - schema 'gstx' chua ton tai tren moi truong nen chua deploy/test duoc - tam hoan cham, phai cham lai sau khi tao schema
   → Cần làm: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2.5 — Không lặp lại lỗi logic cũ đã được DA Data Vault fix
   • Hiện trạng: TAM HOAN CHAM - schema 'gstx' chua ton tai tren moi truong nen chua deploy/test duoc - tam hoan cham, phai cham lai sau khi tao schema
   → Cần làm: 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
▼ 2.6 — SCD Type 2 cho bảng DIM áp dụng đúng kỹ thuật đã thống nhất
   • Hiện trạng: TAM HOAN CHAM - schema 'gstx' chua ton tai tren moi truong nen chua deploy/test duoc - tam hoan cham, phai cham lai sau khi tao schema
   → Cần làm: 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
▼ 2.7 — CASE WHEN cover đủ nhánh như job on-prem
   • Hiện trạng: TAM HOAN CHAM - schema 'gstx' chua ton tai tren moi truong nen chua deploy/test duoc - tam hoan cham, phai cham lai sau khi tao schema
   → Cần làm: Mở job on-prem tương ứng (DataStage DSX hoặc SQL cũ), đối chiếu từng nhánh WHEN và cả nhánh ELSE. CASE không có ELSE sẽ trả NULL âm thầm — xác nhận đó là ý muốn hay thiếu nhánh.
▼ 2.8 — Cột SUM/COUNT được COALESCE/NVL hợp lý
   • Hiện trạng: TAM HOAN CHAM - schema 'gstx' chua ton tai tren moi truong nen chua deploy/test duoc - tam hoan cham, phai cham lai sau khi tao schema
   → Cần làm: Bọc COALESCE(SUM(...), 0) cho các cột tổng hợp cần trả 0 khi không có dòng. Nếu code cũ không bọc thì giữ nguyên logic nhưng khi đối soát số liệu với hệ thống cũ phải bọc NVL/ISNULL ở CẢ HAI phía để không lệch khi trừ.
▼ 2.9 — Subquery / custom function / điều kiện LIKE đúng ý nghĩa nghiệp vụ
   • Hiện trạng: TAM HOAN CHAM - schema 'gstx' chua ton tai tren moi truong nen chua deploy/test duoc - tam hoan cham, phai cham lai sau khi tao schema
   → Cần làm: Đọc lại từng điều kiện LIKE và từng subquery, đối chiếu ý nghĩa nghiệp vụ với on-prem — đúng cú pháp không đủ. Chú ý pattern LIKE có ký tự % ở đầu/cuối và phân biệt chữ hoa/thường.
▼ 2.10 — Aggregation kèm filter date range chính xác
   • Hiện trạng: TAM HOAN CHAM - schema 'gstx' chua ton tai tren moi truong nen chua deploy/test duoc - tam hoan cham, phai cham lai sau khi tao schema
   → Cần làm: Mỗi khối SUM/COUNT/AVG phải có điều kiện lọc theo kỳ dữ liệu (CDR_DT_ID, DATA_DATE, :DATADT…). Nếu điều kiện nằm ở CTE nguồn thì ghi rõ trong comment để người review không phải truy ngược.
▼ 2.11 — Join dùng key hợp lý, không lạm dụng UNION ALL + EXISTS/NOT EXISTS
   • Hiện trạng: TAM HOAN CHAM - schema 'gstx' chua ton tai tren moi truong nen chua deploy/test duoc - tam hoan cham, phai cham lai sau khi tao schema
   → Cần làm: Ưu tiên LEFT JOIN theo business key hoặc hashkey. Xem lại các chỗ dùng UNION ALL kết hợp EXISTS/NOT EXISTS — thường thay được bằng một LEFT JOIN. Join không có điều kiện bằng (=) dễ tạo tích Descartes.
▼ 2.12 — Build Gold từ CTE snapshot Silver, không build nhiều tầng chồng chéo
   • Hiện trạng: TAM HOAN CHAM - schema 'gstx' chua ton tai tren moi truong nen chua deploy/test duoc - tam hoan cham, phai cham lai sau khi tao schema
   → Cần làm: Mỗi bảng Silver chỉ đọc MỘT lần, snapshot vào một CTE ở đầu script rồi dùng lại. Đọc trực tiếp cùng một bảng raw_vault ở 2 chỗ khác nhau làm lệch thời điểm dữ liệu giữa các phần của cùng một script.
▼ 3.1 — Không SELECT *
   • Hiện trạng: TAM HOAN CHAM - schema 'gstx' chua ton tai tren moi truong nen chua deploy/test duoc - tam hoan cham, phai cham lai sau khi tao schema
   → Cần làm: Liệt kê tường minh các cột cần dùng, kể cả trong CTE trung gian. SELECT * làm tăng IO/memory và vỡ script khi bảng nguồn thêm cột.
▼ 3.2 — CTE không bị scan lại nhiều lần
   • Hiện trạng: TAM HOAN CHAM - schema 'gstx' chua ton tai tren moi truong nen chua deploy/test duoc - tam hoan cham, phai cham lai sau khi tao schema
   → Cần làm: Với CTE nặng (đọc nhiều bảng Silver) bị tham chiếu từ 2 chỗ trở lên: gom lại còn một lần dùng, hoặc vật chất hóa (CACHE / bảng tạm). CTE nhẹ chỉ chứa tham số thì bỏ qua được — tự tick Pass.
▼ 3.3 — Filter trước khi join, tận dụng partition pruning
   • Hiện trạng: TAM HOAN CHAM - schema 'gstx' chua ton tai tren moi truong nen chua deploy/test duoc - tam hoan cham, phai cham lai sau khi tao schema
   → Cần làm: Đưa điều kiện lọc (ngày dữ liệu, trạng thái) vào subquery của từng bảng TRƯỚC khi join, để tận dụng partition pruning. Bảng dim nhỏ không partition thì không cần — tự tick Pass.
▼ 3.4 — Sử dụng CACHE cho query lặp lại trong cùng luồng
   • Hiện trạng: TAM HOAN CHAM - schema 'gstx' chua ton tai tren moi truong nen chua deploy/test duoc - tam hoan cham, phai cham lai sau khi tao schema
   → Cần làm: Nếu một kết quả nặng được dùng lại nhiều bước trong cùng luồng, thêm CACHE TABLE / CACHE SELECT. Kết quả nhỏ thì cache còn chậm hơn — tự tick Pass.
▼ 3.5 — Ưu tiên MAX_BY + QUALIFY thay ROW_NUMBER() + WHERE rn = 1
   • Hiện trạng: TAM HOAN CHAM - schema 'gstx' chua ton tai tren moi truong nen chua deploy/test duoc - tam hoan cham, phai cham lai sau khi tao schema
   → Cần làm: 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
▼ 3.6 — Không lạm dụng window function; có comment khi dùng
   • Hiện trạng: TAM HOAN CHAM - schema 'gstx' chua ton tai tren moi truong nen chua deploy/test duoc - tam hoan cham, phai cham lai sau khi tao schema
   → Cần làm: Mỗi window function cần một comment ngay trên khối CTE chứa nó, nói rõ vì sao không dùng được max_by/QUALIFY đơn giản hơn.</t>
  </si>
  <si>
    <t>GSTX.GSTX_INTF_NOT_UPLOADED_CIF</t>
  </si>
  <si>
    <t>TCKH.HOLIDAY</t>
  </si>
  <si>
    <t>TCKH.LD_FTP_RATE</t>
  </si>
  <si>
    <t>╔══ FAIL: 1 tiêu chí — X.8
▼ X.8 — [Bổ sung] JOIN SCHEMA trong thiết kế khớp bảng nguồn trong SQL   [không tính điểm OCB]
   • Lý do: 1/1 bảng khai báo trong JOIN SCHEMA nhưng KHÔNG thấy trong SQL: ['V_LD_FTP_RATE']
   → Cách sửa: Bảng khai báo ở block JOIN SCHEMA của workbook phải xuất hiện trong SQL và ngược lại. Lệch tên (thiếu tiền tố TB_, sai chính tả) nghĩa là thiết kế và code đi hai đường — phải xác nhận tên bảng thật rồi sửa một trong hai bên.</t>
  </si>
  <si>
    <t>TCKH.OPEX_DTL</t>
  </si>
  <si>
    <t>╔══ FAIL: 1 tiêu chí — X.3
▼ X.3 — [Bổ sung] INSERT INTO phải liệt kê cột khớp DDL   [không tính điểm OCB]
   • Lý do: 1 câu INSERT không liệt kê cột, ở dòng [16]
   → Cách sửa: Viết INSERT INTO &lt;bảng&gt; (COT_1, COT_2, ...) SELECT ... Nếu không liệt kê cột, chỉ cần thêm một cột vào DDL là toàn bộ dữ liệu lệch cột mà không có lỗi nào báo ra.</t>
  </si>
  <si>
    <t>SECTOR_LIST</t>
  </si>
  <si>
    <t xml:space="preserve">
╔══ CẢNH BÁO — KHÔNG tính lỗi: 1 tiêu chí — X.7
    (ô ghi 'Pass', tô vàng nhạt. Chưa sai kết quả, nhưng nếu job chạy chậm thì xem lại đúng các chỗ này để tối ưu)
▼ X.7 — [Bổ sung] Không hard-code catalog, dùng biến môi trường   [không tính điểm OCB]
   • Ghi nhận: hard-code catalog ['ocb_datavault_dev_curated'], deploy sang môi trường khác phải sửa tay từng file
   → Nếu cần tối ưu: Thay tên catalog cứng bằng IDENTIFIER(:cleaned || '.raw_vault.&lt;bảng&gt;') / IDENTIFIER(:curated || '.tckh.&lt;bảng&gt;'), hoặc ${cleaned_catalog} / ${curated_catalog} trong Lakeflow Declarative Pipeline. Hard-code thì deploy sang môi trường khác phải sửa tay từng file.</t>
  </si>
  <si>
    <t>TCKH.T24_CRB</t>
  </si>
  <si>
    <t>PHAT</t>
  </si>
  <si>
    <t>╔══ FAIL: 2 tiêu chí — 2.4, X.3
▼ 2.4 — source_event_date áp dụng đúng dạng theo loại bảng
   • Lý do: sat_crb_information (dong 79): là bảng transaction nên phải dùng source_event_date = :DATADT, đang dùng &lt;=
   • Lý do: sat_crb_balance (dong 93):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X.3 — [Bổ sung] INSERT INTO phải liệt kê cột khớp DDL   [không tính điểm OCB]
   • Lý do: 1 câu INSERT không liệt kê cột, ở dòng [39]
   → Cách sửa: Viết INSERT INTO &lt;bảng&gt; (COT_1, COT_2, ...) SELECT ... Nếu không liệt kê cột, chỉ cần thêm một cột vào DDL là toàn bộ dữ liệu lệch cột mà không có lỗi nào báo ra.
╔══ CẢNH BÁO — KHÔNG tính lỗi: 3 tiêu chí — 3.2, 3.3, 3.4
    (ô ghi 'Pass', tô vàng nhạt. Chưa sai kết quả, nhưng nếu job chạy chậm thì xem lại đúng các chỗ này để tối ưu)
▼ 3.2 — CTE không bị scan lại nhiều lần
   • Ghi nhận: CTE bị tham chiếu lại nhiều lần: crb_sts_del x2
   → Nếu cần tối ưu: Với CTE nặng (đọc nhiều bảng Silver) bị tham chiếu từ 2 chỗ trở lên: gom lại còn một lần dùng, hoặc vật chất hóa (CACHE / bảng tạm). CTE nhẹ chỉ chứa tham số thì bỏ qua được — tự tick Pass.
▼ 3.3 — Filter trước khi join, tận dụng partition pruning
   • Ghi nhận: 2 bảng join trực tiếp mà không có filter riêng: hub_branch (hb), hub_customer (hc)
   → Nếu cần tối ưu: Đưa điều kiện lọc (ngày dữ liệu, trạng thái) vào subquery của từng bảng TRƯỚC khi join, để tận dụng partition pruning. Bảng dim nhỏ không partition thì không cần — tự tick Pass.
▼ 3.4 — Sử dụng CACHE cho query lặp lại trong cùng luồng
   • Ghi nhận: 1 CTE nặng dùng lại &gt;= 2 lần mà không có CACHE: crb_sts_del
   → Nếu cần tối ưu: Nếu một kết quả nặng được dùng lại nhiều bước trong cùng luồng, thêm CACHE TABLE / CACHE SELECT. Kết quả nhỏ thì cache còn chậm hơn — tự tick Pass.</t>
  </si>
  <si>
    <t>TCKH.T24_CUSTOMER</t>
  </si>
  <si>
    <t>╔══ FAIL: 1 tiêu chí — X.3
▼ X.3 — [Bổ sung] INSERT INTO phải liệt kê cột khớp DDL   [không tính điểm OCB]
   • Lý do: 1 câu INSERT không liệt kê cột, ở dòng [60]
   → Cách sửa: Viết INSERT INTO &lt;bảng&gt; (COT_1, COT_2, ...) SELECT ... Nếu không liệt kê cột, chỉ cần thêm một cột vào DDL là toàn bộ dữ liệu lệch cột mà không có lỗi nào báo ra.
╔══ CẢNH BÁO — KHÔNG tính lỗi: 3 tiêu chí — 3.2, 3.3, 3.4
    (ô ghi 'Pass', tô vàng nhạt. Chưa sai kết quả, nhưng nếu job chạy chậm thì xem lại đúng các chỗ này để tối ưu)
▼ 3.2 — CTE không bị scan lại nhiều lần
   • Ghi nhận: CTE bị tham chiếu lại nhiều lần: cust_sts_del x2
   → Nếu cần tối ưu: Với CTE nặng (đọc nhiều bảng Silver) bị tham chiếu từ 2 chỗ trở lên: gom lại còn một lần dùng, hoặc vật chất hóa (CACHE / bảng tạm). CTE nhẹ chỉ chứa tham số thì bỏ qua được — tự tick Pass.
▼ 3.3 — Filter trước khi join, tận dụng partition pruning
   • Ghi nhận: 7 bảng join trực tiếp mà không có filter riêng: hub_acct_officer (ha), hub_branch (hb), sat_customer_classification (scl), sat_customer_contact (sc), sat_customer_financial_statement (sf), sat_customer_information (si), sat_customer_kyc (sk)
   → Nếu cần tối ưu: Đưa điều kiện lọc (ngày dữ liệu, trạng thái) vào subquery của từng bảng TRƯỚC khi join, để tận dụng partition pruning. Bảng dim nhỏ không partition thì không cần — tự tick Pass.
▼ 3.4 — Sử dụng CACHE cho query lặp lại trong cùng luồng
   • Ghi nhận: 1 CTE nặng dùng lại &gt;= 2 lần mà không có CACHE: cust_sts_del
   → Nếu cần tối ưu: Nếu một kết quả nặng được dùng lại nhiều bước trong cùng luồng, thêm CACHE TABLE / CACHE SELECT. Kết quả nhỏ thì cache còn chậm hơn — tự tick Pass.</t>
  </si>
  <si>
    <t>TCKH.T24_USER</t>
  </si>
  <si>
    <t>╔══ FAIL: 1 tiêu chí — X.3
▼ X.3 — [Bổ sung] INSERT INTO phải liệt kê cột khớp DDL   [không tính điểm OCB]
   • Lý do: 1 câu INSERT không liệt kê cột, ở dòng [52]
   → Cách sửa: Viết INSERT INTO &lt;bảng&gt; (COT_1, COT_2, ...) SELECT ... Nếu không liệt kê cột, chỉ cần thêm một cột vào DDL là toàn bộ dữ liệu lệch cột mà không có lỗi nào báo ra.</t>
  </si>
  <si>
    <t>TTDL.TBL_BPM_QLNS</t>
  </si>
  <si>
    <t>LINH</t>
  </si>
  <si>
    <t>TTDL.TBL_BPM_TCDV</t>
  </si>
  <si>
    <t>TTDL.TBL_BPM_TCDV_KV</t>
  </si>
  <si>
    <t>TTDL.TBL_BPM_TCDV_LINK</t>
  </si>
  <si>
    <t>TCKH.TXN_TP_DIM</t>
  </si>
  <si>
    <t>╔══ FAIL: 1 tiêu chí — 2.6
▼ 2.6 — SCD Type 2 cho bảng DIM áp dụng đúng kỹ thuật đã thống nhất
   • Lý do: không dùng APPLY CHANGES ... SCD TYPE 2 và cũng không có cột effective_date/end_date/current_flag để tự quản hiệu lực
   → Cách sửa: 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
╔══ CHƯA CÓ SỐ LIỆU: 1 tiêu chí — 2.7
    (chưa có con số để kết luận, sẽ có sau khi UAT test; đang ghi tạm Pass — cập nhật lại ô sau khi có số)
▼ 2.7 — CASE WHEN cover đủ nhánh như job on-prem
   • Hiện trạng: có 2 CASE, trong đó 0 CASE không có nhánh ELSE (trả NULL âm thầm)
   • Hiện trạng: chưa so từng nhánh WHEN với job on-prem
   → Cần làm: Mở job on-prem tương ứng (DataStage DSX hoặc SQL cũ), đối chiếu từng nhánh WHEN và cả nhánh ELSE. CASE không có ELSE sẽ trả NULL âm thầm — xác nhận đó là ý muốn hay thiếu nhánh.</t>
  </si>
  <si>
    <t>TCKH.V_BRANCH_LIST</t>
  </si>
  <si>
    <t>TCKH.V_CDR_AMT</t>
  </si>
  <si>
    <t>QUANG</t>
  </si>
  <si>
    <t xml:space="preserve">
╔══ CẢNH BÁO — KHÔNG tính lỗi: 1 tiêu chí — 2.10
    (ô ghi 'Pass', tô vàng nhạt. Chưa sai kết quả, nhưng nếu job chạy chậm thì xem lại đúng các chỗ này để tối ưu)
▼ 2.10 — Aggregation kèm filter date range chính xác
   • Ghi nhận: 1 khối tổng hợp không thấy filter theo ngày/tham số: SELECT tu V_ENTRY_STMT_QUYMO
   → Nếu cần tối ưu: Mỗi khối SUM/COUNT/AVG phải có điều kiện lọc theo kỳ dữ liệu (CDR_DT_ID, DATA_DATE, :DATADT…). Nếu điều kiện nằm ở CTE nguồn thì ghi rõ trong comment để người review không phải truy ngược.
╔══ CHƯA CÓ SỐ LIỆU: 2 tiêu chí — 2.7, 2.8
    (chưa có con số để kết luận, sẽ có sau khi UAT test; đang ghi tạm Pass — cập nhật lại ô sau khi có số)
▼ 2.7 — CASE WHEN cover đủ nhánh như job on-prem
   • Hiện trạng: có 4 CASE, trong đó 0 CASE không có nhánh ELSE (trả NULL âm thầm)
   • Hiện trạng: chưa so từng nhánh WHEN với job on-prem
   → Cần làm: Mở job on-prem tương ứng (DataStage DSX hoặc SQL cũ), đối chiếu từng nhánh WHEN và cả nhánh ELSE. CASE không có ELSE sẽ trả NULL âm thầm — xác nhận đó là ý muốn hay thiếu nhánh.
▼ 2.8 — Cột SUM/COUNT được COALESCE/NVL hợp lý
   • Hiện trạng: 4 biểu thức tổng hợp chưa coalesce: CDR_AMT_DEC = SUM(A.AMT_DEC); CDR_AMT_EQ_DEC = SUM(A.AMT_EQ_DEC); CDR_AMT_EQ_INCR = SUM(A.AMT_EQ_INCR); CDR_AMT_INCR = SUM(A.AMT_INCR)
   • Hiện trạng: khi đối soát với hệ thống cũ phải bọc NVL/ISNULL CẢ HAI phía để không lệch khi trừ (Checklist RVN-OCB #11)
   → Cần làm: Bọc COALESCE(SUM(...), 0) cho các cột tổng hợp cần trả 0 khi không có dòng. Nếu code cũ không bọc thì giữ nguyên logic nhưng khi đối soát số liệu với hệ thống cũ phải bọc NVL/ISNULL ở CẢ HAI phía để không lệch khi trừ.</t>
  </si>
  <si>
    <t>TCKH.V_CDTK_DAILY</t>
  </si>
  <si>
    <t xml:space="preserve">
╔══ CẢNH BÁO — KHÔNG tính lỗi: 1 tiêu chí — X.9
    (ô ghi 'Pass', tô vàng nhạt. Chưa sai kết quả, nhưng nếu job chạy chậm thì xem lại đúng các chỗ này để tối ưu)
▼ X.9 — [Bổ sung] Mọi bảng phải dev lại từ Silver   [không tính điểm OCB]
   • Ghi nhận: 1 nguồn nằm trong lượt chạy nhưng KHÔNG truy được về Silver: ['v_cdtk_daily_1']
   • Ghi nhận: nếu là bảng upload/thủ công thì khai ở cột NOTE của JOIN SCHEMA trong workbook
   → Nếu cần tối ưu: Quy định đã chốt: tất cả bảng Gold đều dev lại từ Silver. Script phải đọc raw_vault/business_vault, hoặc đọc bảng Gold khác mà bảng đó cũng dev từ Silver (tool truy theo chuỗi, ví dụ v_cdtk_daily → holiday → calendar). Bảng upload/thủ công (có DDL + data nạp tay) LÀ nguồn hợp lệ, nhưng phải khai rõ ở cột NOTE của dòng JOIN SCHEMA tương ứng, ví dụ "TABLE upload thu cong (khong qua ETL/Silver)" — khai rồi thì tool tự chấp nhận. Không khai thì tool không phân biệt được với trường hợp quên dev từ Silver. Lưu ý tên bảng trong SQL phải khớp tên khai ở JOIN SCHEMA, lệch một ký tự là không ghép được.</t>
  </si>
  <si>
    <t>TCKH.V_CDTK_DAILY_1</t>
  </si>
  <si>
    <t>TCKH.V_CREDIT_LIMIT</t>
  </si>
  <si>
    <t>╔══ FAIL: 1 tiêu chí — X.8
▼ X.8 — [Bổ sung] JOIN SCHEMA trong thiết kế khớp bảng nguồn trong SQL   [không tính điểm OCB]
   • Lý do: 1/6 bảng khai báo trong JOIN SCHEMA nhưng KHÔNG thấy trong SQL: ['sat_ranked'] (bỏ qua 5 dòng thiết kế ghi subquery inline thay vì tên bảng)
   → Cách sửa: Bảng khai báo ở block JOIN SCHEMA của workbook phải xuất hiện trong SQL và ngược lại. Lệch tên (thiếu tiền tố TB_, sai chính tả) nghĩa là thiết kế và code đi hai đường — phải xác nhận tên bảng thật rồi sửa một trong hai bên.
╔══ CẢNH BÁO — KHÔNG tính lỗi: 4 tiêu chí — 2.11, 3.2, 3.3, 3.4
    (ô ghi 'Pass', tô vàng nhạt. Chưa sai kết quả, nhưng nếu job chạy chậm thì xem lại đúng các chỗ này để tối ưu)
▼ 2.11 — Join dùng key hợp lý, không lạm dụng UNION ALL + EXISTS/NOT EXISTS
   • Ghi nhận: join không có điều kiện bằng (=): ['h']
   → Nếu cần tối ưu: Ưu tiên LEFT JOIN theo business key hoặc hashkey. Xem lại các chỗ dùng UNION ALL kết hợp EXISTS/NOT EXISTS — thường thay được bằng một LEFT JOIN. Join không có điều kiện bằng (=) dễ tạo tích Descartes.
▼ 3.2 — CTE không bị scan lại nhiều lần
   • Ghi nhận: CTE bị tham chiếu lại nhiều lần: hub_by_date x2
   → Nếu cần tối ưu: Với CTE nặng (đọc nhiều bảng Silver) bị tham chiếu từ 2 chỗ trở lên: gom lại còn một lần dùng, hoặc vật chất hóa (CACHE / bảng tạm). CTE nhẹ chỉ chứa tham số thì bỏ qua được — tự tick Pass.
▼ 3.3 — Filter trước khi join, tận dụng partition pruning
   • Ghi nhận: 3 bảng join trực tiếp mà không có filter riêng: hub_limit (h), sat_limit_information (s), sts_hub_limit (sts)
   → Nếu cần tối ưu: Đưa điều kiện lọc (ngày dữ liệu, trạng thái) vào subquery của từng bảng TRƯỚC khi join, để tận dụng partition pruning. Bảng dim nhỏ không partition thì không cần — tự tick Pass.
▼ 3.4 — Sử dụng CACHE cho query lặp lại trong cùng luồng
   • Ghi nhận: 1 CTE nặng dùng lại &gt;= 2 lần mà không có CACHE: hub_by_date
   → Nếu cần tối ưu: Nếu một kết quả nặng được dùng lại nhiều bước trong cùng luồng, thêm CACHE TABLE / CACHE SELECT. Kết quả nhỏ thì cache còn chậm hơn — tự tick Pass.</t>
  </si>
  <si>
    <t>TCKH.V_CUST_STATUS</t>
  </si>
  <si>
    <t>TCKH.V_DATE_OF_WORK</t>
  </si>
  <si>
    <t xml:space="preserve">
╔══ CẢNH BÁO — KHÔNG tính lỗi: 1 tiêu chí — X.8
    (ô ghi 'Pass', tô vàng nhạt. Chưa sai kết quả, nhưng nếu job chạy chậm thì xem lại đúng các chỗ này để tối ưu)
▼ X.8 — [Bổ sung] JOIN SCHEMA trong thiết kế khớp bảng nguồn trong SQL   [không tính điểm OCB]
   • Ghi nhận: SQL đọc 1 bảng mà JOIN SCHEMA không khai báo: ['CALENDAR']
   → Nếu cần tối ưu: Bảng khai báo ở block JOIN SCHEMA của workbook phải xuất hiện trong SQL và ngược lại. Lệch tên (thiếu tiền tố TB_, sai chính tả) nghĩa là thiết kế và code đi hai đường — phải xác nhận tên bảng thật rồi sửa một trong hai bên.</t>
  </si>
  <si>
    <t>TCKH.V_ENTRY_STMT_QUYMO</t>
  </si>
  <si>
    <t>TCKH.V_FTP_INTEREST_RATE_NIM_ON</t>
  </si>
  <si>
    <t>╔══ FAIL: 1 tiêu chí — X.9
▼ X.9 — [Bổ sung] Mọi bảng phải dev lại từ Silver   [không tính điểm OCB]
   • Lý do: 1 nguồn nằm trong lượt chạy nhưng KHÔNG truy được về Silver: ['ftp_rate_list_hist']
   • Lý do: nếu là bảng upload/thủ công thì khai ở cột NOTE của JOIN SCHEMA trong workbook
   → Cách sửa: Quy định đã chốt: tất cả bảng Gold đều dev lại từ Silver. Script phải đọc raw_vault/business_vault, hoặc đọc bảng Gold khác mà bảng đó cũng dev từ Silver (tool truy theo chuỗi, ví dụ v_cdtk_daily → holiday → calendar). Bảng upload/thủ công (có DDL + data nạp tay) LÀ nguồn hợp lệ, nhưng phải khai rõ ở cột NOTE của dòng JOIN SCHEMA tương ứng, ví dụ "TABLE upload thu cong (khong qua ETL/Silver)" — khai rồi thì tool tự chấp nhận. Không khai thì tool không phân biệt được với trường hợp quên dev từ Silver. Lưu ý tên bảng trong SQL phải khớp tên khai ở JOIN SCHEMA, lệch một ký tự là không ghép được.
╔══ CẢNH BÁO — KHÔNG tính lỗi: 1 tiêu chí — X.7
    (ô ghi 'Pass', tô vàng nhạt. Chưa sai kết quả, nhưng nếu job chạy chậm thì xem lại đúng các chỗ này để tối ưu)
▼ X.7 — [Bổ sung] Không hard-code catalog, dùng biến môi trường   [không tính điểm OCB]
   • Ghi nhận: dùng lẫn cả biến môi trường và catalog cứng: ['ocb_datavault_curated_cleaned']
   → Nếu cần tối ưu: Thay tên catalog cứng bằng IDENTIFIER(:cleaned || '.raw_vault.&lt;bảng&gt;') / IDENTIFIER(:curated || '.tckh.&lt;bảng&gt;'), hoặc ${cleaned_catalog} / ${curated_catalog} trong Lakeflow Declarative Pipeline. Hard-code thì deploy sang môi trường khác phải sửa tay từng file.</t>
  </si>
  <si>
    <t>TCKH.V_HT_CP_UPL</t>
  </si>
  <si>
    <t xml:space="preserve">
╔══ CHƯA CÓ SỐ LIỆU: 1 tiêu chí — 2.7
    (chưa có con số để kết luận, sẽ có sau khi UAT test; đang ghi tạm Pass — cập nhật lại ô sau khi có số)
▼ 2.7 — CASE WHEN cover đủ nhánh như job on-prem
   • Hiện trạng: có 1 CASE, trong đó 0 CASE không có nhánh ELSE (trả NULL âm thầm)
   • Hiện trạng: chưa so từng nhánh WHEN với job on-prem
   → Cần làm: Mở job on-prem tương ứng (DataStage DSX hoặc SQL cũ), đối chiếu từng nhánh WHEN và cả nhánh ELSE. CASE không có ELSE sẽ trả NULL âm thầm — xác nhận đó là ý muốn hay thiếu nhánh.</t>
  </si>
  <si>
    <t>TCKH.V_LD_FTP_RATE</t>
  </si>
  <si>
    <t>╔══ FAIL: 1 tiêu chí — X.9
▼ X.9 — [Bổ sung] Mọi bảng phải dev lại từ Silver   [không tính điểm OCB]
   • Lý do: 1 nguồn nằm trong lượt chạy nhưng KHÔNG truy được về Silver: ['ftp_contract_hist']
   • Lý do: nếu là bảng upload/thủ công thì khai ở cột NOTE của JOIN SCHEMA trong workbook
   → Cách sửa: Quy định đã chốt: tất cả bảng Gold đều dev lại từ Silver. Script phải đọc raw_vault/business_vault, hoặc đọc bảng Gold khác mà bảng đó cũng dev từ Silver (tool truy theo chuỗi, ví dụ v_cdtk_daily → holiday → calendar). Bảng upload/thủ công (có DDL + data nạp tay) LÀ nguồn hợp lệ, nhưng phải khai rõ ở cột NOTE của dòng JOIN SCHEMA tương ứng, ví dụ "TABLE upload thu cong (khong qua ETL/Silver)" — khai rồi thì tool tự chấp nhận. Không khai thì tool không phân biệt được với trường hợp quên dev từ Silver. Lưu ý tên bảng trong SQL phải khớp tên khai ở JOIN SCHEMA, lệch một ký tự là không ghép được.
╔══ CẢNH BÁO — KHÔNG tính lỗi: 1 tiêu chí — 2.10
    (ô ghi 'Pass', tô vàng nhạt. Chưa sai kết quả, nhưng nếu job chạy chậm thì xem lại đúng các chỗ này để tối ưu)
▼ 2.10 — Aggregation kèm filter date range chính xác
   • Ghi nhận: 1 khối tổng hợp không thấy filter theo ngày/tham số: SELECT tu FTP_CONTRACT_HIST
   → Nếu cần tối ưu: Mỗi khối SUM/COUNT/AVG phải có điều kiện lọc theo kỳ dữ liệu (CDR_DT_ID, DATA_DATE, :DATADT…). Nếu điều kiện nằm ở CTE nguồn thì ghi rõ trong comment để người review không phải truy ngược.
╔══ CHƯA CÓ SỐ LIỆU: 2 tiêu chí — 2.7, 2.8
    (chưa có con số để kết luận, sẽ có sau khi UAT test; đang ghi tạm Pass — cập nhật lại ô sau khi có số)
▼ 2.7 — CASE WHEN cover đủ nhánh như job on-prem
   • Hiện trạng: có 2 CASE, trong đó 0 CASE không có nhánh ELSE (trả NULL âm thầm)
   • Hiện trạng: chưa so từng nhánh WHEN với job on-prem
   → Cần làm: Mở job on-prem tương ứng (DataStage DSX hoặc SQL cũ), đối chiếu từng nhánh WHEN và cả nhánh ELSE. CASE không có ELSE sẽ trả NULL âm thầm — xác nhận đó là ý muốn hay thiếu nhánh.
▼ 2.8 — Cột SUM/COUNT được COALESCE/NVL hợp lý
   • Hiện trạng: 2 biểu thức tổng hợp chưa coalesce: SUM(CASE WHEN SUBSTRING(H.REF_NO, 1, 2) &lt;&gt; 'PD' AND H.SYSTEM; SUM(CASE WHEN SUBSTRING(H.REF_NO, 1, 2) = 'PD' THEN 0 ELSE H
   • Hiện trạng: khi đối soát với hệ thống cũ phải bọc NVL/ISNULL CẢ HAI phía để không lệch khi trừ (Checklist RVN-OCB #11)
   → Cần làm: Bọc COALESCE(SUM(...), 0) cho các cột tổng hợp cần trả 0 khi không có dòng. Nếu code cũ không bọc thì giữ nguyên logic nhưng khi đối soát số liệu với hệ thống cũ phải bọc NVL/ISNULL ở CẢ HAI phía để không lệch khi trừ.</t>
  </si>
  <si>
    <t>TCKH.V_OPEX_DTL_ADJ_G</t>
  </si>
  <si>
    <t>TCKH.V_PLA_CPHD_UPL</t>
  </si>
  <si>
    <t>TCKH.V_PLA_NIM_UPL</t>
  </si>
  <si>
    <t>TCKH.V_PLA_QUYMO_CHUNG_UPL</t>
  </si>
  <si>
    <t>TCKH.V_PLA_QUYMO_NOXAU_UPL</t>
  </si>
  <si>
    <t>TCKH.V_PR_COLLECTION</t>
  </si>
  <si>
    <t>╔══ FAIL: 1 tiêu chí — 2.12
▼ 2.12 — Build Gold từ CTE snapshot Silver, không build nhiều tầng chồng chéo
   • Lý do: bảng Silver bị đọc ở nhiều khối SELECT khác nhau thay vì snapshot 1 CTE: raw_vault.hub_account ở 3 khối
   → Cách sửa: Mỗi bảng Silver chỉ đọc MỘT lần, snapshot vào một CTE ở đầu script rồi dùng lại. Đọc trực tiếp cùng một bảng raw_vault ở 2 chỗ khác nhau làm lệch thời điểm dữ liệu giữa các phần của cùng một script.
╔══ CẢNH BÁO — KHÔNG tính lỗi: 2 tiêu chí — 2.3, 2.11
    (ô ghi 'Pass', tô vàng nhạt. Chưa sai kết quả, nhưng nếu job chạy chậm thì xem lại đúng các chỗ này để tối ưu)
▼ 2.3 — Điều kiện lọc trạng thái đặt SAU khi xác định bản ghi mới nhất
   • Ghi nhận: với INNER JOIN thì tương đương WHERE nên chưa sai kết quả, vẫn nên chuyển ra ngoài: ['source_event_date'] nằm trong ON của INNER JOIN ha; ['source_event_date'] nằm trong ON của INNER JOIN ha; ['source_event_date'] nằm trong ON của INNER JOIN ha
   → Nếu cần tối ưu: 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
▼ 2.11 — Join dùng key hợp lý, không lạm dụng UNION ALL + EXISTS/NOT EXISTS
   • Ghi nhận: dùng đồng thời UNION ALL và EXISTS ở dòng [77, 93, 114, 135], xét thay bằng LEFT JOIN
   → Nếu cần tối ưu: Ưu tiên LEFT JOIN theo business key hoặc hashkey. Xem lại các chỗ dùng UNION ALL kết hợp EXISTS/NOT EXISTS — thường thay được bằng một LEFT JOIN. Join không có điều kiện bằng (=) dễ tạo tích Descartes.
╔══ CHƯA CÓ SỐ LIỆU: 1 tiêu chí — 2.8
    (chưa có con số để kết luận, sẽ có sau khi UAT test; đang ghi tạm Pass — cập nhật lại ô sau khi có số)
▼ 2.8 — Cột SUM/COUNT được COALESCE/NVL hợp lý
   • Hiện trạng: 1 biểu thức tổng hợp chưa coalesce: SUM(AMOUNT_LCY)
   • Hiện trạng: khi đối soát với hệ thống cũ phải bọc NVL/ISNULL CẢ HAI phía để không lệch khi trừ (Checklist RVN-OCB #11)
   → Cần làm: Bọc COALESCE(SUM(...), 0) cho các cột tổng hợp cần trả 0 khi không có dòng. Nếu code cũ không bọc thì giữ nguyên logic nhưng khi đối soát số liệu với hệ thống cũ phải bọc NVL/ISNULL ở CẢ HAI phía để không lệch khi trừ.</t>
  </si>
  <si>
    <t>TCKH.V_P_CP_BDH_UPL</t>
  </si>
  <si>
    <t>TCKH.V_P_REGION_CPHD_UPL</t>
  </si>
  <si>
    <t>OCB_DATAVAULT_DEV_CURATED.TCKH.V_SECTOR_LIST</t>
  </si>
  <si>
    <t xml:space="preserve">
╔══ CẢNH BÁO — KHÔNG tính lỗi: 1 tiêu chí — X.7
    (ô ghi 'Pass', tô vàng nhạt. Chưa sai kết quả, nhưng nếu job chạy chậm thì xem lại đúng các chỗ này để tối ưu)
▼ X.7 — [Bổ sung] Không hard-code catalog, dùng biến môi trường   [không tính điểm OCB]
   • Ghi nhận: hard-code catalog ['ocb_datavault_dev_cleaned', 'ocb_datavault_dev_curated'], deploy sang môi trường khác phải sửa tay từng file
   → Nếu cần tối ưu: Thay tên catalog cứng bằng IDENTIFIER(:cleaned || '.raw_vault.&lt;bảng&gt;') / IDENTIFIER(:curated || '.tckh.&lt;bảng&gt;'), hoặc ${cleaned_catalog} / ${curated_catalog} trong Lakeflow Declarative Pipeline. Hard-code thì deploy sang môi trường khác phải sửa tay từng file.
╔══ CHƯA CÓ SỐ LIỆU: 1 tiêu chí — 2.7
    (chưa có con số để kết luận, sẽ có sau khi UAT test; đang ghi tạm Pass — cập nhật lại ô sau khi có số)
▼ 2.7 — CASE WHEN cover đủ nhánh như job on-prem
   • Hiện trạng: có 1 CASE, trong đó 0 CASE không có nhánh ELSE (trả NULL âm thầm)
   • Hiện trạng: chưa so từng nhánh WHEN với job on-prem
   → Cần làm: Mở job on-prem tương ứng (DataStage DSX hoặc SQL cũ), đối chiếu từng nhánh WHEN và cả nhánh ELSE. CASE không có ELSE sẽ trả NULL âm thầm — xác nhận đó là ý muốn hay thiếu nhánh.</t>
  </si>
  <si>
    <t>TCKH.V_SLGD</t>
  </si>
  <si>
    <t xml:space="preserve">
╔══ CHƯA CÓ SỐ LIỆU: 1 tiêu chí — 2.8
    (chưa có con số để kết luận, sẽ có sau khi UAT test; đang ghi tạm Pass — cập nhật lại ô sau khi có số)
▼ 2.8 — Cột SUM/COUNT được COALESCE/NVL hợp lý
   • Hiện trạng: 1 biểu thức tổng hợp chưa coalesce: TOTAL_SLGD = SUM(SO_LUONG_GD)
   • Hiện trạng: khi đối soát với hệ thống cũ phải bọc NVL/ISNULL CẢ HAI phía để không lệch khi trừ (Checklist RVN-OCB #11)
   → Cần làm: Bọc COALESCE(SUM(...), 0) cho các cột tổng hợp cần trả 0 khi không có dòng. Nếu code cũ không bọc thì giữ nguyên logic nhưng khi đối soát số liệu với hệ thống cũ phải bọc NVL/ISNULL ở CẢ HAI phía để không lệch khi trừ.</t>
  </si>
  <si>
    <t>TCKH.V_SLNV_UPL</t>
  </si>
  <si>
    <t>╔══ FAIL: 1 tiêu chí — X.8
▼ X.8 — [Bổ sung] JOIN SCHEMA trong thiết kế khớp bảng nguồn trong SQL   [không tính điểm OCB]
   • Lý do: 4/4 bảng khai báo trong JOIN SCHEMA nhưng KHÔNG thấy trong SQL: ['cte_s0', 'cte_s1', 'cte_s2', 'cte_s3']
   → Cách sửa: Bảng khai báo ở block JOIN SCHEMA của workbook phải xuất hiện trong SQL và ngược lại. Lệch tên (thiếu tiền tố TB_, sai chính tả) nghĩa là thiết kế và code đi hai đường — phải xác nhận tên bảng thật rồi sửa một trong hai bên.
╔══ CHƯA CÓ SỐ LIỆU: 2 tiêu chí — 2.7, 2.8
    (chưa có con số để kết luận, sẽ có sau khi UAT test; đang ghi tạm Pass — cập nhật lại ô sau khi có số)
▼ 2.7 — CASE WHEN cover đủ nhánh như job on-prem
   • Hiện trạng: có 2 CASE, trong đó 0 CASE không có nhánh ELSE (trả NULL âm thầm)
   • Hiện trạng: chưa so từng nhánh WHEN với job on-prem
   → Cần làm: Mở job on-prem tương ứng (DataStage DSX hoặc SQL cũ), đối chiếu từng nhánh WHEN và cả nhánh ELSE. CASE không có ELSE sẽ trả NULL âm thầm — xác nhận đó là ý muốn hay thiếu nhánh.
▼ 2.8 — Cột SUM/COUNT được COALESCE/NVL hợp lý
   • Hiện trạng: 4 biểu thức tổng hợp chưa coalesce: TotalByBranchCode = SUM(S.SO_LUONG); TotalByKVQL = SUM(S.SO_LUONG); TotalByPRNCode = SUM(S.SO_LUONG); TotalByPhong = SUM(S.SO_LUONG)
   • Hiện trạng: khi đối soát với hệ thống cũ phải bọc NVL/ISNULL CẢ HAI phía để không lệch khi trừ (Checklist RVN-OCB #11)
   → Cần làm: Bọc COALESCE(SUM(...), 0) cho các cột tổng hợp cần trả 0 khi không có dòng. Nếu code cũ không bọc thì giữ nguyên logic nhưng khi đối soát số liệu với hệ thống cũ phải bọc NVL/ISNULL ở CẢ HAI phía để không lệch khi trừ.</t>
  </si>
  <si>
    <t>TCKH.V_TB_NIM_1</t>
  </si>
  <si>
    <t>╔══ FAIL: 2 tiêu chí — 3.1, X.8
▼ 3.1 — Không SELECT *
   • Lý do: có 3 lần SELECT * ở dòng [255, 257, 259]
   → Cách sửa: Liệt kê tường minh các cột cần dùng, kể cả trong CTE trung gian. SELECT * làm tăng IO/memory và vỡ script khi bảng nguồn thêm cột.
▼ X.8 — [Bổ sung] JOIN SCHEMA trong thiết kế khớp bảng nguồn trong SQL   [không tính điểm OCB]
   • Lý do: 3/4 bảng khai báo trong JOIN SCHEMA nhưng KHÔNG thấy trong SQL: ['V_FTP_RATE (subquery: LD_FTP_RATE)', 'V_FTP_INTEREST_RATE_NIM_ON (subquery: FTP_RATE_LIST_HIST)', 'BRANCH_LIST (Block1&amp;2) V_BRANCH_LIST (Block3)']
   → Cách sửa: Bảng khai báo ở block JOIN SCHEMA của workbook phải xuất hiện trong SQL và ngược lại. Lệch tên (thiếu tiền tố TB_, sai chính tả) nghĩa là thiết kế và code đi hai đường — phải xác nhận tên bảng thật rồi sửa một trong hai bên.
╔══ CẢNH BÁO — KHÔNG tính lỗi: 3 tiêu chí — 3.2, 3.4, X.9
    (ô ghi 'Pass', tô vàng nhạt. Chưa sai kết quả, nhưng nếu job chạy chậm thì xem lại đúng các chỗ này để tối ưu)
▼ 3.2 — CTE không bị scan lại nhiều lần
   • Ghi nhận: CTE bị tham chiếu lại nhiều lần: v_ftp_rate x3, v_ftp_interest_rate_nim_on x3
   → Nếu cần tối ưu: Với CTE nặng (đọc nhiều bảng Silver) bị tham chiếu từ 2 chỗ trở lên: gom lại còn một lần dùng, hoặc vật chất hóa (CACHE / bảng tạm). CTE nhẹ chỉ chứa tham số thì bỏ qua được — tự tick Pass.
▼ 3.4 — Sử dụng CACHE cho query lặp lại trong cùng luồng
   • Ghi nhận: 2 CTE nặng dùng lại &gt;= 2 lần mà không có CACHE: v_ftp_interest_rate_nim_on, v_ftp_rate
   → Nếu cần tối ưu: Nếu một kết quả nặng được dùng lại nhiều bước trong cùng luồng, thêm CACHE TABLE / CACHE SELECT. Kết quả nhỏ thì cache còn chậm hơn — tự tick Pass.
▼ X.9 — [Bổ sung] Mọi bảng phải dev lại từ Silver   [không tính điểm OCB]
   • Ghi nhận: 2 nguồn nằm trong lượt chạy nhưng KHÔNG truy được về Silver: ['ftp_rate_list_hist', 'ld_ftp_rate']
   • Ghi nhận: 3 nguồn không có trong lượt chạy này nên chưa truy được: ['tb_ar_dtl_bs_upl', 'tb_ar_dtl_daily', 'tb_ar_dtl_dc_upl'] — chấm cả các object đó cùng lượt (hoặc khai vào sheet 'Script SQL' của workbook) thì máy mới truy được chuỗi
   • Ghi nhận: nếu là bảng upload/thủ công thì khai ở cột NOTE của JOIN SCHEMA trong workbook
   → Nếu cần tối ưu: Quy định đã chốt: tất cả bảng Gold đều dev lại từ Silver. Script phải đọc raw_vault/business_vault, hoặc đọc bảng Gold khác mà bảng đó cũng dev từ Silver (tool truy theo chuỗi, ví dụ v_cdtk_daily → holiday → calendar). Bảng upload/thủ công (có DDL + data nạp tay) LÀ nguồn hợp lệ, nhưng phải khai rõ ở cột NOTE của dòng JOIN SCHEMA tương ứng, ví dụ "TABLE upload thu cong (khong qua ETL/Silver)" — khai rồi thì tool tự chấp nhận. Không khai thì tool không phân biệt được với trường hợp quên dev từ Silver. Lưu ý tên bảng trong SQL phải khớp tên khai ở JOIN SCHEMA, lệch một ký tự là không ghép được.
╔══ CHƯA CÓ SỐ LIỆU: 2 tiêu chí — 2.7, 2.9
    (chưa có con số để kết luận, sẽ có sau khi UAT test; đang ghi tạm Pass — cập nhật lại ô sau khi có số)
▼ 2.7 — CASE WHEN cover đủ nhánh như job on-prem
   • Hiện trạng: có 12 CASE, trong đó 0 CASE không có nhánh ELSE (trả NULL âm thầm)
   • Hiện trạng: chưa so từng nhánh WHEN với job on-prem
   → Cần làm: Mở job on-prem tương ứng (DataStage DSX hoặc SQL cũ), đối chiếu từng nhánh WHEN và cả nhánh ELSE. CASE không có ELSE sẽ trả NULL âm thầm — xác nhận đó là ý muốn hay thiếu nhánh.
▼ 2.9 — Subquery / custom function / điều kiện LIKE đúng ý nghĩa nghiệp vụ
   • Hiện trạng: 5 điều kiện LIKE: A.CONTRACT_NO NOT LIKE '%133' | A.GL NOT LIKE '2%' | SYSTEM_ID LIKE '%PHAITHU%' | SYSTEM_ID LIKE '%PHAITRA%'
   • Hiện trạng: chỉ kiểm được cú pháp; ý nghĩa nghiệp vụ cần đối chiếu job on-prem
   → Cần làm: Đọc lại từng điều kiện LIKE và từng subquery, đối chiếu ý nghĩa nghiệp vụ với on-prem — đúng cú pháp không đủ. Chú ý pattern LIKE có ký tự % ở đầu/cuối và phân biệt chữ hoa/thường.</t>
  </si>
  <si>
    <t>TCKH.WORKING_DAY</t>
  </si>
  <si>
    <t xml:space="preserve">
╔══ CẢNH BÁO — KHÔNG tính lỗi: 1 tiêu chí — 2.12
    (ô ghi 'Pass', tô vàng nhạt. Chưa sai kết quả, nhưng nếu job chạy chậm thì xem lại đúng các chỗ này để tối ưu)
▼ 2.12 — Build Gold từ CTE snapshot Silver, không build nhiều tầng chồng chéo
   • Ghi nhận: bảng bị đọc lại ở nhiều khối SELECT, xét gom thành 1 CTE: calendar ở 2 khối
   → Nếu cần tối ưu: Mỗi bảng Silver chỉ đọc MỘT lần, snapshot vào một CTE ở đầu script rồi dùng lại. Đọc trực tiếp cùng một bảng raw_vault ở 2 chỗ khác nhau làm lệch thời điểm dữ liệu giữa các phần của cùng một script.
╔══ CHƯA CÓ SỐ LIỆU: 1 tiêu chí — 2.7
    (chưa có con số để kết luận, sẽ có sau khi UAT test; đang ghi tạm Pass — cập nhật lại ô sau khi có số)
▼ 2.7 — CASE WHEN cover đủ nhánh như job on-prem
   • Hiện trạng: có 4 CASE, trong đó 0 CASE không có nhánh ELSE (trả NULL âm thầm)
   • Hiện trạng: chưa so từng nhánh WHEN với job on-prem
   → Cần làm: Mở job on-prem tương ứng (DataStage DSX hoặc SQL cũ), đối chiếu từng nhánh WHEN và cả nhánh ELSE. CASE không có ELSE sẽ trả NULL âm thầm — xác nhận đó là ý muốn hay thiếu nhánh.</t>
  </si>
  <si>
    <t>TỔNG HỢP KẾT QUẢ REVIEW CODE THEO BATCH – ZONE C OCB</t>
  </si>
  <si>
    <t>Ngưỡng lỗi
cho phép</t>
  </si>
  <si>
    <t>Số bảng
đã review</t>
  </si>
  <si>
    <t>Số bảng
Đạt</t>
  </si>
  <si>
    <t>Số bảng
Không đạt</t>
  </si>
  <si>
    <t>Tỷ lệ lỗi
bình quân</t>
  </si>
  <si>
    <t>Tỷ lệ bảng
Không đạt</t>
  </si>
  <si>
    <t>Kết luận Batch</t>
  </si>
  <si>
    <t>Batch 1</t>
  </si>
  <si>
    <t>Batch 3</t>
  </si>
  <si>
    <t>Ghi chú: Tỷ lệ lỗi bình quân và kết luận lấy tự động từ sheet "Review theo bảng" (cột AE và AG). Ngưỡng lỗi theo thống nhất với OCB: Batch 1 tối đa 30%, Batch 2 và Batch 3 tối đa 20% (sheet "Quality check").</t>
  </si>
  <si>
    <t>đang 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</si>
</sst>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charset val="1"/>
    </font>
    <font>
      <sz val="10"/>
      <name val="Arial"/>
      <family val="2"/>
    </font>
    <font>
      <b/>
      <sz val="14"/>
      <color rgb="FF000080"/>
      <name val="Arial"/>
      <family val="2"/>
    </font>
    <font>
      <b/>
      <sz val="12"/>
      <color rgb="FF0069BA"/>
      <name val="Arial"/>
      <family val="2"/>
    </font>
    <font>
      <sz val="11"/>
      <color rgb="FF000000"/>
      <name val="Arial"/>
      <family val="2"/>
    </font>
    <font>
      <b/>
      <sz val="11"/>
      <color rgb="FFFFFFFF"/>
      <name val="Arial"/>
      <family val="2"/>
    </font>
    <font>
      <sz val="11"/>
      <name val="Arial"/>
      <family val="2"/>
    </font>
    <font>
      <b/>
      <sz val="10"/>
      <color rgb="FFFFFFFF"/>
      <name val="Arial"/>
      <family val="2"/>
    </font>
    <font>
      <b/>
      <sz val="9"/>
      <color rgb="FFFFFFFF"/>
      <name val="Arial"/>
      <family val="2"/>
    </font>
    <font>
      <b/>
      <sz val="10"/>
      <name val="Arial"/>
      <family val="2"/>
    </font>
    <font>
      <b/>
      <sz val="11"/>
      <name val="Arial"/>
      <family val="2"/>
    </font>
    <font>
      <i/>
      <sz val="10"/>
      <color rgb="FF595959"/>
      <name val="Arial"/>
      <family val="2"/>
    </font>
    <font>
      <sz val="11"/>
      <name val="Arial"/>
    </font>
  </fonts>
  <fills count="8">
    <fill>
      <patternFill patternType="none"/>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style="thin">
        <color rgb="FFBFBFBF"/>
      </left>
      <right style="thin">
        <color rgb="FFBFBFBF"/>
      </right>
      <top/>
      <bottom/>
      <diagonal/>
    </border>
  </borders>
  <cellStyleXfs count="1">
    <xf numFmtId="0" fontId="0" fillId="0" borderId="0"/>
  </cellStyleXfs>
  <cellXfs count="44">
    <xf numFmtId="0" fontId="0" fillId="0" borderId="0" xfId="0"/>
    <xf numFmtId="0" fontId="3" fillId="0" borderId="0" xfId="0" applyFont="1"/>
    <xf numFmtId="0" fontId="4" fillId="0" borderId="0" xfId="0" applyFont="1" applyAlignment="1">
      <alignment vertical="top" wrapText="1"/>
    </xf>
    <xf numFmtId="0" fontId="5" fillId="2" borderId="1" xfId="0" applyFont="1" applyFill="1" applyBorder="1" applyAlignment="1">
      <alignment horizontal="center" vertical="center" wrapText="1"/>
    </xf>
    <xf numFmtId="0" fontId="6" fillId="3" borderId="1" xfId="0" applyFont="1" applyFill="1" applyBorder="1" applyAlignment="1">
      <alignment horizontal="left" vertical="top" wrapText="1"/>
    </xf>
    <xf numFmtId="9" fontId="6" fillId="3" borderId="1" xfId="0" applyNumberFormat="1" applyFont="1" applyFill="1" applyBorder="1" applyAlignment="1">
      <alignment horizontal="center" vertical="top"/>
    </xf>
    <xf numFmtId="0" fontId="6" fillId="3" borderId="1" xfId="0" applyFont="1" applyFill="1" applyBorder="1" applyAlignment="1">
      <alignment horizontal="center" vertical="top"/>
    </xf>
    <xf numFmtId="0" fontId="6" fillId="4" borderId="1" xfId="0" applyFont="1" applyFill="1" applyBorder="1" applyAlignment="1">
      <alignment horizontal="left" vertical="top" wrapText="1"/>
    </xf>
    <xf numFmtId="9" fontId="6" fillId="4" borderId="1" xfId="0" applyNumberFormat="1" applyFont="1" applyFill="1" applyBorder="1" applyAlignment="1">
      <alignment horizontal="center" vertical="top"/>
    </xf>
    <xf numFmtId="0" fontId="6" fillId="4" borderId="1" xfId="0" applyFont="1" applyFill="1" applyBorder="1" applyAlignment="1">
      <alignment horizontal="center" vertical="top"/>
    </xf>
    <xf numFmtId="0" fontId="6" fillId="5" borderId="1" xfId="0" applyFont="1" applyFill="1" applyBorder="1" applyAlignment="1">
      <alignment horizontal="left" vertical="top" wrapText="1"/>
    </xf>
    <xf numFmtId="9" fontId="6" fillId="5" borderId="1" xfId="0" applyNumberFormat="1" applyFont="1" applyFill="1" applyBorder="1" applyAlignment="1">
      <alignment horizontal="center" vertical="top"/>
    </xf>
    <xf numFmtId="0" fontId="6" fillId="5" borderId="1" xfId="0" applyFont="1" applyFill="1" applyBorder="1" applyAlignment="1">
      <alignment horizontal="center" vertical="top"/>
    </xf>
    <xf numFmtId="0" fontId="8" fillId="6"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0" fillId="7" borderId="0" xfId="0" applyFill="1"/>
    <xf numFmtId="0" fontId="9" fillId="7" borderId="1" xfId="0" applyFont="1" applyFill="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9" fillId="0" borderId="1" xfId="0" applyFont="1" applyBorder="1" applyAlignment="1">
      <alignment horizontal="center" vertical="center"/>
    </xf>
    <xf numFmtId="9" fontId="6" fillId="0" borderId="1" xfId="0" applyNumberFormat="1" applyFont="1" applyBorder="1" applyAlignment="1">
      <alignment horizontal="center" vertical="center" wrapText="1"/>
    </xf>
    <xf numFmtId="164" fontId="6" fillId="0" borderId="1" xfId="0" applyNumberFormat="1" applyFont="1" applyBorder="1" applyAlignment="1">
      <alignment horizontal="center" vertical="center" wrapText="1"/>
    </xf>
    <xf numFmtId="0" fontId="10" fillId="0" borderId="1" xfId="0" applyFont="1" applyBorder="1" applyAlignment="1">
      <alignment horizontal="center" vertical="center" wrapText="1"/>
    </xf>
    <xf numFmtId="0" fontId="0" fillId="7" borderId="0" xfId="0" applyFill="1" applyAlignment="1">
      <alignment horizontal="center" vertical="center"/>
    </xf>
    <xf numFmtId="0" fontId="1" fillId="7" borderId="1" xfId="0" applyFont="1" applyFill="1" applyBorder="1" applyAlignment="1">
      <alignment horizontal="center" vertical="center"/>
    </xf>
    <xf numFmtId="164" fontId="1" fillId="7" borderId="1" xfId="0" applyNumberFormat="1" applyFont="1" applyFill="1" applyBorder="1" applyAlignment="1">
      <alignment horizontal="center" vertical="center"/>
    </xf>
    <xf numFmtId="0" fontId="1" fillId="0" borderId="1" xfId="0" applyFont="1" applyBorder="1" applyAlignment="1">
      <alignment horizontal="center" vertical="center"/>
    </xf>
    <xf numFmtId="164" fontId="1" fillId="0" borderId="1" xfId="0" applyNumberFormat="1" applyFont="1" applyBorder="1" applyAlignment="1">
      <alignment horizontal="center" vertical="center"/>
    </xf>
    <xf numFmtId="0" fontId="1" fillId="0" borderId="1" xfId="0" applyFont="1" applyBorder="1" applyAlignment="1">
      <alignment horizontal="left" vertical="center" wrapText="1"/>
    </xf>
    <xf numFmtId="0" fontId="2" fillId="0" borderId="0" xfId="0" applyFont="1" applyAlignment="1">
      <alignment vertical="center" wrapText="1"/>
    </xf>
    <xf numFmtId="0" fontId="6" fillId="3" borderId="1" xfId="0" applyFont="1" applyFill="1" applyBorder="1" applyAlignment="1">
      <alignment horizontal="left" vertical="top"/>
    </xf>
    <xf numFmtId="0" fontId="12" fillId="0" borderId="1" xfId="0" applyFont="1" applyBorder="1" applyAlignment="1">
      <alignment horizontal="left"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vertical="top" wrapText="1"/>
    </xf>
    <xf numFmtId="0" fontId="6" fillId="4" borderId="5" xfId="0" applyFont="1" applyFill="1" applyBorder="1" applyAlignment="1">
      <alignment horizontal="left" vertical="top" wrapText="1"/>
    </xf>
    <xf numFmtId="0" fontId="7" fillId="2" borderId="1" xfId="0" applyFont="1" applyFill="1" applyBorder="1" applyAlignment="1">
      <alignment horizontal="center" vertical="center" wrapText="1"/>
    </xf>
    <xf numFmtId="0" fontId="0" fillId="0" borderId="2" xfId="0" applyBorder="1"/>
    <xf numFmtId="0" fontId="0" fillId="0" borderId="3" xfId="0" applyBorder="1"/>
    <xf numFmtId="0" fontId="7" fillId="6" borderId="1" xfId="0" applyFont="1" applyFill="1" applyBorder="1" applyAlignment="1">
      <alignment horizontal="center" vertical="center" wrapText="1"/>
    </xf>
    <xf numFmtId="0" fontId="0" fillId="0" borderId="4" xfId="0" applyBorder="1"/>
    <xf numFmtId="0" fontId="11" fillId="0" borderId="0" xfId="0" applyFont="1" applyAlignment="1">
      <alignment vertical="top" wrapText="1"/>
    </xf>
    <xf numFmtId="0" fontId="0" fillId="0" borderId="0" xfId="0"/>
    <xf numFmtId="0" fontId="2" fillId="0" borderId="0" xfId="0" applyFont="1"/>
  </cellXfs>
  <cellStyles count="1">
    <cellStyle name="Bình thường" xfId="0" builtinId="0"/>
  </cellStyles>
  <dxfs count="8">
    <dxf>
      <fill>
        <patternFill>
          <bgColor rgb="FFC6EFCE"/>
        </patternFill>
      </fill>
    </dxf>
    <dxf>
      <fill>
        <patternFill>
          <bgColor rgb="FFFFC7CE"/>
        </patternFill>
      </fill>
    </dxf>
    <dxf>
      <font>
        <b/>
        <color rgb="FF006100"/>
      </font>
      <fill>
        <patternFill patternType="solid">
          <fgColor rgb="FFC6EFCE"/>
          <bgColor rgb="FFC6EFCE"/>
        </patternFill>
      </fill>
    </dxf>
    <dxf>
      <font>
        <b/>
        <color rgb="FF9C0006"/>
      </font>
      <fill>
        <patternFill patternType="solid">
          <fgColor rgb="FFFFC7CE"/>
          <bgColor rgb="FFFFC7CE"/>
        </patternFill>
      </fill>
    </dxf>
    <dxf>
      <font>
        <color rgb="FF3F3F3F"/>
      </font>
      <fill>
        <patternFill patternType="solid">
          <fgColor rgb="FFD9D9D9"/>
          <bgColor rgb="FFD9D9D9"/>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b/>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16"/>
  <sheetViews>
    <sheetView showGridLines="0" topLeftCell="A9" zoomScaleNormal="100" workbookViewId="0">
      <selection activeCell="B16" sqref="B16"/>
    </sheetView>
  </sheetViews>
  <sheetFormatPr defaultColWidth="8.7265625" defaultRowHeight="14.5" x14ac:dyDescent="0.35"/>
  <cols>
    <col min="1" max="1" width="3" customWidth="1"/>
    <col min="2" max="2" width="110" customWidth="1"/>
  </cols>
  <sheetData>
    <row r="2" spans="2:2" ht="34" customHeight="1" x14ac:dyDescent="0.35">
      <c r="B2" s="29" t="s">
        <v>89</v>
      </c>
    </row>
    <row r="4" spans="2:2" ht="19.5" customHeight="1" x14ac:dyDescent="0.35">
      <c r="B4" s="1" t="s">
        <v>90</v>
      </c>
    </row>
    <row r="5" spans="2:2" ht="70" customHeight="1" x14ac:dyDescent="0.35">
      <c r="B5" s="2" t="s">
        <v>91</v>
      </c>
    </row>
    <row r="6" spans="2:2" ht="19.5" customHeight="1" x14ac:dyDescent="0.35">
      <c r="B6" s="1" t="s">
        <v>92</v>
      </c>
    </row>
    <row r="7" spans="2:2" ht="28" customHeight="1" x14ac:dyDescent="0.35">
      <c r="B7" s="2" t="s">
        <v>93</v>
      </c>
    </row>
    <row r="8" spans="2:2" ht="42" customHeight="1" x14ac:dyDescent="0.35">
      <c r="B8" s="2" t="s">
        <v>94</v>
      </c>
    </row>
    <row r="9" spans="2:2" ht="28" customHeight="1" x14ac:dyDescent="0.35">
      <c r="B9" s="2" t="s">
        <v>95</v>
      </c>
    </row>
    <row r="10" spans="2:2" ht="28" customHeight="1" x14ac:dyDescent="0.35">
      <c r="B10" s="2" t="s">
        <v>96</v>
      </c>
    </row>
    <row r="11" spans="2:2" ht="28" customHeight="1" x14ac:dyDescent="0.35">
      <c r="B11" s="2" t="s">
        <v>97</v>
      </c>
    </row>
    <row r="12" spans="2:2" ht="19.5" customHeight="1" x14ac:dyDescent="0.35">
      <c r="B12" s="1" t="s">
        <v>98</v>
      </c>
    </row>
    <row r="13" spans="2:2" ht="28" customHeight="1" x14ac:dyDescent="0.35">
      <c r="B13" s="2" t="s">
        <v>99</v>
      </c>
    </row>
    <row r="14" spans="2:2" ht="28" customHeight="1" x14ac:dyDescent="0.35">
      <c r="B14" s="2" t="s">
        <v>100</v>
      </c>
    </row>
    <row r="15" spans="2:2" ht="28" customHeight="1" x14ac:dyDescent="0.35">
      <c r="B15" s="2" t="s">
        <v>101</v>
      </c>
    </row>
    <row r="16" spans="2:2" ht="28" customHeight="1" x14ac:dyDescent="0.35">
      <c r="B16" s="2" t="s">
        <v>102</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2"/>
  <sheetViews>
    <sheetView showGridLines="0" tabSelected="1" zoomScale="70" zoomScaleNormal="70" workbookViewId="0">
      <pane ySplit="1" topLeftCell="A15" activePane="bottomLeft" state="frozen"/>
      <selection pane="bottomLeft" activeCell="D7" sqref="D7"/>
    </sheetView>
  </sheetViews>
  <sheetFormatPr defaultColWidth="8.7265625" defaultRowHeight="14.5" x14ac:dyDescent="0.35"/>
  <cols>
    <col min="1" max="1" width="27.26953125" customWidth="1"/>
    <col min="2" max="2" width="18.7265625" customWidth="1"/>
    <col min="3" max="3" width="7" customWidth="1"/>
    <col min="4" max="4" width="40" customWidth="1"/>
    <col min="5" max="5" width="69.54296875" customWidth="1"/>
    <col min="6" max="6" width="39.90625" customWidth="1"/>
    <col min="7" max="7" width="9.6328125" customWidth="1"/>
  </cols>
  <sheetData>
    <row r="1" spans="1:7" ht="30" customHeight="1" x14ac:dyDescent="0.35">
      <c r="A1" s="3" t="s">
        <v>0</v>
      </c>
      <c r="B1" s="3" t="s">
        <v>1</v>
      </c>
      <c r="C1" s="3" t="s">
        <v>2</v>
      </c>
      <c r="D1" s="3" t="s">
        <v>3</v>
      </c>
      <c r="E1" s="3" t="s">
        <v>4</v>
      </c>
      <c r="F1" s="3" t="s">
        <v>5</v>
      </c>
    </row>
    <row r="2" spans="1:7" ht="56" customHeight="1" x14ac:dyDescent="0.35">
      <c r="A2" s="30" t="s">
        <v>6</v>
      </c>
      <c r="B2" s="5">
        <v>0.1</v>
      </c>
      <c r="C2" s="6" t="s">
        <v>7</v>
      </c>
      <c r="D2" s="4" t="s">
        <v>8</v>
      </c>
      <c r="E2" s="4" t="s">
        <v>9</v>
      </c>
      <c r="F2" s="4" t="s">
        <v>10</v>
      </c>
    </row>
    <row r="3" spans="1:7" ht="70" customHeight="1" x14ac:dyDescent="0.35">
      <c r="A3" s="4" t="s">
        <v>6</v>
      </c>
      <c r="B3" s="5">
        <v>0.1</v>
      </c>
      <c r="C3" s="6" t="s">
        <v>11</v>
      </c>
      <c r="D3" s="4" t="s">
        <v>12</v>
      </c>
      <c r="E3" s="4" t="s">
        <v>13</v>
      </c>
      <c r="F3" s="4" t="s">
        <v>14</v>
      </c>
    </row>
    <row r="4" spans="1:7" ht="42" customHeight="1" x14ac:dyDescent="0.35">
      <c r="A4" s="7" t="s">
        <v>15</v>
      </c>
      <c r="B4" s="8">
        <v>0.8</v>
      </c>
      <c r="C4" s="9" t="s">
        <v>16</v>
      </c>
      <c r="D4" s="7" t="s">
        <v>17</v>
      </c>
      <c r="E4" s="7" t="s">
        <v>18</v>
      </c>
      <c r="F4" s="7" t="s">
        <v>19</v>
      </c>
    </row>
    <row r="5" spans="1:7" ht="70" customHeight="1" x14ac:dyDescent="0.35">
      <c r="A5" s="7" t="s">
        <v>15</v>
      </c>
      <c r="B5" s="8">
        <v>0.8</v>
      </c>
      <c r="C5" s="9" t="s">
        <v>20</v>
      </c>
      <c r="D5" s="7" t="s">
        <v>21</v>
      </c>
      <c r="E5" s="7" t="s">
        <v>22</v>
      </c>
      <c r="F5" s="7" t="s">
        <v>23</v>
      </c>
    </row>
    <row r="6" spans="1:7" ht="70" customHeight="1" x14ac:dyDescent="0.35">
      <c r="A6" s="7" t="s">
        <v>15</v>
      </c>
      <c r="B6" s="8">
        <v>0.8</v>
      </c>
      <c r="C6" s="9" t="s">
        <v>24</v>
      </c>
      <c r="D6" s="7" t="s">
        <v>25</v>
      </c>
      <c r="E6" s="7" t="s">
        <v>26</v>
      </c>
      <c r="F6" s="7" t="s">
        <v>27</v>
      </c>
    </row>
    <row r="7" spans="1:7" ht="70" customHeight="1" x14ac:dyDescent="0.35">
      <c r="A7" s="7" t="s">
        <v>15</v>
      </c>
      <c r="B7" s="8">
        <v>0.8</v>
      </c>
      <c r="C7" s="9" t="s">
        <v>28</v>
      </c>
      <c r="D7" s="7" t="s">
        <v>29</v>
      </c>
      <c r="E7" s="7" t="s">
        <v>30</v>
      </c>
      <c r="F7" s="7" t="s">
        <v>31</v>
      </c>
    </row>
    <row r="8" spans="1:7" ht="70" customHeight="1" x14ac:dyDescent="0.35">
      <c r="A8" s="7" t="s">
        <v>15</v>
      </c>
      <c r="B8" s="8">
        <v>0.8</v>
      </c>
      <c r="C8" s="9" t="s">
        <v>32</v>
      </c>
      <c r="D8" s="7" t="s">
        <v>33</v>
      </c>
      <c r="E8" s="7" t="s">
        <v>34</v>
      </c>
      <c r="F8" s="7" t="s">
        <v>35</v>
      </c>
    </row>
    <row r="9" spans="1:7" ht="56" customHeight="1" x14ac:dyDescent="0.35">
      <c r="A9" s="7" t="s">
        <v>15</v>
      </c>
      <c r="B9" s="8">
        <v>0.8</v>
      </c>
      <c r="C9" s="9" t="s">
        <v>36</v>
      </c>
      <c r="D9" s="7" t="s">
        <v>37</v>
      </c>
      <c r="E9" s="7" t="s">
        <v>38</v>
      </c>
      <c r="F9" s="7" t="s">
        <v>39</v>
      </c>
      <c r="G9" s="35" t="s">
        <v>234</v>
      </c>
    </row>
    <row r="10" spans="1:7" ht="56" customHeight="1" x14ac:dyDescent="0.35">
      <c r="A10" s="7" t="s">
        <v>15</v>
      </c>
      <c r="B10" s="8">
        <v>0.8</v>
      </c>
      <c r="C10" s="9" t="s">
        <v>40</v>
      </c>
      <c r="D10" s="7" t="s">
        <v>41</v>
      </c>
      <c r="E10" s="7" t="s">
        <v>42</v>
      </c>
      <c r="F10" s="7" t="s">
        <v>43</v>
      </c>
    </row>
    <row r="11" spans="1:7" ht="42" customHeight="1" x14ac:dyDescent="0.35">
      <c r="A11" s="7" t="s">
        <v>15</v>
      </c>
      <c r="B11" s="8">
        <v>0.8</v>
      </c>
      <c r="C11" s="9" t="s">
        <v>44</v>
      </c>
      <c r="D11" s="7" t="s">
        <v>45</v>
      </c>
      <c r="E11" s="7" t="s">
        <v>46</v>
      </c>
      <c r="F11" s="7" t="s">
        <v>47</v>
      </c>
    </row>
    <row r="12" spans="1:7" ht="42" customHeight="1" x14ac:dyDescent="0.35">
      <c r="A12" s="7" t="s">
        <v>15</v>
      </c>
      <c r="B12" s="8">
        <v>0.8</v>
      </c>
      <c r="C12" s="9" t="s">
        <v>48</v>
      </c>
      <c r="D12" s="7" t="s">
        <v>49</v>
      </c>
      <c r="E12" s="7" t="s">
        <v>50</v>
      </c>
      <c r="F12" s="7" t="s">
        <v>51</v>
      </c>
    </row>
    <row r="13" spans="1:7" ht="56" customHeight="1" x14ac:dyDescent="0.35">
      <c r="A13" s="7" t="s">
        <v>15</v>
      </c>
      <c r="B13" s="8">
        <v>0.8</v>
      </c>
      <c r="C13" s="9" t="s">
        <v>52</v>
      </c>
      <c r="D13" s="7" t="s">
        <v>53</v>
      </c>
      <c r="E13" s="7" t="s">
        <v>54</v>
      </c>
      <c r="F13" s="7" t="s">
        <v>55</v>
      </c>
    </row>
    <row r="14" spans="1:7" ht="42" customHeight="1" x14ac:dyDescent="0.35">
      <c r="A14" s="7" t="s">
        <v>15</v>
      </c>
      <c r="B14" s="8">
        <v>0.8</v>
      </c>
      <c r="C14" s="9" t="s">
        <v>56</v>
      </c>
      <c r="D14" s="7" t="s">
        <v>57</v>
      </c>
      <c r="E14" s="7" t="s">
        <v>58</v>
      </c>
      <c r="F14" s="7" t="s">
        <v>59</v>
      </c>
    </row>
    <row r="15" spans="1:7" ht="70" customHeight="1" x14ac:dyDescent="0.35">
      <c r="A15" s="7" t="s">
        <v>15</v>
      </c>
      <c r="B15" s="8">
        <v>0.8</v>
      </c>
      <c r="C15" s="9" t="s">
        <v>60</v>
      </c>
      <c r="D15" s="7" t="s">
        <v>61</v>
      </c>
      <c r="E15" s="7" t="s">
        <v>62</v>
      </c>
      <c r="F15" s="7" t="s">
        <v>63</v>
      </c>
    </row>
    <row r="16" spans="1:7" ht="56" customHeight="1" x14ac:dyDescent="0.35">
      <c r="A16" s="10" t="s">
        <v>64</v>
      </c>
      <c r="B16" s="11">
        <v>0.1</v>
      </c>
      <c r="C16" s="12" t="s">
        <v>65</v>
      </c>
      <c r="D16" s="10" t="s">
        <v>66</v>
      </c>
      <c r="E16" s="10" t="s">
        <v>67</v>
      </c>
      <c r="F16" s="10" t="s">
        <v>68</v>
      </c>
    </row>
    <row r="17" spans="1:6" ht="30" customHeight="1" x14ac:dyDescent="0.35">
      <c r="A17" s="10" t="s">
        <v>64</v>
      </c>
      <c r="B17" s="11">
        <v>0.1</v>
      </c>
      <c r="C17" s="12" t="s">
        <v>69</v>
      </c>
      <c r="D17" s="10" t="s">
        <v>70</v>
      </c>
      <c r="E17" s="10" t="s">
        <v>71</v>
      </c>
      <c r="F17" s="10" t="s">
        <v>72</v>
      </c>
    </row>
    <row r="18" spans="1:6" ht="42" customHeight="1" x14ac:dyDescent="0.35">
      <c r="A18" s="10" t="s">
        <v>64</v>
      </c>
      <c r="B18" s="11">
        <v>0.1</v>
      </c>
      <c r="C18" s="12" t="s">
        <v>73</v>
      </c>
      <c r="D18" s="10" t="s">
        <v>74</v>
      </c>
      <c r="E18" s="10" t="s">
        <v>75</v>
      </c>
      <c r="F18" s="10" t="s">
        <v>76</v>
      </c>
    </row>
    <row r="19" spans="1:6" ht="30" customHeight="1" x14ac:dyDescent="0.35">
      <c r="A19" s="10" t="s">
        <v>64</v>
      </c>
      <c r="B19" s="11">
        <v>0.1</v>
      </c>
      <c r="C19" s="12" t="s">
        <v>77</v>
      </c>
      <c r="D19" s="10" t="s">
        <v>78</v>
      </c>
      <c r="E19" s="10" t="s">
        <v>79</v>
      </c>
      <c r="F19" s="10" t="s">
        <v>80</v>
      </c>
    </row>
    <row r="20" spans="1:6" ht="42" customHeight="1" x14ac:dyDescent="0.35">
      <c r="A20" s="10" t="s">
        <v>64</v>
      </c>
      <c r="B20" s="11">
        <v>0.1</v>
      </c>
      <c r="C20" s="12" t="s">
        <v>81</v>
      </c>
      <c r="D20" s="10" t="s">
        <v>82</v>
      </c>
      <c r="E20" s="10" t="s">
        <v>83</v>
      </c>
      <c r="F20" s="10" t="s">
        <v>84</v>
      </c>
    </row>
    <row r="21" spans="1:6" ht="42" customHeight="1" x14ac:dyDescent="0.35">
      <c r="A21" s="10" t="s">
        <v>64</v>
      </c>
      <c r="B21" s="11">
        <v>0.1</v>
      </c>
      <c r="C21" s="12" t="s">
        <v>85</v>
      </c>
      <c r="D21" s="10" t="s">
        <v>86</v>
      </c>
      <c r="E21" s="10" t="s">
        <v>87</v>
      </c>
      <c r="F21" s="10" t="s">
        <v>88</v>
      </c>
    </row>
    <row r="22" spans="1:6" ht="42" customHeight="1" x14ac:dyDescent="0.35"/>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60"/>
  <sheetViews>
    <sheetView showGridLines="0" zoomScale="55" zoomScaleNormal="55" workbookViewId="0">
      <pane xSplit="5" ySplit="2" topLeftCell="P3" activePane="bottomRight" state="frozen"/>
      <selection pane="topRight" activeCell="F1" sqref="F1"/>
      <selection pane="bottomLeft" activeCell="A3" sqref="A3"/>
      <selection pane="bottomRight" activeCell="AF7" sqref="AF7"/>
    </sheetView>
  </sheetViews>
  <sheetFormatPr defaultColWidth="8.7265625" defaultRowHeight="14.5" x14ac:dyDescent="0.35"/>
  <cols>
    <col min="1" max="1" width="7.54296875" customWidth="1"/>
    <col min="2" max="2" width="40.453125" bestFit="1" customWidth="1"/>
    <col min="3" max="3" width="10" customWidth="1"/>
    <col min="4" max="4" width="12.54296875" bestFit="1" customWidth="1"/>
    <col min="5" max="5" width="12" customWidth="1"/>
    <col min="6" max="25" width="13" customWidth="1"/>
    <col min="26" max="26" width="10" customWidth="1"/>
    <col min="27" max="27" width="13" customWidth="1"/>
    <col min="32" max="32" width="40" customWidth="1"/>
  </cols>
  <sheetData>
    <row r="1" spans="1:32" ht="21.75" customHeight="1" x14ac:dyDescent="0.35">
      <c r="A1" s="36" t="s">
        <v>103</v>
      </c>
      <c r="B1" s="36" t="s">
        <v>104</v>
      </c>
      <c r="C1" s="36" t="s">
        <v>105</v>
      </c>
      <c r="D1" s="36" t="s">
        <v>106</v>
      </c>
      <c r="E1" s="36" t="s">
        <v>107</v>
      </c>
      <c r="F1" s="39" t="s">
        <v>108</v>
      </c>
      <c r="G1" s="38"/>
      <c r="H1" s="36" t="s">
        <v>109</v>
      </c>
      <c r="I1" s="37"/>
      <c r="J1" s="37"/>
      <c r="K1" s="37"/>
      <c r="L1" s="37"/>
      <c r="M1" s="37"/>
      <c r="N1" s="37"/>
      <c r="O1" s="37"/>
      <c r="P1" s="37"/>
      <c r="Q1" s="37"/>
      <c r="R1" s="37"/>
      <c r="S1" s="38"/>
      <c r="T1" s="39" t="s">
        <v>110</v>
      </c>
      <c r="U1" s="37"/>
      <c r="V1" s="37"/>
      <c r="W1" s="37"/>
      <c r="X1" s="37"/>
      <c r="Y1" s="38"/>
      <c r="Z1" s="36" t="s">
        <v>111</v>
      </c>
      <c r="AA1" s="37"/>
      <c r="AB1" s="37"/>
      <c r="AC1" s="37"/>
      <c r="AD1" s="37"/>
      <c r="AE1" s="37"/>
      <c r="AF1" s="38"/>
    </row>
    <row r="2" spans="1:32" ht="57" customHeight="1" x14ac:dyDescent="0.35">
      <c r="A2" s="40"/>
      <c r="B2" s="40"/>
      <c r="C2" s="40"/>
      <c r="D2" s="40"/>
      <c r="E2" s="40"/>
      <c r="F2" s="13" t="s">
        <v>112</v>
      </c>
      <c r="G2" s="13" t="s">
        <v>113</v>
      </c>
      <c r="H2" s="14" t="s">
        <v>114</v>
      </c>
      <c r="I2" s="14" t="s">
        <v>115</v>
      </c>
      <c r="J2" s="14" t="s">
        <v>116</v>
      </c>
      <c r="K2" s="14" t="s">
        <v>117</v>
      </c>
      <c r="L2" s="14" t="s">
        <v>118</v>
      </c>
      <c r="M2" s="14" t="s">
        <v>119</v>
      </c>
      <c r="N2" s="14" t="s">
        <v>120</v>
      </c>
      <c r="O2" s="14" t="s">
        <v>121</v>
      </c>
      <c r="P2" s="14" t="s">
        <v>122</v>
      </c>
      <c r="Q2" s="14" t="s">
        <v>123</v>
      </c>
      <c r="R2" s="14" t="s">
        <v>124</v>
      </c>
      <c r="S2" s="14" t="s">
        <v>125</v>
      </c>
      <c r="T2" s="13" t="s">
        <v>126</v>
      </c>
      <c r="U2" s="13" t="s">
        <v>127</v>
      </c>
      <c r="V2" s="13" t="s">
        <v>128</v>
      </c>
      <c r="W2" s="13" t="s">
        <v>129</v>
      </c>
      <c r="X2" s="13" t="s">
        <v>130</v>
      </c>
      <c r="Y2" s="13" t="s">
        <v>131</v>
      </c>
      <c r="Z2" s="14" t="s">
        <v>132</v>
      </c>
      <c r="AA2" s="14" t="s">
        <v>133</v>
      </c>
      <c r="AB2" s="14" t="s">
        <v>134</v>
      </c>
      <c r="AC2" s="14" t="s">
        <v>135</v>
      </c>
      <c r="AD2" s="14" t="s">
        <v>136</v>
      </c>
      <c r="AE2" s="14" t="s">
        <v>137</v>
      </c>
      <c r="AF2" s="14" t="s">
        <v>138</v>
      </c>
    </row>
    <row r="3" spans="1:32" ht="30" customHeight="1" x14ac:dyDescent="0.35">
      <c r="A3" s="23">
        <v>1</v>
      </c>
      <c r="B3" s="15"/>
      <c r="C3" s="15"/>
      <c r="D3" s="15"/>
      <c r="E3" s="15"/>
      <c r="F3" s="15"/>
      <c r="G3" s="15"/>
      <c r="H3" s="15"/>
      <c r="I3" s="15"/>
      <c r="J3" s="15"/>
      <c r="K3" s="15"/>
      <c r="L3" s="15"/>
      <c r="M3" s="15"/>
      <c r="N3" s="15"/>
      <c r="O3" s="15"/>
      <c r="P3" s="15"/>
      <c r="Q3" s="15"/>
      <c r="R3" s="15"/>
      <c r="S3" s="15"/>
      <c r="T3" s="15"/>
      <c r="U3" s="15"/>
      <c r="V3" s="15"/>
      <c r="W3" s="15"/>
      <c r="X3" s="15"/>
      <c r="Y3" s="15"/>
      <c r="Z3" s="24" t="str">
        <f t="shared" ref="Z3:Z34" si="0">IF(B3="","",IF(COUNTIF(F3:G3,"Fail")&gt;0,1,0))</f>
        <v/>
      </c>
      <c r="AA3" s="24" t="str">
        <f t="shared" ref="AA3:AA34" si="1">IF(B3="","",IF(COUNTIF(H3:S3,"Fail")&gt;0,1,0))</f>
        <v/>
      </c>
      <c r="AB3" s="24" t="str">
        <f t="shared" ref="AB3:AB34" si="2">IF(B3="","",IF(COUNTIF(T3:Y3,"Fail")&gt;0,1,0))</f>
        <v/>
      </c>
      <c r="AC3" s="25" t="str">
        <f t="shared" ref="AC3:AC34" si="3">IF(B3="","",0.1*Z3+0.8*AA3+0.1*AB3)</f>
        <v/>
      </c>
      <c r="AD3" s="25" t="str">
        <f t="shared" ref="AD3:AD34" si="4">IF(B3="","",IF(C3="Batch 1",0.3,0.2))</f>
        <v/>
      </c>
      <c r="AE3" s="16" t="str">
        <f t="shared" ref="AE3:AE34" si="5">IF(B3="","",IF(AC3&lt;=AD3,"Đạt","Không đạt"))</f>
        <v/>
      </c>
      <c r="AF3" s="15"/>
    </row>
    <row r="4" spans="1:32" ht="30" customHeight="1" x14ac:dyDescent="0.35">
      <c r="A4" s="17">
        <v>2</v>
      </c>
      <c r="B4" s="31" t="s">
        <v>139</v>
      </c>
      <c r="C4" s="32" t="s">
        <v>140</v>
      </c>
      <c r="D4" s="32" t="s">
        <v>141</v>
      </c>
      <c r="E4" s="32" t="s">
        <v>142</v>
      </c>
      <c r="F4" s="33" t="s">
        <v>143</v>
      </c>
      <c r="G4" s="33" t="s">
        <v>143</v>
      </c>
      <c r="H4" s="33" t="s">
        <v>143</v>
      </c>
      <c r="I4" s="33" t="s">
        <v>143</v>
      </c>
      <c r="J4" s="33" t="s">
        <v>143</v>
      </c>
      <c r="K4" s="33" t="s">
        <v>144</v>
      </c>
      <c r="L4" s="33" t="s">
        <v>144</v>
      </c>
      <c r="M4" s="33" t="s">
        <v>144</v>
      </c>
      <c r="N4" s="33" t="s">
        <v>143</v>
      </c>
      <c r="O4" s="33" t="s">
        <v>143</v>
      </c>
      <c r="P4" s="33" t="s">
        <v>143</v>
      </c>
      <c r="Q4" s="33" t="s">
        <v>145</v>
      </c>
      <c r="R4" s="33" t="s">
        <v>143</v>
      </c>
      <c r="S4" s="33" t="s">
        <v>144</v>
      </c>
      <c r="T4" s="33" t="s">
        <v>144</v>
      </c>
      <c r="U4" s="33" t="s">
        <v>145</v>
      </c>
      <c r="V4" s="33" t="s">
        <v>143</v>
      </c>
      <c r="W4" s="33" t="s">
        <v>145</v>
      </c>
      <c r="X4" s="33" t="s">
        <v>143</v>
      </c>
      <c r="Y4" s="33" t="s">
        <v>143</v>
      </c>
      <c r="Z4" s="26">
        <f t="shared" si="0"/>
        <v>0</v>
      </c>
      <c r="AA4" s="26">
        <f t="shared" si="1"/>
        <v>1</v>
      </c>
      <c r="AB4" s="26">
        <f t="shared" si="2"/>
        <v>1</v>
      </c>
      <c r="AC4" s="27">
        <f t="shared" si="3"/>
        <v>0.9</v>
      </c>
      <c r="AD4" s="27">
        <f t="shared" si="4"/>
        <v>0.2</v>
      </c>
      <c r="AE4" s="19" t="str">
        <f t="shared" si="5"/>
        <v>Không đạt</v>
      </c>
      <c r="AF4" s="34" t="s">
        <v>146</v>
      </c>
    </row>
    <row r="5" spans="1:32" ht="30" customHeight="1" x14ac:dyDescent="0.35">
      <c r="A5" s="17">
        <v>3</v>
      </c>
      <c r="B5" s="31" t="s">
        <v>147</v>
      </c>
      <c r="C5" s="32" t="s">
        <v>140</v>
      </c>
      <c r="D5" s="32" t="s">
        <v>141</v>
      </c>
      <c r="E5" s="32" t="s">
        <v>142</v>
      </c>
      <c r="F5" s="33" t="s">
        <v>143</v>
      </c>
      <c r="G5" s="33" t="s">
        <v>143</v>
      </c>
      <c r="H5" s="33" t="s">
        <v>143</v>
      </c>
      <c r="I5" s="33" t="s">
        <v>143</v>
      </c>
      <c r="J5" s="33" t="s">
        <v>143</v>
      </c>
      <c r="K5" s="33" t="s">
        <v>143</v>
      </c>
      <c r="L5" s="33" t="s">
        <v>143</v>
      </c>
      <c r="M5" s="33" t="s">
        <v>143</v>
      </c>
      <c r="N5" s="33" t="s">
        <v>143</v>
      </c>
      <c r="O5" s="33" t="s">
        <v>143</v>
      </c>
      <c r="P5" s="33" t="s">
        <v>143</v>
      </c>
      <c r="Q5" s="33" t="s">
        <v>143</v>
      </c>
      <c r="R5" s="33" t="s">
        <v>143</v>
      </c>
      <c r="S5" s="33" t="s">
        <v>143</v>
      </c>
      <c r="T5" s="33" t="s">
        <v>143</v>
      </c>
      <c r="U5" s="33" t="s">
        <v>143</v>
      </c>
      <c r="V5" s="33" t="s">
        <v>143</v>
      </c>
      <c r="W5" s="33" t="s">
        <v>143</v>
      </c>
      <c r="X5" s="33" t="s">
        <v>143</v>
      </c>
      <c r="Y5" s="33" t="s">
        <v>143</v>
      </c>
      <c r="Z5" s="26">
        <f t="shared" si="0"/>
        <v>0</v>
      </c>
      <c r="AA5" s="26">
        <f t="shared" si="1"/>
        <v>0</v>
      </c>
      <c r="AB5" s="26">
        <f t="shared" si="2"/>
        <v>0</v>
      </c>
      <c r="AC5" s="27">
        <f t="shared" si="3"/>
        <v>0</v>
      </c>
      <c r="AD5" s="27">
        <f t="shared" si="4"/>
        <v>0.2</v>
      </c>
      <c r="AE5" s="19" t="str">
        <f t="shared" si="5"/>
        <v>Đạt</v>
      </c>
      <c r="AF5" s="34" t="s">
        <v>148</v>
      </c>
    </row>
    <row r="6" spans="1:32" ht="30" customHeight="1" x14ac:dyDescent="0.35">
      <c r="A6" s="17">
        <v>4</v>
      </c>
      <c r="B6" s="31" t="s">
        <v>149</v>
      </c>
      <c r="C6" s="32" t="s">
        <v>140</v>
      </c>
      <c r="D6" s="32" t="s">
        <v>141</v>
      </c>
      <c r="E6" s="32" t="s">
        <v>142</v>
      </c>
      <c r="F6" s="33" t="s">
        <v>143</v>
      </c>
      <c r="G6" s="33" t="s">
        <v>143</v>
      </c>
      <c r="H6" s="33" t="s">
        <v>143</v>
      </c>
      <c r="I6" s="33" t="s">
        <v>143</v>
      </c>
      <c r="J6" s="33" t="s">
        <v>143</v>
      </c>
      <c r="K6" s="33" t="s">
        <v>143</v>
      </c>
      <c r="L6" s="33" t="s">
        <v>144</v>
      </c>
      <c r="M6" s="33" t="s">
        <v>144</v>
      </c>
      <c r="N6" s="33" t="s">
        <v>143</v>
      </c>
      <c r="O6" s="33" t="s">
        <v>143</v>
      </c>
      <c r="P6" s="33" t="s">
        <v>143</v>
      </c>
      <c r="Q6" s="33" t="s">
        <v>145</v>
      </c>
      <c r="R6" s="33" t="s">
        <v>143</v>
      </c>
      <c r="S6" s="33" t="s">
        <v>143</v>
      </c>
      <c r="T6" s="33" t="s">
        <v>144</v>
      </c>
      <c r="U6" s="33" t="s">
        <v>145</v>
      </c>
      <c r="V6" s="33" t="s">
        <v>145</v>
      </c>
      <c r="W6" s="33" t="s">
        <v>145</v>
      </c>
      <c r="X6" s="33" t="s">
        <v>143</v>
      </c>
      <c r="Y6" s="33" t="s">
        <v>145</v>
      </c>
      <c r="Z6" s="26">
        <f t="shared" si="0"/>
        <v>0</v>
      </c>
      <c r="AA6" s="26">
        <f t="shared" si="1"/>
        <v>1</v>
      </c>
      <c r="AB6" s="26">
        <f t="shared" si="2"/>
        <v>1</v>
      </c>
      <c r="AC6" s="27">
        <f t="shared" si="3"/>
        <v>0.9</v>
      </c>
      <c r="AD6" s="27">
        <f t="shared" si="4"/>
        <v>0.2</v>
      </c>
      <c r="AE6" s="19" t="str">
        <f t="shared" si="5"/>
        <v>Không đạt</v>
      </c>
      <c r="AF6" s="34" t="s">
        <v>150</v>
      </c>
    </row>
    <row r="7" spans="1:32" ht="30" customHeight="1" x14ac:dyDescent="0.35">
      <c r="A7" s="17">
        <v>5</v>
      </c>
      <c r="B7" s="31" t="s">
        <v>151</v>
      </c>
      <c r="C7" s="32" t="s">
        <v>140</v>
      </c>
      <c r="D7" s="32" t="s">
        <v>141</v>
      </c>
      <c r="E7" s="32" t="s">
        <v>142</v>
      </c>
      <c r="F7" s="33" t="s">
        <v>143</v>
      </c>
      <c r="G7" s="33" t="s">
        <v>143</v>
      </c>
      <c r="H7" s="33" t="s">
        <v>143</v>
      </c>
      <c r="I7" s="33" t="s">
        <v>143</v>
      </c>
      <c r="J7" s="33" t="s">
        <v>143</v>
      </c>
      <c r="K7" s="33" t="s">
        <v>144</v>
      </c>
      <c r="L7" s="33" t="s">
        <v>143</v>
      </c>
      <c r="M7" s="33" t="s">
        <v>143</v>
      </c>
      <c r="N7" s="33" t="s">
        <v>143</v>
      </c>
      <c r="O7" s="33" t="s">
        <v>143</v>
      </c>
      <c r="P7" s="33" t="s">
        <v>143</v>
      </c>
      <c r="Q7" s="33" t="s">
        <v>143</v>
      </c>
      <c r="R7" s="33" t="s">
        <v>143</v>
      </c>
      <c r="S7" s="33" t="s">
        <v>144</v>
      </c>
      <c r="T7" s="33" t="s">
        <v>143</v>
      </c>
      <c r="U7" s="33" t="s">
        <v>143</v>
      </c>
      <c r="V7" s="33" t="s">
        <v>143</v>
      </c>
      <c r="W7" s="33" t="s">
        <v>143</v>
      </c>
      <c r="X7" s="33" t="s">
        <v>143</v>
      </c>
      <c r="Y7" s="33" t="s">
        <v>143</v>
      </c>
      <c r="Z7" s="26">
        <f t="shared" si="0"/>
        <v>0</v>
      </c>
      <c r="AA7" s="26">
        <f t="shared" si="1"/>
        <v>1</v>
      </c>
      <c r="AB7" s="26">
        <f t="shared" si="2"/>
        <v>0</v>
      </c>
      <c r="AC7" s="27">
        <f t="shared" si="3"/>
        <v>0.8</v>
      </c>
      <c r="AD7" s="27">
        <f t="shared" si="4"/>
        <v>0.2</v>
      </c>
      <c r="AE7" s="19" t="str">
        <f t="shared" si="5"/>
        <v>Không đạt</v>
      </c>
      <c r="AF7" s="34" t="s">
        <v>152</v>
      </c>
    </row>
    <row r="8" spans="1:32" ht="30" customHeight="1" x14ac:dyDescent="0.35">
      <c r="A8" s="17">
        <v>6</v>
      </c>
      <c r="B8" s="31" t="s">
        <v>153</v>
      </c>
      <c r="C8" s="32" t="s">
        <v>140</v>
      </c>
      <c r="D8" s="32" t="s">
        <v>141</v>
      </c>
      <c r="E8" s="32" t="s">
        <v>142</v>
      </c>
      <c r="F8" s="33" t="s">
        <v>143</v>
      </c>
      <c r="G8" s="33" t="s">
        <v>143</v>
      </c>
      <c r="H8" s="33" t="s">
        <v>143</v>
      </c>
      <c r="I8" s="33" t="s">
        <v>143</v>
      </c>
      <c r="J8" s="33" t="s">
        <v>143</v>
      </c>
      <c r="K8" s="33" t="s">
        <v>143</v>
      </c>
      <c r="L8" s="33" t="s">
        <v>143</v>
      </c>
      <c r="M8" s="33" t="s">
        <v>143</v>
      </c>
      <c r="N8" s="33" t="s">
        <v>143</v>
      </c>
      <c r="O8" s="33" t="s">
        <v>143</v>
      </c>
      <c r="P8" s="33" t="s">
        <v>143</v>
      </c>
      <c r="Q8" s="33" t="s">
        <v>143</v>
      </c>
      <c r="R8" s="33" t="s">
        <v>143</v>
      </c>
      <c r="S8" s="33" t="s">
        <v>143</v>
      </c>
      <c r="T8" s="33" t="s">
        <v>143</v>
      </c>
      <c r="U8" s="33" t="s">
        <v>143</v>
      </c>
      <c r="V8" s="33" t="s">
        <v>143</v>
      </c>
      <c r="W8" s="33" t="s">
        <v>143</v>
      </c>
      <c r="X8" s="33" t="s">
        <v>143</v>
      </c>
      <c r="Y8" s="33" t="s">
        <v>143</v>
      </c>
      <c r="Z8" s="26">
        <f t="shared" si="0"/>
        <v>0</v>
      </c>
      <c r="AA8" s="26">
        <f t="shared" si="1"/>
        <v>0</v>
      </c>
      <c r="AB8" s="26">
        <f t="shared" si="2"/>
        <v>0</v>
      </c>
      <c r="AC8" s="27">
        <f t="shared" si="3"/>
        <v>0</v>
      </c>
      <c r="AD8" s="27">
        <f t="shared" si="4"/>
        <v>0.2</v>
      </c>
      <c r="AE8" s="19" t="str">
        <f t="shared" si="5"/>
        <v>Đạt</v>
      </c>
      <c r="AF8" s="34" t="s">
        <v>154</v>
      </c>
    </row>
    <row r="9" spans="1:32" ht="30" customHeight="1" x14ac:dyDescent="0.35">
      <c r="A9" s="17">
        <v>7</v>
      </c>
      <c r="B9" s="31" t="s">
        <v>155</v>
      </c>
      <c r="C9" s="32" t="s">
        <v>140</v>
      </c>
      <c r="D9" s="32" t="s">
        <v>141</v>
      </c>
      <c r="E9" s="32" t="s">
        <v>142</v>
      </c>
      <c r="F9" s="33" t="s">
        <v>143</v>
      </c>
      <c r="G9" s="33" t="s">
        <v>143</v>
      </c>
      <c r="H9" s="33" t="s">
        <v>143</v>
      </c>
      <c r="I9" s="33" t="s">
        <v>143</v>
      </c>
      <c r="J9" s="33" t="s">
        <v>143</v>
      </c>
      <c r="K9" s="33" t="s">
        <v>143</v>
      </c>
      <c r="L9" s="33" t="s">
        <v>143</v>
      </c>
      <c r="M9" s="33" t="s">
        <v>143</v>
      </c>
      <c r="N9" s="33" t="s">
        <v>143</v>
      </c>
      <c r="O9" s="33" t="s">
        <v>143</v>
      </c>
      <c r="P9" s="33" t="s">
        <v>143</v>
      </c>
      <c r="Q9" s="33" t="s">
        <v>143</v>
      </c>
      <c r="R9" s="33" t="s">
        <v>143</v>
      </c>
      <c r="S9" s="33" t="s">
        <v>143</v>
      </c>
      <c r="T9" s="33" t="s">
        <v>143</v>
      </c>
      <c r="U9" s="33" t="s">
        <v>143</v>
      </c>
      <c r="V9" s="33" t="s">
        <v>143</v>
      </c>
      <c r="W9" s="33" t="s">
        <v>143</v>
      </c>
      <c r="X9" s="33" t="s">
        <v>143</v>
      </c>
      <c r="Y9" s="33" t="s">
        <v>143</v>
      </c>
      <c r="Z9" s="26">
        <f t="shared" si="0"/>
        <v>0</v>
      </c>
      <c r="AA9" s="26">
        <f t="shared" si="1"/>
        <v>0</v>
      </c>
      <c r="AB9" s="26">
        <f t="shared" si="2"/>
        <v>0</v>
      </c>
      <c r="AC9" s="27">
        <f t="shared" si="3"/>
        <v>0</v>
      </c>
      <c r="AD9" s="27">
        <f t="shared" si="4"/>
        <v>0.2</v>
      </c>
      <c r="AE9" s="19" t="str">
        <f t="shared" si="5"/>
        <v>Đạt</v>
      </c>
      <c r="AF9" s="34" t="s">
        <v>156</v>
      </c>
    </row>
    <row r="10" spans="1:32" ht="30" customHeight="1" x14ac:dyDescent="0.35">
      <c r="A10" s="17">
        <v>8</v>
      </c>
      <c r="B10" s="31" t="s">
        <v>157</v>
      </c>
      <c r="C10" s="32" t="s">
        <v>140</v>
      </c>
      <c r="D10" s="32" t="s">
        <v>158</v>
      </c>
      <c r="E10" s="32" t="s">
        <v>142</v>
      </c>
      <c r="F10" s="33" t="s">
        <v>143</v>
      </c>
      <c r="G10" s="33" t="s">
        <v>143</v>
      </c>
      <c r="H10" s="33" t="s">
        <v>143</v>
      </c>
      <c r="I10" s="33" t="s">
        <v>143</v>
      </c>
      <c r="J10" s="33" t="s">
        <v>143</v>
      </c>
      <c r="K10" s="33" t="s">
        <v>143</v>
      </c>
      <c r="L10" s="33" t="s">
        <v>143</v>
      </c>
      <c r="M10" s="33" t="s">
        <v>144</v>
      </c>
      <c r="N10" s="33" t="s">
        <v>143</v>
      </c>
      <c r="O10" s="33" t="s">
        <v>143</v>
      </c>
      <c r="P10" s="33" t="s">
        <v>143</v>
      </c>
      <c r="Q10" s="33" t="s">
        <v>143</v>
      </c>
      <c r="R10" s="33" t="s">
        <v>143</v>
      </c>
      <c r="S10" s="33" t="s">
        <v>143</v>
      </c>
      <c r="T10" s="33" t="s">
        <v>143</v>
      </c>
      <c r="U10" s="33" t="s">
        <v>143</v>
      </c>
      <c r="V10" s="33" t="s">
        <v>143</v>
      </c>
      <c r="W10" s="33" t="s">
        <v>143</v>
      </c>
      <c r="X10" s="33" t="s">
        <v>143</v>
      </c>
      <c r="Y10" s="33" t="s">
        <v>143</v>
      </c>
      <c r="Z10" s="26">
        <f t="shared" si="0"/>
        <v>0</v>
      </c>
      <c r="AA10" s="26">
        <f t="shared" si="1"/>
        <v>1</v>
      </c>
      <c r="AB10" s="26">
        <f t="shared" si="2"/>
        <v>0</v>
      </c>
      <c r="AC10" s="27">
        <f t="shared" si="3"/>
        <v>0.8</v>
      </c>
      <c r="AD10" s="27">
        <f t="shared" si="4"/>
        <v>0.2</v>
      </c>
      <c r="AE10" s="19" t="str">
        <f t="shared" si="5"/>
        <v>Không đạt</v>
      </c>
      <c r="AF10" s="34" t="s">
        <v>159</v>
      </c>
    </row>
    <row r="11" spans="1:32" ht="30" customHeight="1" x14ac:dyDescent="0.35">
      <c r="A11" s="17">
        <v>9</v>
      </c>
      <c r="B11" s="31" t="s">
        <v>160</v>
      </c>
      <c r="C11" s="32" t="s">
        <v>140</v>
      </c>
      <c r="D11" s="32" t="s">
        <v>161</v>
      </c>
      <c r="E11" s="32" t="s">
        <v>142</v>
      </c>
      <c r="F11" s="33" t="s">
        <v>143</v>
      </c>
      <c r="G11" s="33" t="s">
        <v>143</v>
      </c>
      <c r="H11" s="33" t="s">
        <v>143</v>
      </c>
      <c r="I11" s="33" t="s">
        <v>143</v>
      </c>
      <c r="J11" s="33" t="s">
        <v>143</v>
      </c>
      <c r="K11" s="33" t="s">
        <v>143</v>
      </c>
      <c r="L11" s="33" t="s">
        <v>143</v>
      </c>
      <c r="M11" s="33" t="s">
        <v>143</v>
      </c>
      <c r="N11" s="33" t="s">
        <v>143</v>
      </c>
      <c r="O11" s="33" t="s">
        <v>143</v>
      </c>
      <c r="P11" s="33" t="s">
        <v>143</v>
      </c>
      <c r="Q11" s="33" t="s">
        <v>143</v>
      </c>
      <c r="R11" s="33" t="s">
        <v>143</v>
      </c>
      <c r="S11" s="33" t="s">
        <v>143</v>
      </c>
      <c r="T11" s="33" t="s">
        <v>143</v>
      </c>
      <c r="U11" s="33" t="s">
        <v>143</v>
      </c>
      <c r="V11" s="33" t="s">
        <v>143</v>
      </c>
      <c r="W11" s="33" t="s">
        <v>143</v>
      </c>
      <c r="X11" s="33" t="s">
        <v>143</v>
      </c>
      <c r="Y11" s="33" t="s">
        <v>143</v>
      </c>
      <c r="Z11" s="26">
        <f t="shared" si="0"/>
        <v>0</v>
      </c>
      <c r="AA11" s="26">
        <f t="shared" si="1"/>
        <v>0</v>
      </c>
      <c r="AB11" s="26">
        <f t="shared" si="2"/>
        <v>0</v>
      </c>
      <c r="AC11" s="27">
        <f t="shared" si="3"/>
        <v>0</v>
      </c>
      <c r="AD11" s="27">
        <f t="shared" si="4"/>
        <v>0.2</v>
      </c>
      <c r="AE11" s="19" t="str">
        <f t="shared" si="5"/>
        <v>Đạt</v>
      </c>
      <c r="AF11" s="34" t="s">
        <v>162</v>
      </c>
    </row>
    <row r="12" spans="1:32" ht="30" customHeight="1" x14ac:dyDescent="0.35">
      <c r="A12" s="17">
        <v>10</v>
      </c>
      <c r="B12" s="31" t="s">
        <v>163</v>
      </c>
      <c r="C12" s="32" t="s">
        <v>140</v>
      </c>
      <c r="D12" s="32" t="s">
        <v>161</v>
      </c>
      <c r="E12" s="32" t="s">
        <v>142</v>
      </c>
      <c r="F12" s="33" t="s">
        <v>143</v>
      </c>
      <c r="G12" s="33" t="s">
        <v>143</v>
      </c>
      <c r="H12" s="33" t="s">
        <v>143</v>
      </c>
      <c r="I12" s="33" t="s">
        <v>143</v>
      </c>
      <c r="J12" s="33" t="s">
        <v>143</v>
      </c>
      <c r="K12" s="33" t="s">
        <v>143</v>
      </c>
      <c r="L12" s="33" t="s">
        <v>143</v>
      </c>
      <c r="M12" s="33" t="s">
        <v>143</v>
      </c>
      <c r="N12" s="33" t="s">
        <v>143</v>
      </c>
      <c r="O12" s="33" t="s">
        <v>143</v>
      </c>
      <c r="P12" s="33" t="s">
        <v>143</v>
      </c>
      <c r="Q12" s="33" t="s">
        <v>143</v>
      </c>
      <c r="R12" s="33" t="s">
        <v>143</v>
      </c>
      <c r="S12" s="33" t="s">
        <v>143</v>
      </c>
      <c r="T12" s="33" t="s">
        <v>143</v>
      </c>
      <c r="U12" s="33" t="s">
        <v>143</v>
      </c>
      <c r="V12" s="33" t="s">
        <v>143</v>
      </c>
      <c r="W12" s="33" t="s">
        <v>143</v>
      </c>
      <c r="X12" s="33" t="s">
        <v>143</v>
      </c>
      <c r="Y12" s="33" t="s">
        <v>143</v>
      </c>
      <c r="Z12" s="26">
        <f t="shared" si="0"/>
        <v>0</v>
      </c>
      <c r="AA12" s="26">
        <f t="shared" si="1"/>
        <v>0</v>
      </c>
      <c r="AB12" s="26">
        <f t="shared" si="2"/>
        <v>0</v>
      </c>
      <c r="AC12" s="27">
        <f t="shared" si="3"/>
        <v>0</v>
      </c>
      <c r="AD12" s="27">
        <f t="shared" si="4"/>
        <v>0.2</v>
      </c>
      <c r="AE12" s="19" t="str">
        <f t="shared" si="5"/>
        <v>Đạt</v>
      </c>
      <c r="AF12" s="34" t="s">
        <v>162</v>
      </c>
    </row>
    <row r="13" spans="1:32" ht="30" customHeight="1" x14ac:dyDescent="0.35">
      <c r="A13" s="17">
        <v>11</v>
      </c>
      <c r="B13" s="31" t="s">
        <v>164</v>
      </c>
      <c r="C13" s="32" t="s">
        <v>140</v>
      </c>
      <c r="D13" s="32" t="s">
        <v>158</v>
      </c>
      <c r="E13" s="32" t="s">
        <v>142</v>
      </c>
      <c r="F13" s="33" t="s">
        <v>143</v>
      </c>
      <c r="G13" s="33" t="s">
        <v>143</v>
      </c>
      <c r="H13" s="33" t="s">
        <v>143</v>
      </c>
      <c r="I13" s="33" t="s">
        <v>143</v>
      </c>
      <c r="J13" s="33" t="s">
        <v>143</v>
      </c>
      <c r="K13" s="33" t="s">
        <v>143</v>
      </c>
      <c r="L13" s="33" t="s">
        <v>143</v>
      </c>
      <c r="M13" s="33" t="s">
        <v>143</v>
      </c>
      <c r="N13" s="33" t="s">
        <v>143</v>
      </c>
      <c r="O13" s="33" t="s">
        <v>143</v>
      </c>
      <c r="P13" s="33" t="s">
        <v>143</v>
      </c>
      <c r="Q13" s="33" t="s">
        <v>143</v>
      </c>
      <c r="R13" s="33" t="s">
        <v>143</v>
      </c>
      <c r="S13" s="33" t="s">
        <v>143</v>
      </c>
      <c r="T13" s="33" t="s">
        <v>143</v>
      </c>
      <c r="U13" s="33" t="s">
        <v>143</v>
      </c>
      <c r="V13" s="33" t="s">
        <v>143</v>
      </c>
      <c r="W13" s="33" t="s">
        <v>143</v>
      </c>
      <c r="X13" s="33" t="s">
        <v>143</v>
      </c>
      <c r="Y13" s="33" t="s">
        <v>143</v>
      </c>
      <c r="Z13" s="26">
        <f t="shared" si="0"/>
        <v>0</v>
      </c>
      <c r="AA13" s="26">
        <f t="shared" si="1"/>
        <v>0</v>
      </c>
      <c r="AB13" s="26">
        <f t="shared" si="2"/>
        <v>0</v>
      </c>
      <c r="AC13" s="27">
        <f t="shared" si="3"/>
        <v>0</v>
      </c>
      <c r="AD13" s="27">
        <f t="shared" si="4"/>
        <v>0.2</v>
      </c>
      <c r="AE13" s="19" t="str">
        <f t="shared" si="5"/>
        <v>Đạt</v>
      </c>
      <c r="AF13" s="34" t="s">
        <v>154</v>
      </c>
    </row>
    <row r="14" spans="1:32" ht="30" customHeight="1" x14ac:dyDescent="0.35">
      <c r="A14" s="17">
        <v>12</v>
      </c>
      <c r="B14" s="31" t="s">
        <v>165</v>
      </c>
      <c r="C14" s="32" t="s">
        <v>140</v>
      </c>
      <c r="D14" s="32" t="s">
        <v>141</v>
      </c>
      <c r="E14" s="32" t="s">
        <v>142</v>
      </c>
      <c r="F14" s="33" t="s">
        <v>143</v>
      </c>
      <c r="G14" s="33" t="s">
        <v>143</v>
      </c>
      <c r="H14" s="33" t="s">
        <v>143</v>
      </c>
      <c r="I14" s="33" t="s">
        <v>143</v>
      </c>
      <c r="J14" s="33" t="s">
        <v>143</v>
      </c>
      <c r="K14" s="33" t="s">
        <v>143</v>
      </c>
      <c r="L14" s="33" t="s">
        <v>143</v>
      </c>
      <c r="M14" s="33" t="s">
        <v>143</v>
      </c>
      <c r="N14" s="33" t="s">
        <v>143</v>
      </c>
      <c r="O14" s="33" t="s">
        <v>143</v>
      </c>
      <c r="P14" s="33" t="s">
        <v>143</v>
      </c>
      <c r="Q14" s="33" t="s">
        <v>143</v>
      </c>
      <c r="R14" s="33" t="s">
        <v>143</v>
      </c>
      <c r="S14" s="33" t="s">
        <v>143</v>
      </c>
      <c r="T14" s="33" t="s">
        <v>143</v>
      </c>
      <c r="U14" s="33" t="s">
        <v>143</v>
      </c>
      <c r="V14" s="33" t="s">
        <v>143</v>
      </c>
      <c r="W14" s="33" t="s">
        <v>143</v>
      </c>
      <c r="X14" s="33" t="s">
        <v>143</v>
      </c>
      <c r="Y14" s="33" t="s">
        <v>143</v>
      </c>
      <c r="Z14" s="26">
        <f t="shared" si="0"/>
        <v>0</v>
      </c>
      <c r="AA14" s="26">
        <f t="shared" si="1"/>
        <v>0</v>
      </c>
      <c r="AB14" s="26">
        <f t="shared" si="2"/>
        <v>0</v>
      </c>
      <c r="AC14" s="27">
        <f t="shared" si="3"/>
        <v>0</v>
      </c>
      <c r="AD14" s="27">
        <f t="shared" si="4"/>
        <v>0.2</v>
      </c>
      <c r="AE14" s="19" t="str">
        <f t="shared" si="5"/>
        <v>Đạt</v>
      </c>
      <c r="AF14" s="34" t="s">
        <v>166</v>
      </c>
    </row>
    <row r="15" spans="1:32" ht="30" customHeight="1" x14ac:dyDescent="0.35">
      <c r="A15" s="17">
        <v>13</v>
      </c>
      <c r="B15" s="31" t="s">
        <v>167</v>
      </c>
      <c r="C15" s="32" t="s">
        <v>140</v>
      </c>
      <c r="D15" s="32" t="s">
        <v>141</v>
      </c>
      <c r="E15" s="32" t="s">
        <v>142</v>
      </c>
      <c r="F15" s="33" t="s">
        <v>143</v>
      </c>
      <c r="G15" s="33" t="s">
        <v>143</v>
      </c>
      <c r="H15" s="33" t="s">
        <v>143</v>
      </c>
      <c r="I15" s="33" t="s">
        <v>143</v>
      </c>
      <c r="J15" s="33" t="s">
        <v>143</v>
      </c>
      <c r="K15" s="33" t="s">
        <v>143</v>
      </c>
      <c r="L15" s="33" t="s">
        <v>143</v>
      </c>
      <c r="M15" s="33" t="s">
        <v>143</v>
      </c>
      <c r="N15" s="33" t="s">
        <v>143</v>
      </c>
      <c r="O15" s="33" t="s">
        <v>143</v>
      </c>
      <c r="P15" s="33" t="s">
        <v>143</v>
      </c>
      <c r="Q15" s="33" t="s">
        <v>143</v>
      </c>
      <c r="R15" s="33" t="s">
        <v>143</v>
      </c>
      <c r="S15" s="33" t="s">
        <v>143</v>
      </c>
      <c r="T15" s="33" t="s">
        <v>143</v>
      </c>
      <c r="U15" s="33" t="s">
        <v>143</v>
      </c>
      <c r="V15" s="33" t="s">
        <v>143</v>
      </c>
      <c r="W15" s="33" t="s">
        <v>143</v>
      </c>
      <c r="X15" s="33" t="s">
        <v>143</v>
      </c>
      <c r="Y15" s="33" t="s">
        <v>143</v>
      </c>
      <c r="Z15" s="26">
        <f t="shared" si="0"/>
        <v>0</v>
      </c>
      <c r="AA15" s="26">
        <f t="shared" si="1"/>
        <v>0</v>
      </c>
      <c r="AB15" s="26">
        <f t="shared" si="2"/>
        <v>0</v>
      </c>
      <c r="AC15" s="27">
        <f t="shared" si="3"/>
        <v>0</v>
      </c>
      <c r="AD15" s="27">
        <f t="shared" si="4"/>
        <v>0.2</v>
      </c>
      <c r="AE15" s="19" t="str">
        <f t="shared" si="5"/>
        <v>Đạt</v>
      </c>
      <c r="AF15" s="34" t="s">
        <v>168</v>
      </c>
    </row>
    <row r="16" spans="1:32" ht="30" customHeight="1" x14ac:dyDescent="0.35">
      <c r="A16" s="17">
        <v>14</v>
      </c>
      <c r="B16" s="31" t="s">
        <v>169</v>
      </c>
      <c r="C16" s="32" t="s">
        <v>140</v>
      </c>
      <c r="D16" s="32" t="s">
        <v>141</v>
      </c>
      <c r="E16" s="32" t="s">
        <v>142</v>
      </c>
      <c r="F16" s="33" t="s">
        <v>143</v>
      </c>
      <c r="G16" s="33" t="s">
        <v>143</v>
      </c>
      <c r="H16" s="33" t="s">
        <v>143</v>
      </c>
      <c r="I16" s="33" t="s">
        <v>143</v>
      </c>
      <c r="J16" s="33" t="s">
        <v>143</v>
      </c>
      <c r="K16" s="33" t="s">
        <v>143</v>
      </c>
      <c r="L16" s="33" t="s">
        <v>143</v>
      </c>
      <c r="M16" s="33" t="s">
        <v>143</v>
      </c>
      <c r="N16" s="33" t="s">
        <v>143</v>
      </c>
      <c r="O16" s="33" t="s">
        <v>143</v>
      </c>
      <c r="P16" s="33" t="s">
        <v>143</v>
      </c>
      <c r="Q16" s="33" t="s">
        <v>143</v>
      </c>
      <c r="R16" s="33" t="s">
        <v>143</v>
      </c>
      <c r="S16" s="33" t="s">
        <v>143</v>
      </c>
      <c r="T16" s="33" t="s">
        <v>143</v>
      </c>
      <c r="U16" s="33" t="s">
        <v>143</v>
      </c>
      <c r="V16" s="33" t="s">
        <v>143</v>
      </c>
      <c r="W16" s="33" t="s">
        <v>143</v>
      </c>
      <c r="X16" s="33" t="s">
        <v>143</v>
      </c>
      <c r="Y16" s="33" t="s">
        <v>143</v>
      </c>
      <c r="Z16" s="26">
        <f t="shared" si="0"/>
        <v>0</v>
      </c>
      <c r="AA16" s="26">
        <f t="shared" si="1"/>
        <v>0</v>
      </c>
      <c r="AB16" s="26">
        <f t="shared" si="2"/>
        <v>0</v>
      </c>
      <c r="AC16" s="27">
        <f t="shared" si="3"/>
        <v>0</v>
      </c>
      <c r="AD16" s="27">
        <f t="shared" si="4"/>
        <v>0.2</v>
      </c>
      <c r="AE16" s="19" t="str">
        <f t="shared" si="5"/>
        <v>Đạt</v>
      </c>
      <c r="AF16" s="34" t="s">
        <v>170</v>
      </c>
    </row>
    <row r="17" spans="1:32" ht="30" customHeight="1" x14ac:dyDescent="0.35">
      <c r="A17" s="17">
        <v>15</v>
      </c>
      <c r="B17" s="31" t="s">
        <v>171</v>
      </c>
      <c r="C17" s="32" t="s">
        <v>140</v>
      </c>
      <c r="D17" s="32" t="s">
        <v>172</v>
      </c>
      <c r="E17" s="32" t="s">
        <v>142</v>
      </c>
      <c r="F17" s="33" t="s">
        <v>143</v>
      </c>
      <c r="G17" s="33" t="s">
        <v>143</v>
      </c>
      <c r="H17" s="33" t="s">
        <v>143</v>
      </c>
      <c r="I17" s="33" t="s">
        <v>143</v>
      </c>
      <c r="J17" s="33" t="s">
        <v>143</v>
      </c>
      <c r="K17" s="33" t="s">
        <v>144</v>
      </c>
      <c r="L17" s="33" t="s">
        <v>143</v>
      </c>
      <c r="M17" s="33" t="s">
        <v>143</v>
      </c>
      <c r="N17" s="33" t="s">
        <v>143</v>
      </c>
      <c r="O17" s="33" t="s">
        <v>143</v>
      </c>
      <c r="P17" s="33" t="s">
        <v>143</v>
      </c>
      <c r="Q17" s="33" t="s">
        <v>143</v>
      </c>
      <c r="R17" s="33" t="s">
        <v>143</v>
      </c>
      <c r="S17" s="33" t="s">
        <v>143</v>
      </c>
      <c r="T17" s="33" t="s">
        <v>143</v>
      </c>
      <c r="U17" s="33" t="s">
        <v>145</v>
      </c>
      <c r="V17" s="33" t="s">
        <v>145</v>
      </c>
      <c r="W17" s="33" t="s">
        <v>145</v>
      </c>
      <c r="X17" s="33" t="s">
        <v>143</v>
      </c>
      <c r="Y17" s="33" t="s">
        <v>143</v>
      </c>
      <c r="Z17" s="26">
        <f t="shared" si="0"/>
        <v>0</v>
      </c>
      <c r="AA17" s="26">
        <f t="shared" si="1"/>
        <v>1</v>
      </c>
      <c r="AB17" s="26">
        <f t="shared" si="2"/>
        <v>0</v>
      </c>
      <c r="AC17" s="27">
        <f t="shared" si="3"/>
        <v>0.8</v>
      </c>
      <c r="AD17" s="27">
        <f t="shared" si="4"/>
        <v>0.2</v>
      </c>
      <c r="AE17" s="19" t="str">
        <f t="shared" si="5"/>
        <v>Không đạt</v>
      </c>
      <c r="AF17" s="34" t="s">
        <v>173</v>
      </c>
    </row>
    <row r="18" spans="1:32" ht="30" customHeight="1" x14ac:dyDescent="0.35">
      <c r="A18" s="17">
        <v>16</v>
      </c>
      <c r="B18" s="31" t="s">
        <v>174</v>
      </c>
      <c r="C18" s="32" t="s">
        <v>140</v>
      </c>
      <c r="D18" s="32" t="s">
        <v>172</v>
      </c>
      <c r="E18" s="32" t="s">
        <v>142</v>
      </c>
      <c r="F18" s="33" t="s">
        <v>143</v>
      </c>
      <c r="G18" s="33" t="s">
        <v>143</v>
      </c>
      <c r="H18" s="33" t="s">
        <v>143</v>
      </c>
      <c r="I18" s="33" t="s">
        <v>143</v>
      </c>
      <c r="J18" s="33" t="s">
        <v>143</v>
      </c>
      <c r="K18" s="33" t="s">
        <v>143</v>
      </c>
      <c r="L18" s="33" t="s">
        <v>143</v>
      </c>
      <c r="M18" s="33" t="s">
        <v>143</v>
      </c>
      <c r="N18" s="33" t="s">
        <v>143</v>
      </c>
      <c r="O18" s="33" t="s">
        <v>143</v>
      </c>
      <c r="P18" s="33" t="s">
        <v>143</v>
      </c>
      <c r="Q18" s="33" t="s">
        <v>143</v>
      </c>
      <c r="R18" s="33" t="s">
        <v>143</v>
      </c>
      <c r="S18" s="33" t="s">
        <v>143</v>
      </c>
      <c r="T18" s="33" t="s">
        <v>143</v>
      </c>
      <c r="U18" s="33" t="s">
        <v>145</v>
      </c>
      <c r="V18" s="33" t="s">
        <v>145</v>
      </c>
      <c r="W18" s="33" t="s">
        <v>145</v>
      </c>
      <c r="X18" s="33" t="s">
        <v>143</v>
      </c>
      <c r="Y18" s="33" t="s">
        <v>143</v>
      </c>
      <c r="Z18" s="26">
        <f t="shared" si="0"/>
        <v>0</v>
      </c>
      <c r="AA18" s="26">
        <f t="shared" si="1"/>
        <v>0</v>
      </c>
      <c r="AB18" s="26">
        <f t="shared" si="2"/>
        <v>0</v>
      </c>
      <c r="AC18" s="27">
        <f t="shared" si="3"/>
        <v>0</v>
      </c>
      <c r="AD18" s="27">
        <f t="shared" si="4"/>
        <v>0.2</v>
      </c>
      <c r="AE18" s="19" t="str">
        <f t="shared" si="5"/>
        <v>Đạt</v>
      </c>
      <c r="AF18" s="34" t="s">
        <v>175</v>
      </c>
    </row>
    <row r="19" spans="1:32" ht="30" customHeight="1" x14ac:dyDescent="0.35">
      <c r="A19" s="17">
        <v>17</v>
      </c>
      <c r="B19" s="31" t="s">
        <v>176</v>
      </c>
      <c r="C19" s="32" t="s">
        <v>140</v>
      </c>
      <c r="D19" s="32" t="s">
        <v>158</v>
      </c>
      <c r="E19" s="32" t="s">
        <v>142</v>
      </c>
      <c r="F19" s="33" t="s">
        <v>143</v>
      </c>
      <c r="G19" s="33" t="s">
        <v>143</v>
      </c>
      <c r="H19" s="33" t="s">
        <v>143</v>
      </c>
      <c r="I19" s="33" t="s">
        <v>143</v>
      </c>
      <c r="J19" s="33" t="s">
        <v>143</v>
      </c>
      <c r="K19" s="33" t="s">
        <v>143</v>
      </c>
      <c r="L19" s="33" t="s">
        <v>143</v>
      </c>
      <c r="M19" s="33" t="s">
        <v>143</v>
      </c>
      <c r="N19" s="33" t="s">
        <v>143</v>
      </c>
      <c r="O19" s="33" t="s">
        <v>143</v>
      </c>
      <c r="P19" s="33" t="s">
        <v>143</v>
      </c>
      <c r="Q19" s="33" t="s">
        <v>143</v>
      </c>
      <c r="R19" s="33" t="s">
        <v>143</v>
      </c>
      <c r="S19" s="33" t="s">
        <v>143</v>
      </c>
      <c r="T19" s="33" t="s">
        <v>143</v>
      </c>
      <c r="U19" s="33" t="s">
        <v>143</v>
      </c>
      <c r="V19" s="33" t="s">
        <v>143</v>
      </c>
      <c r="W19" s="33" t="s">
        <v>143</v>
      </c>
      <c r="X19" s="33" t="s">
        <v>143</v>
      </c>
      <c r="Y19" s="33" t="s">
        <v>143</v>
      </c>
      <c r="Z19" s="26">
        <f t="shared" si="0"/>
        <v>0</v>
      </c>
      <c r="AA19" s="26">
        <f t="shared" si="1"/>
        <v>0</v>
      </c>
      <c r="AB19" s="26">
        <f t="shared" si="2"/>
        <v>0</v>
      </c>
      <c r="AC19" s="27">
        <f t="shared" si="3"/>
        <v>0</v>
      </c>
      <c r="AD19" s="27">
        <f t="shared" si="4"/>
        <v>0.2</v>
      </c>
      <c r="AE19" s="19" t="str">
        <f t="shared" si="5"/>
        <v>Đạt</v>
      </c>
      <c r="AF19" s="34" t="s">
        <v>177</v>
      </c>
    </row>
    <row r="20" spans="1:32" ht="30" customHeight="1" x14ac:dyDescent="0.35">
      <c r="A20" s="17">
        <v>18</v>
      </c>
      <c r="B20" s="31" t="s">
        <v>178</v>
      </c>
      <c r="C20" s="32" t="s">
        <v>140</v>
      </c>
      <c r="D20" s="32" t="s">
        <v>179</v>
      </c>
      <c r="E20" s="32" t="s">
        <v>142</v>
      </c>
      <c r="F20" s="33" t="s">
        <v>143</v>
      </c>
      <c r="G20" s="33" t="s">
        <v>143</v>
      </c>
      <c r="H20" s="33" t="s">
        <v>143</v>
      </c>
      <c r="I20" s="33" t="s">
        <v>143</v>
      </c>
      <c r="J20" s="33" t="s">
        <v>143</v>
      </c>
      <c r="K20" s="33" t="s">
        <v>143</v>
      </c>
      <c r="L20" s="33" t="s">
        <v>143</v>
      </c>
      <c r="M20" s="33" t="s">
        <v>143</v>
      </c>
      <c r="N20" s="33" t="s">
        <v>143</v>
      </c>
      <c r="O20" s="33" t="s">
        <v>143</v>
      </c>
      <c r="P20" s="33" t="s">
        <v>143</v>
      </c>
      <c r="Q20" s="33" t="s">
        <v>143</v>
      </c>
      <c r="R20" s="33" t="s">
        <v>143</v>
      </c>
      <c r="S20" s="33" t="s">
        <v>143</v>
      </c>
      <c r="T20" s="33" t="s">
        <v>143</v>
      </c>
      <c r="U20" s="33" t="s">
        <v>143</v>
      </c>
      <c r="V20" s="33" t="s">
        <v>143</v>
      </c>
      <c r="W20" s="33" t="s">
        <v>143</v>
      </c>
      <c r="X20" s="33" t="s">
        <v>143</v>
      </c>
      <c r="Y20" s="33" t="s">
        <v>143</v>
      </c>
      <c r="Z20" s="26">
        <f t="shared" si="0"/>
        <v>0</v>
      </c>
      <c r="AA20" s="26">
        <f t="shared" si="1"/>
        <v>0</v>
      </c>
      <c r="AB20" s="26">
        <f t="shared" si="2"/>
        <v>0</v>
      </c>
      <c r="AC20" s="27">
        <f t="shared" si="3"/>
        <v>0</v>
      </c>
      <c r="AD20" s="27">
        <f t="shared" si="4"/>
        <v>0.2</v>
      </c>
      <c r="AE20" s="19" t="str">
        <f t="shared" si="5"/>
        <v>Đạt</v>
      </c>
      <c r="AF20" s="34" t="s">
        <v>154</v>
      </c>
    </row>
    <row r="21" spans="1:32" ht="30" customHeight="1" x14ac:dyDescent="0.35">
      <c r="A21" s="17">
        <v>19</v>
      </c>
      <c r="B21" s="31" t="s">
        <v>180</v>
      </c>
      <c r="C21" s="32" t="s">
        <v>140</v>
      </c>
      <c r="D21" s="32" t="s">
        <v>179</v>
      </c>
      <c r="E21" s="32" t="s">
        <v>142</v>
      </c>
      <c r="F21" s="33" t="s">
        <v>143</v>
      </c>
      <c r="G21" s="33" t="s">
        <v>143</v>
      </c>
      <c r="H21" s="33" t="s">
        <v>143</v>
      </c>
      <c r="I21" s="33" t="s">
        <v>143</v>
      </c>
      <c r="J21" s="33" t="s">
        <v>143</v>
      </c>
      <c r="K21" s="33" t="s">
        <v>143</v>
      </c>
      <c r="L21" s="33" t="s">
        <v>143</v>
      </c>
      <c r="M21" s="33" t="s">
        <v>143</v>
      </c>
      <c r="N21" s="33" t="s">
        <v>143</v>
      </c>
      <c r="O21" s="33" t="s">
        <v>143</v>
      </c>
      <c r="P21" s="33" t="s">
        <v>143</v>
      </c>
      <c r="Q21" s="33" t="s">
        <v>143</v>
      </c>
      <c r="R21" s="33" t="s">
        <v>143</v>
      </c>
      <c r="S21" s="33" t="s">
        <v>143</v>
      </c>
      <c r="T21" s="33" t="s">
        <v>143</v>
      </c>
      <c r="U21" s="33" t="s">
        <v>143</v>
      </c>
      <c r="V21" s="33" t="s">
        <v>143</v>
      </c>
      <c r="W21" s="33" t="s">
        <v>143</v>
      </c>
      <c r="X21" s="33" t="s">
        <v>143</v>
      </c>
      <c r="Y21" s="33" t="s">
        <v>143</v>
      </c>
      <c r="Z21" s="26">
        <f t="shared" si="0"/>
        <v>0</v>
      </c>
      <c r="AA21" s="26">
        <f t="shared" si="1"/>
        <v>0</v>
      </c>
      <c r="AB21" s="26">
        <f t="shared" si="2"/>
        <v>0</v>
      </c>
      <c r="AC21" s="27">
        <f t="shared" si="3"/>
        <v>0</v>
      </c>
      <c r="AD21" s="27">
        <f t="shared" si="4"/>
        <v>0.2</v>
      </c>
      <c r="AE21" s="19" t="str">
        <f t="shared" si="5"/>
        <v>Đạt</v>
      </c>
      <c r="AF21" s="34" t="s">
        <v>154</v>
      </c>
    </row>
    <row r="22" spans="1:32" ht="30" customHeight="1" x14ac:dyDescent="0.35">
      <c r="A22" s="17">
        <v>20</v>
      </c>
      <c r="B22" s="31" t="s">
        <v>181</v>
      </c>
      <c r="C22" s="32" t="s">
        <v>140</v>
      </c>
      <c r="D22" s="32" t="s">
        <v>179</v>
      </c>
      <c r="E22" s="32" t="s">
        <v>142</v>
      </c>
      <c r="F22" s="33" t="s">
        <v>143</v>
      </c>
      <c r="G22" s="33" t="s">
        <v>143</v>
      </c>
      <c r="H22" s="33" t="s">
        <v>143</v>
      </c>
      <c r="I22" s="33" t="s">
        <v>143</v>
      </c>
      <c r="J22" s="33" t="s">
        <v>143</v>
      </c>
      <c r="K22" s="33" t="s">
        <v>143</v>
      </c>
      <c r="L22" s="33" t="s">
        <v>143</v>
      </c>
      <c r="M22" s="33" t="s">
        <v>143</v>
      </c>
      <c r="N22" s="33" t="s">
        <v>143</v>
      </c>
      <c r="O22" s="33" t="s">
        <v>143</v>
      </c>
      <c r="P22" s="33" t="s">
        <v>143</v>
      </c>
      <c r="Q22" s="33" t="s">
        <v>143</v>
      </c>
      <c r="R22" s="33" t="s">
        <v>143</v>
      </c>
      <c r="S22" s="33" t="s">
        <v>143</v>
      </c>
      <c r="T22" s="33" t="s">
        <v>143</v>
      </c>
      <c r="U22" s="33" t="s">
        <v>143</v>
      </c>
      <c r="V22" s="33" t="s">
        <v>143</v>
      </c>
      <c r="W22" s="33" t="s">
        <v>143</v>
      </c>
      <c r="X22" s="33" t="s">
        <v>143</v>
      </c>
      <c r="Y22" s="33" t="s">
        <v>143</v>
      </c>
      <c r="Z22" s="26">
        <f t="shared" si="0"/>
        <v>0</v>
      </c>
      <c r="AA22" s="26">
        <f t="shared" si="1"/>
        <v>0</v>
      </c>
      <c r="AB22" s="26">
        <f t="shared" si="2"/>
        <v>0</v>
      </c>
      <c r="AC22" s="27">
        <f t="shared" si="3"/>
        <v>0</v>
      </c>
      <c r="AD22" s="27">
        <f t="shared" si="4"/>
        <v>0.2</v>
      </c>
      <c r="AE22" s="19" t="str">
        <f t="shared" si="5"/>
        <v>Đạt</v>
      </c>
      <c r="AF22" s="34" t="s">
        <v>154</v>
      </c>
    </row>
    <row r="23" spans="1:32" ht="30" customHeight="1" x14ac:dyDescent="0.35">
      <c r="A23" s="17">
        <v>21</v>
      </c>
      <c r="B23" s="31" t="s">
        <v>182</v>
      </c>
      <c r="C23" s="32" t="s">
        <v>140</v>
      </c>
      <c r="D23" s="32" t="s">
        <v>179</v>
      </c>
      <c r="E23" s="32" t="s">
        <v>142</v>
      </c>
      <c r="F23" s="33" t="s">
        <v>143</v>
      </c>
      <c r="G23" s="33" t="s">
        <v>143</v>
      </c>
      <c r="H23" s="33" t="s">
        <v>143</v>
      </c>
      <c r="I23" s="33" t="s">
        <v>143</v>
      </c>
      <c r="J23" s="33" t="s">
        <v>143</v>
      </c>
      <c r="K23" s="33" t="s">
        <v>143</v>
      </c>
      <c r="L23" s="33" t="s">
        <v>143</v>
      </c>
      <c r="M23" s="33" t="s">
        <v>143</v>
      </c>
      <c r="N23" s="33" t="s">
        <v>143</v>
      </c>
      <c r="O23" s="33" t="s">
        <v>143</v>
      </c>
      <c r="P23" s="33" t="s">
        <v>143</v>
      </c>
      <c r="Q23" s="33" t="s">
        <v>143</v>
      </c>
      <c r="R23" s="33" t="s">
        <v>143</v>
      </c>
      <c r="S23" s="33" t="s">
        <v>143</v>
      </c>
      <c r="T23" s="33" t="s">
        <v>143</v>
      </c>
      <c r="U23" s="33" t="s">
        <v>143</v>
      </c>
      <c r="V23" s="33" t="s">
        <v>143</v>
      </c>
      <c r="W23" s="33" t="s">
        <v>143</v>
      </c>
      <c r="X23" s="33" t="s">
        <v>143</v>
      </c>
      <c r="Y23" s="33" t="s">
        <v>143</v>
      </c>
      <c r="Z23" s="26">
        <f t="shared" si="0"/>
        <v>0</v>
      </c>
      <c r="AA23" s="26">
        <f t="shared" si="1"/>
        <v>0</v>
      </c>
      <c r="AB23" s="26">
        <f t="shared" si="2"/>
        <v>0</v>
      </c>
      <c r="AC23" s="27">
        <f t="shared" si="3"/>
        <v>0</v>
      </c>
      <c r="AD23" s="27">
        <f t="shared" si="4"/>
        <v>0.2</v>
      </c>
      <c r="AE23" s="19" t="str">
        <f t="shared" si="5"/>
        <v>Đạt</v>
      </c>
      <c r="AF23" s="34" t="s">
        <v>154</v>
      </c>
    </row>
    <row r="24" spans="1:32" ht="30" customHeight="1" x14ac:dyDescent="0.35">
      <c r="A24" s="17">
        <v>22</v>
      </c>
      <c r="B24" s="31" t="s">
        <v>183</v>
      </c>
      <c r="C24" s="32" t="s">
        <v>140</v>
      </c>
      <c r="D24" s="32" t="s">
        <v>141</v>
      </c>
      <c r="E24" s="32" t="s">
        <v>142</v>
      </c>
      <c r="F24" s="33" t="s">
        <v>143</v>
      </c>
      <c r="G24" s="33" t="s">
        <v>143</v>
      </c>
      <c r="H24" s="33" t="s">
        <v>143</v>
      </c>
      <c r="I24" s="33" t="s">
        <v>143</v>
      </c>
      <c r="J24" s="33" t="s">
        <v>143</v>
      </c>
      <c r="K24" s="33" t="s">
        <v>143</v>
      </c>
      <c r="L24" s="33" t="s">
        <v>143</v>
      </c>
      <c r="M24" s="33" t="s">
        <v>144</v>
      </c>
      <c r="N24" s="33" t="s">
        <v>143</v>
      </c>
      <c r="O24" s="33" t="s">
        <v>143</v>
      </c>
      <c r="P24" s="33" t="s">
        <v>143</v>
      </c>
      <c r="Q24" s="33" t="s">
        <v>143</v>
      </c>
      <c r="R24" s="33" t="s">
        <v>143</v>
      </c>
      <c r="S24" s="33" t="s">
        <v>143</v>
      </c>
      <c r="T24" s="33" t="s">
        <v>143</v>
      </c>
      <c r="U24" s="33" t="s">
        <v>143</v>
      </c>
      <c r="V24" s="33" t="s">
        <v>143</v>
      </c>
      <c r="W24" s="33" t="s">
        <v>143</v>
      </c>
      <c r="X24" s="33" t="s">
        <v>143</v>
      </c>
      <c r="Y24" s="33" t="s">
        <v>143</v>
      </c>
      <c r="Z24" s="26">
        <f t="shared" si="0"/>
        <v>0</v>
      </c>
      <c r="AA24" s="26">
        <f t="shared" si="1"/>
        <v>1</v>
      </c>
      <c r="AB24" s="26">
        <f t="shared" si="2"/>
        <v>0</v>
      </c>
      <c r="AC24" s="27">
        <f t="shared" si="3"/>
        <v>0.8</v>
      </c>
      <c r="AD24" s="27">
        <f t="shared" si="4"/>
        <v>0.2</v>
      </c>
      <c r="AE24" s="19" t="str">
        <f t="shared" si="5"/>
        <v>Không đạt</v>
      </c>
      <c r="AF24" s="34" t="s">
        <v>184</v>
      </c>
    </row>
    <row r="25" spans="1:32" ht="30" customHeight="1" x14ac:dyDescent="0.35">
      <c r="A25" s="17">
        <v>23</v>
      </c>
      <c r="B25" s="31" t="s">
        <v>185</v>
      </c>
      <c r="C25" s="32" t="s">
        <v>140</v>
      </c>
      <c r="D25" s="32" t="s">
        <v>141</v>
      </c>
      <c r="E25" s="32" t="s">
        <v>142</v>
      </c>
      <c r="F25" s="33" t="s">
        <v>143</v>
      </c>
      <c r="G25" s="33" t="s">
        <v>143</v>
      </c>
      <c r="H25" s="33" t="s">
        <v>143</v>
      </c>
      <c r="I25" s="33" t="s">
        <v>143</v>
      </c>
      <c r="J25" s="33" t="s">
        <v>143</v>
      </c>
      <c r="K25" s="33" t="s">
        <v>143</v>
      </c>
      <c r="L25" s="33" t="s">
        <v>143</v>
      </c>
      <c r="M25" s="33" t="s">
        <v>143</v>
      </c>
      <c r="N25" s="33" t="s">
        <v>143</v>
      </c>
      <c r="O25" s="33" t="s">
        <v>143</v>
      </c>
      <c r="P25" s="33" t="s">
        <v>143</v>
      </c>
      <c r="Q25" s="33" t="s">
        <v>143</v>
      </c>
      <c r="R25" s="33" t="s">
        <v>143</v>
      </c>
      <c r="S25" s="33" t="s">
        <v>143</v>
      </c>
      <c r="T25" s="33" t="s">
        <v>143</v>
      </c>
      <c r="U25" s="33" t="s">
        <v>143</v>
      </c>
      <c r="V25" s="33" t="s">
        <v>143</v>
      </c>
      <c r="W25" s="33" t="s">
        <v>143</v>
      </c>
      <c r="X25" s="33" t="s">
        <v>143</v>
      </c>
      <c r="Y25" s="33" t="s">
        <v>143</v>
      </c>
      <c r="Z25" s="26">
        <f t="shared" si="0"/>
        <v>0</v>
      </c>
      <c r="AA25" s="26">
        <f t="shared" si="1"/>
        <v>0</v>
      </c>
      <c r="AB25" s="26">
        <f t="shared" si="2"/>
        <v>0</v>
      </c>
      <c r="AC25" s="27">
        <f t="shared" si="3"/>
        <v>0</v>
      </c>
      <c r="AD25" s="27">
        <f t="shared" si="4"/>
        <v>0.2</v>
      </c>
      <c r="AE25" s="19" t="str">
        <f t="shared" si="5"/>
        <v>Đạt</v>
      </c>
      <c r="AF25" s="34" t="s">
        <v>154</v>
      </c>
    </row>
    <row r="26" spans="1:32" ht="30" customHeight="1" x14ac:dyDescent="0.35">
      <c r="A26" s="17">
        <v>24</v>
      </c>
      <c r="B26" s="31" t="s">
        <v>186</v>
      </c>
      <c r="C26" s="32" t="s">
        <v>140</v>
      </c>
      <c r="D26" s="32" t="s">
        <v>187</v>
      </c>
      <c r="E26" s="32" t="s">
        <v>142</v>
      </c>
      <c r="F26" s="33" t="s">
        <v>143</v>
      </c>
      <c r="G26" s="33" t="s">
        <v>143</v>
      </c>
      <c r="H26" s="33" t="s">
        <v>143</v>
      </c>
      <c r="I26" s="33" t="s">
        <v>143</v>
      </c>
      <c r="J26" s="33" t="s">
        <v>143</v>
      </c>
      <c r="K26" s="33" t="s">
        <v>143</v>
      </c>
      <c r="L26" s="33" t="s">
        <v>143</v>
      </c>
      <c r="M26" s="33" t="s">
        <v>143</v>
      </c>
      <c r="N26" s="33" t="s">
        <v>143</v>
      </c>
      <c r="O26" s="33" t="s">
        <v>143</v>
      </c>
      <c r="P26" s="33" t="s">
        <v>143</v>
      </c>
      <c r="Q26" s="33" t="s">
        <v>145</v>
      </c>
      <c r="R26" s="33" t="s">
        <v>143</v>
      </c>
      <c r="S26" s="33" t="s">
        <v>143</v>
      </c>
      <c r="T26" s="33" t="s">
        <v>143</v>
      </c>
      <c r="U26" s="33" t="s">
        <v>143</v>
      </c>
      <c r="V26" s="33" t="s">
        <v>143</v>
      </c>
      <c r="W26" s="33" t="s">
        <v>143</v>
      </c>
      <c r="X26" s="33" t="s">
        <v>143</v>
      </c>
      <c r="Y26" s="33" t="s">
        <v>143</v>
      </c>
      <c r="Z26" s="26">
        <f t="shared" si="0"/>
        <v>0</v>
      </c>
      <c r="AA26" s="26">
        <f t="shared" si="1"/>
        <v>0</v>
      </c>
      <c r="AB26" s="26">
        <f t="shared" si="2"/>
        <v>0</v>
      </c>
      <c r="AC26" s="27">
        <f t="shared" si="3"/>
        <v>0</v>
      </c>
      <c r="AD26" s="27">
        <f t="shared" si="4"/>
        <v>0.2</v>
      </c>
      <c r="AE26" s="19" t="str">
        <f t="shared" si="5"/>
        <v>Đạt</v>
      </c>
      <c r="AF26" s="34" t="s">
        <v>188</v>
      </c>
    </row>
    <row r="27" spans="1:32" ht="30" customHeight="1" x14ac:dyDescent="0.35">
      <c r="A27" s="17">
        <v>25</v>
      </c>
      <c r="B27" s="31" t="s">
        <v>189</v>
      </c>
      <c r="C27" s="32" t="s">
        <v>140</v>
      </c>
      <c r="D27" s="32" t="s">
        <v>187</v>
      </c>
      <c r="E27" s="32" t="s">
        <v>142</v>
      </c>
      <c r="F27" s="33" t="s">
        <v>143</v>
      </c>
      <c r="G27" s="33" t="s">
        <v>143</v>
      </c>
      <c r="H27" s="33" t="s">
        <v>143</v>
      </c>
      <c r="I27" s="33" t="s">
        <v>143</v>
      </c>
      <c r="J27" s="33" t="s">
        <v>143</v>
      </c>
      <c r="K27" s="33" t="s">
        <v>143</v>
      </c>
      <c r="L27" s="33" t="s">
        <v>143</v>
      </c>
      <c r="M27" s="33" t="s">
        <v>143</v>
      </c>
      <c r="N27" s="33" t="s">
        <v>143</v>
      </c>
      <c r="O27" s="33" t="s">
        <v>143</v>
      </c>
      <c r="P27" s="33" t="s">
        <v>143</v>
      </c>
      <c r="Q27" s="33" t="s">
        <v>143</v>
      </c>
      <c r="R27" s="33" t="s">
        <v>143</v>
      </c>
      <c r="S27" s="33" t="s">
        <v>143</v>
      </c>
      <c r="T27" s="33" t="s">
        <v>143</v>
      </c>
      <c r="U27" s="33" t="s">
        <v>143</v>
      </c>
      <c r="V27" s="33" t="s">
        <v>143</v>
      </c>
      <c r="W27" s="33" t="s">
        <v>143</v>
      </c>
      <c r="X27" s="33" t="s">
        <v>143</v>
      </c>
      <c r="Y27" s="33" t="s">
        <v>143</v>
      </c>
      <c r="Z27" s="26">
        <f t="shared" si="0"/>
        <v>0</v>
      </c>
      <c r="AA27" s="26">
        <f t="shared" si="1"/>
        <v>0</v>
      </c>
      <c r="AB27" s="26">
        <f t="shared" si="2"/>
        <v>0</v>
      </c>
      <c r="AC27" s="27">
        <f t="shared" si="3"/>
        <v>0</v>
      </c>
      <c r="AD27" s="27">
        <f t="shared" si="4"/>
        <v>0.2</v>
      </c>
      <c r="AE27" s="19" t="str">
        <f t="shared" si="5"/>
        <v>Đạt</v>
      </c>
      <c r="AF27" s="34" t="s">
        <v>190</v>
      </c>
    </row>
    <row r="28" spans="1:32" ht="30" customHeight="1" x14ac:dyDescent="0.35">
      <c r="A28" s="17">
        <v>26</v>
      </c>
      <c r="B28" s="31" t="s">
        <v>191</v>
      </c>
      <c r="C28" s="32" t="s">
        <v>140</v>
      </c>
      <c r="D28" s="32" t="s">
        <v>187</v>
      </c>
      <c r="E28" s="32" t="s">
        <v>142</v>
      </c>
      <c r="F28" s="33" t="s">
        <v>143</v>
      </c>
      <c r="G28" s="33" t="s">
        <v>143</v>
      </c>
      <c r="H28" s="33" t="s">
        <v>143</v>
      </c>
      <c r="I28" s="33" t="s">
        <v>143</v>
      </c>
      <c r="J28" s="33" t="s">
        <v>143</v>
      </c>
      <c r="K28" s="33" t="s">
        <v>143</v>
      </c>
      <c r="L28" s="33" t="s">
        <v>143</v>
      </c>
      <c r="M28" s="33" t="s">
        <v>143</v>
      </c>
      <c r="N28" s="33" t="s">
        <v>143</v>
      </c>
      <c r="O28" s="33" t="s">
        <v>143</v>
      </c>
      <c r="P28" s="33" t="s">
        <v>143</v>
      </c>
      <c r="Q28" s="33" t="s">
        <v>143</v>
      </c>
      <c r="R28" s="33" t="s">
        <v>143</v>
      </c>
      <c r="S28" s="33" t="s">
        <v>143</v>
      </c>
      <c r="T28" s="33" t="s">
        <v>143</v>
      </c>
      <c r="U28" s="33" t="s">
        <v>143</v>
      </c>
      <c r="V28" s="33" t="s">
        <v>143</v>
      </c>
      <c r="W28" s="33" t="s">
        <v>143</v>
      </c>
      <c r="X28" s="33" t="s">
        <v>143</v>
      </c>
      <c r="Y28" s="33" t="s">
        <v>143</v>
      </c>
      <c r="Z28" s="26">
        <f t="shared" si="0"/>
        <v>0</v>
      </c>
      <c r="AA28" s="26">
        <f t="shared" si="1"/>
        <v>0</v>
      </c>
      <c r="AB28" s="26">
        <f t="shared" si="2"/>
        <v>0</v>
      </c>
      <c r="AC28" s="27">
        <f t="shared" si="3"/>
        <v>0</v>
      </c>
      <c r="AD28" s="27">
        <f t="shared" si="4"/>
        <v>0.2</v>
      </c>
      <c r="AE28" s="19" t="str">
        <f t="shared" si="5"/>
        <v>Đạt</v>
      </c>
      <c r="AF28" s="34" t="s">
        <v>154</v>
      </c>
    </row>
    <row r="29" spans="1:32" ht="30" customHeight="1" x14ac:dyDescent="0.35">
      <c r="A29" s="17">
        <v>27</v>
      </c>
      <c r="B29" s="31" t="s">
        <v>192</v>
      </c>
      <c r="C29" s="32" t="s">
        <v>140</v>
      </c>
      <c r="D29" s="32" t="s">
        <v>158</v>
      </c>
      <c r="E29" s="32" t="s">
        <v>142</v>
      </c>
      <c r="F29" s="33" t="s">
        <v>143</v>
      </c>
      <c r="G29" s="33" t="s">
        <v>143</v>
      </c>
      <c r="H29" s="33" t="s">
        <v>143</v>
      </c>
      <c r="I29" s="33" t="s">
        <v>143</v>
      </c>
      <c r="J29" s="33" t="s">
        <v>143</v>
      </c>
      <c r="K29" s="33" t="s">
        <v>143</v>
      </c>
      <c r="L29" s="33" t="s">
        <v>143</v>
      </c>
      <c r="M29" s="33" t="s">
        <v>143</v>
      </c>
      <c r="N29" s="33" t="s">
        <v>143</v>
      </c>
      <c r="O29" s="33" t="s">
        <v>143</v>
      </c>
      <c r="P29" s="33" t="s">
        <v>143</v>
      </c>
      <c r="Q29" s="33" t="s">
        <v>143</v>
      </c>
      <c r="R29" s="33" t="s">
        <v>145</v>
      </c>
      <c r="S29" s="33" t="s">
        <v>143</v>
      </c>
      <c r="T29" s="33" t="s">
        <v>143</v>
      </c>
      <c r="U29" s="33" t="s">
        <v>145</v>
      </c>
      <c r="V29" s="33" t="s">
        <v>145</v>
      </c>
      <c r="W29" s="33" t="s">
        <v>145</v>
      </c>
      <c r="X29" s="33" t="s">
        <v>143</v>
      </c>
      <c r="Y29" s="33" t="s">
        <v>143</v>
      </c>
      <c r="Z29" s="26">
        <f t="shared" si="0"/>
        <v>0</v>
      </c>
      <c r="AA29" s="26">
        <f t="shared" si="1"/>
        <v>0</v>
      </c>
      <c r="AB29" s="26">
        <f t="shared" si="2"/>
        <v>0</v>
      </c>
      <c r="AC29" s="27">
        <f t="shared" si="3"/>
        <v>0</v>
      </c>
      <c r="AD29" s="27">
        <f t="shared" si="4"/>
        <v>0.2</v>
      </c>
      <c r="AE29" s="19" t="str">
        <f t="shared" si="5"/>
        <v>Đạt</v>
      </c>
      <c r="AF29" s="34" t="s">
        <v>193</v>
      </c>
    </row>
    <row r="30" spans="1:32" ht="30" customHeight="1" x14ac:dyDescent="0.35">
      <c r="A30" s="17">
        <v>28</v>
      </c>
      <c r="B30" s="31" t="s">
        <v>194</v>
      </c>
      <c r="C30" s="32" t="s">
        <v>140</v>
      </c>
      <c r="D30" s="32" t="s">
        <v>158</v>
      </c>
      <c r="E30" s="32" t="s">
        <v>142</v>
      </c>
      <c r="F30" s="33" t="s">
        <v>143</v>
      </c>
      <c r="G30" s="33" t="s">
        <v>143</v>
      </c>
      <c r="H30" s="33" t="s">
        <v>143</v>
      </c>
      <c r="I30" s="33" t="s">
        <v>143</v>
      </c>
      <c r="J30" s="33" t="s">
        <v>143</v>
      </c>
      <c r="K30" s="33" t="s">
        <v>143</v>
      </c>
      <c r="L30" s="33" t="s">
        <v>143</v>
      </c>
      <c r="M30" s="33" t="s">
        <v>143</v>
      </c>
      <c r="N30" s="33" t="s">
        <v>143</v>
      </c>
      <c r="O30" s="33" t="s">
        <v>143</v>
      </c>
      <c r="P30" s="33" t="s">
        <v>143</v>
      </c>
      <c r="Q30" s="33" t="s">
        <v>143</v>
      </c>
      <c r="R30" s="33" t="s">
        <v>143</v>
      </c>
      <c r="S30" s="33" t="s">
        <v>143</v>
      </c>
      <c r="T30" s="33" t="s">
        <v>143</v>
      </c>
      <c r="U30" s="33" t="s">
        <v>143</v>
      </c>
      <c r="V30" s="33" t="s">
        <v>143</v>
      </c>
      <c r="W30" s="33" t="s">
        <v>143</v>
      </c>
      <c r="X30" s="33" t="s">
        <v>143</v>
      </c>
      <c r="Y30" s="33" t="s">
        <v>143</v>
      </c>
      <c r="Z30" s="26">
        <f t="shared" si="0"/>
        <v>0</v>
      </c>
      <c r="AA30" s="26">
        <f t="shared" si="1"/>
        <v>0</v>
      </c>
      <c r="AB30" s="26">
        <f t="shared" si="2"/>
        <v>0</v>
      </c>
      <c r="AC30" s="27">
        <f t="shared" si="3"/>
        <v>0</v>
      </c>
      <c r="AD30" s="27">
        <f t="shared" si="4"/>
        <v>0.2</v>
      </c>
      <c r="AE30" s="19" t="str">
        <f t="shared" si="5"/>
        <v>Đạt</v>
      </c>
      <c r="AF30" s="34" t="s">
        <v>154</v>
      </c>
    </row>
    <row r="31" spans="1:32" ht="30" customHeight="1" x14ac:dyDescent="0.35">
      <c r="A31" s="17">
        <v>29</v>
      </c>
      <c r="B31" s="31" t="s">
        <v>195</v>
      </c>
      <c r="C31" s="32" t="s">
        <v>140</v>
      </c>
      <c r="D31" s="32" t="s">
        <v>141</v>
      </c>
      <c r="E31" s="32" t="s">
        <v>142</v>
      </c>
      <c r="F31" s="33" t="s">
        <v>143</v>
      </c>
      <c r="G31" s="33" t="s">
        <v>143</v>
      </c>
      <c r="H31" s="33" t="s">
        <v>143</v>
      </c>
      <c r="I31" s="33" t="s">
        <v>143</v>
      </c>
      <c r="J31" s="33" t="s">
        <v>143</v>
      </c>
      <c r="K31" s="33" t="s">
        <v>143</v>
      </c>
      <c r="L31" s="33" t="s">
        <v>143</v>
      </c>
      <c r="M31" s="33" t="s">
        <v>143</v>
      </c>
      <c r="N31" s="33" t="s">
        <v>143</v>
      </c>
      <c r="O31" s="33" t="s">
        <v>143</v>
      </c>
      <c r="P31" s="33" t="s">
        <v>143</v>
      </c>
      <c r="Q31" s="33" t="s">
        <v>143</v>
      </c>
      <c r="R31" s="33" t="s">
        <v>143</v>
      </c>
      <c r="S31" s="33" t="s">
        <v>143</v>
      </c>
      <c r="T31" s="33" t="s">
        <v>143</v>
      </c>
      <c r="U31" s="33" t="s">
        <v>143</v>
      </c>
      <c r="V31" s="33" t="s">
        <v>143</v>
      </c>
      <c r="W31" s="33" t="s">
        <v>143</v>
      </c>
      <c r="X31" s="33" t="s">
        <v>143</v>
      </c>
      <c r="Y31" s="33" t="s">
        <v>143</v>
      </c>
      <c r="Z31" s="26">
        <f t="shared" si="0"/>
        <v>0</v>
      </c>
      <c r="AA31" s="26">
        <f t="shared" si="1"/>
        <v>0</v>
      </c>
      <c r="AB31" s="26">
        <f t="shared" si="2"/>
        <v>0</v>
      </c>
      <c r="AC31" s="27">
        <f t="shared" si="3"/>
        <v>0</v>
      </c>
      <c r="AD31" s="27">
        <f t="shared" si="4"/>
        <v>0.2</v>
      </c>
      <c r="AE31" s="19" t="str">
        <f t="shared" si="5"/>
        <v>Đạt</v>
      </c>
      <c r="AF31" s="34" t="s">
        <v>196</v>
      </c>
    </row>
    <row r="32" spans="1:32" ht="30" customHeight="1" x14ac:dyDescent="0.35">
      <c r="A32" s="17">
        <v>30</v>
      </c>
      <c r="B32" s="31" t="s">
        <v>197</v>
      </c>
      <c r="C32" s="32" t="s">
        <v>140</v>
      </c>
      <c r="D32" s="32" t="s">
        <v>187</v>
      </c>
      <c r="E32" s="32" t="s">
        <v>142</v>
      </c>
      <c r="F32" s="33" t="s">
        <v>143</v>
      </c>
      <c r="G32" s="33" t="s">
        <v>143</v>
      </c>
      <c r="H32" s="33" t="s">
        <v>143</v>
      </c>
      <c r="I32" s="33" t="s">
        <v>143</v>
      </c>
      <c r="J32" s="33" t="s">
        <v>143</v>
      </c>
      <c r="K32" s="33" t="s">
        <v>143</v>
      </c>
      <c r="L32" s="33" t="s">
        <v>143</v>
      </c>
      <c r="M32" s="33" t="s">
        <v>143</v>
      </c>
      <c r="N32" s="33" t="s">
        <v>143</v>
      </c>
      <c r="O32" s="33" t="s">
        <v>143</v>
      </c>
      <c r="P32" s="33" t="s">
        <v>143</v>
      </c>
      <c r="Q32" s="33" t="s">
        <v>143</v>
      </c>
      <c r="R32" s="33" t="s">
        <v>143</v>
      </c>
      <c r="S32" s="33" t="s">
        <v>143</v>
      </c>
      <c r="T32" s="33" t="s">
        <v>143</v>
      </c>
      <c r="U32" s="33" t="s">
        <v>143</v>
      </c>
      <c r="V32" s="33" t="s">
        <v>143</v>
      </c>
      <c r="W32" s="33" t="s">
        <v>143</v>
      </c>
      <c r="X32" s="33" t="s">
        <v>143</v>
      </c>
      <c r="Y32" s="33" t="s">
        <v>143</v>
      </c>
      <c r="Z32" s="26">
        <f t="shared" si="0"/>
        <v>0</v>
      </c>
      <c r="AA32" s="26">
        <f t="shared" si="1"/>
        <v>0</v>
      </c>
      <c r="AB32" s="26">
        <f t="shared" si="2"/>
        <v>0</v>
      </c>
      <c r="AC32" s="27">
        <f t="shared" si="3"/>
        <v>0</v>
      </c>
      <c r="AD32" s="27">
        <f t="shared" si="4"/>
        <v>0.2</v>
      </c>
      <c r="AE32" s="19" t="str">
        <f t="shared" si="5"/>
        <v>Đạt</v>
      </c>
      <c r="AF32" s="34" t="s">
        <v>154</v>
      </c>
    </row>
    <row r="33" spans="1:32" ht="30" customHeight="1" x14ac:dyDescent="0.35">
      <c r="A33" s="17">
        <v>31</v>
      </c>
      <c r="B33" s="31" t="s">
        <v>198</v>
      </c>
      <c r="C33" s="32" t="s">
        <v>140</v>
      </c>
      <c r="D33" s="32" t="s">
        <v>141</v>
      </c>
      <c r="E33" s="32" t="s">
        <v>142</v>
      </c>
      <c r="F33" s="33" t="s">
        <v>143</v>
      </c>
      <c r="G33" s="33" t="s">
        <v>143</v>
      </c>
      <c r="H33" s="33" t="s">
        <v>143</v>
      </c>
      <c r="I33" s="33" t="s">
        <v>143</v>
      </c>
      <c r="J33" s="33" t="s">
        <v>143</v>
      </c>
      <c r="K33" s="33" t="s">
        <v>143</v>
      </c>
      <c r="L33" s="33" t="s">
        <v>143</v>
      </c>
      <c r="M33" s="33" t="s">
        <v>143</v>
      </c>
      <c r="N33" s="33" t="s">
        <v>143</v>
      </c>
      <c r="O33" s="33" t="s">
        <v>143</v>
      </c>
      <c r="P33" s="33" t="s">
        <v>143</v>
      </c>
      <c r="Q33" s="33" t="s">
        <v>143</v>
      </c>
      <c r="R33" s="33" t="s">
        <v>143</v>
      </c>
      <c r="S33" s="33" t="s">
        <v>143</v>
      </c>
      <c r="T33" s="33" t="s">
        <v>143</v>
      </c>
      <c r="U33" s="33" t="s">
        <v>143</v>
      </c>
      <c r="V33" s="33" t="s">
        <v>143</v>
      </c>
      <c r="W33" s="33" t="s">
        <v>143</v>
      </c>
      <c r="X33" s="33" t="s">
        <v>143</v>
      </c>
      <c r="Y33" s="33" t="s">
        <v>143</v>
      </c>
      <c r="Z33" s="26">
        <f t="shared" si="0"/>
        <v>0</v>
      </c>
      <c r="AA33" s="26">
        <f t="shared" si="1"/>
        <v>0</v>
      </c>
      <c r="AB33" s="26">
        <f t="shared" si="2"/>
        <v>0</v>
      </c>
      <c r="AC33" s="27">
        <f t="shared" si="3"/>
        <v>0</v>
      </c>
      <c r="AD33" s="27">
        <f t="shared" si="4"/>
        <v>0.2</v>
      </c>
      <c r="AE33" s="19" t="str">
        <f t="shared" si="5"/>
        <v>Đạt</v>
      </c>
      <c r="AF33" s="34" t="s">
        <v>199</v>
      </c>
    </row>
    <row r="34" spans="1:32" ht="30" customHeight="1" x14ac:dyDescent="0.35">
      <c r="A34" s="17">
        <v>32</v>
      </c>
      <c r="B34" s="31" t="s">
        <v>200</v>
      </c>
      <c r="C34" s="32" t="s">
        <v>140</v>
      </c>
      <c r="D34" s="32" t="s">
        <v>172</v>
      </c>
      <c r="E34" s="32" t="s">
        <v>142</v>
      </c>
      <c r="F34" s="33" t="s">
        <v>143</v>
      </c>
      <c r="G34" s="33" t="s">
        <v>143</v>
      </c>
      <c r="H34" s="33" t="s">
        <v>143</v>
      </c>
      <c r="I34" s="33" t="s">
        <v>143</v>
      </c>
      <c r="J34" s="33" t="s">
        <v>143</v>
      </c>
      <c r="K34" s="33" t="s">
        <v>143</v>
      </c>
      <c r="L34" s="33" t="s">
        <v>143</v>
      </c>
      <c r="M34" s="33" t="s">
        <v>143</v>
      </c>
      <c r="N34" s="33" t="s">
        <v>143</v>
      </c>
      <c r="O34" s="33" t="s">
        <v>143</v>
      </c>
      <c r="P34" s="33" t="s">
        <v>143</v>
      </c>
      <c r="Q34" s="33" t="s">
        <v>143</v>
      </c>
      <c r="R34" s="33" t="s">
        <v>143</v>
      </c>
      <c r="S34" s="33" t="s">
        <v>143</v>
      </c>
      <c r="T34" s="33" t="s">
        <v>143</v>
      </c>
      <c r="U34" s="33" t="s">
        <v>143</v>
      </c>
      <c r="V34" s="33" t="s">
        <v>143</v>
      </c>
      <c r="W34" s="33" t="s">
        <v>143</v>
      </c>
      <c r="X34" s="33" t="s">
        <v>143</v>
      </c>
      <c r="Y34" s="33" t="s">
        <v>143</v>
      </c>
      <c r="Z34" s="26">
        <f t="shared" si="0"/>
        <v>0</v>
      </c>
      <c r="AA34" s="26">
        <f t="shared" si="1"/>
        <v>0</v>
      </c>
      <c r="AB34" s="26">
        <f t="shared" si="2"/>
        <v>0</v>
      </c>
      <c r="AC34" s="27">
        <f t="shared" si="3"/>
        <v>0</v>
      </c>
      <c r="AD34" s="27">
        <f t="shared" si="4"/>
        <v>0.2</v>
      </c>
      <c r="AE34" s="19" t="str">
        <f t="shared" si="5"/>
        <v>Đạt</v>
      </c>
      <c r="AF34" s="34" t="s">
        <v>201</v>
      </c>
    </row>
    <row r="35" spans="1:32" ht="30" customHeight="1" x14ac:dyDescent="0.35">
      <c r="A35" s="17">
        <v>33</v>
      </c>
      <c r="B35" s="31" t="s">
        <v>202</v>
      </c>
      <c r="C35" s="32" t="s">
        <v>140</v>
      </c>
      <c r="D35" s="32" t="s">
        <v>141</v>
      </c>
      <c r="E35" s="32" t="s">
        <v>142</v>
      </c>
      <c r="F35" s="33" t="s">
        <v>143</v>
      </c>
      <c r="G35" s="33" t="s">
        <v>143</v>
      </c>
      <c r="H35" s="33" t="s">
        <v>143</v>
      </c>
      <c r="I35" s="33" t="s">
        <v>143</v>
      </c>
      <c r="J35" s="33" t="s">
        <v>143</v>
      </c>
      <c r="K35" s="33" t="s">
        <v>143</v>
      </c>
      <c r="L35" s="33" t="s">
        <v>143</v>
      </c>
      <c r="M35" s="33" t="s">
        <v>143</v>
      </c>
      <c r="N35" s="33" t="s">
        <v>143</v>
      </c>
      <c r="O35" s="33" t="s">
        <v>143</v>
      </c>
      <c r="P35" s="33" t="s">
        <v>143</v>
      </c>
      <c r="Q35" s="33" t="s">
        <v>145</v>
      </c>
      <c r="R35" s="33" t="s">
        <v>143</v>
      </c>
      <c r="S35" s="33" t="s">
        <v>143</v>
      </c>
      <c r="T35" s="33" t="s">
        <v>143</v>
      </c>
      <c r="U35" s="33" t="s">
        <v>143</v>
      </c>
      <c r="V35" s="33" t="s">
        <v>143</v>
      </c>
      <c r="W35" s="33" t="s">
        <v>143</v>
      </c>
      <c r="X35" s="33" t="s">
        <v>143</v>
      </c>
      <c r="Y35" s="33" t="s">
        <v>143</v>
      </c>
      <c r="Z35" s="26">
        <f t="shared" ref="Z35:Z60" si="6">IF(B35="","",IF(COUNTIF(F35:G35,"Fail")&gt;0,1,0))</f>
        <v>0</v>
      </c>
      <c r="AA35" s="26">
        <f t="shared" ref="AA35:AA60" si="7">IF(B35="","",IF(COUNTIF(H35:S35,"Fail")&gt;0,1,0))</f>
        <v>0</v>
      </c>
      <c r="AB35" s="26">
        <f t="shared" ref="AB35:AB60" si="8">IF(B35="","",IF(COUNTIF(T35:Y35,"Fail")&gt;0,1,0))</f>
        <v>0</v>
      </c>
      <c r="AC35" s="27">
        <f t="shared" ref="AC35:AC60" si="9">IF(B35="","",0.1*Z35+0.8*AA35+0.1*AB35)</f>
        <v>0</v>
      </c>
      <c r="AD35" s="27">
        <f t="shared" ref="AD35:AD60" si="10">IF(B35="","",IF(C35="Batch 1",0.3,0.2))</f>
        <v>0.2</v>
      </c>
      <c r="AE35" s="19" t="str">
        <f t="shared" ref="AE35:AE60" si="11">IF(B35="","",IF(AC35&lt;=AD35,"Đạt","Không đạt"))</f>
        <v>Đạt</v>
      </c>
      <c r="AF35" s="34" t="s">
        <v>203</v>
      </c>
    </row>
    <row r="36" spans="1:32" ht="30" customHeight="1" x14ac:dyDescent="0.35">
      <c r="A36" s="17">
        <v>34</v>
      </c>
      <c r="B36" s="31" t="s">
        <v>204</v>
      </c>
      <c r="C36" s="32" t="s">
        <v>140</v>
      </c>
      <c r="D36" s="32" t="s">
        <v>141</v>
      </c>
      <c r="E36" s="32" t="s">
        <v>142</v>
      </c>
      <c r="F36" s="33" t="s">
        <v>143</v>
      </c>
      <c r="G36" s="33" t="s">
        <v>143</v>
      </c>
      <c r="H36" s="33" t="s">
        <v>143</v>
      </c>
      <c r="I36" s="33" t="s">
        <v>143</v>
      </c>
      <c r="J36" s="33" t="s">
        <v>143</v>
      </c>
      <c r="K36" s="33" t="s">
        <v>143</v>
      </c>
      <c r="L36" s="33" t="s">
        <v>143</v>
      </c>
      <c r="M36" s="33" t="s">
        <v>143</v>
      </c>
      <c r="N36" s="33" t="s">
        <v>143</v>
      </c>
      <c r="O36" s="33" t="s">
        <v>143</v>
      </c>
      <c r="P36" s="33" t="s">
        <v>143</v>
      </c>
      <c r="Q36" s="33" t="s">
        <v>143</v>
      </c>
      <c r="R36" s="33" t="s">
        <v>143</v>
      </c>
      <c r="S36" s="33" t="s">
        <v>143</v>
      </c>
      <c r="T36" s="33" t="s">
        <v>143</v>
      </c>
      <c r="U36" s="33" t="s">
        <v>143</v>
      </c>
      <c r="V36" s="33" t="s">
        <v>143</v>
      </c>
      <c r="W36" s="33" t="s">
        <v>143</v>
      </c>
      <c r="X36" s="33" t="s">
        <v>143</v>
      </c>
      <c r="Y36" s="33" t="s">
        <v>143</v>
      </c>
      <c r="Z36" s="26">
        <f t="shared" si="6"/>
        <v>0</v>
      </c>
      <c r="AA36" s="26">
        <f t="shared" si="7"/>
        <v>0</v>
      </c>
      <c r="AB36" s="26">
        <f t="shared" si="8"/>
        <v>0</v>
      </c>
      <c r="AC36" s="27">
        <f t="shared" si="9"/>
        <v>0</v>
      </c>
      <c r="AD36" s="27">
        <f t="shared" si="10"/>
        <v>0.2</v>
      </c>
      <c r="AE36" s="19" t="str">
        <f t="shared" si="11"/>
        <v>Đạt</v>
      </c>
      <c r="AF36" s="34" t="s">
        <v>154</v>
      </c>
    </row>
    <row r="37" spans="1:32" ht="30" customHeight="1" x14ac:dyDescent="0.35">
      <c r="A37" s="17">
        <v>35</v>
      </c>
      <c r="B37" s="31" t="s">
        <v>205</v>
      </c>
      <c r="C37" s="32" t="s">
        <v>140</v>
      </c>
      <c r="D37" s="32" t="s">
        <v>187</v>
      </c>
      <c r="E37" s="32" t="s">
        <v>142</v>
      </c>
      <c r="F37" s="33" t="s">
        <v>143</v>
      </c>
      <c r="G37" s="33" t="s">
        <v>143</v>
      </c>
      <c r="H37" s="33" t="s">
        <v>143</v>
      </c>
      <c r="I37" s="33" t="s">
        <v>143</v>
      </c>
      <c r="J37" s="33" t="s">
        <v>143</v>
      </c>
      <c r="K37" s="33" t="s">
        <v>143</v>
      </c>
      <c r="L37" s="33" t="s">
        <v>143</v>
      </c>
      <c r="M37" s="33" t="s">
        <v>143</v>
      </c>
      <c r="N37" s="33" t="s">
        <v>143</v>
      </c>
      <c r="O37" s="33" t="s">
        <v>143</v>
      </c>
      <c r="P37" s="33" t="s">
        <v>143</v>
      </c>
      <c r="Q37" s="33" t="s">
        <v>143</v>
      </c>
      <c r="R37" s="33" t="s">
        <v>143</v>
      </c>
      <c r="S37" s="33" t="s">
        <v>143</v>
      </c>
      <c r="T37" s="33" t="s">
        <v>143</v>
      </c>
      <c r="U37" s="33" t="s">
        <v>143</v>
      </c>
      <c r="V37" s="33" t="s">
        <v>143</v>
      </c>
      <c r="W37" s="33" t="s">
        <v>143</v>
      </c>
      <c r="X37" s="33" t="s">
        <v>143</v>
      </c>
      <c r="Y37" s="33" t="s">
        <v>143</v>
      </c>
      <c r="Z37" s="26">
        <f t="shared" si="6"/>
        <v>0</v>
      </c>
      <c r="AA37" s="26">
        <f t="shared" si="7"/>
        <v>0</v>
      </c>
      <c r="AB37" s="26">
        <f t="shared" si="8"/>
        <v>0</v>
      </c>
      <c r="AC37" s="27">
        <f t="shared" si="9"/>
        <v>0</v>
      </c>
      <c r="AD37" s="27">
        <f t="shared" si="10"/>
        <v>0.2</v>
      </c>
      <c r="AE37" s="19" t="str">
        <f t="shared" si="11"/>
        <v>Đạt</v>
      </c>
      <c r="AF37" s="34" t="s">
        <v>201</v>
      </c>
    </row>
    <row r="38" spans="1:32" ht="30" customHeight="1" x14ac:dyDescent="0.35">
      <c r="A38" s="17">
        <v>36</v>
      </c>
      <c r="B38" s="31" t="s">
        <v>206</v>
      </c>
      <c r="C38" s="32" t="s">
        <v>140</v>
      </c>
      <c r="D38" s="32" t="s">
        <v>187</v>
      </c>
      <c r="E38" s="32" t="s">
        <v>142</v>
      </c>
      <c r="F38" s="33" t="s">
        <v>143</v>
      </c>
      <c r="G38" s="33" t="s">
        <v>143</v>
      </c>
      <c r="H38" s="33" t="s">
        <v>143</v>
      </c>
      <c r="I38" s="33" t="s">
        <v>143</v>
      </c>
      <c r="J38" s="33" t="s">
        <v>143</v>
      </c>
      <c r="K38" s="33" t="s">
        <v>143</v>
      </c>
      <c r="L38" s="33" t="s">
        <v>143</v>
      </c>
      <c r="M38" s="33" t="s">
        <v>143</v>
      </c>
      <c r="N38" s="33" t="s">
        <v>143</v>
      </c>
      <c r="O38" s="33" t="s">
        <v>143</v>
      </c>
      <c r="P38" s="33" t="s">
        <v>143</v>
      </c>
      <c r="Q38" s="33" t="s">
        <v>143</v>
      </c>
      <c r="R38" s="33" t="s">
        <v>143</v>
      </c>
      <c r="S38" s="33" t="s">
        <v>143</v>
      </c>
      <c r="T38" s="33" t="s">
        <v>143</v>
      </c>
      <c r="U38" s="33" t="s">
        <v>143</v>
      </c>
      <c r="V38" s="33" t="s">
        <v>143</v>
      </c>
      <c r="W38" s="33" t="s">
        <v>143</v>
      </c>
      <c r="X38" s="33" t="s">
        <v>143</v>
      </c>
      <c r="Y38" s="33" t="s">
        <v>143</v>
      </c>
      <c r="Z38" s="26">
        <f t="shared" si="6"/>
        <v>0</v>
      </c>
      <c r="AA38" s="26">
        <f t="shared" si="7"/>
        <v>0</v>
      </c>
      <c r="AB38" s="26">
        <f t="shared" si="8"/>
        <v>0</v>
      </c>
      <c r="AC38" s="27">
        <f t="shared" si="9"/>
        <v>0</v>
      </c>
      <c r="AD38" s="27">
        <f t="shared" si="10"/>
        <v>0.2</v>
      </c>
      <c r="AE38" s="19" t="str">
        <f t="shared" si="11"/>
        <v>Đạt</v>
      </c>
      <c r="AF38" s="34" t="s">
        <v>154</v>
      </c>
    </row>
    <row r="39" spans="1:32" ht="30" customHeight="1" x14ac:dyDescent="0.35">
      <c r="A39" s="17">
        <v>37</v>
      </c>
      <c r="B39" s="31" t="s">
        <v>207</v>
      </c>
      <c r="C39" s="32" t="s">
        <v>140</v>
      </c>
      <c r="D39" s="32" t="s">
        <v>187</v>
      </c>
      <c r="E39" s="32" t="s">
        <v>142</v>
      </c>
      <c r="F39" s="33" t="s">
        <v>143</v>
      </c>
      <c r="G39" s="33" t="s">
        <v>143</v>
      </c>
      <c r="H39" s="33" t="s">
        <v>143</v>
      </c>
      <c r="I39" s="33" t="s">
        <v>143</v>
      </c>
      <c r="J39" s="33" t="s">
        <v>143</v>
      </c>
      <c r="K39" s="33" t="s">
        <v>143</v>
      </c>
      <c r="L39" s="33" t="s">
        <v>143</v>
      </c>
      <c r="M39" s="33" t="s">
        <v>143</v>
      </c>
      <c r="N39" s="33" t="s">
        <v>143</v>
      </c>
      <c r="O39" s="33" t="s">
        <v>143</v>
      </c>
      <c r="P39" s="33" t="s">
        <v>143</v>
      </c>
      <c r="Q39" s="33" t="s">
        <v>143</v>
      </c>
      <c r="R39" s="33" t="s">
        <v>143</v>
      </c>
      <c r="S39" s="33" t="s">
        <v>143</v>
      </c>
      <c r="T39" s="33" t="s">
        <v>143</v>
      </c>
      <c r="U39" s="33" t="s">
        <v>143</v>
      </c>
      <c r="V39" s="33" t="s">
        <v>143</v>
      </c>
      <c r="W39" s="33" t="s">
        <v>143</v>
      </c>
      <c r="X39" s="33" t="s">
        <v>143</v>
      </c>
      <c r="Y39" s="33" t="s">
        <v>143</v>
      </c>
      <c r="Z39" s="26">
        <f t="shared" si="6"/>
        <v>0</v>
      </c>
      <c r="AA39" s="26">
        <f t="shared" si="7"/>
        <v>0</v>
      </c>
      <c r="AB39" s="26">
        <f t="shared" si="8"/>
        <v>0</v>
      </c>
      <c r="AC39" s="27">
        <f t="shared" si="9"/>
        <v>0</v>
      </c>
      <c r="AD39" s="27">
        <f t="shared" si="10"/>
        <v>0.2</v>
      </c>
      <c r="AE39" s="19" t="str">
        <f t="shared" si="11"/>
        <v>Đạt</v>
      </c>
      <c r="AF39" s="34" t="s">
        <v>154</v>
      </c>
    </row>
    <row r="40" spans="1:32" ht="30" customHeight="1" x14ac:dyDescent="0.35">
      <c r="A40" s="17">
        <v>38</v>
      </c>
      <c r="B40" s="31" t="s">
        <v>208</v>
      </c>
      <c r="C40" s="32" t="s">
        <v>140</v>
      </c>
      <c r="D40" s="32" t="s">
        <v>187</v>
      </c>
      <c r="E40" s="32" t="s">
        <v>142</v>
      </c>
      <c r="F40" s="33" t="s">
        <v>143</v>
      </c>
      <c r="G40" s="33" t="s">
        <v>143</v>
      </c>
      <c r="H40" s="33" t="s">
        <v>143</v>
      </c>
      <c r="I40" s="33" t="s">
        <v>143</v>
      </c>
      <c r="J40" s="33" t="s">
        <v>143</v>
      </c>
      <c r="K40" s="33" t="s">
        <v>143</v>
      </c>
      <c r="L40" s="33" t="s">
        <v>143</v>
      </c>
      <c r="M40" s="33" t="s">
        <v>143</v>
      </c>
      <c r="N40" s="33" t="s">
        <v>143</v>
      </c>
      <c r="O40" s="33" t="s">
        <v>143</v>
      </c>
      <c r="P40" s="33" t="s">
        <v>143</v>
      </c>
      <c r="Q40" s="33" t="s">
        <v>143</v>
      </c>
      <c r="R40" s="33" t="s">
        <v>143</v>
      </c>
      <c r="S40" s="33" t="s">
        <v>143</v>
      </c>
      <c r="T40" s="33" t="s">
        <v>143</v>
      </c>
      <c r="U40" s="33" t="s">
        <v>143</v>
      </c>
      <c r="V40" s="33" t="s">
        <v>143</v>
      </c>
      <c r="W40" s="33" t="s">
        <v>143</v>
      </c>
      <c r="X40" s="33" t="s">
        <v>143</v>
      </c>
      <c r="Y40" s="33" t="s">
        <v>143</v>
      </c>
      <c r="Z40" s="26">
        <f t="shared" si="6"/>
        <v>0</v>
      </c>
      <c r="AA40" s="26">
        <f t="shared" si="7"/>
        <v>0</v>
      </c>
      <c r="AB40" s="26">
        <f t="shared" si="8"/>
        <v>0</v>
      </c>
      <c r="AC40" s="27">
        <f t="shared" si="9"/>
        <v>0</v>
      </c>
      <c r="AD40" s="27">
        <f t="shared" si="10"/>
        <v>0.2</v>
      </c>
      <c r="AE40" s="19" t="str">
        <f t="shared" si="11"/>
        <v>Đạt</v>
      </c>
      <c r="AF40" s="34" t="s">
        <v>154</v>
      </c>
    </row>
    <row r="41" spans="1:32" ht="30" customHeight="1" x14ac:dyDescent="0.35">
      <c r="A41" s="17">
        <v>39</v>
      </c>
      <c r="B41" s="31" t="s">
        <v>209</v>
      </c>
      <c r="C41" s="32" t="s">
        <v>140</v>
      </c>
      <c r="D41" s="32" t="s">
        <v>172</v>
      </c>
      <c r="E41" s="32" t="s">
        <v>142</v>
      </c>
      <c r="F41" s="33" t="s">
        <v>143</v>
      </c>
      <c r="G41" s="33" t="s">
        <v>143</v>
      </c>
      <c r="H41" s="33" t="s">
        <v>143</v>
      </c>
      <c r="I41" s="33" t="s">
        <v>143</v>
      </c>
      <c r="J41" s="33" t="s">
        <v>145</v>
      </c>
      <c r="K41" s="33" t="s">
        <v>143</v>
      </c>
      <c r="L41" s="33" t="s">
        <v>143</v>
      </c>
      <c r="M41" s="33" t="s">
        <v>143</v>
      </c>
      <c r="N41" s="33" t="s">
        <v>143</v>
      </c>
      <c r="O41" s="33" t="s">
        <v>143</v>
      </c>
      <c r="P41" s="33" t="s">
        <v>143</v>
      </c>
      <c r="Q41" s="33" t="s">
        <v>143</v>
      </c>
      <c r="R41" s="33" t="s">
        <v>145</v>
      </c>
      <c r="S41" s="33" t="s">
        <v>144</v>
      </c>
      <c r="T41" s="33" t="s">
        <v>143</v>
      </c>
      <c r="U41" s="33" t="s">
        <v>143</v>
      </c>
      <c r="V41" s="33" t="s">
        <v>143</v>
      </c>
      <c r="W41" s="33" t="s">
        <v>143</v>
      </c>
      <c r="X41" s="33" t="s">
        <v>143</v>
      </c>
      <c r="Y41" s="33" t="s">
        <v>143</v>
      </c>
      <c r="Z41" s="26">
        <f t="shared" si="6"/>
        <v>0</v>
      </c>
      <c r="AA41" s="26">
        <f t="shared" si="7"/>
        <v>1</v>
      </c>
      <c r="AB41" s="26">
        <f t="shared" si="8"/>
        <v>0</v>
      </c>
      <c r="AC41" s="27">
        <f t="shared" si="9"/>
        <v>0.8</v>
      </c>
      <c r="AD41" s="27">
        <f t="shared" si="10"/>
        <v>0.2</v>
      </c>
      <c r="AE41" s="19" t="str">
        <f t="shared" si="11"/>
        <v>Không đạt</v>
      </c>
      <c r="AF41" s="34" t="s">
        <v>210</v>
      </c>
    </row>
    <row r="42" spans="1:32" ht="30" customHeight="1" x14ac:dyDescent="0.35">
      <c r="A42" s="17">
        <v>40</v>
      </c>
      <c r="B42" s="31" t="s">
        <v>211</v>
      </c>
      <c r="C42" s="32" t="s">
        <v>140</v>
      </c>
      <c r="D42" s="32" t="s">
        <v>172</v>
      </c>
      <c r="E42" s="32" t="s">
        <v>142</v>
      </c>
      <c r="F42" s="33" t="s">
        <v>143</v>
      </c>
      <c r="G42" s="33" t="s">
        <v>143</v>
      </c>
      <c r="H42" s="33" t="s">
        <v>143</v>
      </c>
      <c r="I42" s="33" t="s">
        <v>143</v>
      </c>
      <c r="J42" s="33" t="s">
        <v>143</v>
      </c>
      <c r="K42" s="33" t="s">
        <v>143</v>
      </c>
      <c r="L42" s="33" t="s">
        <v>143</v>
      </c>
      <c r="M42" s="33" t="s">
        <v>143</v>
      </c>
      <c r="N42" s="33" t="s">
        <v>143</v>
      </c>
      <c r="O42" s="33" t="s">
        <v>143</v>
      </c>
      <c r="P42" s="33" t="s">
        <v>143</v>
      </c>
      <c r="Q42" s="33" t="s">
        <v>143</v>
      </c>
      <c r="R42" s="33" t="s">
        <v>143</v>
      </c>
      <c r="S42" s="33" t="s">
        <v>143</v>
      </c>
      <c r="T42" s="33" t="s">
        <v>143</v>
      </c>
      <c r="U42" s="33" t="s">
        <v>143</v>
      </c>
      <c r="V42" s="33" t="s">
        <v>143</v>
      </c>
      <c r="W42" s="33" t="s">
        <v>143</v>
      </c>
      <c r="X42" s="33" t="s">
        <v>143</v>
      </c>
      <c r="Y42" s="33" t="s">
        <v>143</v>
      </c>
      <c r="Z42" s="26">
        <f t="shared" si="6"/>
        <v>0</v>
      </c>
      <c r="AA42" s="26">
        <f t="shared" si="7"/>
        <v>0</v>
      </c>
      <c r="AB42" s="26">
        <f t="shared" si="8"/>
        <v>0</v>
      </c>
      <c r="AC42" s="27">
        <f t="shared" si="9"/>
        <v>0</v>
      </c>
      <c r="AD42" s="27">
        <f t="shared" si="10"/>
        <v>0.2</v>
      </c>
      <c r="AE42" s="19" t="str">
        <f t="shared" si="11"/>
        <v>Đạt</v>
      </c>
      <c r="AF42" s="34" t="s">
        <v>154</v>
      </c>
    </row>
    <row r="43" spans="1:32" ht="30" customHeight="1" x14ac:dyDescent="0.35">
      <c r="A43" s="17">
        <v>41</v>
      </c>
      <c r="B43" s="31" t="s">
        <v>212</v>
      </c>
      <c r="C43" s="32" t="s">
        <v>140</v>
      </c>
      <c r="D43" s="32" t="s">
        <v>172</v>
      </c>
      <c r="E43" s="32" t="s">
        <v>142</v>
      </c>
      <c r="F43" s="33" t="s">
        <v>143</v>
      </c>
      <c r="G43" s="33" t="s">
        <v>143</v>
      </c>
      <c r="H43" s="33" t="s">
        <v>143</v>
      </c>
      <c r="I43" s="33" t="s">
        <v>143</v>
      </c>
      <c r="J43" s="33" t="s">
        <v>143</v>
      </c>
      <c r="K43" s="33" t="s">
        <v>143</v>
      </c>
      <c r="L43" s="33" t="s">
        <v>143</v>
      </c>
      <c r="M43" s="33" t="s">
        <v>143</v>
      </c>
      <c r="N43" s="33" t="s">
        <v>143</v>
      </c>
      <c r="O43" s="33" t="s">
        <v>143</v>
      </c>
      <c r="P43" s="33" t="s">
        <v>143</v>
      </c>
      <c r="Q43" s="33" t="s">
        <v>143</v>
      </c>
      <c r="R43" s="33" t="s">
        <v>143</v>
      </c>
      <c r="S43" s="33" t="s">
        <v>143</v>
      </c>
      <c r="T43" s="33" t="s">
        <v>143</v>
      </c>
      <c r="U43" s="33" t="s">
        <v>143</v>
      </c>
      <c r="V43" s="33" t="s">
        <v>143</v>
      </c>
      <c r="W43" s="33" t="s">
        <v>143</v>
      </c>
      <c r="X43" s="33" t="s">
        <v>143</v>
      </c>
      <c r="Y43" s="33" t="s">
        <v>143</v>
      </c>
      <c r="Z43" s="26">
        <f t="shared" si="6"/>
        <v>0</v>
      </c>
      <c r="AA43" s="26">
        <f t="shared" si="7"/>
        <v>0</v>
      </c>
      <c r="AB43" s="26">
        <f t="shared" si="8"/>
        <v>0</v>
      </c>
      <c r="AC43" s="27">
        <f t="shared" si="9"/>
        <v>0</v>
      </c>
      <c r="AD43" s="27">
        <f t="shared" si="10"/>
        <v>0.2</v>
      </c>
      <c r="AE43" s="19" t="str">
        <f t="shared" si="11"/>
        <v>Đạt</v>
      </c>
      <c r="AF43" s="34" t="s">
        <v>154</v>
      </c>
    </row>
    <row r="44" spans="1:32" ht="30" customHeight="1" x14ac:dyDescent="0.35">
      <c r="A44" s="17">
        <v>42</v>
      </c>
      <c r="B44" s="31" t="s">
        <v>213</v>
      </c>
      <c r="C44" s="32" t="s">
        <v>140</v>
      </c>
      <c r="D44" s="32" t="s">
        <v>141</v>
      </c>
      <c r="E44" s="32" t="s">
        <v>142</v>
      </c>
      <c r="F44" s="33" t="s">
        <v>143</v>
      </c>
      <c r="G44" s="33" t="s">
        <v>143</v>
      </c>
      <c r="H44" s="33" t="s">
        <v>143</v>
      </c>
      <c r="I44" s="33" t="s">
        <v>143</v>
      </c>
      <c r="J44" s="33" t="s">
        <v>143</v>
      </c>
      <c r="K44" s="33" t="s">
        <v>143</v>
      </c>
      <c r="L44" s="33" t="s">
        <v>143</v>
      </c>
      <c r="M44" s="33" t="s">
        <v>143</v>
      </c>
      <c r="N44" s="33" t="s">
        <v>143</v>
      </c>
      <c r="O44" s="33" t="s">
        <v>143</v>
      </c>
      <c r="P44" s="33" t="s">
        <v>143</v>
      </c>
      <c r="Q44" s="33" t="s">
        <v>143</v>
      </c>
      <c r="R44" s="33" t="s">
        <v>143</v>
      </c>
      <c r="S44" s="33" t="s">
        <v>143</v>
      </c>
      <c r="T44" s="33" t="s">
        <v>143</v>
      </c>
      <c r="U44" s="33" t="s">
        <v>143</v>
      </c>
      <c r="V44" s="33" t="s">
        <v>143</v>
      </c>
      <c r="W44" s="33" t="s">
        <v>143</v>
      </c>
      <c r="X44" s="33" t="s">
        <v>143</v>
      </c>
      <c r="Y44" s="33" t="s">
        <v>143</v>
      </c>
      <c r="Z44" s="26">
        <f t="shared" si="6"/>
        <v>0</v>
      </c>
      <c r="AA44" s="26">
        <f t="shared" si="7"/>
        <v>0</v>
      </c>
      <c r="AB44" s="26">
        <f t="shared" si="8"/>
        <v>0</v>
      </c>
      <c r="AC44" s="27">
        <f t="shared" si="9"/>
        <v>0</v>
      </c>
      <c r="AD44" s="27">
        <f t="shared" si="10"/>
        <v>0.2</v>
      </c>
      <c r="AE44" s="19" t="str">
        <f t="shared" si="11"/>
        <v>Đạt</v>
      </c>
      <c r="AF44" s="34" t="s">
        <v>214</v>
      </c>
    </row>
    <row r="45" spans="1:32" ht="30" customHeight="1" x14ac:dyDescent="0.35">
      <c r="A45" s="17">
        <v>43</v>
      </c>
      <c r="B45" s="31" t="s">
        <v>215</v>
      </c>
      <c r="C45" s="32" t="s">
        <v>140</v>
      </c>
      <c r="D45" s="32" t="s">
        <v>141</v>
      </c>
      <c r="E45" s="32" t="s">
        <v>142</v>
      </c>
      <c r="F45" s="33" t="s">
        <v>143</v>
      </c>
      <c r="G45" s="33" t="s">
        <v>143</v>
      </c>
      <c r="H45" s="33" t="s">
        <v>143</v>
      </c>
      <c r="I45" s="33" t="s">
        <v>143</v>
      </c>
      <c r="J45" s="33" t="s">
        <v>143</v>
      </c>
      <c r="K45" s="33" t="s">
        <v>143</v>
      </c>
      <c r="L45" s="33" t="s">
        <v>143</v>
      </c>
      <c r="M45" s="33" t="s">
        <v>143</v>
      </c>
      <c r="N45" s="33" t="s">
        <v>143</v>
      </c>
      <c r="O45" s="33" t="s">
        <v>143</v>
      </c>
      <c r="P45" s="33" t="s">
        <v>143</v>
      </c>
      <c r="Q45" s="33" t="s">
        <v>143</v>
      </c>
      <c r="R45" s="33" t="s">
        <v>143</v>
      </c>
      <c r="S45" s="33" t="s">
        <v>143</v>
      </c>
      <c r="T45" s="33" t="s">
        <v>143</v>
      </c>
      <c r="U45" s="33" t="s">
        <v>143</v>
      </c>
      <c r="V45" s="33" t="s">
        <v>143</v>
      </c>
      <c r="W45" s="33" t="s">
        <v>143</v>
      </c>
      <c r="X45" s="33" t="s">
        <v>143</v>
      </c>
      <c r="Y45" s="33" t="s">
        <v>143</v>
      </c>
      <c r="Z45" s="26">
        <f t="shared" si="6"/>
        <v>0</v>
      </c>
      <c r="AA45" s="26">
        <f t="shared" si="7"/>
        <v>0</v>
      </c>
      <c r="AB45" s="26">
        <f t="shared" si="8"/>
        <v>0</v>
      </c>
      <c r="AC45" s="27">
        <f t="shared" si="9"/>
        <v>0</v>
      </c>
      <c r="AD45" s="27">
        <f t="shared" si="10"/>
        <v>0.2</v>
      </c>
      <c r="AE45" s="19" t="str">
        <f t="shared" si="11"/>
        <v>Đạt</v>
      </c>
      <c r="AF45" s="34" t="s">
        <v>216</v>
      </c>
    </row>
    <row r="46" spans="1:32" ht="30" customHeight="1" x14ac:dyDescent="0.35">
      <c r="A46" s="17">
        <v>44</v>
      </c>
      <c r="B46" s="31" t="s">
        <v>217</v>
      </c>
      <c r="C46" s="32" t="s">
        <v>140</v>
      </c>
      <c r="D46" s="32" t="s">
        <v>141</v>
      </c>
      <c r="E46" s="32" t="s">
        <v>142</v>
      </c>
      <c r="F46" s="33" t="s">
        <v>143</v>
      </c>
      <c r="G46" s="33" t="s">
        <v>143</v>
      </c>
      <c r="H46" s="33" t="s">
        <v>143</v>
      </c>
      <c r="I46" s="33" t="s">
        <v>143</v>
      </c>
      <c r="J46" s="33" t="s">
        <v>143</v>
      </c>
      <c r="K46" s="33" t="s">
        <v>143</v>
      </c>
      <c r="L46" s="33" t="s">
        <v>143</v>
      </c>
      <c r="M46" s="33" t="s">
        <v>143</v>
      </c>
      <c r="N46" s="33" t="s">
        <v>143</v>
      </c>
      <c r="O46" s="33" t="s">
        <v>143</v>
      </c>
      <c r="P46" s="33" t="s">
        <v>143</v>
      </c>
      <c r="Q46" s="33" t="s">
        <v>143</v>
      </c>
      <c r="R46" s="33" t="s">
        <v>143</v>
      </c>
      <c r="S46" s="33" t="s">
        <v>143</v>
      </c>
      <c r="T46" s="33" t="s">
        <v>143</v>
      </c>
      <c r="U46" s="33" t="s">
        <v>143</v>
      </c>
      <c r="V46" s="33" t="s">
        <v>143</v>
      </c>
      <c r="W46" s="33" t="s">
        <v>143</v>
      </c>
      <c r="X46" s="33" t="s">
        <v>143</v>
      </c>
      <c r="Y46" s="33" t="s">
        <v>143</v>
      </c>
      <c r="Z46" s="26">
        <f t="shared" si="6"/>
        <v>0</v>
      </c>
      <c r="AA46" s="26">
        <f t="shared" si="7"/>
        <v>0</v>
      </c>
      <c r="AB46" s="26">
        <f t="shared" si="8"/>
        <v>0</v>
      </c>
      <c r="AC46" s="27">
        <f t="shared" si="9"/>
        <v>0</v>
      </c>
      <c r="AD46" s="27">
        <f t="shared" si="10"/>
        <v>0.2</v>
      </c>
      <c r="AE46" s="19" t="str">
        <f t="shared" si="11"/>
        <v>Đạt</v>
      </c>
      <c r="AF46" s="34" t="s">
        <v>218</v>
      </c>
    </row>
    <row r="47" spans="1:32" ht="30" customHeight="1" x14ac:dyDescent="0.35">
      <c r="A47" s="17">
        <v>45</v>
      </c>
      <c r="B47" s="31" t="s">
        <v>219</v>
      </c>
      <c r="C47" s="32" t="s">
        <v>140</v>
      </c>
      <c r="D47" s="32" t="s">
        <v>141</v>
      </c>
      <c r="E47" s="32" t="s">
        <v>142</v>
      </c>
      <c r="F47" s="33" t="s">
        <v>143</v>
      </c>
      <c r="G47" s="33" t="s">
        <v>143</v>
      </c>
      <c r="H47" s="33" t="s">
        <v>143</v>
      </c>
      <c r="I47" s="33" t="s">
        <v>143</v>
      </c>
      <c r="J47" s="33" t="s">
        <v>143</v>
      </c>
      <c r="K47" s="33" t="s">
        <v>143</v>
      </c>
      <c r="L47" s="33" t="s">
        <v>143</v>
      </c>
      <c r="M47" s="33" t="s">
        <v>143</v>
      </c>
      <c r="N47" s="33" t="s">
        <v>143</v>
      </c>
      <c r="O47" s="33" t="s">
        <v>143</v>
      </c>
      <c r="P47" s="33" t="s">
        <v>143</v>
      </c>
      <c r="Q47" s="33" t="s">
        <v>143</v>
      </c>
      <c r="R47" s="33" t="s">
        <v>143</v>
      </c>
      <c r="S47" s="33" t="s">
        <v>143</v>
      </c>
      <c r="T47" s="33" t="s">
        <v>144</v>
      </c>
      <c r="U47" s="33" t="s">
        <v>145</v>
      </c>
      <c r="V47" s="33" t="s">
        <v>143</v>
      </c>
      <c r="W47" s="33" t="s">
        <v>145</v>
      </c>
      <c r="X47" s="33" t="s">
        <v>143</v>
      </c>
      <c r="Y47" s="33" t="s">
        <v>143</v>
      </c>
      <c r="Z47" s="26">
        <f t="shared" si="6"/>
        <v>0</v>
      </c>
      <c r="AA47" s="26">
        <f t="shared" si="7"/>
        <v>0</v>
      </c>
      <c r="AB47" s="26">
        <f t="shared" si="8"/>
        <v>1</v>
      </c>
      <c r="AC47" s="27">
        <f t="shared" si="9"/>
        <v>0.1</v>
      </c>
      <c r="AD47" s="27">
        <f t="shared" si="10"/>
        <v>0.2</v>
      </c>
      <c r="AE47" s="19" t="str">
        <f t="shared" si="11"/>
        <v>Đạt</v>
      </c>
      <c r="AF47" s="34" t="s">
        <v>220</v>
      </c>
    </row>
    <row r="48" spans="1:32" ht="30" customHeight="1" x14ac:dyDescent="0.35">
      <c r="A48" s="17">
        <v>46</v>
      </c>
      <c r="B48" s="31" t="s">
        <v>221</v>
      </c>
      <c r="C48" s="32" t="s">
        <v>140</v>
      </c>
      <c r="D48" s="32" t="s">
        <v>158</v>
      </c>
      <c r="E48" s="32" t="s">
        <v>142</v>
      </c>
      <c r="F48" s="33" t="s">
        <v>143</v>
      </c>
      <c r="G48" s="33" t="s">
        <v>143</v>
      </c>
      <c r="H48" s="33" t="s">
        <v>143</v>
      </c>
      <c r="I48" s="33" t="s">
        <v>143</v>
      </c>
      <c r="J48" s="33" t="s">
        <v>143</v>
      </c>
      <c r="K48" s="33" t="s">
        <v>143</v>
      </c>
      <c r="L48" s="33" t="s">
        <v>143</v>
      </c>
      <c r="M48" s="33" t="s">
        <v>143</v>
      </c>
      <c r="N48" s="33" t="s">
        <v>143</v>
      </c>
      <c r="O48" s="33" t="s">
        <v>143</v>
      </c>
      <c r="P48" s="33" t="s">
        <v>143</v>
      </c>
      <c r="Q48" s="33" t="s">
        <v>143</v>
      </c>
      <c r="R48" s="33" t="s">
        <v>143</v>
      </c>
      <c r="S48" s="33" t="s">
        <v>145</v>
      </c>
      <c r="T48" s="33" t="s">
        <v>143</v>
      </c>
      <c r="U48" s="33" t="s">
        <v>143</v>
      </c>
      <c r="V48" s="33" t="s">
        <v>143</v>
      </c>
      <c r="W48" s="33" t="s">
        <v>143</v>
      </c>
      <c r="X48" s="33" t="s">
        <v>143</v>
      </c>
      <c r="Y48" s="33" t="s">
        <v>143</v>
      </c>
      <c r="Z48" s="26">
        <f t="shared" si="6"/>
        <v>0</v>
      </c>
      <c r="AA48" s="26">
        <f t="shared" si="7"/>
        <v>0</v>
      </c>
      <c r="AB48" s="26">
        <f t="shared" si="8"/>
        <v>0</v>
      </c>
      <c r="AC48" s="27">
        <f t="shared" si="9"/>
        <v>0</v>
      </c>
      <c r="AD48" s="27">
        <f t="shared" si="10"/>
        <v>0.2</v>
      </c>
      <c r="AE48" s="19" t="str">
        <f t="shared" si="11"/>
        <v>Đạt</v>
      </c>
      <c r="AF48" s="34" t="s">
        <v>222</v>
      </c>
    </row>
    <row r="49" spans="1:32" ht="30" customHeight="1" x14ac:dyDescent="0.35">
      <c r="A49" s="17">
        <v>47</v>
      </c>
      <c r="B49" s="18"/>
      <c r="C49" s="17"/>
      <c r="D49" s="17"/>
      <c r="E49" s="17"/>
      <c r="F49" s="26"/>
      <c r="G49" s="26"/>
      <c r="H49" s="26"/>
      <c r="I49" s="26"/>
      <c r="J49" s="26"/>
      <c r="K49" s="26"/>
      <c r="L49" s="26"/>
      <c r="M49" s="26"/>
      <c r="N49" s="26"/>
      <c r="O49" s="26"/>
      <c r="P49" s="26"/>
      <c r="Q49" s="26"/>
      <c r="R49" s="26"/>
      <c r="S49" s="26"/>
      <c r="T49" s="26"/>
      <c r="U49" s="26"/>
      <c r="V49" s="26"/>
      <c r="W49" s="26"/>
      <c r="X49" s="26"/>
      <c r="Y49" s="26"/>
      <c r="Z49" s="26" t="str">
        <f t="shared" si="6"/>
        <v/>
      </c>
      <c r="AA49" s="26" t="str">
        <f t="shared" si="7"/>
        <v/>
      </c>
      <c r="AB49" s="26" t="str">
        <f t="shared" si="8"/>
        <v/>
      </c>
      <c r="AC49" s="27" t="str">
        <f t="shared" si="9"/>
        <v/>
      </c>
      <c r="AD49" s="27" t="str">
        <f t="shared" si="10"/>
        <v/>
      </c>
      <c r="AE49" s="19" t="str">
        <f t="shared" si="11"/>
        <v/>
      </c>
      <c r="AF49" s="28"/>
    </row>
    <row r="50" spans="1:32" ht="30" customHeight="1" x14ac:dyDescent="0.35">
      <c r="A50" s="17">
        <v>48</v>
      </c>
      <c r="B50" s="18"/>
      <c r="C50" s="17"/>
      <c r="D50" s="17"/>
      <c r="E50" s="17"/>
      <c r="F50" s="26"/>
      <c r="G50" s="26"/>
      <c r="H50" s="26"/>
      <c r="I50" s="26"/>
      <c r="J50" s="26"/>
      <c r="K50" s="26"/>
      <c r="L50" s="26"/>
      <c r="M50" s="26"/>
      <c r="N50" s="26"/>
      <c r="O50" s="26"/>
      <c r="P50" s="26"/>
      <c r="Q50" s="26"/>
      <c r="R50" s="26"/>
      <c r="S50" s="26"/>
      <c r="T50" s="26"/>
      <c r="U50" s="26"/>
      <c r="V50" s="26"/>
      <c r="W50" s="26"/>
      <c r="X50" s="26"/>
      <c r="Y50" s="26"/>
      <c r="Z50" s="26" t="str">
        <f t="shared" si="6"/>
        <v/>
      </c>
      <c r="AA50" s="26" t="str">
        <f t="shared" si="7"/>
        <v/>
      </c>
      <c r="AB50" s="26" t="str">
        <f t="shared" si="8"/>
        <v/>
      </c>
      <c r="AC50" s="27" t="str">
        <f t="shared" si="9"/>
        <v/>
      </c>
      <c r="AD50" s="27" t="str">
        <f t="shared" si="10"/>
        <v/>
      </c>
      <c r="AE50" s="19" t="str">
        <f t="shared" si="11"/>
        <v/>
      </c>
      <c r="AF50" s="28"/>
    </row>
    <row r="51" spans="1:32" ht="30" customHeight="1" x14ac:dyDescent="0.35">
      <c r="A51" s="17">
        <v>49</v>
      </c>
      <c r="B51" s="18"/>
      <c r="C51" s="17"/>
      <c r="D51" s="17"/>
      <c r="E51" s="17"/>
      <c r="F51" s="26"/>
      <c r="G51" s="26"/>
      <c r="H51" s="26"/>
      <c r="I51" s="26"/>
      <c r="J51" s="26"/>
      <c r="K51" s="26"/>
      <c r="L51" s="26"/>
      <c r="M51" s="26"/>
      <c r="N51" s="26"/>
      <c r="O51" s="26"/>
      <c r="P51" s="26"/>
      <c r="Q51" s="26"/>
      <c r="R51" s="26"/>
      <c r="S51" s="26"/>
      <c r="T51" s="26"/>
      <c r="U51" s="26"/>
      <c r="V51" s="26"/>
      <c r="W51" s="26"/>
      <c r="X51" s="26"/>
      <c r="Y51" s="26"/>
      <c r="Z51" s="26" t="str">
        <f t="shared" si="6"/>
        <v/>
      </c>
      <c r="AA51" s="26" t="str">
        <f t="shared" si="7"/>
        <v/>
      </c>
      <c r="AB51" s="26" t="str">
        <f t="shared" si="8"/>
        <v/>
      </c>
      <c r="AC51" s="27" t="str">
        <f t="shared" si="9"/>
        <v/>
      </c>
      <c r="AD51" s="27" t="str">
        <f t="shared" si="10"/>
        <v/>
      </c>
      <c r="AE51" s="19" t="str">
        <f t="shared" si="11"/>
        <v/>
      </c>
      <c r="AF51" s="28"/>
    </row>
    <row r="52" spans="1:32" ht="30" customHeight="1" x14ac:dyDescent="0.35">
      <c r="A52" s="17">
        <v>50</v>
      </c>
      <c r="B52" s="18"/>
      <c r="C52" s="17"/>
      <c r="D52" s="17"/>
      <c r="E52" s="17"/>
      <c r="F52" s="26"/>
      <c r="G52" s="26"/>
      <c r="H52" s="26"/>
      <c r="I52" s="26"/>
      <c r="J52" s="26"/>
      <c r="K52" s="26"/>
      <c r="L52" s="26"/>
      <c r="M52" s="26"/>
      <c r="N52" s="26"/>
      <c r="O52" s="26"/>
      <c r="P52" s="26"/>
      <c r="Q52" s="26"/>
      <c r="R52" s="26"/>
      <c r="S52" s="26"/>
      <c r="T52" s="26"/>
      <c r="U52" s="26"/>
      <c r="V52" s="26"/>
      <c r="W52" s="26"/>
      <c r="X52" s="26"/>
      <c r="Y52" s="26"/>
      <c r="Z52" s="26" t="str">
        <f t="shared" si="6"/>
        <v/>
      </c>
      <c r="AA52" s="26" t="str">
        <f t="shared" si="7"/>
        <v/>
      </c>
      <c r="AB52" s="26" t="str">
        <f t="shared" si="8"/>
        <v/>
      </c>
      <c r="AC52" s="27" t="str">
        <f t="shared" si="9"/>
        <v/>
      </c>
      <c r="AD52" s="27" t="str">
        <f t="shared" si="10"/>
        <v/>
      </c>
      <c r="AE52" s="19" t="str">
        <f t="shared" si="11"/>
        <v/>
      </c>
      <c r="AF52" s="28"/>
    </row>
    <row r="53" spans="1:32" ht="30" customHeight="1" x14ac:dyDescent="0.35">
      <c r="A53" s="17">
        <v>51</v>
      </c>
      <c r="B53" s="18"/>
      <c r="C53" s="17"/>
      <c r="D53" s="17"/>
      <c r="E53" s="17"/>
      <c r="F53" s="26"/>
      <c r="G53" s="26"/>
      <c r="H53" s="26"/>
      <c r="I53" s="26"/>
      <c r="J53" s="26"/>
      <c r="K53" s="26"/>
      <c r="L53" s="26"/>
      <c r="M53" s="26"/>
      <c r="N53" s="26"/>
      <c r="O53" s="26"/>
      <c r="P53" s="26"/>
      <c r="Q53" s="26"/>
      <c r="R53" s="26"/>
      <c r="S53" s="26"/>
      <c r="T53" s="26"/>
      <c r="U53" s="26"/>
      <c r="V53" s="26"/>
      <c r="W53" s="26"/>
      <c r="X53" s="26"/>
      <c r="Y53" s="26"/>
      <c r="Z53" s="26" t="str">
        <f t="shared" si="6"/>
        <v/>
      </c>
      <c r="AA53" s="26" t="str">
        <f t="shared" si="7"/>
        <v/>
      </c>
      <c r="AB53" s="26" t="str">
        <f t="shared" si="8"/>
        <v/>
      </c>
      <c r="AC53" s="27" t="str">
        <f t="shared" si="9"/>
        <v/>
      </c>
      <c r="AD53" s="27" t="str">
        <f t="shared" si="10"/>
        <v/>
      </c>
      <c r="AE53" s="19" t="str">
        <f t="shared" si="11"/>
        <v/>
      </c>
      <c r="AF53" s="28"/>
    </row>
    <row r="54" spans="1:32" ht="30" customHeight="1" x14ac:dyDescent="0.35">
      <c r="A54" s="17">
        <v>52</v>
      </c>
      <c r="B54" s="18"/>
      <c r="C54" s="17"/>
      <c r="D54" s="17"/>
      <c r="E54" s="17"/>
      <c r="F54" s="26"/>
      <c r="G54" s="26"/>
      <c r="H54" s="26"/>
      <c r="I54" s="26"/>
      <c r="J54" s="26"/>
      <c r="K54" s="26"/>
      <c r="L54" s="26"/>
      <c r="M54" s="26"/>
      <c r="N54" s="26"/>
      <c r="O54" s="26"/>
      <c r="P54" s="26"/>
      <c r="Q54" s="26"/>
      <c r="R54" s="26"/>
      <c r="S54" s="26"/>
      <c r="T54" s="26"/>
      <c r="U54" s="26"/>
      <c r="V54" s="26"/>
      <c r="W54" s="26"/>
      <c r="X54" s="26"/>
      <c r="Y54" s="26"/>
      <c r="Z54" s="26" t="str">
        <f t="shared" si="6"/>
        <v/>
      </c>
      <c r="AA54" s="26" t="str">
        <f t="shared" si="7"/>
        <v/>
      </c>
      <c r="AB54" s="26" t="str">
        <f t="shared" si="8"/>
        <v/>
      </c>
      <c r="AC54" s="27" t="str">
        <f t="shared" si="9"/>
        <v/>
      </c>
      <c r="AD54" s="27" t="str">
        <f t="shared" si="10"/>
        <v/>
      </c>
      <c r="AE54" s="19" t="str">
        <f t="shared" si="11"/>
        <v/>
      </c>
      <c r="AF54" s="28"/>
    </row>
    <row r="55" spans="1:32" ht="30" customHeight="1" x14ac:dyDescent="0.35">
      <c r="A55" s="17">
        <v>53</v>
      </c>
      <c r="B55" s="18"/>
      <c r="C55" s="17"/>
      <c r="D55" s="17"/>
      <c r="E55" s="17"/>
      <c r="F55" s="26"/>
      <c r="G55" s="26"/>
      <c r="H55" s="26"/>
      <c r="I55" s="26"/>
      <c r="J55" s="26"/>
      <c r="K55" s="26"/>
      <c r="L55" s="26"/>
      <c r="M55" s="26"/>
      <c r="N55" s="26"/>
      <c r="O55" s="26"/>
      <c r="P55" s="26"/>
      <c r="Q55" s="26"/>
      <c r="R55" s="26"/>
      <c r="S55" s="26"/>
      <c r="T55" s="26"/>
      <c r="U55" s="26"/>
      <c r="V55" s="26"/>
      <c r="W55" s="26"/>
      <c r="X55" s="26"/>
      <c r="Y55" s="26"/>
      <c r="Z55" s="26" t="str">
        <f t="shared" si="6"/>
        <v/>
      </c>
      <c r="AA55" s="26" t="str">
        <f t="shared" si="7"/>
        <v/>
      </c>
      <c r="AB55" s="26" t="str">
        <f t="shared" si="8"/>
        <v/>
      </c>
      <c r="AC55" s="27" t="str">
        <f t="shared" si="9"/>
        <v/>
      </c>
      <c r="AD55" s="27" t="str">
        <f t="shared" si="10"/>
        <v/>
      </c>
      <c r="AE55" s="19" t="str">
        <f t="shared" si="11"/>
        <v/>
      </c>
      <c r="AF55" s="28"/>
    </row>
    <row r="56" spans="1:32" ht="30" customHeight="1" x14ac:dyDescent="0.35">
      <c r="A56" s="17">
        <v>54</v>
      </c>
      <c r="B56" s="18"/>
      <c r="C56" s="17"/>
      <c r="D56" s="17"/>
      <c r="E56" s="17"/>
      <c r="F56" s="26"/>
      <c r="G56" s="26"/>
      <c r="H56" s="26"/>
      <c r="I56" s="26"/>
      <c r="J56" s="26"/>
      <c r="K56" s="26"/>
      <c r="L56" s="26"/>
      <c r="M56" s="26"/>
      <c r="N56" s="26"/>
      <c r="O56" s="26"/>
      <c r="P56" s="26"/>
      <c r="Q56" s="26"/>
      <c r="R56" s="26"/>
      <c r="S56" s="26"/>
      <c r="T56" s="26"/>
      <c r="U56" s="26"/>
      <c r="V56" s="26"/>
      <c r="W56" s="26"/>
      <c r="X56" s="26"/>
      <c r="Y56" s="26"/>
      <c r="Z56" s="26" t="str">
        <f t="shared" si="6"/>
        <v/>
      </c>
      <c r="AA56" s="26" t="str">
        <f t="shared" si="7"/>
        <v/>
      </c>
      <c r="AB56" s="26" t="str">
        <f t="shared" si="8"/>
        <v/>
      </c>
      <c r="AC56" s="27" t="str">
        <f t="shared" si="9"/>
        <v/>
      </c>
      <c r="AD56" s="27" t="str">
        <f t="shared" si="10"/>
        <v/>
      </c>
      <c r="AE56" s="19" t="str">
        <f t="shared" si="11"/>
        <v/>
      </c>
      <c r="AF56" s="28"/>
    </row>
    <row r="57" spans="1:32" ht="30" customHeight="1" x14ac:dyDescent="0.35">
      <c r="A57" s="17">
        <v>55</v>
      </c>
      <c r="B57" s="18"/>
      <c r="C57" s="17"/>
      <c r="D57" s="17"/>
      <c r="E57" s="17"/>
      <c r="F57" s="26"/>
      <c r="G57" s="26"/>
      <c r="H57" s="26"/>
      <c r="I57" s="26"/>
      <c r="J57" s="26"/>
      <c r="K57" s="26"/>
      <c r="L57" s="26"/>
      <c r="M57" s="26"/>
      <c r="N57" s="26"/>
      <c r="O57" s="26"/>
      <c r="P57" s="26"/>
      <c r="Q57" s="26"/>
      <c r="R57" s="26"/>
      <c r="S57" s="26"/>
      <c r="T57" s="26"/>
      <c r="U57" s="26"/>
      <c r="V57" s="26"/>
      <c r="W57" s="26"/>
      <c r="X57" s="26"/>
      <c r="Y57" s="26"/>
      <c r="Z57" s="26" t="str">
        <f t="shared" si="6"/>
        <v/>
      </c>
      <c r="AA57" s="26" t="str">
        <f t="shared" si="7"/>
        <v/>
      </c>
      <c r="AB57" s="26" t="str">
        <f t="shared" si="8"/>
        <v/>
      </c>
      <c r="AC57" s="27" t="str">
        <f t="shared" si="9"/>
        <v/>
      </c>
      <c r="AD57" s="27" t="str">
        <f t="shared" si="10"/>
        <v/>
      </c>
      <c r="AE57" s="19" t="str">
        <f t="shared" si="11"/>
        <v/>
      </c>
      <c r="AF57" s="28"/>
    </row>
    <row r="58" spans="1:32" ht="30" customHeight="1" x14ac:dyDescent="0.35">
      <c r="A58" s="17">
        <v>56</v>
      </c>
      <c r="B58" s="18"/>
      <c r="C58" s="17"/>
      <c r="D58" s="17"/>
      <c r="E58" s="17"/>
      <c r="F58" s="26"/>
      <c r="G58" s="26"/>
      <c r="H58" s="26"/>
      <c r="I58" s="26"/>
      <c r="J58" s="26"/>
      <c r="K58" s="26"/>
      <c r="L58" s="26"/>
      <c r="M58" s="26"/>
      <c r="N58" s="26"/>
      <c r="O58" s="26"/>
      <c r="P58" s="26"/>
      <c r="Q58" s="26"/>
      <c r="R58" s="26"/>
      <c r="S58" s="26"/>
      <c r="T58" s="26"/>
      <c r="U58" s="26"/>
      <c r="V58" s="26"/>
      <c r="W58" s="26"/>
      <c r="X58" s="26"/>
      <c r="Y58" s="26"/>
      <c r="Z58" s="26" t="str">
        <f t="shared" si="6"/>
        <v/>
      </c>
      <c r="AA58" s="26" t="str">
        <f t="shared" si="7"/>
        <v/>
      </c>
      <c r="AB58" s="26" t="str">
        <f t="shared" si="8"/>
        <v/>
      </c>
      <c r="AC58" s="27" t="str">
        <f t="shared" si="9"/>
        <v/>
      </c>
      <c r="AD58" s="27" t="str">
        <f t="shared" si="10"/>
        <v/>
      </c>
      <c r="AE58" s="19" t="str">
        <f t="shared" si="11"/>
        <v/>
      </c>
      <c r="AF58" s="28"/>
    </row>
    <row r="59" spans="1:32" ht="30" customHeight="1" x14ac:dyDescent="0.35">
      <c r="A59" s="17">
        <v>57</v>
      </c>
      <c r="B59" s="18"/>
      <c r="C59" s="17"/>
      <c r="D59" s="17"/>
      <c r="E59" s="17"/>
      <c r="F59" s="26"/>
      <c r="G59" s="26"/>
      <c r="H59" s="26"/>
      <c r="I59" s="26"/>
      <c r="J59" s="26"/>
      <c r="K59" s="26"/>
      <c r="L59" s="26"/>
      <c r="M59" s="26"/>
      <c r="N59" s="26"/>
      <c r="O59" s="26"/>
      <c r="P59" s="26"/>
      <c r="Q59" s="26"/>
      <c r="R59" s="26"/>
      <c r="S59" s="26"/>
      <c r="T59" s="26"/>
      <c r="U59" s="26"/>
      <c r="V59" s="26"/>
      <c r="W59" s="26"/>
      <c r="X59" s="26"/>
      <c r="Y59" s="26"/>
      <c r="Z59" s="26" t="str">
        <f t="shared" si="6"/>
        <v/>
      </c>
      <c r="AA59" s="26" t="str">
        <f t="shared" si="7"/>
        <v/>
      </c>
      <c r="AB59" s="26" t="str">
        <f t="shared" si="8"/>
        <v/>
      </c>
      <c r="AC59" s="27" t="str">
        <f t="shared" si="9"/>
        <v/>
      </c>
      <c r="AD59" s="27" t="str">
        <f t="shared" si="10"/>
        <v/>
      </c>
      <c r="AE59" s="19" t="str">
        <f t="shared" si="11"/>
        <v/>
      </c>
      <c r="AF59" s="28"/>
    </row>
    <row r="60" spans="1:32" ht="30" customHeight="1" x14ac:dyDescent="0.35">
      <c r="A60" s="17">
        <v>58</v>
      </c>
      <c r="B60" s="18"/>
      <c r="C60" s="17"/>
      <c r="D60" s="17"/>
      <c r="E60" s="17"/>
      <c r="F60" s="26"/>
      <c r="G60" s="26"/>
      <c r="H60" s="26"/>
      <c r="I60" s="26"/>
      <c r="J60" s="26"/>
      <c r="K60" s="26"/>
      <c r="L60" s="26"/>
      <c r="M60" s="26"/>
      <c r="N60" s="26"/>
      <c r="O60" s="26"/>
      <c r="P60" s="26"/>
      <c r="Q60" s="26"/>
      <c r="R60" s="26"/>
      <c r="S60" s="26"/>
      <c r="T60" s="26"/>
      <c r="U60" s="26"/>
      <c r="V60" s="26"/>
      <c r="W60" s="26"/>
      <c r="X60" s="26"/>
      <c r="Y60" s="26"/>
      <c r="Z60" s="26" t="str">
        <f t="shared" si="6"/>
        <v/>
      </c>
      <c r="AA60" s="26" t="str">
        <f t="shared" si="7"/>
        <v/>
      </c>
      <c r="AB60" s="26" t="str">
        <f t="shared" si="8"/>
        <v/>
      </c>
      <c r="AC60" s="27" t="str">
        <f t="shared" si="9"/>
        <v/>
      </c>
      <c r="AD60" s="27" t="str">
        <f t="shared" si="10"/>
        <v/>
      </c>
      <c r="AE60" s="19" t="str">
        <f t="shared" si="11"/>
        <v/>
      </c>
      <c r="AF60" s="28"/>
    </row>
  </sheetData>
  <mergeCells count="9">
    <mergeCell ref="Z1:AF1"/>
    <mergeCell ref="F1:G1"/>
    <mergeCell ref="A1:A2"/>
    <mergeCell ref="T1:Y1"/>
    <mergeCell ref="H1:S1"/>
    <mergeCell ref="C1:C2"/>
    <mergeCell ref="B1:B2"/>
    <mergeCell ref="D1:D2"/>
    <mergeCell ref="E1:E2"/>
  </mergeCells>
  <conditionalFormatting sqref="F3:Y60">
    <cfRule type="cellIs" dxfId="7" priority="1" operator="equal">
      <formula>"WARN"</formula>
    </cfRule>
    <cfRule type="cellIs" dxfId="6" priority="2" operator="equal">
      <formula>"Fail"</formula>
    </cfRule>
    <cfRule type="cellIs" dxfId="5" priority="3" operator="equal">
      <formula>"Pass"</formula>
    </cfRule>
    <cfRule type="cellIs" dxfId="4" priority="4" operator="equal">
      <formula>"N/A"</formula>
    </cfRule>
  </conditionalFormatting>
  <conditionalFormatting sqref="AE3:AE60">
    <cfRule type="cellIs" dxfId="3" priority="5" operator="equal">
      <formula>"Không đạt"</formula>
    </cfRule>
    <cfRule type="cellIs" dxfId="2" priority="6" operator="equal">
      <formula>"Đạt"</formula>
    </cfRule>
  </conditionalFormatting>
  <dataValidations count="2">
    <dataValidation type="list" allowBlank="1" sqref="F3:Y60" xr:uid="{00000000-0002-0000-0200-000000000000}">
      <formula1>"Pass,Fail,N/A,WARN"</formula1>
    </dataValidation>
    <dataValidation type="list" allowBlank="1" sqref="C3:C60" xr:uid="{00000000-0002-0000-0200-000001000000}">
      <formula1>"Batch 1,Batch 2,Batch 3"</formula1>
    </dataValidation>
  </dataValidations>
  <pageMargins left="0.75" right="0.75" top="1" bottom="1"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I9"/>
  <sheetViews>
    <sheetView showGridLines="0" zoomScaleNormal="100" workbookViewId="0">
      <selection activeCell="F20" sqref="F20"/>
    </sheetView>
  </sheetViews>
  <sheetFormatPr defaultColWidth="8.7265625" defaultRowHeight="14.5" x14ac:dyDescent="0.35"/>
  <cols>
    <col min="2" max="2" width="12" customWidth="1"/>
    <col min="3" max="3" width="12.54296875" bestFit="1" customWidth="1"/>
    <col min="4" max="4" width="12" customWidth="1"/>
    <col min="5" max="5" width="10" customWidth="1"/>
    <col min="6" max="8" width="12" customWidth="1"/>
    <col min="9" max="9" width="20" bestFit="1" customWidth="1"/>
  </cols>
  <sheetData>
    <row r="2" spans="2:9" ht="18" customHeight="1" x14ac:dyDescent="0.4">
      <c r="B2" s="43" t="s">
        <v>223</v>
      </c>
      <c r="C2" s="42"/>
      <c r="D2" s="42"/>
      <c r="E2" s="42"/>
      <c r="F2" s="42"/>
      <c r="G2" s="42"/>
      <c r="H2" s="42"/>
    </row>
    <row r="4" spans="2:9" ht="31.5" customHeight="1" x14ac:dyDescent="0.35">
      <c r="B4" s="3" t="s">
        <v>105</v>
      </c>
      <c r="C4" s="3" t="s">
        <v>224</v>
      </c>
      <c r="D4" s="3" t="s">
        <v>225</v>
      </c>
      <c r="E4" s="3" t="s">
        <v>226</v>
      </c>
      <c r="F4" s="3" t="s">
        <v>227</v>
      </c>
      <c r="G4" s="3" t="s">
        <v>228</v>
      </c>
      <c r="H4" s="3" t="s">
        <v>229</v>
      </c>
      <c r="I4" s="3" t="s">
        <v>230</v>
      </c>
    </row>
    <row r="5" spans="2:9" ht="21.75" customHeight="1" x14ac:dyDescent="0.35">
      <c r="B5" s="17" t="s">
        <v>231</v>
      </c>
      <c r="C5" s="20">
        <v>0.3</v>
      </c>
      <c r="D5" s="17">
        <f>COUNTIF('Review theo bảng'!$C$3:$C$60,B5)</f>
        <v>0</v>
      </c>
      <c r="E5" s="17">
        <f>COUNTIFS('Review theo bảng'!$C$3:$C$60,B5,'Review theo bảng'!$AE$3:$AE$60,"Đạt")</f>
        <v>0</v>
      </c>
      <c r="F5" s="17">
        <f>COUNTIFS('Review theo bảng'!$C$3:$C$60,B5,'Review theo bảng'!$AE$3:$AE$60,"Không đạt")</f>
        <v>0</v>
      </c>
      <c r="G5" s="21">
        <f>IFERROR(AVERAGEIF('Review theo bảng'!$C$3:$C$60,B5,'Review theo bảng'!$AC$3:$AC$60),0)</f>
        <v>0</v>
      </c>
      <c r="H5" s="21">
        <f>IFERROR(F5/D5,0)</f>
        <v>0</v>
      </c>
      <c r="I5" s="22" t="str">
        <f>IF(D5=0,"Chưa có dữ liệu",IF(H5&lt;=C5,"Đạt yêu cầu","Không đạt yêu cầu"))</f>
        <v>Chưa có dữ liệu</v>
      </c>
    </row>
    <row r="6" spans="2:9" ht="21.75" customHeight="1" x14ac:dyDescent="0.35">
      <c r="B6" s="17" t="s">
        <v>140</v>
      </c>
      <c r="C6" s="20">
        <v>0.2</v>
      </c>
      <c r="D6" s="17">
        <f>COUNTIF('Review theo bảng'!$C$3:$C$60,B6)</f>
        <v>45</v>
      </c>
      <c r="E6" s="17">
        <f>COUNTIFS('Review theo bảng'!$C$3:$C$60,B6,'Review theo bảng'!$AE$3:$AE$60,"Đạt")</f>
        <v>38</v>
      </c>
      <c r="F6" s="17">
        <f>COUNTIFS('Review theo bảng'!$C$3:$C$60,B6,'Review theo bảng'!$AE$3:$AE$60,"Không đạt")</f>
        <v>7</v>
      </c>
      <c r="G6" s="21">
        <f>IFERROR(AVERAGEIF('Review theo bảng'!$C$3:$C$60,B6,'Review theo bảng'!$AC$3:$AC$60),0)</f>
        <v>0.13111111111111109</v>
      </c>
      <c r="H6" s="21">
        <f>IFERROR(F6/D6,0)</f>
        <v>0.15555555555555556</v>
      </c>
      <c r="I6" s="22" t="str">
        <f>IF(D6=0,"Chưa có dữ liệu",IF(H6&lt;=C6,"Đạt yêu cầu","Không đạt yêu cầu"))</f>
        <v>Đạt yêu cầu</v>
      </c>
    </row>
    <row r="7" spans="2:9" ht="21.75" customHeight="1" x14ac:dyDescent="0.35">
      <c r="B7" s="17" t="s">
        <v>232</v>
      </c>
      <c r="C7" s="20">
        <v>0.2</v>
      </c>
      <c r="D7" s="17">
        <f>COUNTIF('Review theo bảng'!$C$3:$C$60,B7)</f>
        <v>0</v>
      </c>
      <c r="E7" s="17">
        <f>COUNTIFS('Review theo bảng'!$C$3:$C$60,B7,'Review theo bảng'!$AE$3:$AE$60,"Đạt")</f>
        <v>0</v>
      </c>
      <c r="F7" s="17">
        <f>COUNTIFS('Review theo bảng'!$C$3:$C$60,B7,'Review theo bảng'!$AE$3:$AE$60,"Không đạt")</f>
        <v>0</v>
      </c>
      <c r="G7" s="21">
        <f>IFERROR(AVERAGEIF('Review theo bảng'!$C$3:$C$60,B7,'Review theo bảng'!$AC$3:$AC$60),0)</f>
        <v>0</v>
      </c>
      <c r="H7" s="21">
        <f>IFERROR(F7/D7,0)</f>
        <v>0</v>
      </c>
      <c r="I7" s="22" t="str">
        <f>IF(D7=0,"Chưa có dữ liệu",IF(H7&lt;=C7,"Đạt yêu cầu","Không đạt yêu cầu"))</f>
        <v>Chưa có dữ liệu</v>
      </c>
    </row>
    <row r="9" spans="2:9" ht="30" customHeight="1" x14ac:dyDescent="0.35">
      <c r="B9" s="41" t="s">
        <v>233</v>
      </c>
      <c r="C9" s="42"/>
      <c r="D9" s="42"/>
      <c r="E9" s="42"/>
      <c r="F9" s="42"/>
      <c r="G9" s="42"/>
      <c r="H9" s="42"/>
      <c r="I9" s="42"/>
    </row>
  </sheetData>
  <mergeCells count="2">
    <mergeCell ref="B9:I9"/>
    <mergeCell ref="B2:H2"/>
  </mergeCells>
  <conditionalFormatting sqref="I5:I7">
    <cfRule type="cellIs" dxfId="1" priority="2" operator="equal">
      <formula>"Không đạt yêu cầu"</formula>
    </cfRule>
    <cfRule type="cellIs" dxfId="0" priority="3" operator="equal">
      <formula>"Đạt yêu cầu"</formula>
    </cfRule>
  </conditionalFormatting>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4</vt:i4>
      </vt:variant>
    </vt:vector>
  </HeadingPairs>
  <TitlesOfParts>
    <vt:vector size="4" baseType="lpstr">
      <vt:lpstr>Hướng dẫn</vt:lpstr>
      <vt:lpstr>Checklist tiêu chí</vt:lpstr>
      <vt:lpstr>Review theo bảng</vt:lpstr>
      <vt:lpstr>Tổng hợp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Quang Viet Ha (RAFFLES)</cp:lastModifiedBy>
  <cp:revision>0</cp:revision>
  <dcterms:created xsi:type="dcterms:W3CDTF">2026-07-23T16:42:25Z</dcterms:created>
  <dcterms:modified xsi:type="dcterms:W3CDTF">2026-08-05T03:52:26Z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0x0101008E8AE0589F554649956EA8CE8E02225C</vt:lpwstr>
  </property>
  <property fmtid="{D5CDD505-2E9C-101B-9397-08002B2CF9AE}" pid="3" name="MediaServiceImageTags">
    <vt:lpwstr/>
  </property>
</Properties>
</file>